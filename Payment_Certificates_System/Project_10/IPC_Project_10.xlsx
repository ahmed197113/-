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6" autoFilterDateGrouping="1"/>
  </bookViews>
  <sheets>
    <sheet name="التعليمات" sheetId="1" state="visible" r:id="rId1"/>
    <sheet name="بيانات العقد" sheetId="2" state="visible" r:id="rId2"/>
    <sheet name="جدول الكميات" sheetId="3" state="visible" r:id="rId3"/>
    <sheet name="الأوامر التغييرية" sheetId="4" state="visible" r:id="rId4"/>
    <sheet name="الاستقطاعات الفنية" sheetId="5" state="visible" r:id="rId5"/>
    <sheet name="الموازنة والتكاليف" sheetId="6" state="visible" r:id="rId6"/>
    <sheet name="سجل المستخلصات" sheetId="7" state="visible" r:id="rId7"/>
    <sheet name="مستخلص 01" sheetId="8" state="visible" r:id="rId8"/>
    <sheet name="مستخلص 02" sheetId="9" state="visible" r:id="rId9"/>
    <sheet name="مستخلص 03" sheetId="10" state="visible" r:id="rId10"/>
    <sheet name="مستخلص 04" sheetId="11" state="visible" r:id="rId11"/>
    <sheet name="مستخلص 05" sheetId="12" state="visible" r:id="rId12"/>
    <sheet name="مستخلص 06" sheetId="13" state="visible" r:id="rId13"/>
    <sheet name="مستخلص 07" sheetId="14" state="visible" r:id="rId14"/>
    <sheet name="مستخلص 08" sheetId="15" state="visible" r:id="rId15"/>
    <sheet name="مستخلص 0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s>
  <definedNames>
    <definedName name="ContractValue">'بيانات العقد'!$C$16</definedName>
    <definedName name="VOApproved">'بيانات العقد'!$C$17</definedName>
    <definedName name="RevisedContract">'بيانات العقد'!$C$18</definedName>
    <definedName name="AdvPct">'بيانات العقد'!$C$20</definedName>
    <definedName name="AdvAmount">'بيانات العقد'!$C$21</definedName>
    <definedName name="RecRate">'بيانات العقد'!$C$23</definedName>
    <definedName name="RecStart">'بيانات العقد'!$C$24</definedName>
    <definedName name="RecFull">'بيانات العقد'!$C$25</definedName>
    <definedName name="RetPct">'بيانات العقد'!$C$27</definedName>
    <definedName name="RetCap">'بيانات العقد'!$C$29</definedName>
    <definedName name="VATPct">'بيانات العقد'!$C$31</definedName>
    <definedName name="VATBeforeRet">'بيانات العقد'!$C$32</definedName>
    <definedName name="WHTPct">'بيانات العقد'!$C$33</definedName>
    <definedName name="PenInVAT">'بيانات العقد'!$C$34</definedName>
    <definedName name="PenCap">'بيانات العقد'!$C$45</definedName>
    <definedName name="StartDate">'بيانات العقد'!$C$11</definedName>
    <definedName name="EndDate">'بيانات العقد'!$C$13</definedName>
    <definedName name="AdvDate">'بيانات العقد'!$C$22</definedName>
    <definedName name="L_Sections">'بيانات العقد'!$F$6:$F$17</definedName>
    <definedName name="L_IPCStatus">'بيانات العقد'!$G$6:$G$17</definedName>
    <definedName name="L_VOStatus">'بيانات العقد'!$H$6:$H$17</definedName>
    <definedName name="L_TDType">'بيانات العقد'!$I$6:$I$17</definedName>
    <definedName name="GAPct">'الموازنة والتكاليف'!$E$6</definedName>
    <definedName name="ContPct">'الموازنة والتكاليف'!$E$7</definedName>
    <definedName name="BAC">'الموازنة والتكاليف'!$J$26</definedName>
    <definedName name="_xlnm._FilterDatabase" localSheetId="2" hidden="1">'جدول الكميات'!$A$5:$I$105</definedName>
    <definedName name="_xlnm.Print_Titles" localSheetId="2">'جدول الكميات'!$5:$5</definedName>
    <definedName name="_xlnm._FilterDatabase" localSheetId="3" hidden="1">'الأوامر التغييرية'!$A$5:$L$55</definedName>
    <definedName name="_xlnm._FilterDatabase" localSheetId="4" hidden="1">'الاستقطاعات الفنية'!$A$5:$M$105</definedName>
    <definedName name="_xlnm.Print_Titles" localSheetId="6">'سجل المستخلصات'!$4:$5</definedName>
    <definedName name="_xlnm.Print_Titles" localSheetId="7">'مستخلص 01'!$50:$50</definedName>
    <definedName name="_xlnm.Print_Area" localSheetId="7">'مستخلص 01'!$B$1:$M$151</definedName>
    <definedName name="_xlnm.Print_Titles" localSheetId="8">'مستخلص 02'!$50:$50</definedName>
    <definedName name="_xlnm.Print_Area" localSheetId="8">'مستخلص 02'!$B$1:$M$151</definedName>
    <definedName name="_xlnm.Print_Titles" localSheetId="9">'مستخلص 03'!$50:$50</definedName>
    <definedName name="_xlnm.Print_Area" localSheetId="9">'مستخلص 03'!$B$1:$M$151</definedName>
    <definedName name="_xlnm.Print_Titles" localSheetId="10">'مستخلص 04'!$50:$50</definedName>
    <definedName name="_xlnm.Print_Area" localSheetId="10">'مستخلص 04'!$B$1:$M$151</definedName>
    <definedName name="_xlnm.Print_Titles" localSheetId="11">'مستخلص 05'!$50:$50</definedName>
    <definedName name="_xlnm.Print_Area" localSheetId="11">'مستخلص 05'!$B$1:$M$151</definedName>
    <definedName name="_xlnm.Print_Titles" localSheetId="12">'مستخلص 06'!$50:$50</definedName>
    <definedName name="_xlnm.Print_Area" localSheetId="12">'مستخلص 06'!$B$1:$M$151</definedName>
    <definedName name="_xlnm.Print_Titles" localSheetId="13">'مستخلص 07'!$50:$50</definedName>
    <definedName name="_xlnm.Print_Area" localSheetId="13">'مستخلص 07'!$B$1:$M$151</definedName>
    <definedName name="_xlnm.Print_Titles" localSheetId="14">'مستخلص 08'!$50:$50</definedName>
    <definedName name="_xlnm.Print_Area" localSheetId="14">'مستخلص 08'!$B$1:$M$151</definedName>
    <definedName name="_xlnm.Print_Titles" localSheetId="15">'مستخلص 09'!$50:$50</definedName>
    <definedName name="_xlnm.Print_Area" localSheetId="15">'مستخلص 09'!$B$1:$M$151</definedName>
    <definedName name="_xlnm.Print_Titles" localSheetId="16">'مستخلص 10'!$50:$50</definedName>
    <definedName name="_xlnm.Print_Area" localSheetId="16">'مستخلص 10'!$B$1:$M$151</definedName>
    <definedName name="_xlnm.Print_Titles" localSheetId="17">'مستخلص 11'!$50:$50</definedName>
    <definedName name="_xlnm.Print_Area" localSheetId="17">'مستخلص 11'!$B$1:$M$151</definedName>
    <definedName name="_xlnm.Print_Titles" localSheetId="18">'مستخلص 12'!$50:$50</definedName>
    <definedName name="_xlnm.Print_Area" localSheetId="18">'مستخلص 12'!$B$1:$M$151</definedName>
    <definedName name="_xlnm.Print_Titles" localSheetId="19">'مستخلص 13'!$50:$50</definedName>
    <definedName name="_xlnm.Print_Area" localSheetId="19">'مستخلص 13'!$B$1:$M$151</definedName>
    <definedName name="_xlnm.Print_Titles" localSheetId="20">'مستخلص 14'!$50:$50</definedName>
    <definedName name="_xlnm.Print_Area" localSheetId="20">'مستخلص 14'!$B$1:$M$151</definedName>
    <definedName name="_xlnm.Print_Titles" localSheetId="21">'مستخلص 15'!$50:$50</definedName>
    <definedName name="_xlnm.Print_Area" localSheetId="21">'مستخلص 15'!$B$1:$M$151</definedName>
    <definedName name="_xlnm.Print_Titles" localSheetId="22">'مستخلص 16'!$50:$50</definedName>
    <definedName name="_xlnm.Print_Area" localSheetId="22">'مستخلص 16'!$B$1:$M$151</definedName>
    <definedName name="_xlnm.Print_Titles" localSheetId="23">'مستخلص 17'!$50:$50</definedName>
    <definedName name="_xlnm.Print_Area" localSheetId="23">'مستخلص 17'!$B$1:$M$151</definedName>
    <definedName name="_xlnm.Print_Titles" localSheetId="24">'مستخلص 18'!$50:$50</definedName>
    <definedName name="_xlnm.Print_Area" localSheetId="24">'مستخلص 18'!$B$1:$M$151</definedName>
    <definedName name="_xlnm.Print_Titles" localSheetId="25">'مستخلص 19'!$50:$50</definedName>
    <definedName name="_xlnm.Print_Area" localSheetId="25">'مستخلص 19'!$B$1:$M$151</definedName>
    <definedName name="_xlnm.Print_Titles" localSheetId="26">'مستخلص 20'!$50:$50</definedName>
    <definedName name="_xlnm.Print_Area" localSheetId="26">'مستخلص 20'!$B$1:$M$151</definedName>
  </definedNames>
  <calcPr calcId="124519" fullCalcOnLoad="1"/>
</workbook>
</file>

<file path=xl/styles.xml><?xml version="1.0" encoding="utf-8"?>
<styleSheet xmlns="http://schemas.openxmlformats.org/spreadsheetml/2006/main">
  <numFmts count="11">
    <numFmt numFmtId="164" formatCode="yyyy/mm/dd"/>
    <numFmt numFmtId="165" formatCode="#,##0.00;[Red](#,##0.00);&quot;-&quot;"/>
    <numFmt numFmtId="166" formatCode="0.0%;[Red]-0.0%;&quot;-&quot;"/>
    <numFmt numFmtId="167" formatCode="#,##0.00;[Red]-#,##0.00;;@"/>
    <numFmt numFmtId="168" formatCode="0.00%;-0.00%;;@"/>
    <numFmt numFmtId="169" formatCode="&quot;مستخلص رقم &quot;0"/>
    <numFmt numFmtId="170" formatCode="B2yyyy/mm/dd"/>
    <numFmt numFmtId="171" formatCode="0.0%;[Red]-0.0%;;@"/>
    <numFmt numFmtId="172" formatCode="&quot;مستخلص &quot;0"/>
    <numFmt numFmtId="173" formatCode="0;-0;&quot;-&quot;"/>
    <numFmt numFmtId="174" formatCode="#,##0;[Red](#,##0);&quot;-&quot;"/>
  </numFmts>
  <fonts count="35">
    <font>
      <name val="Calibri"/>
      <family val="2"/>
      <color theme="1"/>
      <sz val="11"/>
      <scheme val="minor"/>
    </font>
    <font>
      <name val="Arial"/>
      <b val="1"/>
      <color rgb="00FFFFFF"/>
      <sz val="18"/>
    </font>
    <font>
      <name val="Arial"/>
      <i val="1"/>
      <color rgb="00FFFFFF"/>
      <sz val="10"/>
    </font>
    <font>
      <name val="Arial"/>
      <b val="1"/>
      <color rgb="00FFFFFF"/>
      <sz val="10"/>
    </font>
    <font>
      <name val="Arial"/>
      <b val="1"/>
      <color rgb="001F2933"/>
      <sz val="10"/>
    </font>
    <font>
      <name val="Arial"/>
      <color rgb="000000FF"/>
      <sz val="10"/>
    </font>
    <font>
      <name val="Arial"/>
      <i val="1"/>
      <color rgb="005A6772"/>
      <sz val="9"/>
    </font>
    <font>
      <name val="Arial"/>
      <b val="1"/>
      <color rgb="00008000"/>
      <sz val="10"/>
    </font>
    <font>
      <name val="Arial"/>
      <b val="1"/>
      <color rgb="00FFFFFF"/>
      <sz val="11"/>
    </font>
    <font>
      <name val="Arial"/>
      <color rgb="005A6772"/>
      <sz val="10"/>
    </font>
    <font>
      <name val="Arial"/>
      <color rgb="001F2933"/>
      <sz val="10"/>
    </font>
    <font>
      <name val="Arial"/>
      <color rgb="00008000"/>
      <sz val="10"/>
    </font>
    <font>
      <name val="Arial"/>
      <b val="1"/>
      <color rgb="001F3A5F"/>
      <sz val="10"/>
    </font>
    <font>
      <name val="Arial"/>
      <b val="1"/>
      <color rgb="009A6B00"/>
      <sz val="12"/>
    </font>
    <font>
      <name val="Arial"/>
      <b val="1"/>
      <color rgb="005A6772"/>
      <sz val="9"/>
    </font>
    <font>
      <name val="Arial"/>
      <b val="1"/>
      <color rgb="002E7D7A"/>
      <sz val="15"/>
    </font>
    <font>
      <name val="Arial"/>
      <b val="1"/>
      <color rgb="000000FF"/>
      <sz val="15"/>
    </font>
    <font>
      <name val="Arial"/>
      <color rgb="00C62828"/>
      <sz val="10"/>
    </font>
    <font>
      <name val="Arial"/>
      <b val="1"/>
      <color rgb="00C62828"/>
      <sz val="10"/>
    </font>
    <font>
      <name val="Arial"/>
      <b val="1"/>
      <color rgb="00FFFFFF"/>
      <sz val="13"/>
    </font>
    <font>
      <name val="Arial"/>
      <b val="1"/>
      <color rgb="00FFFFFF"/>
      <sz val="15"/>
    </font>
    <font>
      <name val="Arial"/>
      <b val="1"/>
      <color rgb="002E7D32"/>
      <sz val="10"/>
    </font>
    <font>
      <name val="Arial"/>
      <b val="1"/>
      <color rgb="002E7D32"/>
      <sz val="11"/>
    </font>
    <font>
      <name val="Arial"/>
      <b val="1"/>
      <color rgb="00C62828"/>
      <sz val="11"/>
    </font>
    <font>
      <name val="Arial"/>
      <b val="1"/>
      <color rgb="001F3A5F"/>
      <sz val="9"/>
    </font>
    <font>
      <name val="Arial"/>
      <b val="1"/>
      <color rgb="009A6B00"/>
      <sz val="10"/>
    </font>
    <font>
      <name val="Arial"/>
      <color rgb="005A6772"/>
      <sz val="9"/>
    </font>
    <font>
      <name val="Arial"/>
      <color rgb="00008000"/>
      <sz val="9"/>
    </font>
    <font>
      <name val="Arial"/>
      <color rgb="001F2933"/>
      <sz val="9"/>
    </font>
    <font>
      <name val="Arial"/>
      <b val="1"/>
      <color rgb="001F2933"/>
      <sz val="9"/>
    </font>
    <font>
      <name val="Arial"/>
      <b val="1"/>
      <color rgb="00FFFFFF"/>
      <sz val="12"/>
    </font>
    <font>
      <name val="Arial"/>
      <b val="1"/>
      <color rgb="009A6B00"/>
      <sz val="9"/>
    </font>
    <font>
      <name val="Arial"/>
      <b val="1"/>
      <color rgb="006A1B9A"/>
      <sz val="11"/>
    </font>
    <font>
      <name val="Arial"/>
      <b val="1"/>
      <color rgb="000000FF"/>
      <sz val="10"/>
    </font>
    <font>
      <name val="Arial"/>
      <b val="1"/>
      <color rgb="00006C35"/>
      <sz val="10"/>
    </font>
  </fonts>
  <fills count="19">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6A1B9A"/>
        <bgColor rgb="006A1B9A"/>
      </patternFill>
    </fill>
    <fill>
      <patternFill patternType="solid">
        <fgColor rgb="009A6B00"/>
        <bgColor rgb="009A6B00"/>
      </patternFill>
    </fill>
    <fill>
      <patternFill patternType="solid">
        <fgColor rgb="00EEF4F8"/>
        <bgColor rgb="00EEF4F8"/>
      </patternFill>
    </fill>
    <fill>
      <patternFill patternType="solid">
        <fgColor rgb="00FFF8E1"/>
        <bgColor rgb="00FFF8E1"/>
      </patternFill>
    </fill>
    <fill>
      <patternFill patternType="solid">
        <fgColor rgb="00F2F4F7"/>
        <bgColor rgb="00F2F4F7"/>
      </patternFill>
    </fill>
    <fill>
      <patternFill patternType="solid">
        <fgColor rgb="00F7FBFF"/>
        <bgColor rgb="00F7FBFF"/>
      </patternFill>
    </fill>
    <fill>
      <patternFill patternType="solid">
        <fgColor rgb="00D9E2EC"/>
        <bgColor rgb="00D9E2EC"/>
      </patternFill>
    </fill>
    <fill>
      <patternFill patternType="solid">
        <fgColor rgb="00E8F5E9"/>
        <bgColor rgb="00E8F5E9"/>
      </patternFill>
    </fill>
    <fill>
      <patternFill patternType="solid">
        <fgColor rgb="00FDECEA"/>
        <bgColor rgb="00FDECEA"/>
      </patternFill>
    </fill>
    <fill>
      <patternFill patternType="solid">
        <fgColor rgb="008C6D1F"/>
        <bgColor rgb="008C6D1F"/>
      </patternFill>
    </fill>
    <fill>
      <patternFill patternType="solid">
        <fgColor rgb="00C0504D"/>
        <bgColor rgb="00C0504D"/>
      </patternFill>
    </fill>
    <fill>
      <patternFill patternType="solid">
        <fgColor rgb="002E7D32"/>
        <bgColor rgb="002E7D32"/>
      </patternFill>
    </fill>
    <fill>
      <patternFill patternType="solid">
        <fgColor rgb="00FFFFFF"/>
        <bgColor rgb="00FFFFFF"/>
      </patternFill>
    </fill>
    <fill>
      <patternFill patternType="solid">
        <fgColor rgb="00006C35"/>
        <bgColor rgb="00006C35"/>
      </patternFill>
    </fill>
  </fills>
  <borders count="6">
    <border>
      <left/>
      <right/>
      <top/>
      <bottom/>
      <diagonal/>
    </border>
    <border>
      <left style="thin">
        <color rgb="00FFFFFF"/>
      </left>
      <right style="thin">
        <color rgb="00FFFFFF"/>
      </right>
      <top style="thin">
        <color rgb="00FFFFFF"/>
      </top>
      <bottom style="medium">
        <color rgb="001F3A5F"/>
      </bottom>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s>
  <cellStyleXfs count="1">
    <xf numFmtId="0" fontId="0" fillId="0" borderId="0"/>
  </cellStyleXfs>
  <cellXfs count="129">
    <xf numFmtId="0" fontId="0" fillId="0" borderId="0" pivotButton="0" quotePrefix="0" xfId="0"/>
    <xf numFmtId="0" fontId="1" fillId="2" borderId="0" applyAlignment="1" pivotButton="0" quotePrefix="0" xfId="0">
      <alignment horizontal="center" vertical="center"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3" fillId="6" borderId="1" applyAlignment="1" pivotButton="0" quotePrefix="0" xfId="0">
      <alignment horizontal="center" vertical="center" readingOrder="2"/>
    </xf>
    <xf numFmtId="0" fontId="8" fillId="3" borderId="0" applyAlignment="1" pivotButton="0" quotePrefix="0" xfId="0">
      <alignment horizontal="right" vertical="center" indent="1" readingOrder="2"/>
    </xf>
    <xf numFmtId="0" fontId="33" fillId="8" borderId="2" applyAlignment="1" pivotButton="0" quotePrefix="0" xfId="0">
      <alignment horizontal="center" vertical="center" readingOrder="2"/>
    </xf>
    <xf numFmtId="0" fontId="10" fillId="0" borderId="2" applyAlignment="1" pivotButton="0" quotePrefix="0" xfId="0">
      <alignment horizontal="right" vertical="center" wrapText="1" indent="1" readingOrder="2"/>
    </xf>
    <xf numFmtId="0" fontId="4" fillId="17" borderId="2" applyAlignment="1" pivotButton="0" quotePrefix="0" xfId="0">
      <alignment horizontal="center" vertical="center" readingOrder="2"/>
    </xf>
    <xf numFmtId="0" fontId="7" fillId="17" borderId="2" applyAlignment="1" pivotButton="0" quotePrefix="0" xfId="0">
      <alignment horizontal="center" vertical="center" readingOrder="2"/>
    </xf>
    <xf numFmtId="0" fontId="18" fillId="13" borderId="2" applyAlignment="1" pivotButton="0" quotePrefix="0" xfId="0">
      <alignment horizontal="center" vertical="center" readingOrder="2"/>
    </xf>
    <xf numFmtId="0" fontId="3" fillId="4" borderId="2" applyAlignment="1" pivotButton="0" quotePrefix="0" xfId="0">
      <alignment horizontal="center" vertical="center" readingOrder="2"/>
    </xf>
    <xf numFmtId="0" fontId="8" fillId="18" borderId="0" applyAlignment="1" pivotButton="0" quotePrefix="0" xfId="0">
      <alignment horizontal="right" vertical="center" indent="1" readingOrder="2"/>
    </xf>
    <xf numFmtId="0" fontId="34" fillId="12" borderId="2" applyAlignment="1" pivotButton="0" quotePrefix="0" xfId="0">
      <alignment horizontal="right" vertical="center" indent="1" readingOrder="2"/>
    </xf>
    <xf numFmtId="0" fontId="8" fillId="6" borderId="0" applyAlignment="1" pivotButton="0" quotePrefix="0" xfId="0">
      <alignment horizontal="right" vertical="center" indent="1" readingOrder="2"/>
    </xf>
    <xf numFmtId="0" fontId="13" fillId="0" borderId="2" applyAlignment="1" pivotButton="0" quotePrefix="0" xfId="0">
      <alignment horizontal="center" vertical="center" readingOrder="2"/>
    </xf>
    <xf numFmtId="0" fontId="3" fillId="4"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3" fillId="2" borderId="2" applyAlignment="1" pivotButton="0" quotePrefix="0" xfId="0">
      <alignment horizontal="center" vertical="center" wrapText="1" readingOrder="2"/>
    </xf>
    <xf numFmtId="0" fontId="4" fillId="7" borderId="2" applyAlignment="1" pivotButton="0" quotePrefix="0" xfId="0">
      <alignment horizontal="right" vertical="center" indent="1" readingOrder="2"/>
    </xf>
    <xf numFmtId="0" fontId="5" fillId="8" borderId="2" applyAlignment="1" pivotButton="0" quotePrefix="0" xfId="0">
      <alignment horizontal="center" vertical="center" readingOrder="2"/>
    </xf>
    <xf numFmtId="0" fontId="6" fillId="0" borderId="2" applyAlignment="1" pivotButton="0" quotePrefix="0" xfId="0">
      <alignment horizontal="right" vertical="center" wrapText="1" readingOrder="2"/>
    </xf>
    <xf numFmtId="0" fontId="3" fillId="4" borderId="2" applyAlignment="1" pivotButton="0" quotePrefix="0" xfId="0">
      <alignment horizontal="center" vertical="center" wrapText="1" readingOrder="2"/>
    </xf>
    <xf numFmtId="0" fontId="5" fillId="8" borderId="2" applyAlignment="1" pivotButton="0" quotePrefix="0" xfId="0">
      <alignment horizontal="right" vertical="center" indent="1" readingOrder="2"/>
    </xf>
    <xf numFmtId="164" fontId="5" fillId="8" borderId="2" applyAlignment="1" pivotButton="0" quotePrefix="0" xfId="0">
      <alignment horizontal="center" vertical="center" readingOrder="2"/>
    </xf>
    <xf numFmtId="1" fontId="5" fillId="8" borderId="2" applyAlignment="1" pivotButton="0" quotePrefix="0" xfId="0">
      <alignment horizontal="center" vertical="center" readingOrder="2"/>
    </xf>
    <xf numFmtId="164" fontId="4" fillId="9" borderId="2" applyAlignment="1" pivotButton="0" quotePrefix="0" xfId="0">
      <alignment horizontal="center" vertical="center" readingOrder="2"/>
    </xf>
    <xf numFmtId="0" fontId="8" fillId="4" borderId="0" applyAlignment="1" pivotButton="0" quotePrefix="0" xfId="0">
      <alignment horizontal="right" vertical="center" indent="1" readingOrder="2"/>
    </xf>
    <xf numFmtId="165" fontId="7" fillId="9" borderId="2" applyAlignment="1" pivotButton="0" quotePrefix="0" xfId="0">
      <alignment horizontal="center" vertical="center" readingOrder="2"/>
    </xf>
    <xf numFmtId="165" fontId="4" fillId="9" borderId="2" applyAlignment="1" pivotButton="0" quotePrefix="0" xfId="0">
      <alignment horizontal="center" vertical="center" readingOrder="2"/>
    </xf>
    <xf numFmtId="166" fontId="5" fillId="8" borderId="2" applyAlignment="1" pivotButton="0" quotePrefix="0" xfId="0">
      <alignment horizontal="center" vertical="center" readingOrder="2"/>
    </xf>
    <xf numFmtId="49" fontId="5" fillId="8" borderId="2" applyAlignment="1" pivotButton="0" quotePrefix="0" xfId="0">
      <alignment horizontal="center" vertical="center" readingOrder="2"/>
    </xf>
    <xf numFmtId="0" fontId="4" fillId="9" borderId="2" applyAlignment="1" pivotButton="0" quotePrefix="0" xfId="0">
      <alignment horizontal="center" vertical="center" readingOrder="2"/>
    </xf>
    <xf numFmtId="0" fontId="6" fillId="0" borderId="0" applyAlignment="1" pivotButton="0" quotePrefix="0" xfId="0">
      <alignment horizontal="right" vertical="center" readingOrder="2"/>
    </xf>
    <xf numFmtId="0" fontId="9" fillId="0" borderId="2" applyAlignment="1" pivotButton="0" quotePrefix="0" xfId="0">
      <alignment horizontal="center" vertical="center" readingOrder="2"/>
    </xf>
    <xf numFmtId="0" fontId="5" fillId="8" borderId="2" applyAlignment="1" pivotButton="0" quotePrefix="0" xfId="0">
      <alignment horizontal="right" vertical="center" wrapText="1" indent="1" readingOrder="2"/>
    </xf>
    <xf numFmtId="167" fontId="5" fillId="8" borderId="2" applyAlignment="1" pivotButton="0" quotePrefix="0" xfId="0">
      <alignment horizontal="center" vertical="center" readingOrder="2"/>
    </xf>
    <xf numFmtId="167" fontId="10" fillId="0" borderId="2" applyAlignment="1" pivotButton="0" quotePrefix="0" xfId="0">
      <alignment horizontal="center" vertical="center" readingOrder="2"/>
    </xf>
    <xf numFmtId="168" fontId="10" fillId="0" borderId="2" applyAlignment="1" pivotButton="0" quotePrefix="0" xfId="0">
      <alignment horizontal="center" vertical="center" readingOrder="2"/>
    </xf>
    <xf numFmtId="0" fontId="8" fillId="2" borderId="0" applyAlignment="1" pivotButton="0" quotePrefix="0" xfId="0">
      <alignment horizontal="center" vertical="center" readingOrder="2"/>
    </xf>
    <xf numFmtId="165" fontId="8" fillId="2" borderId="0" applyAlignment="1" pivotButton="0" quotePrefix="0" xfId="0">
      <alignment horizontal="center" vertical="center" readingOrder="2"/>
    </xf>
    <xf numFmtId="166" fontId="8" fillId="2" borderId="0" applyAlignment="1" pivotButton="0" quotePrefix="0" xfId="0">
      <alignment horizontal="center" vertical="center" readingOrder="2"/>
    </xf>
    <xf numFmtId="0" fontId="6" fillId="0" borderId="0" applyAlignment="1" pivotButton="0" quotePrefix="0" xfId="0">
      <alignment horizontal="right" vertical="center" wrapText="1" readingOrder="2"/>
    </xf>
    <xf numFmtId="165" fontId="5" fillId="8" borderId="2" applyAlignment="1" pivotButton="0" quotePrefix="0" xfId="0">
      <alignment horizontal="center" vertical="center" readingOrder="2"/>
    </xf>
    <xf numFmtId="165" fontId="10" fillId="0" borderId="2" applyAlignment="1" pivotButton="0" quotePrefix="0" xfId="0">
      <alignment horizontal="center" vertical="center" readingOrder="2"/>
    </xf>
    <xf numFmtId="0" fontId="5" fillId="8" borderId="2" applyAlignment="1" pivotButton="0" quotePrefix="0" xfId="0">
      <alignment horizontal="right" vertical="center" wrapText="1" readingOrder="2"/>
    </xf>
    <xf numFmtId="165" fontId="3" fillId="2" borderId="0" applyAlignment="1" pivotButton="0" quotePrefix="0" xfId="0">
      <alignment horizontal="center" vertical="center" readingOrder="2"/>
    </xf>
    <xf numFmtId="0" fontId="3" fillId="2" borderId="0" applyAlignment="1" pivotButton="0" quotePrefix="0" xfId="0">
      <alignment horizontal="center" vertical="center" readingOrder="2"/>
    </xf>
    <xf numFmtId="0" fontId="11" fillId="0" borderId="2" applyAlignment="1" pivotButton="0" quotePrefix="0" xfId="0">
      <alignment horizontal="right" vertical="center" wrapText="1" indent="1" readingOrder="2"/>
    </xf>
    <xf numFmtId="165" fontId="4" fillId="0" borderId="2" applyAlignment="1" pivotButton="0" quotePrefix="0" xfId="0">
      <alignment horizontal="center" vertical="center" readingOrder="2"/>
    </xf>
    <xf numFmtId="165" fontId="3" fillId="3" borderId="0" applyAlignment="1" pivotButton="0" quotePrefix="0" xfId="0">
      <alignment horizontal="center" vertical="center" readingOrder="2"/>
    </xf>
    <xf numFmtId="0" fontId="8" fillId="5" borderId="0" applyAlignment="1" pivotButton="0" quotePrefix="0" xfId="0">
      <alignment horizontal="right" vertical="center" indent="1" readingOrder="2"/>
    </xf>
    <xf numFmtId="0" fontId="12" fillId="7" borderId="2" applyAlignment="1" pivotButton="0" quotePrefix="0" xfId="0">
      <alignment horizontal="right" vertical="center" indent="1" readingOrder="2"/>
    </xf>
    <xf numFmtId="0" fontId="0" fillId="0" borderId="5" pivotButton="0" quotePrefix="0" xfId="0"/>
    <xf numFmtId="0" fontId="7" fillId="7" borderId="2" applyAlignment="1" pivotButton="0" quotePrefix="0" xfId="0">
      <alignment horizontal="right" vertical="center" indent="1" readingOrder="2"/>
    </xf>
    <xf numFmtId="174" fontId="11" fillId="0" borderId="2" applyAlignment="1" pivotButton="0" quotePrefix="0" xfId="0">
      <alignment horizontal="center" vertical="center" readingOrder="2"/>
    </xf>
    <xf numFmtId="174" fontId="5" fillId="8" borderId="2" applyAlignment="1" pivotButton="0" quotePrefix="0" xfId="0">
      <alignment horizontal="center" vertical="center" readingOrder="2"/>
    </xf>
    <xf numFmtId="174" fontId="4" fillId="0" borderId="2" applyAlignment="1" pivotButton="0" quotePrefix="0" xfId="0">
      <alignment horizontal="center" vertical="center" readingOrder="2"/>
    </xf>
    <xf numFmtId="174" fontId="10" fillId="0" borderId="2" applyAlignment="1" pivotButton="0" quotePrefix="0" xfId="0">
      <alignment horizontal="center" vertical="center" readingOrder="2"/>
    </xf>
    <xf numFmtId="166" fontId="10" fillId="0" borderId="2" applyAlignment="1" pivotButton="0" quotePrefix="0" xfId="0">
      <alignment horizontal="center" vertical="center" readingOrder="2"/>
    </xf>
    <xf numFmtId="0" fontId="12" fillId="11" borderId="2" applyAlignment="1" pivotButton="0" quotePrefix="0" xfId="0">
      <alignment horizontal="right" vertical="center" indent="1" readingOrder="2"/>
    </xf>
    <xf numFmtId="174" fontId="4" fillId="11" borderId="2" applyAlignment="1" pivotButton="0" quotePrefix="0" xfId="0">
      <alignment horizontal="center" vertical="center" readingOrder="2"/>
    </xf>
    <xf numFmtId="0" fontId="3" fillId="2" borderId="2" applyAlignment="1" pivotButton="0" quotePrefix="0" xfId="0">
      <alignment horizontal="right" vertical="center" indent="1" readingOrder="2"/>
    </xf>
    <xf numFmtId="174" fontId="8" fillId="2" borderId="2" applyAlignment="1" pivotButton="0" quotePrefix="0" xfId="0">
      <alignment horizontal="center" vertical="center" readingOrder="2"/>
    </xf>
    <xf numFmtId="166" fontId="8" fillId="2" borderId="2" applyAlignment="1" pivotButton="0" quotePrefix="0" xfId="0">
      <alignment horizontal="center" vertical="center" readingOrder="2"/>
    </xf>
    <xf numFmtId="0" fontId="31" fillId="0" borderId="2" applyAlignment="1" pivotButton="0" quotePrefix="0" xfId="0">
      <alignment horizontal="center" vertical="center" readingOrder="2"/>
    </xf>
    <xf numFmtId="172" fontId="12" fillId="7" borderId="2" applyAlignment="1" pivotButton="0" quotePrefix="0" xfId="0">
      <alignment horizontal="center" vertical="center" readingOrder="2"/>
    </xf>
    <xf numFmtId="164" fontId="11" fillId="0" borderId="2" applyAlignment="1" pivotButton="0" quotePrefix="0" xfId="0">
      <alignment horizontal="center" vertical="center" readingOrder="2"/>
    </xf>
    <xf numFmtId="2" fontId="10" fillId="0" borderId="2" applyAlignment="1" pivotButton="0" quotePrefix="0" xfId="0">
      <alignment horizontal="center" vertical="center" readingOrder="2"/>
    </xf>
    <xf numFmtId="0" fontId="3" fillId="2" borderId="2" applyAlignment="1" pivotButton="0" quotePrefix="0" xfId="0">
      <alignment horizontal="center" vertical="center" readingOrder="2"/>
    </xf>
    <xf numFmtId="174" fontId="3" fillId="2" borderId="2" applyAlignment="1" pivotButton="0" quotePrefix="0" xfId="0">
      <alignment horizontal="center" vertical="center" readingOrder="2"/>
    </xf>
    <xf numFmtId="166" fontId="4" fillId="0" borderId="2" applyAlignment="1" pivotButton="0" quotePrefix="0" xfId="0">
      <alignment horizontal="center" vertical="center" readingOrder="2"/>
    </xf>
    <xf numFmtId="0" fontId="29" fillId="0" borderId="2" applyAlignment="1" pivotButton="0" quotePrefix="0" xfId="0">
      <alignment horizontal="center" vertical="center" readingOrder="2"/>
    </xf>
    <xf numFmtId="166" fontId="3" fillId="2" borderId="2" applyAlignment="1" pivotButton="0" quotePrefix="0" xfId="0">
      <alignment horizontal="center" vertical="center" readingOrder="2"/>
    </xf>
    <xf numFmtId="174" fontId="32" fillId="0" borderId="2" applyAlignment="1" pivotButton="0" quotePrefix="0" xfId="0">
      <alignment horizontal="center" vertical="center" readingOrder="2"/>
    </xf>
    <xf numFmtId="166" fontId="32" fillId="0" borderId="2" applyAlignment="1" pivotButton="0" quotePrefix="0" xfId="0">
      <alignment horizontal="center" vertical="center" readingOrder="2"/>
    </xf>
    <xf numFmtId="2" fontId="32" fillId="0" borderId="2" applyAlignment="1" pivotButton="0" quotePrefix="0" xfId="0">
      <alignment horizontal="center" vertical="center" readingOrder="2"/>
    </xf>
    <xf numFmtId="0" fontId="32" fillId="0" borderId="2" applyAlignment="1" pivotButton="0" quotePrefix="0" xfId="0">
      <alignment horizontal="center" vertical="center" readingOrder="2"/>
    </xf>
    <xf numFmtId="0" fontId="12" fillId="0" borderId="0" applyAlignment="1" pivotButton="0" quotePrefix="0" xfId="0">
      <alignment horizontal="left" vertical="center" readingOrder="2"/>
    </xf>
    <xf numFmtId="1" fontId="30" fillId="6" borderId="0" applyAlignment="1" pivotButton="0" quotePrefix="0" xfId="0">
      <alignment horizontal="center" vertical="center" readingOrder="2"/>
    </xf>
    <xf numFmtId="0" fontId="3" fillId="3" borderId="2" applyAlignment="1" pivotButton="0" quotePrefix="0" xfId="0">
      <alignment horizontal="center" vertical="center" readingOrder="2"/>
    </xf>
    <xf numFmtId="0" fontId="3" fillId="15" borderId="2" applyAlignment="1" pivotButton="0" quotePrefix="0" xfId="0">
      <alignment horizontal="center" vertical="center" readingOrder="2"/>
    </xf>
    <xf numFmtId="0" fontId="3" fillId="16" borderId="2" applyAlignment="1" pivotButton="0" quotePrefix="0" xfId="0">
      <alignment horizontal="center" vertical="center" readingOrder="2"/>
    </xf>
    <xf numFmtId="0" fontId="3" fillId="6" borderId="2" applyAlignment="1" pivotButton="0" quotePrefix="0" xfId="0">
      <alignment horizontal="center" vertical="center" readingOrder="2"/>
    </xf>
    <xf numFmtId="164" fontId="10" fillId="0" borderId="2" applyAlignment="1" pivotButton="0" quotePrefix="0" xfId="0">
      <alignment horizontal="center" vertical="center" readingOrder="2"/>
    </xf>
    <xf numFmtId="0" fontId="10" fillId="0" borderId="2" applyAlignment="1" pivotButton="0" quotePrefix="0" xfId="0">
      <alignment horizontal="center" vertical="center" readingOrder="2"/>
    </xf>
    <xf numFmtId="165" fontId="4" fillId="10" borderId="2" applyAlignment="1" pivotButton="0" quotePrefix="0" xfId="0">
      <alignment horizontal="center" vertical="center" readingOrder="2"/>
    </xf>
    <xf numFmtId="173" fontId="10" fillId="0" borderId="2" applyAlignment="1" pivotButton="0" quotePrefix="0" xfId="0">
      <alignment horizontal="center" vertical="center" readingOrder="2"/>
    </xf>
    <xf numFmtId="49" fontId="10" fillId="0" borderId="2" applyAlignment="1" pivotButton="0" quotePrefix="0" xfId="0">
      <alignment horizontal="center" vertical="center" readingOrder="2"/>
    </xf>
    <xf numFmtId="165" fontId="3" fillId="2" borderId="2" applyAlignment="1" pivotButton="0" quotePrefix="0" xfId="0">
      <alignment horizontal="center" vertical="center" readingOrder="2"/>
    </xf>
    <xf numFmtId="164" fontId="3" fillId="2" borderId="2" applyAlignment="1" pivotButton="0" quotePrefix="0" xfId="0">
      <alignment horizontal="center" vertical="center" readingOrder="2"/>
    </xf>
    <xf numFmtId="173" fontId="3" fillId="2" borderId="2" applyAlignment="1" pivotButton="0" quotePrefix="0" xfId="0">
      <alignment horizontal="center" vertical="center" readingOrder="2"/>
    </xf>
    <xf numFmtId="49" fontId="3" fillId="2" borderId="2" applyAlignment="1" pivotButton="0" quotePrefix="0" xfId="0">
      <alignment horizontal="center" vertical="center" readingOrder="2"/>
    </xf>
    <xf numFmtId="169" fontId="13" fillId="0" borderId="2" applyAlignment="1" pivotButton="0" quotePrefix="0" xfId="0">
      <alignment horizontal="right" vertical="center" indent="1" readingOrder="2"/>
    </xf>
    <xf numFmtId="0" fontId="14" fillId="7" borderId="2" applyAlignment="1" pivotButton="0" quotePrefix="0" xfId="0">
      <alignment horizontal="center" vertical="center" wrapText="1" readingOrder="2"/>
    </xf>
    <xf numFmtId="0" fontId="7" fillId="0" borderId="2" applyAlignment="1" pivotButton="0" quotePrefix="0" xfId="0">
      <alignment horizontal="right" vertical="center" indent="1" readingOrder="2"/>
    </xf>
    <xf numFmtId="166" fontId="15" fillId="0" borderId="2" applyAlignment="1" pivotButton="0" quotePrefix="0" xfId="0">
      <alignment horizontal="center" vertical="center" readingOrder="2"/>
    </xf>
    <xf numFmtId="166" fontId="16" fillId="8" borderId="2" applyAlignment="1" pivotButton="0" quotePrefix="0" xfId="0">
      <alignment horizontal="center" vertical="center" readingOrder="2"/>
    </xf>
    <xf numFmtId="165" fontId="7" fillId="0" borderId="2" applyAlignment="1" pivotButton="0" quotePrefix="0" xfId="0">
      <alignment horizontal="center" vertical="center" readingOrder="2"/>
    </xf>
    <xf numFmtId="170" fontId="14" fillId="0" borderId="2" applyAlignment="1" pivotButton="0" quotePrefix="0" xfId="0">
      <alignment horizontal="center" vertical="center" readingOrder="2"/>
    </xf>
    <xf numFmtId="0" fontId="10" fillId="0" borderId="2" applyAlignment="1" pivotButton="0" quotePrefix="0" xfId="0">
      <alignment horizontal="right" vertical="center" indent="1" readingOrder="2"/>
    </xf>
    <xf numFmtId="0" fontId="4" fillId="11" borderId="2" applyAlignment="1" pivotButton="0" quotePrefix="0" xfId="0">
      <alignment horizontal="center" vertical="center" readingOrder="2"/>
    </xf>
    <xf numFmtId="0" fontId="4" fillId="11" borderId="2" applyAlignment="1" pivotButton="0" quotePrefix="0" xfId="0">
      <alignment horizontal="right" vertical="center" indent="1" readingOrder="2"/>
    </xf>
    <xf numFmtId="165" fontId="4" fillId="11" borderId="2" applyAlignment="1" pivotButton="0" quotePrefix="0" xfId="0">
      <alignment horizontal="center" vertical="center" readingOrder="2"/>
    </xf>
    <xf numFmtId="0" fontId="17" fillId="0" borderId="2" applyAlignment="1" pivotButton="0" quotePrefix="0" xfId="0">
      <alignment horizontal="center" vertical="center" readingOrder="2"/>
    </xf>
    <xf numFmtId="0" fontId="17" fillId="0" borderId="2" applyAlignment="1" pivotButton="0" quotePrefix="0" xfId="0">
      <alignment horizontal="right" vertical="center" indent="1" readingOrder="2"/>
    </xf>
    <xf numFmtId="165" fontId="17" fillId="0" borderId="2" applyAlignment="1" pivotButton="0" quotePrefix="0" xfId="0">
      <alignment horizontal="center" vertical="center" readingOrder="2"/>
    </xf>
    <xf numFmtId="165" fontId="18" fillId="10" borderId="2" applyAlignment="1" pivotButton="0" quotePrefix="0" xfId="0">
      <alignment horizontal="center" vertical="center" readingOrder="2"/>
    </xf>
    <xf numFmtId="0" fontId="19" fillId="4" borderId="0" applyAlignment="1" pivotButton="0" quotePrefix="0" xfId="0">
      <alignment horizontal="center" vertical="center" readingOrder="2"/>
    </xf>
    <xf numFmtId="165" fontId="20" fillId="4" borderId="0" applyAlignment="1" pivotButton="0" quotePrefix="0" xfId="0">
      <alignment horizontal="center" vertical="center" readingOrder="2"/>
    </xf>
    <xf numFmtId="0" fontId="21" fillId="12" borderId="2" applyAlignment="1" pivotButton="0" quotePrefix="0" xfId="0">
      <alignment horizontal="right" vertical="center" indent="1" readingOrder="2"/>
    </xf>
    <xf numFmtId="165" fontId="22" fillId="12" borderId="2" applyAlignment="1" pivotButton="0" quotePrefix="0" xfId="0">
      <alignment horizontal="center" vertical="center" readingOrder="2"/>
    </xf>
    <xf numFmtId="0" fontId="18" fillId="13" borderId="2" applyAlignment="1" pivotButton="0" quotePrefix="0" xfId="0">
      <alignment horizontal="right" vertical="center" indent="1" readingOrder="2"/>
    </xf>
    <xf numFmtId="165" fontId="23" fillId="13" borderId="2" applyAlignment="1" pivotButton="0" quotePrefix="0" xfId="0">
      <alignment horizontal="center" vertical="center" readingOrder="2"/>
    </xf>
    <xf numFmtId="0" fontId="24" fillId="7" borderId="2" applyAlignment="1" pivotButton="0" quotePrefix="0" xfId="0">
      <alignment horizontal="right" vertical="center" wrapText="1" indent="1" readingOrder="2"/>
    </xf>
    <xf numFmtId="0" fontId="25" fillId="0" borderId="2" applyAlignment="1" pivotButton="0" quotePrefix="0" xfId="0">
      <alignment horizontal="center" vertical="center" readingOrder="2"/>
    </xf>
    <xf numFmtId="0" fontId="7" fillId="0" borderId="2" applyAlignment="1" pivotButton="0" quotePrefix="0" xfId="0">
      <alignment horizontal="center" vertical="center" readingOrder="2"/>
    </xf>
    <xf numFmtId="0" fontId="12" fillId="7" borderId="2" applyAlignment="1" pivotButton="0" quotePrefix="0" xfId="0">
      <alignment horizontal="center" vertical="center" readingOrder="2"/>
    </xf>
    <xf numFmtId="0" fontId="26" fillId="0" borderId="2" applyAlignment="1" pivotButton="0" quotePrefix="0" xfId="0">
      <alignment horizontal="right" vertical="top" wrapText="1" indent="1" readingOrder="2"/>
    </xf>
    <xf numFmtId="0" fontId="3" fillId="14" borderId="2" applyAlignment="1" pivotButton="0" quotePrefix="0" xfId="0">
      <alignment horizontal="center" vertical="center" wrapText="1" readingOrder="2"/>
    </xf>
    <xf numFmtId="0" fontId="27" fillId="0" borderId="2" applyAlignment="1" pivotButton="0" quotePrefix="0" xfId="0">
      <alignment horizontal="center" vertical="center" readingOrder="2"/>
    </xf>
    <xf numFmtId="0" fontId="27" fillId="0" borderId="2" applyAlignment="1" pivotButton="0" quotePrefix="0" xfId="0">
      <alignment horizontal="right" vertical="center" wrapText="1" indent="1" readingOrder="2"/>
    </xf>
    <xf numFmtId="167" fontId="27" fillId="0" borderId="2" applyAlignment="1" pivotButton="0" quotePrefix="0" xfId="0">
      <alignment horizontal="center" vertical="center" readingOrder="2"/>
    </xf>
    <xf numFmtId="167" fontId="11" fillId="0" borderId="2" applyAlignment="1" pivotButton="0" quotePrefix="0" xfId="0">
      <alignment horizontal="center" vertical="center" readingOrder="2"/>
    </xf>
    <xf numFmtId="167" fontId="28" fillId="0" borderId="2" applyAlignment="1" pivotButton="0" quotePrefix="0" xfId="0">
      <alignment horizontal="center" vertical="center" readingOrder="2"/>
    </xf>
    <xf numFmtId="171" fontId="28" fillId="0" borderId="2" applyAlignment="1" pivotButton="0" quotePrefix="0" xfId="0">
      <alignment horizontal="center" vertical="center" readingOrder="2"/>
    </xf>
    <xf numFmtId="167" fontId="29" fillId="10" borderId="2" applyAlignment="1" pivotButton="0" quotePrefix="0" xfId="0">
      <alignment horizontal="center" vertical="center" readingOrder="2"/>
    </xf>
    <xf numFmtId="165" fontId="11" fillId="0" borderId="2" applyAlignment="1" pivotButton="0" quotePrefix="0" xfId="0">
      <alignment horizontal="center" vertical="center" readingOrder="2"/>
    </xf>
    <xf numFmtId="165" fontId="7" fillId="11" borderId="2" applyAlignment="1" pivotButton="0" quotePrefix="0" xfId="0">
      <alignment horizontal="center" vertical="center" readingOrder="2"/>
    </xf>
  </cellXfs>
  <cellStyles count="1">
    <cellStyle name="Normal" xfId="0" builtinId="0" hidden="0"/>
  </cellStyles>
  <dxfs count="11">
    <dxf>
      <font>
        <b val="1"/>
        <color rgb="00C62828"/>
      </font>
      <fill>
        <patternFill patternType="solid">
          <fgColor rgb="00FDECEA"/>
          <bgColor rgb="00FDECEA"/>
        </patternFill>
      </fill>
    </dxf>
    <dxf>
      <font>
        <b val="1"/>
        <color rgb="002E7D32"/>
      </font>
      <fill>
        <patternFill patternType="solid">
          <fgColor rgb="00E8F5E9"/>
          <bgColor rgb="00E8F5E9"/>
        </patternFill>
      </fill>
    </dxf>
    <dxf>
      <fill>
        <patternFill patternType="solid">
          <fgColor rgb="00E8F5E9"/>
          <bgColor rgb="00E8F5E9"/>
        </patternFill>
      </fill>
    </dxf>
    <dxf>
      <fill>
        <patternFill patternType="solid">
          <fgColor rgb="00FFF3CD"/>
          <bgColor rgb="00FFF3CD"/>
        </patternFill>
      </fill>
    </dxf>
    <dxf>
      <font>
        <strike val="1"/>
        <color rgb="00C62828"/>
      </font>
      <fill>
        <patternFill patternType="solid">
          <fgColor rgb="00FDECEA"/>
          <bgColor rgb="00FDECEA"/>
        </patternFill>
      </fill>
    </dxf>
    <dxf>
      <fill>
        <patternFill patternType="solid">
          <fgColor rgb="00FDECEA"/>
          <bgColor rgb="00FDECEA"/>
        </patternFill>
      </fill>
    </dxf>
    <dxf>
      <font>
        <b val="1"/>
        <color rgb="00C62828"/>
      </font>
    </dxf>
    <dxf>
      <font>
        <b val="1"/>
        <color rgb="002E7D32"/>
      </font>
    </dxf>
    <dxf>
      <border>
        <top style="medium">
          <color rgb="009A6B00"/>
        </top>
        <bottom style="medium">
          <color rgb="009A6B00"/>
        </bottom>
      </border>
    </dxf>
    <dxf>
      <font>
        <b val="1"/>
        <color rgb="009A6B00"/>
      </font>
      <fill>
        <patternFill patternType="solid">
          <fgColor rgb="00FFF3CD"/>
          <bgColor rgb="00FFF3CD"/>
        </patternFill>
      </fill>
    </dxf>
    <dxf>
      <fill>
        <patternFill patternType="solid">
          <fgColor rgb="00FFF9E6"/>
          <bgColor rgb="00FFF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p>
            <a:pPr>
              <a:defRPr/>
            </a:pPr>
            <a:r>
              <a:t>الموازنة مقابل الفعلي حسب عنصر التكلفة</a:t>
            </a:r>
          </a:p>
        </rich>
      </tx>
    </title>
    <plotArea>
      <barChart>
        <barDir val="col"/>
        <grouping val="clustered"/>
        <ser>
          <idx val="0"/>
          <order val="0"/>
          <tx>
            <strRef>
              <f>'الموازنة والتكاليف'!D54</f>
            </strRef>
          </tx>
          <spPr>
            <a:solidFill>
              <a:srgbClr val="B39DDB"/>
            </a:solidFill>
            <a:ln>
              <a:prstDash val="solid"/>
            </a:ln>
          </spPr>
          <cat>
            <numRef>
              <f>'الموازنة والتكاليف'!$B$55:$B$61</f>
            </numRef>
          </cat>
          <val>
            <numRef>
              <f>'الموازنة والتكاليف'!$D$55:$D$61</f>
            </numRef>
          </val>
        </ser>
        <ser>
          <idx val="1"/>
          <order val="1"/>
          <tx>
            <strRef>
              <f>'الموازنة والتكاليف'!E54</f>
            </strRef>
          </tx>
          <spPr>
            <a:solidFill>
              <a:srgbClr val="6A1B9A"/>
            </a:solidFill>
            <a:ln>
              <a:prstDash val="solid"/>
            </a:ln>
          </spPr>
          <cat>
            <numRef>
              <f>'الموازنة والتكاليف'!$B$55:$B$61</f>
            </numRef>
          </cat>
          <val>
            <numRef>
              <f>'الموازنة والتكاليف'!$E$55:$E$61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التكلفة التراكمية مقابل الإيراد التراكمي</a:t>
            </a:r>
          </a:p>
        </rich>
      </tx>
    </title>
    <plotArea>
      <lineChart>
        <grouping val="standard"/>
        <ser>
          <idx val="0"/>
          <order val="0"/>
          <tx>
            <strRef>
              <f>'الموازنة والتكاليف'!K30</f>
            </strRef>
          </tx>
          <spPr>
            <a:ln>
              <a:solidFill>
                <a:srgbClr val="C0504D"/>
              </a:solidFill>
              <a:prstDash val="solid"/>
            </a:ln>
          </spPr>
          <marker>
            <symbol val="none"/>
            <spPr>
              <a:ln>
                <a:prstDash val="solid"/>
              </a:ln>
            </spPr>
          </marker>
          <cat>
            <numRef>
              <f>'الموازنة والتكاليف'!$B$31:$B$50</f>
            </numRef>
          </cat>
          <val>
            <numRef>
              <f>'الموازنة والتكاليف'!$K$31:$K$50</f>
            </numRef>
          </val>
        </ser>
        <ser>
          <idx val="1"/>
          <order val="1"/>
          <tx>
            <strRef>
              <f>'الموازنة والتكاليف'!L30</f>
            </strRef>
          </tx>
          <spPr>
            <a:ln>
              <a:solidFill>
                <a:srgbClr val="2E7D7A"/>
              </a:solidFill>
              <a:prstDash val="solid"/>
            </a:ln>
          </spPr>
          <marker>
            <symbol val="none"/>
            <spPr>
              <a:ln>
                <a:prstDash val="solid"/>
              </a:ln>
            </spPr>
          </marker>
          <cat>
            <numRef>
              <f>'الموازنة والتكاليف'!$B$31:$B$50</f>
            </numRef>
          </cat>
          <val>
            <numRef>
              <f>'الموازنة والتكاليف'!$L$31:$L$50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64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64</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9A6B00"/>
    <outlinePr summaryBelow="1" summaryRight="1"/>
    <pageSetUpPr fitToPage="1"/>
  </sheetPr>
  <dimension ref="B1:C35"/>
  <sheetViews>
    <sheetView showGridLines="0" rightToLeft="1" zoomScale="90" workbookViewId="0">
      <selection activeCell="A1" sqref="A1"/>
    </sheetView>
  </sheetViews>
  <sheetFormatPr baseColWidth="8" defaultRowHeight="15"/>
  <cols>
    <col width="2" customWidth="1" min="1" max="1"/>
    <col width="26" customWidth="1" min="2" max="2"/>
    <col width="95" customWidth="1" min="3" max="3"/>
  </cols>
  <sheetData>
    <row r="1" ht="38" customHeight="1">
      <c r="B1" s="1" t="inlineStr">
        <is>
          <t>📘 ملف مستخلصات المشروع رقم 10 — 20 مستخلص مترابط</t>
        </is>
      </c>
      <c r="C1" s="1" t="n"/>
    </row>
    <row r="2" ht="20" customHeight="1">
      <c r="B2" s="2">
        <f>IF('بيانات العقد'!$C$5="","مشروع رقم 10 — أدخل بيانات العقد",'بيانات العقد'!$C$5&amp;"   |   عقد رقم: "&amp;'بيانات العقد'!$C$6)&amp;"   |   المبالغ بـ "&amp;'بيانات العقد'!$C$14</f>
        <v/>
      </c>
      <c r="C2" s="2" t="n"/>
    </row>
    <row r="3" ht="26" customHeight="1">
      <c r="B3" s="3" t="inlineStr">
        <is>
          <t>⚙ ابدأ ببيانات العقد</t>
        </is>
      </c>
      <c r="C3" s="4" t="inlineStr">
        <is>
          <t>🧾 الانتقال إلى المستخلص الأول</t>
        </is>
      </c>
    </row>
    <row r="5" ht="22" customHeight="1">
      <c r="B5" s="5" t="inlineStr">
        <is>
          <t>دليل الألوان</t>
        </is>
      </c>
      <c r="C5" s="5" t="n"/>
    </row>
    <row r="6">
      <c r="B6" s="6" t="inlineStr">
        <is>
          <t>إدخال يدوي</t>
        </is>
      </c>
      <c r="C6" s="7" t="inlineStr">
        <is>
          <t>خلايا صفراء بخط أزرق — هي الخلايا الوحيدة التي تُعدّل.</t>
        </is>
      </c>
    </row>
    <row r="7">
      <c r="B7" s="8" t="inlineStr">
        <is>
          <t>معادلة محسوبة</t>
        </is>
      </c>
      <c r="C7" s="7" t="inlineStr">
        <is>
          <t>خط أسود — لا تكتب فوقها.</t>
        </is>
      </c>
    </row>
    <row r="8">
      <c r="B8" s="9" t="inlineStr">
        <is>
          <t>ربط</t>
        </is>
      </c>
      <c r="C8" s="7" t="inlineStr">
        <is>
          <t>خط أخضر — قيمة مسحوبة من شيت آخر (مثل «السابق» من المستخلص الذي قبله).</t>
        </is>
      </c>
    </row>
    <row r="9">
      <c r="B9" s="10" t="inlineStr">
        <is>
          <t>تنبيه</t>
        </is>
      </c>
      <c r="C9" s="7" t="inlineStr">
        <is>
          <t>تظليل أحمر: تجاوز الكمية التعاقدية، كود مكرر، تأخر عن البرنامج.</t>
        </is>
      </c>
    </row>
    <row r="11" ht="22" customHeight="1">
      <c r="B11" s="5" t="inlineStr">
        <is>
          <t>خطوات العمل</t>
        </is>
      </c>
      <c r="C11" s="5" t="n"/>
    </row>
    <row r="12" ht="36" customHeight="1">
      <c r="B12" s="11" t="inlineStr">
        <is>
          <t>بيانات العقد</t>
        </is>
      </c>
      <c r="C12" s="7" t="inlineStr">
        <is>
          <t>أدخل بيانات المشروع والنسب التعاقدية (مرة واحدة).</t>
        </is>
      </c>
    </row>
    <row r="13" ht="36" customHeight="1">
      <c r="B13" s="11" t="inlineStr">
        <is>
          <t>جدول الكميات</t>
        </is>
      </c>
      <c r="C13" s="7" t="inlineStr">
        <is>
          <t>أدخل بنود جدول الكميات والأسعار (حتى 100 بند).</t>
        </is>
      </c>
    </row>
    <row r="14" ht="36" customHeight="1">
      <c r="B14" s="11" t="inlineStr">
        <is>
          <t>مستخلص 01</t>
        </is>
      </c>
      <c r="C14" s="7" t="inlineStr">
        <is>
          <t>في كل مستخلص: أدخل الفترة والتواريخ والحالة والنسبة المخططة، ثم «الكمية الحالية» لكل بند، ورصيد المواد والغرامات والإفراج عن الضمان إن وجد، وبيانات التحصيل. «السابق» يُسحب آلياً من المستخلص الذي قبله، والتراكمي = السابق + الحالي.</t>
        </is>
      </c>
    </row>
    <row r="15" ht="36" customHeight="1">
      <c r="B15" s="11" t="inlineStr">
        <is>
          <t>الأوامر التغييرية</t>
        </is>
      </c>
      <c r="C15" s="7" t="inlineStr">
        <is>
          <t>سجل الأوامر التغييرية واختر رقم المستخلص الذي تُدرج به.</t>
        </is>
      </c>
    </row>
    <row r="16" ht="36" customHeight="1">
      <c r="B16" s="11" t="inlineStr">
        <is>
          <t>الاستقطاعات الفنية</t>
        </is>
      </c>
      <c r="C16" s="7" t="inlineStr">
        <is>
          <t>سجل الاستقطاعات الفنية برقم المستخلص، وحدد مستخلص الإفراج عند المعالجة.</t>
        </is>
      </c>
    </row>
    <row r="17" ht="36" customHeight="1">
      <c r="B17" s="11" t="inlineStr">
        <is>
          <t>الموازنة والتكاليف</t>
        </is>
      </c>
      <c r="C17" s="7" t="inlineStr">
        <is>
          <t>أدخل الموازنة التقديرية لكل قسم حسب عناصر التكلفة مرة واحدة، ثم التكاليف الفعلية المباشرة لكل فترة مستخلص؛ يحسب الشيت الربح والهامش وCPI والتكلفة المتوقعة عند الإنجاز والموقف النقدي (شيت داخلي لا يُطبع مع المستخلص).</t>
        </is>
      </c>
    </row>
    <row r="18" ht="36" customHeight="1">
      <c r="B18" s="11" t="inlineStr">
        <is>
          <t>سجل المستخلصات</t>
        </is>
      </c>
      <c r="C18" s="7" t="inlineStr">
        <is>
          <t>يتجمع كل شيء آلياً في السجل، ومنه ينتقل إلى ملف التقارير المجمع لكل المشاريع.</t>
        </is>
      </c>
    </row>
    <row r="20" ht="22" customHeight="1">
      <c r="B20" s="12" t="inlineStr">
        <is>
          <t>التوافق مع الأنظمة السعودية</t>
        </is>
      </c>
      <c r="C20" s="12" t="n"/>
    </row>
    <row r="21" ht="34" customHeight="1">
      <c r="B21" s="13" t="inlineStr">
        <is>
          <t>ضريبة القيمة المضافة</t>
        </is>
      </c>
      <c r="C21" s="7" t="inlineStr">
        <is>
          <t>15% (نظام ضريبة القيمة المضافة). وعاء الضريبة = صافي المستخلص بعد استرداد الدفعة المقدمة، ويشمل المحتجزات إذا فُوترت مع المستخلص، ولا تُخفضه غرامات التأخير افتراضياً — كلها قابلة للضبط في «بيانات العقد».</t>
        </is>
      </c>
    </row>
    <row r="22" ht="34" customHeight="1">
      <c r="B22" s="13" t="inlineStr">
        <is>
          <t>الفاتورة الضريبية</t>
        </is>
      </c>
      <c r="C22" s="7" t="inlineStr">
        <is>
          <t>يُسجل رقم وتاريخ الفاتورة الضريبية لكل مستخلص. الفاتورة نفسها تُصدر من نظام فوترة إلكترونية متوافق مع متطلبات «فاتورة» لهيئة الزكاة والضريبة والجمارك (رمز QR والربط في المرحلة الثانية) — المستخلص ليس بديلاً عنها.</t>
        </is>
      </c>
    </row>
    <row r="23" ht="34" customHeight="1">
      <c r="B23" s="13" t="inlineStr">
        <is>
          <t>الرقم الضريبي</t>
        </is>
      </c>
      <c r="C23" s="7" t="inlineStr">
        <is>
          <t>15 رقماً يبدأ وينتهي بالرقم 3 — مع تحقق آلي من الصيغة للمقاول وصاحب العمل.</t>
        </is>
      </c>
    </row>
    <row r="24" ht="34" customHeight="1">
      <c r="B24" s="13" t="inlineStr">
        <is>
          <t>الدفعة المقدمة</t>
        </is>
      </c>
      <c r="C24" s="7" t="inlineStr">
        <is>
          <t>في العقود الحكومية لا تتجاوز 10% من قيمة العقد وبمقابل ضمان بنكي مساوٍ لها، وتُسترد من المستخلصات.</t>
        </is>
      </c>
    </row>
    <row r="25" ht="34" customHeight="1">
      <c r="B25" s="13" t="inlineStr">
        <is>
          <t>الضمان النهائي</t>
        </is>
      </c>
      <c r="C25" s="7" t="inlineStr">
        <is>
          <t>5% من قيمة العقد (خطاب ضمان بنكي) مع تنبيه آلي قبل انتهاء الصلاحية بـ 30 يوماً.</t>
        </is>
      </c>
    </row>
    <row r="26" ht="34" customHeight="1">
      <c r="B26" s="13" t="inlineStr">
        <is>
          <t>غرامات التأخير</t>
        </is>
      </c>
      <c r="C26" s="7" t="inlineStr">
        <is>
          <t>حد أقصى قابل للضبط (افتراضياً 10% من قيمة العقد) مع تنبيه عند تجاوزه.</t>
        </is>
      </c>
    </row>
    <row r="27" ht="34" customHeight="1">
      <c r="B27" s="13" t="inlineStr">
        <is>
          <t>ضريبة الاستقطاع</t>
        </is>
      </c>
      <c r="C27" s="7" t="inlineStr">
        <is>
          <t>لا تُطبق على المقاول المقيم (0%)، وتُستخدم فقط للمدفوعات لغير المقيم وفق نظام ضريبة الدخل.</t>
        </is>
      </c>
    </row>
    <row r="28" ht="34" customHeight="1">
      <c r="B28" s="13" t="inlineStr">
        <is>
          <t>المستندات النظامية</t>
        </is>
      </c>
      <c r="C28" s="7" t="inlineStr">
        <is>
          <t>قائمة تحقق لكل مستخلص: الزكاة، التأمينات الاجتماعية (GOSI)، نطاقات، السجل التجاري والغرفة، الضمانات، التأمين (CAR).</t>
        </is>
      </c>
    </row>
    <row r="29" ht="34" customHeight="1">
      <c r="B29" s="13" t="inlineStr">
        <is>
          <t>التاريخ الهجري</t>
        </is>
      </c>
      <c r="C29" s="7" t="inlineStr">
        <is>
          <t>تظهر فترة كل مستخلص بالتاريخ الهجري بجوار الميلادي.</t>
        </is>
      </c>
    </row>
    <row r="30" ht="34" customHeight="1">
      <c r="B30" s="13" t="inlineStr">
        <is>
          <t>تنبيه مهم</t>
        </is>
      </c>
      <c r="C30" s="7" t="inlineStr">
        <is>
          <t>النسب والحدود الافتراضية مبنية على الممارسة الشائعة؛ تُراجع مع شروط عقدك والمستشار القانوني والضريبي قبل الاعتماد.</t>
        </is>
      </c>
    </row>
    <row r="32" ht="22" customHeight="1">
      <c r="B32" s="14" t="inlineStr">
        <is>
          <t>الربط مع ملف التقارير</t>
        </is>
      </c>
      <c r="C32" s="14" t="n"/>
    </row>
    <row r="33" ht="24" customHeight="1">
      <c r="B33" s="15" t="inlineStr">
        <is>
          <t>•</t>
        </is>
      </c>
      <c r="C33" s="7" t="inlineStr">
        <is>
          <t>اسم هذا الملف يجب أن يبقى «IPC_Project_10.xlsx» داخل فولدر «Project_10»، والفولدر بجوار ملف «Projects_Billing_Reports.xlsx».</t>
        </is>
      </c>
    </row>
    <row r="34" ht="24" customHeight="1">
      <c r="B34" s="15" t="inlineStr">
        <is>
          <t>•</t>
        </is>
      </c>
      <c r="C34" s="7" t="inlineStr">
        <is>
          <t>بعد حفظ هذا الملف، افتح ملف التقارير واضغط «تمكين المحتوى / تحديث» ليتم سحب الأرقام الجديدة.</t>
        </is>
      </c>
    </row>
    <row r="35" ht="24" customHeight="1">
      <c r="B35" s="15" t="inlineStr">
        <is>
          <t>•</t>
        </is>
      </c>
      <c r="C35" s="7" t="inlineStr">
        <is>
          <t>لا تحذف صفوفاً أو أعمدة ولا تغيّر أسماء الشيتات حتى لا ينقطع الربط.</t>
        </is>
      </c>
    </row>
  </sheetData>
  <mergeCells count="6">
    <mergeCell ref="B2:C2"/>
    <mergeCell ref="B11:C11"/>
    <mergeCell ref="B5:C5"/>
    <mergeCell ref="B20:C20"/>
    <mergeCell ref="B32:C32"/>
    <mergeCell ref="B1:C1"/>
  </mergeCells>
  <hyperlinks>
    <hyperlink ref="B3" location="'بيانات العقد'!A1" display="⚙ ابدأ ببيانات العقد"/>
    <hyperlink ref="C3" location="'مستخلص 01'!A1" display="🧾 الانتقال إلى المستخلص الأول"/>
    <hyperlink ref="B12" location="'بيانات العقد'!A1" display="بيانات العقد"/>
    <hyperlink ref="B13" location="'جدول الكميات'!A1" display="جدول الكميات"/>
    <hyperlink ref="B14" location="'مستخلص 01'!A1" display="مستخلص 01"/>
    <hyperlink ref="B15" location="'الأوامر التغييرية'!A1" display="الأوامر التغييرية"/>
    <hyperlink ref="B16" location="'الاستقطاعات الفنية'!A1" display="الاستقطاعات الفنية"/>
    <hyperlink ref="B17" location="'الموازنة والتكاليف'!A1" display="الموازنة والتكاليف"/>
    <hyperlink ref="B18" location="'سجل المستخلصات'!A1" display="سجل المستخلصات"/>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2.xml><?xml version="1.0" encoding="utf-8"?>
<worksheet xmlns="http://schemas.openxmlformats.org/spreadsheetml/2006/main">
  <sheetPr>
    <tabColor rgb="002C5282"/>
    <outlinePr summaryBelow="1" summaryRight="1"/>
    <pageSetUpPr fitToPage="1"/>
  </sheetPr>
  <dimension ref="B1:I47"/>
  <sheetViews>
    <sheetView showGridLines="0" rightToLeft="1" zoomScale="90" workbookViewId="0">
      <pane ySplit="4" topLeftCell="A5" activePane="bottomLeft" state="frozen"/>
      <selection pane="bottomLeft" activeCell="A1" sqref="A1"/>
    </sheetView>
  </sheetViews>
  <sheetFormatPr baseColWidth="8" defaultRowHeight="15"/>
  <cols>
    <col width="2" customWidth="1" min="1" max="1"/>
    <col width="40" customWidth="1" min="2" max="2"/>
    <col width="30" customWidth="1" min="3" max="3"/>
    <col width="58" customWidth="1" min="4" max="4"/>
    <col width="3" customWidth="1" min="5" max="5"/>
    <col width="30" customWidth="1" min="6" max="6"/>
    <col width="22" customWidth="1" min="7" max="7"/>
    <col width="22" customWidth="1" min="8" max="8"/>
    <col width="26" customWidth="1" min="9" max="9"/>
  </cols>
  <sheetData>
    <row r="1" ht="38" customHeight="1">
      <c r="B1" s="1" t="inlineStr">
        <is>
          <t>⚙ بيانات العقد والإعدادات التعاقدية — مشروع رقم 10</t>
        </is>
      </c>
      <c r="C1" s="1" t="n"/>
      <c r="D1" s="1" t="n"/>
      <c r="E1" s="1" t="n"/>
      <c r="F1" s="1" t="n"/>
      <c r="G1" s="1" t="n"/>
      <c r="H1" s="1" t="n"/>
      <c r="I1" s="1" t="n"/>
    </row>
    <row r="2" ht="20" customHeight="1">
      <c r="B2" s="2">
        <f>IF('بيانات العقد'!$C$5="","مشروع رقم 10 — أدخل بيانات العقد",'بيانات العقد'!$C$5&amp;"   |   عقد رقم: "&amp;'بيانات العقد'!$C$6)&amp;"   |   المبالغ بـ "&amp;'بيانات العقد'!$C$14</f>
        <v/>
      </c>
      <c r="C2" s="2" t="n"/>
      <c r="D2" s="2" t="n"/>
      <c r="E2" s="2" t="n"/>
      <c r="F2" s="2" t="n"/>
      <c r="G2" s="2" t="n"/>
      <c r="H2" s="2" t="n"/>
      <c r="I2" s="2" t="n"/>
    </row>
    <row r="3" ht="26" customHeight="1">
      <c r="B3" s="3" t="inlineStr">
        <is>
          <t>🗂 سجل المستخلصات</t>
        </is>
      </c>
      <c r="C3" s="16" t="inlineStr">
        <is>
          <t>📋 جدول الكميات</t>
        </is>
      </c>
      <c r="D3" s="16" t="inlineStr">
        <is>
          <t>🔁 التغييرية</t>
        </is>
      </c>
      <c r="F3" s="16" t="inlineStr">
        <is>
          <t>✂ الاستقطاعات</t>
        </is>
      </c>
      <c r="G3" s="17" t="inlineStr">
        <is>
          <t>💰 الموازنة</t>
        </is>
      </c>
      <c r="H3" s="4" t="inlineStr">
        <is>
          <t>🧾 مستخلص 01</t>
        </is>
      </c>
    </row>
    <row r="4" ht="22" customHeight="1">
      <c r="B4" s="18" t="inlineStr">
        <is>
          <t>البيان</t>
        </is>
      </c>
      <c r="C4" s="18" t="inlineStr">
        <is>
          <t>القيمة</t>
        </is>
      </c>
      <c r="D4" s="18" t="inlineStr">
        <is>
          <t>ملاحظات / الأساس التعاقدي</t>
        </is>
      </c>
      <c r="F4" s="5" t="inlineStr">
        <is>
          <t>القوائم المنسدلة (قابلة للتعديل)</t>
        </is>
      </c>
      <c r="G4" s="5" t="n"/>
      <c r="H4" s="5" t="n"/>
      <c r="I4" s="5" t="n"/>
    </row>
    <row r="5">
      <c r="B5" s="19" t="inlineStr">
        <is>
          <t>اسم المشروع</t>
        </is>
      </c>
      <c r="C5" s="20" t="n"/>
      <c r="D5" s="21" t="inlineStr">
        <is>
          <t>يظهر في جميع الشيتات وفي ملف التقارير المجمع</t>
        </is>
      </c>
      <c r="F5" s="22" t="inlineStr">
        <is>
          <t>أقسام الأعمال</t>
        </is>
      </c>
      <c r="G5" s="22" t="inlineStr">
        <is>
          <t>حالة المستخلص</t>
        </is>
      </c>
      <c r="H5" s="22" t="inlineStr">
        <is>
          <t>حالة الأمر التغييري</t>
        </is>
      </c>
      <c r="I5" s="22" t="inlineStr">
        <is>
          <t>نوع الاستقطاع الفني</t>
        </is>
      </c>
    </row>
    <row r="6">
      <c r="B6" s="19" t="inlineStr">
        <is>
          <t>رقم العقد</t>
        </is>
      </c>
      <c r="C6" s="20" t="n"/>
      <c r="D6" s="21" t="inlineStr"/>
      <c r="F6" s="23" t="inlineStr">
        <is>
          <t>أعمال الحفر والردم</t>
        </is>
      </c>
      <c r="G6" s="23" t="inlineStr">
        <is>
          <t>مسودة</t>
        </is>
      </c>
      <c r="H6" s="23" t="inlineStr">
        <is>
          <t>معتمد</t>
        </is>
      </c>
      <c r="I6" s="23" t="inlineStr">
        <is>
          <t>أعمال غير مطابقة</t>
        </is>
      </c>
    </row>
    <row r="7">
      <c r="B7" s="19" t="inlineStr">
        <is>
          <t>صاحب العمل (المالك)</t>
        </is>
      </c>
      <c r="C7" s="20" t="n"/>
      <c r="D7" s="21" t="inlineStr"/>
      <c r="F7" s="23" t="inlineStr">
        <is>
          <t>الخرسانة العادية والمسلحة</t>
        </is>
      </c>
      <c r="G7" s="23" t="inlineStr">
        <is>
          <t>مقدم للاستشاري</t>
        </is>
      </c>
      <c r="H7" s="23" t="inlineStr">
        <is>
          <t>قيد الدراسة</t>
        </is>
      </c>
      <c r="I7" s="23" t="inlineStr">
        <is>
          <t>أعمال ناقصة</t>
        </is>
      </c>
    </row>
    <row r="8">
      <c r="B8" s="19" t="inlineStr">
        <is>
          <t>الاستشاري / المهندس</t>
        </is>
      </c>
      <c r="C8" s="20" t="n"/>
      <c r="D8" s="21" t="inlineStr"/>
      <c r="F8" s="23" t="inlineStr">
        <is>
          <t>أعمال المباني</t>
        </is>
      </c>
      <c r="G8" s="23" t="inlineStr">
        <is>
          <t>تحت المراجعة</t>
        </is>
      </c>
      <c r="H8" s="23" t="inlineStr">
        <is>
          <t>مرفوض</t>
        </is>
      </c>
      <c r="I8" s="23" t="inlineStr">
        <is>
          <t>ملاحظات فنية</t>
        </is>
      </c>
    </row>
    <row r="9">
      <c r="B9" s="19" t="inlineStr">
        <is>
          <t>المقاول</t>
        </is>
      </c>
      <c r="C9" s="20" t="n"/>
      <c r="D9" s="21" t="inlineStr"/>
      <c r="F9" s="23" t="inlineStr">
        <is>
          <t>أعمال العزل</t>
        </is>
      </c>
      <c r="G9" s="23" t="inlineStr">
        <is>
          <t>معتمد</t>
        </is>
      </c>
      <c r="H9" s="23" t="n"/>
      <c r="I9" s="23" t="inlineStr">
        <is>
          <t>اختبارات غير مستكملة</t>
        </is>
      </c>
    </row>
    <row r="10">
      <c r="B10" s="19" t="inlineStr">
        <is>
          <t>تاريخ توقيع العقد</t>
        </is>
      </c>
      <c r="C10" s="24" t="n"/>
      <c r="D10" s="21" t="inlineStr"/>
      <c r="F10" s="23" t="inlineStr">
        <is>
          <t>أعمال التشطيبات</t>
        </is>
      </c>
      <c r="G10" s="23" t="inlineStr">
        <is>
          <t>مرفوض</t>
        </is>
      </c>
      <c r="H10" s="23" t="n"/>
      <c r="I10" s="23" t="inlineStr">
        <is>
          <t>مستندات غير مستكملة</t>
        </is>
      </c>
    </row>
    <row r="11">
      <c r="B11" s="19" t="inlineStr">
        <is>
          <t>تاريخ بدء الأعمال (أمر المباشرة)</t>
        </is>
      </c>
      <c r="C11" s="24" t="n"/>
      <c r="D11" s="21" t="inlineStr">
        <is>
          <t>بداية احتساب المدة الزمنية</t>
        </is>
      </c>
      <c r="F11" s="23" t="inlineStr">
        <is>
          <t>الأعمال الكهربائية</t>
        </is>
      </c>
      <c r="G11" s="23" t="n"/>
      <c r="H11" s="23" t="n"/>
      <c r="I11" s="23" t="inlineStr">
        <is>
          <t>أخرى</t>
        </is>
      </c>
    </row>
    <row r="12">
      <c r="B12" s="19" t="inlineStr">
        <is>
          <t>مدة العقد (بالشهور)</t>
        </is>
      </c>
      <c r="C12" s="25" t="n"/>
      <c r="D12" s="21" t="inlineStr"/>
      <c r="F12" s="23" t="inlineStr">
        <is>
          <t>الأعمال الصحية</t>
        </is>
      </c>
      <c r="G12" s="23" t="n"/>
      <c r="H12" s="23" t="n"/>
      <c r="I12" s="23" t="n"/>
    </row>
    <row r="13">
      <c r="B13" s="19" t="inlineStr">
        <is>
          <t>تاريخ الانتهاء التعاقدي</t>
        </is>
      </c>
      <c r="C13" s="26">
        <f>IF(OR(C11="",C12=""),"",EDATE(C11,C12)-1)</f>
        <v/>
      </c>
      <c r="D13" s="21" t="inlineStr">
        <is>
          <t>محسوب = البدء + المدة</t>
        </is>
      </c>
      <c r="F13" s="23" t="inlineStr">
        <is>
          <t>أعمال التكييف</t>
        </is>
      </c>
      <c r="G13" s="23" t="n"/>
      <c r="H13" s="23" t="n"/>
      <c r="I13" s="23" t="n"/>
    </row>
    <row r="14">
      <c r="B14" s="19" t="inlineStr">
        <is>
          <t>العملة</t>
        </is>
      </c>
      <c r="C14" s="20" t="inlineStr">
        <is>
          <t>ريال سعودي</t>
        </is>
      </c>
      <c r="D14" s="21" t="inlineStr"/>
      <c r="F14" s="23" t="inlineStr">
        <is>
          <t>أعمال الموقع العام</t>
        </is>
      </c>
      <c r="G14" s="23" t="n"/>
      <c r="H14" s="23" t="n"/>
      <c r="I14" s="23" t="n"/>
    </row>
    <row r="15" ht="22" customHeight="1">
      <c r="B15" s="27" t="inlineStr">
        <is>
          <t>القيم التعاقدية</t>
        </is>
      </c>
      <c r="C15" s="27" t="n"/>
      <c r="D15" s="27" t="n"/>
      <c r="F15" s="23" t="n"/>
      <c r="G15" s="23" t="n"/>
      <c r="H15" s="23" t="n"/>
      <c r="I15" s="23" t="n"/>
    </row>
    <row r="16">
      <c r="B16" s="19" t="inlineStr">
        <is>
          <t>قيمة العقد الأصلية</t>
        </is>
      </c>
      <c r="C16" s="28">
        <f>'جدول الكميات'!H106</f>
        <v/>
      </c>
      <c r="D16" s="21" t="inlineStr">
        <is>
          <t>مرتبطة تلقائياً بإجمالي جدول الكميات</t>
        </is>
      </c>
      <c r="F16" s="23" t="n"/>
      <c r="G16" s="23" t="n"/>
      <c r="H16" s="23" t="n"/>
      <c r="I16" s="23" t="n"/>
    </row>
    <row r="17">
      <c r="B17" s="19" t="inlineStr">
        <is>
          <t>صافي الأوامر التغييرية المعتمدة</t>
        </is>
      </c>
      <c r="C17" s="28">
        <f>SUMIFS('الأوامر التغييرية'!$G$6:$G$55,'الأوامر التغييرية'!$H$6:$H$55,"معتمد")</f>
        <v/>
      </c>
      <c r="D17" s="21" t="inlineStr">
        <is>
          <t>مرتبطة بشيت الأوامر التغييرية (المعتمدة فقط)</t>
        </is>
      </c>
      <c r="F17" s="23" t="n"/>
      <c r="G17" s="23" t="n"/>
      <c r="H17" s="23" t="n"/>
      <c r="I17" s="23" t="n"/>
    </row>
    <row r="18">
      <c r="B18" s="19" t="inlineStr">
        <is>
          <t>قيمة العقد المعدلة</t>
        </is>
      </c>
      <c r="C18" s="29">
        <f>C16+C17</f>
        <v/>
      </c>
      <c r="D18" s="21" t="inlineStr">
        <is>
          <t>الأصلية + صافي التغييرية المعتمدة</t>
        </is>
      </c>
    </row>
    <row r="19" ht="22" customHeight="1">
      <c r="B19" s="27" t="inlineStr">
        <is>
          <t>الدفعة المقدمة واستردادها</t>
        </is>
      </c>
      <c r="C19" s="27" t="n"/>
      <c r="D19" s="27" t="n"/>
    </row>
    <row r="20">
      <c r="B20" s="19" t="inlineStr">
        <is>
          <t>نسبة الدفعة المقدمة</t>
        </is>
      </c>
      <c r="C20" s="30" t="n">
        <v>0.1</v>
      </c>
      <c r="D20" s="21" t="inlineStr">
        <is>
          <t>من قيمة العقد الأصلية — في العقود الحكومية لا تتجاوز 10% وبمقابل ضمان بنكي مساوٍ لها</t>
        </is>
      </c>
    </row>
    <row r="21">
      <c r="B21" s="19" t="inlineStr">
        <is>
          <t>قيمة الدفعة المقدمة</t>
        </is>
      </c>
      <c r="C21" s="29">
        <f>C16*C20</f>
        <v/>
      </c>
      <c r="D21" s="21" t="inlineStr">
        <is>
          <t>محسوبة</t>
        </is>
      </c>
    </row>
    <row r="22">
      <c r="B22" s="19" t="inlineStr">
        <is>
          <t>تاريخ صرف الدفعة المقدمة</t>
        </is>
      </c>
      <c r="C22" s="24" t="n"/>
      <c r="D22" s="21" t="inlineStr">
        <is>
          <t>تُصدر عنها فاتورة ضريبية عند الاستلام، ويُخفض الاسترداد وعاء الضريبة في المستخلصات التالية</t>
        </is>
      </c>
    </row>
    <row r="23">
      <c r="B23" s="19" t="inlineStr">
        <is>
          <t>نسبة الاسترداد من قيمة الأعمال</t>
        </is>
      </c>
      <c r="C23" s="30" t="n">
        <v>0.125</v>
      </c>
      <c r="D23" s="21" t="inlineStr">
        <is>
          <t>تُخصم من كل مستخلص كنسبة من (الأعمال المنفذة + التغييرية)</t>
        </is>
      </c>
    </row>
    <row r="24">
      <c r="B24" s="19" t="inlineStr">
        <is>
          <t>بدء الاسترداد عند نسبة إنجاز</t>
        </is>
      </c>
      <c r="C24" s="30" t="n">
        <v>0</v>
      </c>
      <c r="D24" s="21" t="inlineStr">
        <is>
          <t>مثال FIDIC: يبدأ الاسترداد بعد تجاوز 10% من قيمة العقد</t>
        </is>
      </c>
    </row>
    <row r="25">
      <c r="B25" s="19" t="inlineStr">
        <is>
          <t>استرداد كامل الرصيد عند نسبة إنجاز</t>
        </is>
      </c>
      <c r="C25" s="30" t="n">
        <v>0.8</v>
      </c>
      <c r="D25" s="21" t="inlineStr">
        <is>
          <t>عند بلوغ هذه النسبة يُسترد كامل الرصيد المتبقي</t>
        </is>
      </c>
    </row>
    <row r="26" ht="22" customHeight="1">
      <c r="B26" s="27" t="inlineStr">
        <is>
          <t>ضمان الأعمال</t>
        </is>
      </c>
      <c r="C26" s="27" t="n"/>
      <c r="D26" s="27" t="n"/>
    </row>
    <row r="27">
      <c r="B27" s="19" t="inlineStr">
        <is>
          <t>نسبة ضمان الأعمال (المحتجزات)</t>
        </is>
      </c>
      <c r="C27" s="30" t="n">
        <v>0.1</v>
      </c>
      <c r="D27" s="21" t="inlineStr">
        <is>
          <t>تُحتجز من إجمالي قيمة الأعمال التراكمية</t>
        </is>
      </c>
    </row>
    <row r="28">
      <c r="B28" s="19" t="inlineStr">
        <is>
          <t>الحد الأقصى للضمان (% من العقد المعدل)</t>
        </is>
      </c>
      <c r="C28" s="30" t="n">
        <v>0.05</v>
      </c>
      <c r="D28" s="21" t="inlineStr">
        <is>
          <t>يتوقف الاحتجاز عند بلوغ الحد</t>
        </is>
      </c>
    </row>
    <row r="29">
      <c r="B29" s="19" t="inlineStr">
        <is>
          <t>الحد الأقصى للضمان (قيمة)</t>
        </is>
      </c>
      <c r="C29" s="29">
        <f>C18*C28</f>
        <v/>
      </c>
      <c r="D29" s="21" t="inlineStr">
        <is>
          <t>محسوب</t>
        </is>
      </c>
    </row>
    <row r="30" ht="22" customHeight="1">
      <c r="B30" s="27" t="inlineStr">
        <is>
          <t>الضرائب (هيئة الزكاة والضريبة والجمارك)</t>
        </is>
      </c>
      <c r="C30" s="27" t="n"/>
      <c r="D30" s="27" t="n"/>
    </row>
    <row r="31">
      <c r="B31" s="19" t="inlineStr">
        <is>
          <t>نسبة ضريبة القيمة المضافة</t>
        </is>
      </c>
      <c r="C31" s="30" t="n">
        <v>0.15</v>
      </c>
      <c r="D31" s="21" t="inlineStr">
        <is>
          <t>15% وفق نظام ضريبة القيمة المضافة في المملكة (منذ يوليو 2020)</t>
        </is>
      </c>
    </row>
    <row r="32">
      <c r="B32" s="19" t="inlineStr">
        <is>
          <t>احتساب الضريبة قبل خصم الضمان؟</t>
        </is>
      </c>
      <c r="C32" s="20" t="inlineStr">
        <is>
          <t>نعم</t>
        </is>
      </c>
      <c r="D32" s="21" t="inlineStr">
        <is>
          <t>نعم: الفاتورة الضريبية تصدر بكامل قيمة المستخلص شاملة المحتجزات — لا: تُفوتر المحتجزات وتُحتسب ضريبتها عند الإفراج</t>
        </is>
      </c>
    </row>
    <row r="33">
      <c r="B33" s="19" t="inlineStr">
        <is>
          <t>نسبة ضريبة الاستقطاع (للمقاول غير المقيم فقط)</t>
        </is>
      </c>
      <c r="C33" s="30" t="n">
        <v>0</v>
      </c>
      <c r="D33" s="21" t="inlineStr">
        <is>
          <t>0% للمقاول المقيم بالمملكة — تُطبق فقط على المدفوعات لغير المقيم وفق نظام ضريبة الدخل</t>
        </is>
      </c>
    </row>
    <row r="34">
      <c r="B34" s="19" t="inlineStr">
        <is>
          <t>خصم الغرامات من وعاء ض.ق.م؟</t>
        </is>
      </c>
      <c r="C34" s="20" t="inlineStr">
        <is>
          <t>لا</t>
        </is>
      </c>
      <c r="D34" s="21" t="inlineStr">
        <is>
          <t>لا: غرامات التأخير تعويض وليست تخفيضاً لقيمة التوريد فلا تُخفض وعاء الضريبة (راجع مستشارك الضريبي)</t>
        </is>
      </c>
    </row>
    <row r="35" ht="22" customHeight="1">
      <c r="B35" s="27" t="inlineStr">
        <is>
          <t>البيانات النظامية والضمانات البنكية (المملكة العربية السعودية)</t>
        </is>
      </c>
      <c r="C35" s="27" t="n"/>
      <c r="D35" s="27" t="n"/>
    </row>
    <row r="36">
      <c r="B36" s="19" t="inlineStr">
        <is>
          <t>نوع العقد</t>
        </is>
      </c>
      <c r="C36" s="20" t="n"/>
      <c r="D36" s="21" t="inlineStr">
        <is>
          <t>يحدد المرجعية: نظام المنافسات والمشتريات الحكومية ولائحته التنفيذية أو شروط العقد الخاص (FIDIC)</t>
        </is>
      </c>
    </row>
    <row r="37">
      <c r="B37" s="19" t="inlineStr">
        <is>
          <t>الرقم الضريبي للمقاول</t>
        </is>
      </c>
      <c r="C37" s="31" t="n"/>
      <c r="D37" s="21" t="inlineStr">
        <is>
          <t>15 رقماً يبدأ وينتهي بالرقم 3 (يظهر في الفاتورة الضريبية)</t>
        </is>
      </c>
    </row>
    <row r="38">
      <c r="B38" s="19" t="inlineStr">
        <is>
          <t>السجل التجاري للمقاول</t>
        </is>
      </c>
      <c r="C38" s="31" t="n"/>
      <c r="D38" s="21" t="inlineStr"/>
    </row>
    <row r="39">
      <c r="B39" s="19" t="inlineStr">
        <is>
          <t>الرقم الضريبي لصاحب العمل</t>
        </is>
      </c>
      <c r="C39" s="31" t="n"/>
      <c r="D39" s="21" t="inlineStr">
        <is>
          <t>مطلوب في الفاتورة الضريبية بين المنشآت (B2B)</t>
        </is>
      </c>
    </row>
    <row r="40">
      <c r="B40" s="19" t="inlineStr">
        <is>
          <t>نسبة الضمان النهائي</t>
        </is>
      </c>
      <c r="C40" s="30" t="n">
        <v>0.05</v>
      </c>
      <c r="D40" s="21" t="inlineStr">
        <is>
          <t>خطاب ضمان بنكي — 5% من قيمة العقد في العقود الحكومية (أو حسب العقد)</t>
        </is>
      </c>
    </row>
    <row r="41">
      <c r="B41" s="19" t="inlineStr">
        <is>
          <t>قيمة الضمان النهائي</t>
        </is>
      </c>
      <c r="C41" s="29">
        <f>C18*C40</f>
        <v/>
      </c>
      <c r="D41" s="21" t="inlineStr">
        <is>
          <t>محسوبة على قيمة العقد المعدلة</t>
        </is>
      </c>
    </row>
    <row r="42">
      <c r="B42" s="19" t="inlineStr">
        <is>
          <t>تاريخ انتهاء الضمان النهائي</t>
        </is>
      </c>
      <c r="C42" s="24" t="n"/>
      <c r="D42" s="21" t="inlineStr">
        <is>
          <t>تنبيه أحمر إذا تبقى أقل من 30 يوماً</t>
        </is>
      </c>
    </row>
    <row r="43">
      <c r="B43" s="19" t="inlineStr">
        <is>
          <t>تاريخ انتهاء ضمان الدفعة المقدمة</t>
        </is>
      </c>
      <c r="C43" s="24" t="n"/>
      <c r="D43" s="21" t="inlineStr">
        <is>
          <t>يجب أن يظل سارياً حتى استرداد الدفعة بالكامل</t>
        </is>
      </c>
    </row>
    <row r="44">
      <c r="B44" s="19" t="inlineStr">
        <is>
          <t>الحد الأقصى لغرامات التأخير (% من العقد)</t>
        </is>
      </c>
      <c r="C44" s="30" t="n">
        <v>0.1</v>
      </c>
      <c r="D44" s="21" t="inlineStr">
        <is>
          <t>حسب العقد / نظام المنافسات والمشتريات الحكومية ولائحته</t>
        </is>
      </c>
    </row>
    <row r="45">
      <c r="B45" s="19" t="inlineStr">
        <is>
          <t>قيمة الحد الأقصى للغرامات</t>
        </is>
      </c>
      <c r="C45" s="29">
        <f>C18*C44</f>
        <v/>
      </c>
      <c r="D45" s="21" t="inlineStr">
        <is>
          <t>محسوبة</t>
        </is>
      </c>
    </row>
    <row r="46">
      <c r="B46" s="19" t="inlineStr">
        <is>
          <t>الغرامات المحتسبة حتى تاريخه</t>
        </is>
      </c>
      <c r="C46" s="28">
        <f>-'مستخلص 20'!$L$27</f>
        <v/>
      </c>
      <c r="D46" s="21" t="inlineStr">
        <is>
          <t>تراكمي من آخر مستخلص</t>
        </is>
      </c>
    </row>
    <row r="47">
      <c r="B47" s="19" t="inlineStr">
        <is>
          <t>حالة الغرامات</t>
        </is>
      </c>
      <c r="C47" s="32">
        <f>IF(C46&gt;C45,"⚠ تجاوزت الحد الأقصى","✔ ضمن الحد المسموح")</f>
        <v/>
      </c>
      <c r="D47" s="21" t="inlineStr"/>
    </row>
  </sheetData>
  <mergeCells count="8">
    <mergeCell ref="B19:D19"/>
    <mergeCell ref="B2:I2"/>
    <mergeCell ref="B35:D35"/>
    <mergeCell ref="F4:I4"/>
    <mergeCell ref="B26:D26"/>
    <mergeCell ref="B30:D30"/>
    <mergeCell ref="B15:D15"/>
    <mergeCell ref="B1:I1"/>
  </mergeCells>
  <conditionalFormatting sqref="C42">
    <cfRule type="expression" priority="1" dxfId="0">
      <formula>AND(C42&lt;&gt;"",C42-TODAY()&lt;=30)</formula>
    </cfRule>
  </conditionalFormatting>
  <conditionalFormatting sqref="C43">
    <cfRule type="expression" priority="2" dxfId="0">
      <formula>AND(C43&lt;&gt;"",C43-TODAY()&lt;=30)</formula>
    </cfRule>
  </conditionalFormatting>
  <conditionalFormatting sqref="C47">
    <cfRule type="expression" priority="3" dxfId="0">
      <formula>ISNUMBER(SEARCH("⚠",C47))</formula>
    </cfRule>
    <cfRule type="expression" priority="4" dxfId="1">
      <formula>ISNUMBER(SEARCH("✔",C47))</formula>
    </cfRule>
  </conditionalFormatting>
  <dataValidations count="6">
    <dataValidation sqref="C32" showDropDown="0" showInputMessage="0" showErrorMessage="1" allowBlank="1" errorTitle="قيمة غير مسموحة" error="من فضلك اختر قيمة من القائمة المنسدلة." type="list">
      <formula1>"نعم,لا"</formula1>
    </dataValidation>
    <dataValidation sqref="C34" showDropDown="0" showInputMessage="0" showErrorMessage="1" allowBlank="1" errorTitle="قيمة غير مسموحة" error="من فضلك اختر قيمة من القائمة المنسدلة." type="list">
      <formula1>"نعم,لا"</formula1>
    </dataValidation>
    <dataValidation sqref="C36" showDropDown="0" showInputMessage="0" showErrorMessage="1" allowBlank="1" errorTitle="قيمة غير مسموحة" error="من فضلك اختر قيمة من القائمة المنسدلة." type="list">
      <formula1>"حكومي - نظام المنافسات والمشتريات الحكومية,خاص - FIDIC,خاص - عقد مقاولة"</formula1>
    </dataValidation>
    <dataValidation sqref="C37 C39" showDropDown="0" showInputMessage="0" showErrorMessage="1" allowBlank="1" errorTitle="رقم ضريبي غير صحيح" error="الرقم الضريبي 15 رقماً يبدأ وينتهي بالرقم 3" type="custom">
      <formula1>AND(LEN(C37)=15,LEFT(C37,1)="3",RIGHT(C37,1)="3")</formula1>
    </dataValidation>
    <dataValidation sqref="C20 C23:C25 C27:C28 C31 C33" showDropDown="0" showInputMessage="1" showErrorMessage="1" allowBlank="1" errorTitle="قيمة غير صحيحة" error="أدخل رقماً صحيحاً ضمن الحدود المسموحة." promptTitle="إرشاد" prompt="أدخل النسبة (مثال: 10%)" type="decimal" operator="between">
      <formula1>0</formula1>
      <formula2>1</formula2>
    </dataValidation>
    <dataValidation sqref="C10:C11 C22 C42:C43" showDropDown="0" showInputMessage="0" showErrorMessage="1" allowBlank="1" errorTitle="تاريخ غير صحيح" error="أدخل تاريخاً صحيحاً بالصيغة yyyy/mm/dd" type="date" operator="greaterThan">
      <formula1>36526</formula1>
    </dataValidation>
  </dataValidations>
  <hyperlinks>
    <hyperlink ref="B3" location="'سجل المستخلصات'!A1" display="🗂 سجل المستخلصات"/>
    <hyperlink ref="C3" location="'جدول الكميات'!A1" display="📋 جدول الكميات"/>
    <hyperlink ref="D3" location="'الأوامر التغييرية'!A1" display="🔁 التغييرية"/>
    <hyperlink ref="F3" location="'الاستقطاعات الفنية'!A1" display="✂ الاستقطاعات"/>
    <hyperlink ref="G3" location="'الموازنة والتكاليف'!A1" display="💰 الموازنة"/>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3.xml><?xml version="1.0" encoding="utf-8"?>
<worksheet xmlns="http://schemas.openxmlformats.org/spreadsheetml/2006/main">
  <sheetPr>
    <tabColor rgb="002E7D7A"/>
    <outlinePr summaryBelow="1" summaryRight="1"/>
    <pageSetUpPr fitToPage="1"/>
  </sheetPr>
  <dimension ref="A1:I106"/>
  <sheetViews>
    <sheetView showGridLines="0" rightToLeft="1" zoomScale="90" workbookViewId="0">
      <pane xSplit="4" ySplit="5" topLeftCell="E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4" customWidth="1" min="3" max="3"/>
    <col width="52" customWidth="1" min="4" max="4"/>
    <col width="8" customWidth="1" min="5" max="5"/>
    <col width="13" customWidth="1" min="6" max="6"/>
    <col width="14" customWidth="1" min="7" max="7"/>
    <col width="18" customWidth="1" min="8" max="8"/>
    <col width="10" customWidth="1" min="9" max="9"/>
  </cols>
  <sheetData>
    <row r="1" ht="38" customHeight="1">
      <c r="A1" s="1" t="inlineStr">
        <is>
          <t>📋 جدول الكميات والأسعار التعاقدي (BOQ)</t>
        </is>
      </c>
      <c r="B1" s="1" t="n"/>
      <c r="C1" s="1" t="n"/>
      <c r="D1" s="1" t="n"/>
      <c r="E1" s="1" t="n"/>
      <c r="F1" s="1" t="n"/>
      <c r="G1" s="1" t="n"/>
      <c r="H1" s="1" t="n"/>
      <c r="I1" s="1" t="n"/>
    </row>
    <row r="2" ht="20" customHeight="1">
      <c r="A2" s="2">
        <f>IF('بيانات العقد'!$C$5="","مشروع رقم 10 — أدخل بيانات العقد",'بيانات العقد'!$C$5&amp;"   |   عقد رقم: "&amp;'بيانات العقد'!$C$6)&amp;"   |   المبالغ بـ "&amp;'بيانات العقد'!$C$14</f>
        <v/>
      </c>
      <c r="B2" s="2" t="n"/>
      <c r="C2" s="2" t="n"/>
      <c r="D2" s="2" t="n"/>
      <c r="E2" s="2" t="n"/>
      <c r="F2" s="2" t="n"/>
      <c r="G2" s="2" t="n"/>
      <c r="H2" s="2" t="n"/>
      <c r="I2" s="2" t="n"/>
    </row>
    <row r="3" ht="26" customHeight="1">
      <c r="A3" s="3" t="inlineStr">
        <is>
          <t>🗂 سجل المستخلصات</t>
        </is>
      </c>
      <c r="B3" s="16" t="inlineStr">
        <is>
          <t>⚙ بيانات العقد</t>
        </is>
      </c>
      <c r="C3" s="16" t="inlineStr">
        <is>
          <t>🔁 التغييرية</t>
        </is>
      </c>
      <c r="D3" s="16" t="inlineStr">
        <is>
          <t>✂ الاستقطاعات</t>
        </is>
      </c>
      <c r="F3" s="17" t="inlineStr">
        <is>
          <t>💰 الموازنة</t>
        </is>
      </c>
      <c r="G3" s="4" t="inlineStr">
        <is>
          <t>🧾 مستخلص 01</t>
        </is>
      </c>
    </row>
    <row r="4">
      <c r="A4" s="33" t="inlineStr">
        <is>
          <t>أدخل بنود العقد في الخلايا الصفراء فقط (حتى 100 بند) — الإجمالي يغذي قيمة العقد وكل المستخلصات تلقائياً.</t>
        </is>
      </c>
      <c r="B4" s="33" t="n"/>
      <c r="C4" s="33" t="n"/>
      <c r="D4" s="33" t="n"/>
      <c r="E4" s="33" t="n"/>
      <c r="F4" s="33" t="n"/>
      <c r="G4" s="33" t="n"/>
      <c r="H4" s="33" t="n"/>
      <c r="I4" s="33" t="n"/>
    </row>
    <row r="5" ht="40" customHeight="1">
      <c r="A5" s="18" t="inlineStr">
        <is>
          <t>م</t>
        </is>
      </c>
      <c r="B5" s="18" t="inlineStr">
        <is>
          <t>كود البند</t>
        </is>
      </c>
      <c r="C5" s="18" t="inlineStr">
        <is>
          <t>القسم</t>
        </is>
      </c>
      <c r="D5" s="18" t="inlineStr">
        <is>
          <t>وصف البند</t>
        </is>
      </c>
      <c r="E5" s="18" t="inlineStr">
        <is>
          <t>الوحدة</t>
        </is>
      </c>
      <c r="F5" s="18" t="inlineStr">
        <is>
          <t>الكمية التعاقدية</t>
        </is>
      </c>
      <c r="G5" s="18" t="inlineStr">
        <is>
          <t>سعر الوحدة</t>
        </is>
      </c>
      <c r="H5" s="18" t="inlineStr">
        <is>
          <t>الإجمالي</t>
        </is>
      </c>
      <c r="I5" s="18" t="inlineStr">
        <is>
          <t>الوزن النسبي</t>
        </is>
      </c>
    </row>
    <row r="6">
      <c r="A6" s="34">
        <f>IF(B6="","",COUNTA($B$6:B6))</f>
        <v/>
      </c>
      <c r="B6" s="20" t="n"/>
      <c r="C6" s="23" t="n"/>
      <c r="D6" s="35" t="n"/>
      <c r="E6" s="20" t="n"/>
      <c r="F6" s="36" t="n"/>
      <c r="G6" s="36" t="n"/>
      <c r="H6" s="37">
        <f>F6*G6</f>
        <v/>
      </c>
      <c r="I6" s="38">
        <f>IF($H$106&gt;0,H6/$H$106,0)</f>
        <v/>
      </c>
    </row>
    <row r="7">
      <c r="A7" s="34">
        <f>IF(B7="","",COUNTA($B$6:B7))</f>
        <v/>
      </c>
      <c r="B7" s="20" t="n"/>
      <c r="C7" s="23" t="n"/>
      <c r="D7" s="35" t="n"/>
      <c r="E7" s="20" t="n"/>
      <c r="F7" s="36" t="n"/>
      <c r="G7" s="36" t="n"/>
      <c r="H7" s="37">
        <f>F7*G7</f>
        <v/>
      </c>
      <c r="I7" s="38">
        <f>IF($H$106&gt;0,H7/$H$106,0)</f>
        <v/>
      </c>
    </row>
    <row r="8">
      <c r="A8" s="34">
        <f>IF(B8="","",COUNTA($B$6:B8))</f>
        <v/>
      </c>
      <c r="B8" s="20" t="n"/>
      <c r="C8" s="23" t="n"/>
      <c r="D8" s="35" t="n"/>
      <c r="E8" s="20" t="n"/>
      <c r="F8" s="36" t="n"/>
      <c r="G8" s="36" t="n"/>
      <c r="H8" s="37">
        <f>F8*G8</f>
        <v/>
      </c>
      <c r="I8" s="38">
        <f>IF($H$106&gt;0,H8/$H$106,0)</f>
        <v/>
      </c>
    </row>
    <row r="9">
      <c r="A9" s="34">
        <f>IF(B9="","",COUNTA($B$6:B9))</f>
        <v/>
      </c>
      <c r="B9" s="20" t="n"/>
      <c r="C9" s="23" t="n"/>
      <c r="D9" s="35" t="n"/>
      <c r="E9" s="20" t="n"/>
      <c r="F9" s="36" t="n"/>
      <c r="G9" s="36" t="n"/>
      <c r="H9" s="37">
        <f>F9*G9</f>
        <v/>
      </c>
      <c r="I9" s="38">
        <f>IF($H$106&gt;0,H9/$H$106,0)</f>
        <v/>
      </c>
    </row>
    <row r="10">
      <c r="A10" s="34">
        <f>IF(B10="","",COUNTA($B$6:B10))</f>
        <v/>
      </c>
      <c r="B10" s="20" t="n"/>
      <c r="C10" s="23" t="n"/>
      <c r="D10" s="35" t="n"/>
      <c r="E10" s="20" t="n"/>
      <c r="F10" s="36" t="n"/>
      <c r="G10" s="36" t="n"/>
      <c r="H10" s="37">
        <f>F10*G10</f>
        <v/>
      </c>
      <c r="I10" s="38">
        <f>IF($H$106&gt;0,H10/$H$106,0)</f>
        <v/>
      </c>
    </row>
    <row r="11">
      <c r="A11" s="34">
        <f>IF(B11="","",COUNTA($B$6:B11))</f>
        <v/>
      </c>
      <c r="B11" s="20" t="n"/>
      <c r="C11" s="23" t="n"/>
      <c r="D11" s="35" t="n"/>
      <c r="E11" s="20" t="n"/>
      <c r="F11" s="36" t="n"/>
      <c r="G11" s="36" t="n"/>
      <c r="H11" s="37">
        <f>F11*G11</f>
        <v/>
      </c>
      <c r="I11" s="38">
        <f>IF($H$106&gt;0,H11/$H$106,0)</f>
        <v/>
      </c>
    </row>
    <row r="12">
      <c r="A12" s="34">
        <f>IF(B12="","",COUNTA($B$6:B12))</f>
        <v/>
      </c>
      <c r="B12" s="20" t="n"/>
      <c r="C12" s="23" t="n"/>
      <c r="D12" s="35" t="n"/>
      <c r="E12" s="20" t="n"/>
      <c r="F12" s="36" t="n"/>
      <c r="G12" s="36" t="n"/>
      <c r="H12" s="37">
        <f>F12*G12</f>
        <v/>
      </c>
      <c r="I12" s="38">
        <f>IF($H$106&gt;0,H12/$H$106,0)</f>
        <v/>
      </c>
    </row>
    <row r="13">
      <c r="A13" s="34">
        <f>IF(B13="","",COUNTA($B$6:B13))</f>
        <v/>
      </c>
      <c r="B13" s="20" t="n"/>
      <c r="C13" s="23" t="n"/>
      <c r="D13" s="35" t="n"/>
      <c r="E13" s="20" t="n"/>
      <c r="F13" s="36" t="n"/>
      <c r="G13" s="36" t="n"/>
      <c r="H13" s="37">
        <f>F13*G13</f>
        <v/>
      </c>
      <c r="I13" s="38">
        <f>IF($H$106&gt;0,H13/$H$106,0)</f>
        <v/>
      </c>
    </row>
    <row r="14">
      <c r="A14" s="34">
        <f>IF(B14="","",COUNTA($B$6:B14))</f>
        <v/>
      </c>
      <c r="B14" s="20" t="n"/>
      <c r="C14" s="23" t="n"/>
      <c r="D14" s="35" t="n"/>
      <c r="E14" s="20" t="n"/>
      <c r="F14" s="36" t="n"/>
      <c r="G14" s="36" t="n"/>
      <c r="H14" s="37">
        <f>F14*G14</f>
        <v/>
      </c>
      <c r="I14" s="38">
        <f>IF($H$106&gt;0,H14/$H$106,0)</f>
        <v/>
      </c>
    </row>
    <row r="15">
      <c r="A15" s="34">
        <f>IF(B15="","",COUNTA($B$6:B15))</f>
        <v/>
      </c>
      <c r="B15" s="20" t="n"/>
      <c r="C15" s="23" t="n"/>
      <c r="D15" s="35" t="n"/>
      <c r="E15" s="20" t="n"/>
      <c r="F15" s="36" t="n"/>
      <c r="G15" s="36" t="n"/>
      <c r="H15" s="37">
        <f>F15*G15</f>
        <v/>
      </c>
      <c r="I15" s="38">
        <f>IF($H$106&gt;0,H15/$H$106,0)</f>
        <v/>
      </c>
    </row>
    <row r="16">
      <c r="A16" s="34">
        <f>IF(B16="","",COUNTA($B$6:B16))</f>
        <v/>
      </c>
      <c r="B16" s="20" t="n"/>
      <c r="C16" s="23" t="n"/>
      <c r="D16" s="35" t="n"/>
      <c r="E16" s="20" t="n"/>
      <c r="F16" s="36" t="n"/>
      <c r="G16" s="36" t="n"/>
      <c r="H16" s="37">
        <f>F16*G16</f>
        <v/>
      </c>
      <c r="I16" s="38">
        <f>IF($H$106&gt;0,H16/$H$106,0)</f>
        <v/>
      </c>
    </row>
    <row r="17">
      <c r="A17" s="34">
        <f>IF(B17="","",COUNTA($B$6:B17))</f>
        <v/>
      </c>
      <c r="B17" s="20" t="n"/>
      <c r="C17" s="23" t="n"/>
      <c r="D17" s="35" t="n"/>
      <c r="E17" s="20" t="n"/>
      <c r="F17" s="36" t="n"/>
      <c r="G17" s="36" t="n"/>
      <c r="H17" s="37">
        <f>F17*G17</f>
        <v/>
      </c>
      <c r="I17" s="38">
        <f>IF($H$106&gt;0,H17/$H$106,0)</f>
        <v/>
      </c>
    </row>
    <row r="18">
      <c r="A18" s="34">
        <f>IF(B18="","",COUNTA($B$6:B18))</f>
        <v/>
      </c>
      <c r="B18" s="20" t="n"/>
      <c r="C18" s="23" t="n"/>
      <c r="D18" s="35" t="n"/>
      <c r="E18" s="20" t="n"/>
      <c r="F18" s="36" t="n"/>
      <c r="G18" s="36" t="n"/>
      <c r="H18" s="37">
        <f>F18*G18</f>
        <v/>
      </c>
      <c r="I18" s="38">
        <f>IF($H$106&gt;0,H18/$H$106,0)</f>
        <v/>
      </c>
    </row>
    <row r="19">
      <c r="A19" s="34">
        <f>IF(B19="","",COUNTA($B$6:B19))</f>
        <v/>
      </c>
      <c r="B19" s="20" t="n"/>
      <c r="C19" s="23" t="n"/>
      <c r="D19" s="35" t="n"/>
      <c r="E19" s="20" t="n"/>
      <c r="F19" s="36" t="n"/>
      <c r="G19" s="36" t="n"/>
      <c r="H19" s="37">
        <f>F19*G19</f>
        <v/>
      </c>
      <c r="I19" s="38">
        <f>IF($H$106&gt;0,H19/$H$106,0)</f>
        <v/>
      </c>
    </row>
    <row r="20">
      <c r="A20" s="34">
        <f>IF(B20="","",COUNTA($B$6:B20))</f>
        <v/>
      </c>
      <c r="B20" s="20" t="n"/>
      <c r="C20" s="23" t="n"/>
      <c r="D20" s="35" t="n"/>
      <c r="E20" s="20" t="n"/>
      <c r="F20" s="36" t="n"/>
      <c r="G20" s="36" t="n"/>
      <c r="H20" s="37">
        <f>F20*G20</f>
        <v/>
      </c>
      <c r="I20" s="38">
        <f>IF($H$106&gt;0,H20/$H$106,0)</f>
        <v/>
      </c>
    </row>
    <row r="21">
      <c r="A21" s="34">
        <f>IF(B21="","",COUNTA($B$6:B21))</f>
        <v/>
      </c>
      <c r="B21" s="20" t="n"/>
      <c r="C21" s="23" t="n"/>
      <c r="D21" s="35" t="n"/>
      <c r="E21" s="20" t="n"/>
      <c r="F21" s="36" t="n"/>
      <c r="G21" s="36" t="n"/>
      <c r="H21" s="37">
        <f>F21*G21</f>
        <v/>
      </c>
      <c r="I21" s="38">
        <f>IF($H$106&gt;0,H21/$H$106,0)</f>
        <v/>
      </c>
    </row>
    <row r="22">
      <c r="A22" s="34">
        <f>IF(B22="","",COUNTA($B$6:B22))</f>
        <v/>
      </c>
      <c r="B22" s="20" t="n"/>
      <c r="C22" s="23" t="n"/>
      <c r="D22" s="35" t="n"/>
      <c r="E22" s="20" t="n"/>
      <c r="F22" s="36" t="n"/>
      <c r="G22" s="36" t="n"/>
      <c r="H22" s="37">
        <f>F22*G22</f>
        <v/>
      </c>
      <c r="I22" s="38">
        <f>IF($H$106&gt;0,H22/$H$106,0)</f>
        <v/>
      </c>
    </row>
    <row r="23">
      <c r="A23" s="34">
        <f>IF(B23="","",COUNTA($B$6:B23))</f>
        <v/>
      </c>
      <c r="B23" s="20" t="n"/>
      <c r="C23" s="23" t="n"/>
      <c r="D23" s="35" t="n"/>
      <c r="E23" s="20" t="n"/>
      <c r="F23" s="36" t="n"/>
      <c r="G23" s="36" t="n"/>
      <c r="H23" s="37">
        <f>F23*G23</f>
        <v/>
      </c>
      <c r="I23" s="38">
        <f>IF($H$106&gt;0,H23/$H$106,0)</f>
        <v/>
      </c>
    </row>
    <row r="24">
      <c r="A24" s="34">
        <f>IF(B24="","",COUNTA($B$6:B24))</f>
        <v/>
      </c>
      <c r="B24" s="20" t="n"/>
      <c r="C24" s="23" t="n"/>
      <c r="D24" s="35" t="n"/>
      <c r="E24" s="20" t="n"/>
      <c r="F24" s="36" t="n"/>
      <c r="G24" s="36" t="n"/>
      <c r="H24" s="37">
        <f>F24*G24</f>
        <v/>
      </c>
      <c r="I24" s="38">
        <f>IF($H$106&gt;0,H24/$H$106,0)</f>
        <v/>
      </c>
    </row>
    <row r="25">
      <c r="A25" s="34">
        <f>IF(B25="","",COUNTA($B$6:B25))</f>
        <v/>
      </c>
      <c r="B25" s="20" t="n"/>
      <c r="C25" s="23" t="n"/>
      <c r="D25" s="35" t="n"/>
      <c r="E25" s="20" t="n"/>
      <c r="F25" s="36" t="n"/>
      <c r="G25" s="36" t="n"/>
      <c r="H25" s="37">
        <f>F25*G25</f>
        <v/>
      </c>
      <c r="I25" s="38">
        <f>IF($H$106&gt;0,H25/$H$106,0)</f>
        <v/>
      </c>
    </row>
    <row r="26">
      <c r="A26" s="34">
        <f>IF(B26="","",COUNTA($B$6:B26))</f>
        <v/>
      </c>
      <c r="B26" s="20" t="n"/>
      <c r="C26" s="23" t="n"/>
      <c r="D26" s="35" t="n"/>
      <c r="E26" s="20" t="n"/>
      <c r="F26" s="36" t="n"/>
      <c r="G26" s="36" t="n"/>
      <c r="H26" s="37">
        <f>F26*G26</f>
        <v/>
      </c>
      <c r="I26" s="38">
        <f>IF($H$106&gt;0,H26/$H$106,0)</f>
        <v/>
      </c>
    </row>
    <row r="27">
      <c r="A27" s="34">
        <f>IF(B27="","",COUNTA($B$6:B27))</f>
        <v/>
      </c>
      <c r="B27" s="20" t="n"/>
      <c r="C27" s="23" t="n"/>
      <c r="D27" s="35" t="n"/>
      <c r="E27" s="20" t="n"/>
      <c r="F27" s="36" t="n"/>
      <c r="G27" s="36" t="n"/>
      <c r="H27" s="37">
        <f>F27*G27</f>
        <v/>
      </c>
      <c r="I27" s="38">
        <f>IF($H$106&gt;0,H27/$H$106,0)</f>
        <v/>
      </c>
    </row>
    <row r="28">
      <c r="A28" s="34">
        <f>IF(B28="","",COUNTA($B$6:B28))</f>
        <v/>
      </c>
      <c r="B28" s="20" t="n"/>
      <c r="C28" s="23" t="n"/>
      <c r="D28" s="35" t="n"/>
      <c r="E28" s="20" t="n"/>
      <c r="F28" s="36" t="n"/>
      <c r="G28" s="36" t="n"/>
      <c r="H28" s="37">
        <f>F28*G28</f>
        <v/>
      </c>
      <c r="I28" s="38">
        <f>IF($H$106&gt;0,H28/$H$106,0)</f>
        <v/>
      </c>
    </row>
    <row r="29">
      <c r="A29" s="34">
        <f>IF(B29="","",COUNTA($B$6:B29))</f>
        <v/>
      </c>
      <c r="B29" s="20" t="n"/>
      <c r="C29" s="23" t="n"/>
      <c r="D29" s="35" t="n"/>
      <c r="E29" s="20" t="n"/>
      <c r="F29" s="36" t="n"/>
      <c r="G29" s="36" t="n"/>
      <c r="H29" s="37">
        <f>F29*G29</f>
        <v/>
      </c>
      <c r="I29" s="38">
        <f>IF($H$106&gt;0,H29/$H$106,0)</f>
        <v/>
      </c>
    </row>
    <row r="30">
      <c r="A30" s="34">
        <f>IF(B30="","",COUNTA($B$6:B30))</f>
        <v/>
      </c>
      <c r="B30" s="20" t="n"/>
      <c r="C30" s="23" t="n"/>
      <c r="D30" s="35" t="n"/>
      <c r="E30" s="20" t="n"/>
      <c r="F30" s="36" t="n"/>
      <c r="G30" s="36" t="n"/>
      <c r="H30" s="37">
        <f>F30*G30</f>
        <v/>
      </c>
      <c r="I30" s="38">
        <f>IF($H$106&gt;0,H30/$H$106,0)</f>
        <v/>
      </c>
    </row>
    <row r="31">
      <c r="A31" s="34">
        <f>IF(B31="","",COUNTA($B$6:B31))</f>
        <v/>
      </c>
      <c r="B31" s="20" t="n"/>
      <c r="C31" s="23" t="n"/>
      <c r="D31" s="35" t="n"/>
      <c r="E31" s="20" t="n"/>
      <c r="F31" s="36" t="n"/>
      <c r="G31" s="36" t="n"/>
      <c r="H31" s="37">
        <f>F31*G31</f>
        <v/>
      </c>
      <c r="I31" s="38">
        <f>IF($H$106&gt;0,H31/$H$106,0)</f>
        <v/>
      </c>
    </row>
    <row r="32">
      <c r="A32" s="34">
        <f>IF(B32="","",COUNTA($B$6:B32))</f>
        <v/>
      </c>
      <c r="B32" s="20" t="n"/>
      <c r="C32" s="23" t="n"/>
      <c r="D32" s="35" t="n"/>
      <c r="E32" s="20" t="n"/>
      <c r="F32" s="36" t="n"/>
      <c r="G32" s="36" t="n"/>
      <c r="H32" s="37">
        <f>F32*G32</f>
        <v/>
      </c>
      <c r="I32" s="38">
        <f>IF($H$106&gt;0,H32/$H$106,0)</f>
        <v/>
      </c>
    </row>
    <row r="33">
      <c r="A33" s="34">
        <f>IF(B33="","",COUNTA($B$6:B33))</f>
        <v/>
      </c>
      <c r="B33" s="20" t="n"/>
      <c r="C33" s="23" t="n"/>
      <c r="D33" s="35" t="n"/>
      <c r="E33" s="20" t="n"/>
      <c r="F33" s="36" t="n"/>
      <c r="G33" s="36" t="n"/>
      <c r="H33" s="37">
        <f>F33*G33</f>
        <v/>
      </c>
      <c r="I33" s="38">
        <f>IF($H$106&gt;0,H33/$H$106,0)</f>
        <v/>
      </c>
    </row>
    <row r="34">
      <c r="A34" s="34">
        <f>IF(B34="","",COUNTA($B$6:B34))</f>
        <v/>
      </c>
      <c r="B34" s="20" t="n"/>
      <c r="C34" s="23" t="n"/>
      <c r="D34" s="35" t="n"/>
      <c r="E34" s="20" t="n"/>
      <c r="F34" s="36" t="n"/>
      <c r="G34" s="36" t="n"/>
      <c r="H34" s="37">
        <f>F34*G34</f>
        <v/>
      </c>
      <c r="I34" s="38">
        <f>IF($H$106&gt;0,H34/$H$106,0)</f>
        <v/>
      </c>
    </row>
    <row r="35">
      <c r="A35" s="34">
        <f>IF(B35="","",COUNTA($B$6:B35))</f>
        <v/>
      </c>
      <c r="B35" s="20" t="n"/>
      <c r="C35" s="23" t="n"/>
      <c r="D35" s="35" t="n"/>
      <c r="E35" s="20" t="n"/>
      <c r="F35" s="36" t="n"/>
      <c r="G35" s="36" t="n"/>
      <c r="H35" s="37">
        <f>F35*G35</f>
        <v/>
      </c>
      <c r="I35" s="38">
        <f>IF($H$106&gt;0,H35/$H$106,0)</f>
        <v/>
      </c>
    </row>
    <row r="36">
      <c r="A36" s="34">
        <f>IF(B36="","",COUNTA($B$6:B36))</f>
        <v/>
      </c>
      <c r="B36" s="20" t="n"/>
      <c r="C36" s="23" t="n"/>
      <c r="D36" s="35" t="n"/>
      <c r="E36" s="20" t="n"/>
      <c r="F36" s="36" t="n"/>
      <c r="G36" s="36" t="n"/>
      <c r="H36" s="37">
        <f>F36*G36</f>
        <v/>
      </c>
      <c r="I36" s="38">
        <f>IF($H$106&gt;0,H36/$H$106,0)</f>
        <v/>
      </c>
    </row>
    <row r="37">
      <c r="A37" s="34">
        <f>IF(B37="","",COUNTA($B$6:B37))</f>
        <v/>
      </c>
      <c r="B37" s="20" t="n"/>
      <c r="C37" s="23" t="n"/>
      <c r="D37" s="35" t="n"/>
      <c r="E37" s="20" t="n"/>
      <c r="F37" s="36" t="n"/>
      <c r="G37" s="36" t="n"/>
      <c r="H37" s="37">
        <f>F37*G37</f>
        <v/>
      </c>
      <c r="I37" s="38">
        <f>IF($H$106&gt;0,H37/$H$106,0)</f>
        <v/>
      </c>
    </row>
    <row r="38">
      <c r="A38" s="34">
        <f>IF(B38="","",COUNTA($B$6:B38))</f>
        <v/>
      </c>
      <c r="B38" s="20" t="n"/>
      <c r="C38" s="23" t="n"/>
      <c r="D38" s="35" t="n"/>
      <c r="E38" s="20" t="n"/>
      <c r="F38" s="36" t="n"/>
      <c r="G38" s="36" t="n"/>
      <c r="H38" s="37">
        <f>F38*G38</f>
        <v/>
      </c>
      <c r="I38" s="38">
        <f>IF($H$106&gt;0,H38/$H$106,0)</f>
        <v/>
      </c>
    </row>
    <row r="39">
      <c r="A39" s="34">
        <f>IF(B39="","",COUNTA($B$6:B39))</f>
        <v/>
      </c>
      <c r="B39" s="20" t="n"/>
      <c r="C39" s="23" t="n"/>
      <c r="D39" s="35" t="n"/>
      <c r="E39" s="20" t="n"/>
      <c r="F39" s="36" t="n"/>
      <c r="G39" s="36" t="n"/>
      <c r="H39" s="37">
        <f>F39*G39</f>
        <v/>
      </c>
      <c r="I39" s="38">
        <f>IF($H$106&gt;0,H39/$H$106,0)</f>
        <v/>
      </c>
    </row>
    <row r="40">
      <c r="A40" s="34">
        <f>IF(B40="","",COUNTA($B$6:B40))</f>
        <v/>
      </c>
      <c r="B40" s="20" t="n"/>
      <c r="C40" s="23" t="n"/>
      <c r="D40" s="35" t="n"/>
      <c r="E40" s="20" t="n"/>
      <c r="F40" s="36" t="n"/>
      <c r="G40" s="36" t="n"/>
      <c r="H40" s="37">
        <f>F40*G40</f>
        <v/>
      </c>
      <c r="I40" s="38">
        <f>IF($H$106&gt;0,H40/$H$106,0)</f>
        <v/>
      </c>
    </row>
    <row r="41">
      <c r="A41" s="34">
        <f>IF(B41="","",COUNTA($B$6:B41))</f>
        <v/>
      </c>
      <c r="B41" s="20" t="n"/>
      <c r="C41" s="23" t="n"/>
      <c r="D41" s="35" t="n"/>
      <c r="E41" s="20" t="n"/>
      <c r="F41" s="36" t="n"/>
      <c r="G41" s="36" t="n"/>
      <c r="H41" s="37">
        <f>F41*G41</f>
        <v/>
      </c>
      <c r="I41" s="38">
        <f>IF($H$106&gt;0,H41/$H$106,0)</f>
        <v/>
      </c>
    </row>
    <row r="42">
      <c r="A42" s="34">
        <f>IF(B42="","",COUNTA($B$6:B42))</f>
        <v/>
      </c>
      <c r="B42" s="20" t="n"/>
      <c r="C42" s="23" t="n"/>
      <c r="D42" s="35" t="n"/>
      <c r="E42" s="20" t="n"/>
      <c r="F42" s="36" t="n"/>
      <c r="G42" s="36" t="n"/>
      <c r="H42" s="37">
        <f>F42*G42</f>
        <v/>
      </c>
      <c r="I42" s="38">
        <f>IF($H$106&gt;0,H42/$H$106,0)</f>
        <v/>
      </c>
    </row>
    <row r="43">
      <c r="A43" s="34">
        <f>IF(B43="","",COUNTA($B$6:B43))</f>
        <v/>
      </c>
      <c r="B43" s="20" t="n"/>
      <c r="C43" s="23" t="n"/>
      <c r="D43" s="35" t="n"/>
      <c r="E43" s="20" t="n"/>
      <c r="F43" s="36" t="n"/>
      <c r="G43" s="36" t="n"/>
      <c r="H43" s="37">
        <f>F43*G43</f>
        <v/>
      </c>
      <c r="I43" s="38">
        <f>IF($H$106&gt;0,H43/$H$106,0)</f>
        <v/>
      </c>
    </row>
    <row r="44">
      <c r="A44" s="34">
        <f>IF(B44="","",COUNTA($B$6:B44))</f>
        <v/>
      </c>
      <c r="B44" s="20" t="n"/>
      <c r="C44" s="23" t="n"/>
      <c r="D44" s="35" t="n"/>
      <c r="E44" s="20" t="n"/>
      <c r="F44" s="36" t="n"/>
      <c r="G44" s="36" t="n"/>
      <c r="H44" s="37">
        <f>F44*G44</f>
        <v/>
      </c>
      <c r="I44" s="38">
        <f>IF($H$106&gt;0,H44/$H$106,0)</f>
        <v/>
      </c>
    </row>
    <row r="45">
      <c r="A45" s="34">
        <f>IF(B45="","",COUNTA($B$6:B45))</f>
        <v/>
      </c>
      <c r="B45" s="20" t="n"/>
      <c r="C45" s="23" t="n"/>
      <c r="D45" s="35" t="n"/>
      <c r="E45" s="20" t="n"/>
      <c r="F45" s="36" t="n"/>
      <c r="G45" s="36" t="n"/>
      <c r="H45" s="37">
        <f>F45*G45</f>
        <v/>
      </c>
      <c r="I45" s="38">
        <f>IF($H$106&gt;0,H45/$H$106,0)</f>
        <v/>
      </c>
    </row>
    <row r="46">
      <c r="A46" s="34">
        <f>IF(B46="","",COUNTA($B$6:B46))</f>
        <v/>
      </c>
      <c r="B46" s="20" t="n"/>
      <c r="C46" s="23" t="n"/>
      <c r="D46" s="35" t="n"/>
      <c r="E46" s="20" t="n"/>
      <c r="F46" s="36" t="n"/>
      <c r="G46" s="36" t="n"/>
      <c r="H46" s="37">
        <f>F46*G46</f>
        <v/>
      </c>
      <c r="I46" s="38">
        <f>IF($H$106&gt;0,H46/$H$106,0)</f>
        <v/>
      </c>
    </row>
    <row r="47">
      <c r="A47" s="34">
        <f>IF(B47="","",COUNTA($B$6:B47))</f>
        <v/>
      </c>
      <c r="B47" s="20" t="n"/>
      <c r="C47" s="23" t="n"/>
      <c r="D47" s="35" t="n"/>
      <c r="E47" s="20" t="n"/>
      <c r="F47" s="36" t="n"/>
      <c r="G47" s="36" t="n"/>
      <c r="H47" s="37">
        <f>F47*G47</f>
        <v/>
      </c>
      <c r="I47" s="38">
        <f>IF($H$106&gt;0,H47/$H$106,0)</f>
        <v/>
      </c>
    </row>
    <row r="48">
      <c r="A48" s="34">
        <f>IF(B48="","",COUNTA($B$6:B48))</f>
        <v/>
      </c>
      <c r="B48" s="20" t="n"/>
      <c r="C48" s="23" t="n"/>
      <c r="D48" s="35" t="n"/>
      <c r="E48" s="20" t="n"/>
      <c r="F48" s="36" t="n"/>
      <c r="G48" s="36" t="n"/>
      <c r="H48" s="37">
        <f>F48*G48</f>
        <v/>
      </c>
      <c r="I48" s="38">
        <f>IF($H$106&gt;0,H48/$H$106,0)</f>
        <v/>
      </c>
    </row>
    <row r="49">
      <c r="A49" s="34">
        <f>IF(B49="","",COUNTA($B$6:B49))</f>
        <v/>
      </c>
      <c r="B49" s="20" t="n"/>
      <c r="C49" s="23" t="n"/>
      <c r="D49" s="35" t="n"/>
      <c r="E49" s="20" t="n"/>
      <c r="F49" s="36" t="n"/>
      <c r="G49" s="36" t="n"/>
      <c r="H49" s="37">
        <f>F49*G49</f>
        <v/>
      </c>
      <c r="I49" s="38">
        <f>IF($H$106&gt;0,H49/$H$106,0)</f>
        <v/>
      </c>
    </row>
    <row r="50">
      <c r="A50" s="34">
        <f>IF(B50="","",COUNTA($B$6:B50))</f>
        <v/>
      </c>
      <c r="B50" s="20" t="n"/>
      <c r="C50" s="23" t="n"/>
      <c r="D50" s="35" t="n"/>
      <c r="E50" s="20" t="n"/>
      <c r="F50" s="36" t="n"/>
      <c r="G50" s="36" t="n"/>
      <c r="H50" s="37">
        <f>F50*G50</f>
        <v/>
      </c>
      <c r="I50" s="38">
        <f>IF($H$106&gt;0,H50/$H$106,0)</f>
        <v/>
      </c>
    </row>
    <row r="51">
      <c r="A51" s="34">
        <f>IF(B51="","",COUNTA($B$6:B51))</f>
        <v/>
      </c>
      <c r="B51" s="20" t="n"/>
      <c r="C51" s="23" t="n"/>
      <c r="D51" s="35" t="n"/>
      <c r="E51" s="20" t="n"/>
      <c r="F51" s="36" t="n"/>
      <c r="G51" s="36" t="n"/>
      <c r="H51" s="37">
        <f>F51*G51</f>
        <v/>
      </c>
      <c r="I51" s="38">
        <f>IF($H$106&gt;0,H51/$H$106,0)</f>
        <v/>
      </c>
    </row>
    <row r="52">
      <c r="A52" s="34">
        <f>IF(B52="","",COUNTA($B$6:B52))</f>
        <v/>
      </c>
      <c r="B52" s="20" t="n"/>
      <c r="C52" s="23" t="n"/>
      <c r="D52" s="35" t="n"/>
      <c r="E52" s="20" t="n"/>
      <c r="F52" s="36" t="n"/>
      <c r="G52" s="36" t="n"/>
      <c r="H52" s="37">
        <f>F52*G52</f>
        <v/>
      </c>
      <c r="I52" s="38">
        <f>IF($H$106&gt;0,H52/$H$106,0)</f>
        <v/>
      </c>
    </row>
    <row r="53">
      <c r="A53" s="34">
        <f>IF(B53="","",COUNTA($B$6:B53))</f>
        <v/>
      </c>
      <c r="B53" s="20" t="n"/>
      <c r="C53" s="23" t="n"/>
      <c r="D53" s="35" t="n"/>
      <c r="E53" s="20" t="n"/>
      <c r="F53" s="36" t="n"/>
      <c r="G53" s="36" t="n"/>
      <c r="H53" s="37">
        <f>F53*G53</f>
        <v/>
      </c>
      <c r="I53" s="38">
        <f>IF($H$106&gt;0,H53/$H$106,0)</f>
        <v/>
      </c>
    </row>
    <row r="54">
      <c r="A54" s="34">
        <f>IF(B54="","",COUNTA($B$6:B54))</f>
        <v/>
      </c>
      <c r="B54" s="20" t="n"/>
      <c r="C54" s="23" t="n"/>
      <c r="D54" s="35" t="n"/>
      <c r="E54" s="20" t="n"/>
      <c r="F54" s="36" t="n"/>
      <c r="G54" s="36" t="n"/>
      <c r="H54" s="37">
        <f>F54*G54</f>
        <v/>
      </c>
      <c r="I54" s="38">
        <f>IF($H$106&gt;0,H54/$H$106,0)</f>
        <v/>
      </c>
    </row>
    <row r="55">
      <c r="A55" s="34">
        <f>IF(B55="","",COUNTA($B$6:B55))</f>
        <v/>
      </c>
      <c r="B55" s="20" t="n"/>
      <c r="C55" s="23" t="n"/>
      <c r="D55" s="35" t="n"/>
      <c r="E55" s="20" t="n"/>
      <c r="F55" s="36" t="n"/>
      <c r="G55" s="36" t="n"/>
      <c r="H55" s="37">
        <f>F55*G55</f>
        <v/>
      </c>
      <c r="I55" s="38">
        <f>IF($H$106&gt;0,H55/$H$106,0)</f>
        <v/>
      </c>
    </row>
    <row r="56">
      <c r="A56" s="34">
        <f>IF(B56="","",COUNTA($B$6:B56))</f>
        <v/>
      </c>
      <c r="B56" s="20" t="n"/>
      <c r="C56" s="23" t="n"/>
      <c r="D56" s="35" t="n"/>
      <c r="E56" s="20" t="n"/>
      <c r="F56" s="36" t="n"/>
      <c r="G56" s="36" t="n"/>
      <c r="H56" s="37">
        <f>F56*G56</f>
        <v/>
      </c>
      <c r="I56" s="38">
        <f>IF($H$106&gt;0,H56/$H$106,0)</f>
        <v/>
      </c>
    </row>
    <row r="57">
      <c r="A57" s="34">
        <f>IF(B57="","",COUNTA($B$6:B57))</f>
        <v/>
      </c>
      <c r="B57" s="20" t="n"/>
      <c r="C57" s="23" t="n"/>
      <c r="D57" s="35" t="n"/>
      <c r="E57" s="20" t="n"/>
      <c r="F57" s="36" t="n"/>
      <c r="G57" s="36" t="n"/>
      <c r="H57" s="37">
        <f>F57*G57</f>
        <v/>
      </c>
      <c r="I57" s="38">
        <f>IF($H$106&gt;0,H57/$H$106,0)</f>
        <v/>
      </c>
    </row>
    <row r="58">
      <c r="A58" s="34">
        <f>IF(B58="","",COUNTA($B$6:B58))</f>
        <v/>
      </c>
      <c r="B58" s="20" t="n"/>
      <c r="C58" s="23" t="n"/>
      <c r="D58" s="35" t="n"/>
      <c r="E58" s="20" t="n"/>
      <c r="F58" s="36" t="n"/>
      <c r="G58" s="36" t="n"/>
      <c r="H58" s="37">
        <f>F58*G58</f>
        <v/>
      </c>
      <c r="I58" s="38">
        <f>IF($H$106&gt;0,H58/$H$106,0)</f>
        <v/>
      </c>
    </row>
    <row r="59">
      <c r="A59" s="34">
        <f>IF(B59="","",COUNTA($B$6:B59))</f>
        <v/>
      </c>
      <c r="B59" s="20" t="n"/>
      <c r="C59" s="23" t="n"/>
      <c r="D59" s="35" t="n"/>
      <c r="E59" s="20" t="n"/>
      <c r="F59" s="36" t="n"/>
      <c r="G59" s="36" t="n"/>
      <c r="H59" s="37">
        <f>F59*G59</f>
        <v/>
      </c>
      <c r="I59" s="38">
        <f>IF($H$106&gt;0,H59/$H$106,0)</f>
        <v/>
      </c>
    </row>
    <row r="60">
      <c r="A60" s="34">
        <f>IF(B60="","",COUNTA($B$6:B60))</f>
        <v/>
      </c>
      <c r="B60" s="20" t="n"/>
      <c r="C60" s="23" t="n"/>
      <c r="D60" s="35" t="n"/>
      <c r="E60" s="20" t="n"/>
      <c r="F60" s="36" t="n"/>
      <c r="G60" s="36" t="n"/>
      <c r="H60" s="37">
        <f>F60*G60</f>
        <v/>
      </c>
      <c r="I60" s="38">
        <f>IF($H$106&gt;0,H60/$H$106,0)</f>
        <v/>
      </c>
    </row>
    <row r="61">
      <c r="A61" s="34">
        <f>IF(B61="","",COUNTA($B$6:B61))</f>
        <v/>
      </c>
      <c r="B61" s="20" t="n"/>
      <c r="C61" s="23" t="n"/>
      <c r="D61" s="35" t="n"/>
      <c r="E61" s="20" t="n"/>
      <c r="F61" s="36" t="n"/>
      <c r="G61" s="36" t="n"/>
      <c r="H61" s="37">
        <f>F61*G61</f>
        <v/>
      </c>
      <c r="I61" s="38">
        <f>IF($H$106&gt;0,H61/$H$106,0)</f>
        <v/>
      </c>
    </row>
    <row r="62">
      <c r="A62" s="34">
        <f>IF(B62="","",COUNTA($B$6:B62))</f>
        <v/>
      </c>
      <c r="B62" s="20" t="n"/>
      <c r="C62" s="23" t="n"/>
      <c r="D62" s="35" t="n"/>
      <c r="E62" s="20" t="n"/>
      <c r="F62" s="36" t="n"/>
      <c r="G62" s="36" t="n"/>
      <c r="H62" s="37">
        <f>F62*G62</f>
        <v/>
      </c>
      <c r="I62" s="38">
        <f>IF($H$106&gt;0,H62/$H$106,0)</f>
        <v/>
      </c>
    </row>
    <row r="63">
      <c r="A63" s="34">
        <f>IF(B63="","",COUNTA($B$6:B63))</f>
        <v/>
      </c>
      <c r="B63" s="20" t="n"/>
      <c r="C63" s="23" t="n"/>
      <c r="D63" s="35" t="n"/>
      <c r="E63" s="20" t="n"/>
      <c r="F63" s="36" t="n"/>
      <c r="G63" s="36" t="n"/>
      <c r="H63" s="37">
        <f>F63*G63</f>
        <v/>
      </c>
      <c r="I63" s="38">
        <f>IF($H$106&gt;0,H63/$H$106,0)</f>
        <v/>
      </c>
    </row>
    <row r="64">
      <c r="A64" s="34">
        <f>IF(B64="","",COUNTA($B$6:B64))</f>
        <v/>
      </c>
      <c r="B64" s="20" t="n"/>
      <c r="C64" s="23" t="n"/>
      <c r="D64" s="35" t="n"/>
      <c r="E64" s="20" t="n"/>
      <c r="F64" s="36" t="n"/>
      <c r="G64" s="36" t="n"/>
      <c r="H64" s="37">
        <f>F64*G64</f>
        <v/>
      </c>
      <c r="I64" s="38">
        <f>IF($H$106&gt;0,H64/$H$106,0)</f>
        <v/>
      </c>
    </row>
    <row r="65">
      <c r="A65" s="34">
        <f>IF(B65="","",COUNTA($B$6:B65))</f>
        <v/>
      </c>
      <c r="B65" s="20" t="n"/>
      <c r="C65" s="23" t="n"/>
      <c r="D65" s="35" t="n"/>
      <c r="E65" s="20" t="n"/>
      <c r="F65" s="36" t="n"/>
      <c r="G65" s="36" t="n"/>
      <c r="H65" s="37">
        <f>F65*G65</f>
        <v/>
      </c>
      <c r="I65" s="38">
        <f>IF($H$106&gt;0,H65/$H$106,0)</f>
        <v/>
      </c>
    </row>
    <row r="66">
      <c r="A66" s="34">
        <f>IF(B66="","",COUNTA($B$6:B66))</f>
        <v/>
      </c>
      <c r="B66" s="20" t="n"/>
      <c r="C66" s="23" t="n"/>
      <c r="D66" s="35" t="n"/>
      <c r="E66" s="20" t="n"/>
      <c r="F66" s="36" t="n"/>
      <c r="G66" s="36" t="n"/>
      <c r="H66" s="37">
        <f>F66*G66</f>
        <v/>
      </c>
      <c r="I66" s="38">
        <f>IF($H$106&gt;0,H66/$H$106,0)</f>
        <v/>
      </c>
    </row>
    <row r="67">
      <c r="A67" s="34">
        <f>IF(B67="","",COUNTA($B$6:B67))</f>
        <v/>
      </c>
      <c r="B67" s="20" t="n"/>
      <c r="C67" s="23" t="n"/>
      <c r="D67" s="35" t="n"/>
      <c r="E67" s="20" t="n"/>
      <c r="F67" s="36" t="n"/>
      <c r="G67" s="36" t="n"/>
      <c r="H67" s="37">
        <f>F67*G67</f>
        <v/>
      </c>
      <c r="I67" s="38">
        <f>IF($H$106&gt;0,H67/$H$106,0)</f>
        <v/>
      </c>
    </row>
    <row r="68">
      <c r="A68" s="34">
        <f>IF(B68="","",COUNTA($B$6:B68))</f>
        <v/>
      </c>
      <c r="B68" s="20" t="n"/>
      <c r="C68" s="23" t="n"/>
      <c r="D68" s="35" t="n"/>
      <c r="E68" s="20" t="n"/>
      <c r="F68" s="36" t="n"/>
      <c r="G68" s="36" t="n"/>
      <c r="H68" s="37">
        <f>F68*G68</f>
        <v/>
      </c>
      <c r="I68" s="38">
        <f>IF($H$106&gt;0,H68/$H$106,0)</f>
        <v/>
      </c>
    </row>
    <row r="69">
      <c r="A69" s="34">
        <f>IF(B69="","",COUNTA($B$6:B69))</f>
        <v/>
      </c>
      <c r="B69" s="20" t="n"/>
      <c r="C69" s="23" t="n"/>
      <c r="D69" s="35" t="n"/>
      <c r="E69" s="20" t="n"/>
      <c r="F69" s="36" t="n"/>
      <c r="G69" s="36" t="n"/>
      <c r="H69" s="37">
        <f>F69*G69</f>
        <v/>
      </c>
      <c r="I69" s="38">
        <f>IF($H$106&gt;0,H69/$H$106,0)</f>
        <v/>
      </c>
    </row>
    <row r="70">
      <c r="A70" s="34">
        <f>IF(B70="","",COUNTA($B$6:B70))</f>
        <v/>
      </c>
      <c r="B70" s="20" t="n"/>
      <c r="C70" s="23" t="n"/>
      <c r="D70" s="35" t="n"/>
      <c r="E70" s="20" t="n"/>
      <c r="F70" s="36" t="n"/>
      <c r="G70" s="36" t="n"/>
      <c r="H70" s="37">
        <f>F70*G70</f>
        <v/>
      </c>
      <c r="I70" s="38">
        <f>IF($H$106&gt;0,H70/$H$106,0)</f>
        <v/>
      </c>
    </row>
    <row r="71">
      <c r="A71" s="34">
        <f>IF(B71="","",COUNTA($B$6:B71))</f>
        <v/>
      </c>
      <c r="B71" s="20" t="n"/>
      <c r="C71" s="23" t="n"/>
      <c r="D71" s="35" t="n"/>
      <c r="E71" s="20" t="n"/>
      <c r="F71" s="36" t="n"/>
      <c r="G71" s="36" t="n"/>
      <c r="H71" s="37">
        <f>F71*G71</f>
        <v/>
      </c>
      <c r="I71" s="38">
        <f>IF($H$106&gt;0,H71/$H$106,0)</f>
        <v/>
      </c>
    </row>
    <row r="72">
      <c r="A72" s="34">
        <f>IF(B72="","",COUNTA($B$6:B72))</f>
        <v/>
      </c>
      <c r="B72" s="20" t="n"/>
      <c r="C72" s="23" t="n"/>
      <c r="D72" s="35" t="n"/>
      <c r="E72" s="20" t="n"/>
      <c r="F72" s="36" t="n"/>
      <c r="G72" s="36" t="n"/>
      <c r="H72" s="37">
        <f>F72*G72</f>
        <v/>
      </c>
      <c r="I72" s="38">
        <f>IF($H$106&gt;0,H72/$H$106,0)</f>
        <v/>
      </c>
    </row>
    <row r="73">
      <c r="A73" s="34">
        <f>IF(B73="","",COUNTA($B$6:B73))</f>
        <v/>
      </c>
      <c r="B73" s="20" t="n"/>
      <c r="C73" s="23" t="n"/>
      <c r="D73" s="35" t="n"/>
      <c r="E73" s="20" t="n"/>
      <c r="F73" s="36" t="n"/>
      <c r="G73" s="36" t="n"/>
      <c r="H73" s="37">
        <f>F73*G73</f>
        <v/>
      </c>
      <c r="I73" s="38">
        <f>IF($H$106&gt;0,H73/$H$106,0)</f>
        <v/>
      </c>
    </row>
    <row r="74">
      <c r="A74" s="34">
        <f>IF(B74="","",COUNTA($B$6:B74))</f>
        <v/>
      </c>
      <c r="B74" s="20" t="n"/>
      <c r="C74" s="23" t="n"/>
      <c r="D74" s="35" t="n"/>
      <c r="E74" s="20" t="n"/>
      <c r="F74" s="36" t="n"/>
      <c r="G74" s="36" t="n"/>
      <c r="H74" s="37">
        <f>F74*G74</f>
        <v/>
      </c>
      <c r="I74" s="38">
        <f>IF($H$106&gt;0,H74/$H$106,0)</f>
        <v/>
      </c>
    </row>
    <row r="75">
      <c r="A75" s="34">
        <f>IF(B75="","",COUNTA($B$6:B75))</f>
        <v/>
      </c>
      <c r="B75" s="20" t="n"/>
      <c r="C75" s="23" t="n"/>
      <c r="D75" s="35" t="n"/>
      <c r="E75" s="20" t="n"/>
      <c r="F75" s="36" t="n"/>
      <c r="G75" s="36" t="n"/>
      <c r="H75" s="37">
        <f>F75*G75</f>
        <v/>
      </c>
      <c r="I75" s="38">
        <f>IF($H$106&gt;0,H75/$H$106,0)</f>
        <v/>
      </c>
    </row>
    <row r="76">
      <c r="A76" s="34">
        <f>IF(B76="","",COUNTA($B$6:B76))</f>
        <v/>
      </c>
      <c r="B76" s="20" t="n"/>
      <c r="C76" s="23" t="n"/>
      <c r="D76" s="35" t="n"/>
      <c r="E76" s="20" t="n"/>
      <c r="F76" s="36" t="n"/>
      <c r="G76" s="36" t="n"/>
      <c r="H76" s="37">
        <f>F76*G76</f>
        <v/>
      </c>
      <c r="I76" s="38">
        <f>IF($H$106&gt;0,H76/$H$106,0)</f>
        <v/>
      </c>
    </row>
    <row r="77">
      <c r="A77" s="34">
        <f>IF(B77="","",COUNTA($B$6:B77))</f>
        <v/>
      </c>
      <c r="B77" s="20" t="n"/>
      <c r="C77" s="23" t="n"/>
      <c r="D77" s="35" t="n"/>
      <c r="E77" s="20" t="n"/>
      <c r="F77" s="36" t="n"/>
      <c r="G77" s="36" t="n"/>
      <c r="H77" s="37">
        <f>F77*G77</f>
        <v/>
      </c>
      <c r="I77" s="38">
        <f>IF($H$106&gt;0,H77/$H$106,0)</f>
        <v/>
      </c>
    </row>
    <row r="78">
      <c r="A78" s="34">
        <f>IF(B78="","",COUNTA($B$6:B78))</f>
        <v/>
      </c>
      <c r="B78" s="20" t="n"/>
      <c r="C78" s="23" t="n"/>
      <c r="D78" s="35" t="n"/>
      <c r="E78" s="20" t="n"/>
      <c r="F78" s="36" t="n"/>
      <c r="G78" s="36" t="n"/>
      <c r="H78" s="37">
        <f>F78*G78</f>
        <v/>
      </c>
      <c r="I78" s="38">
        <f>IF($H$106&gt;0,H78/$H$106,0)</f>
        <v/>
      </c>
    </row>
    <row r="79">
      <c r="A79" s="34">
        <f>IF(B79="","",COUNTA($B$6:B79))</f>
        <v/>
      </c>
      <c r="B79" s="20" t="n"/>
      <c r="C79" s="23" t="n"/>
      <c r="D79" s="35" t="n"/>
      <c r="E79" s="20" t="n"/>
      <c r="F79" s="36" t="n"/>
      <c r="G79" s="36" t="n"/>
      <c r="H79" s="37">
        <f>F79*G79</f>
        <v/>
      </c>
      <c r="I79" s="38">
        <f>IF($H$106&gt;0,H79/$H$106,0)</f>
        <v/>
      </c>
    </row>
    <row r="80">
      <c r="A80" s="34">
        <f>IF(B80="","",COUNTA($B$6:B80))</f>
        <v/>
      </c>
      <c r="B80" s="20" t="n"/>
      <c r="C80" s="23" t="n"/>
      <c r="D80" s="35" t="n"/>
      <c r="E80" s="20" t="n"/>
      <c r="F80" s="36" t="n"/>
      <c r="G80" s="36" t="n"/>
      <c r="H80" s="37">
        <f>F80*G80</f>
        <v/>
      </c>
      <c r="I80" s="38">
        <f>IF($H$106&gt;0,H80/$H$106,0)</f>
        <v/>
      </c>
    </row>
    <row r="81">
      <c r="A81" s="34">
        <f>IF(B81="","",COUNTA($B$6:B81))</f>
        <v/>
      </c>
      <c r="B81" s="20" t="n"/>
      <c r="C81" s="23" t="n"/>
      <c r="D81" s="35" t="n"/>
      <c r="E81" s="20" t="n"/>
      <c r="F81" s="36" t="n"/>
      <c r="G81" s="36" t="n"/>
      <c r="H81" s="37">
        <f>F81*G81</f>
        <v/>
      </c>
      <c r="I81" s="38">
        <f>IF($H$106&gt;0,H81/$H$106,0)</f>
        <v/>
      </c>
    </row>
    <row r="82">
      <c r="A82" s="34">
        <f>IF(B82="","",COUNTA($B$6:B82))</f>
        <v/>
      </c>
      <c r="B82" s="20" t="n"/>
      <c r="C82" s="23" t="n"/>
      <c r="D82" s="35" t="n"/>
      <c r="E82" s="20" t="n"/>
      <c r="F82" s="36" t="n"/>
      <c r="G82" s="36" t="n"/>
      <c r="H82" s="37">
        <f>F82*G82</f>
        <v/>
      </c>
      <c r="I82" s="38">
        <f>IF($H$106&gt;0,H82/$H$106,0)</f>
        <v/>
      </c>
    </row>
    <row r="83">
      <c r="A83" s="34">
        <f>IF(B83="","",COUNTA($B$6:B83))</f>
        <v/>
      </c>
      <c r="B83" s="20" t="n"/>
      <c r="C83" s="23" t="n"/>
      <c r="D83" s="35" t="n"/>
      <c r="E83" s="20" t="n"/>
      <c r="F83" s="36" t="n"/>
      <c r="G83" s="36" t="n"/>
      <c r="H83" s="37">
        <f>F83*G83</f>
        <v/>
      </c>
      <c r="I83" s="38">
        <f>IF($H$106&gt;0,H83/$H$106,0)</f>
        <v/>
      </c>
    </row>
    <row r="84">
      <c r="A84" s="34">
        <f>IF(B84="","",COUNTA($B$6:B84))</f>
        <v/>
      </c>
      <c r="B84" s="20" t="n"/>
      <c r="C84" s="23" t="n"/>
      <c r="D84" s="35" t="n"/>
      <c r="E84" s="20" t="n"/>
      <c r="F84" s="36" t="n"/>
      <c r="G84" s="36" t="n"/>
      <c r="H84" s="37">
        <f>F84*G84</f>
        <v/>
      </c>
      <c r="I84" s="38">
        <f>IF($H$106&gt;0,H84/$H$106,0)</f>
        <v/>
      </c>
    </row>
    <row r="85">
      <c r="A85" s="34">
        <f>IF(B85="","",COUNTA($B$6:B85))</f>
        <v/>
      </c>
      <c r="B85" s="20" t="n"/>
      <c r="C85" s="23" t="n"/>
      <c r="D85" s="35" t="n"/>
      <c r="E85" s="20" t="n"/>
      <c r="F85" s="36" t="n"/>
      <c r="G85" s="36" t="n"/>
      <c r="H85" s="37">
        <f>F85*G85</f>
        <v/>
      </c>
      <c r="I85" s="38">
        <f>IF($H$106&gt;0,H85/$H$106,0)</f>
        <v/>
      </c>
    </row>
    <row r="86">
      <c r="A86" s="34">
        <f>IF(B86="","",COUNTA($B$6:B86))</f>
        <v/>
      </c>
      <c r="B86" s="20" t="n"/>
      <c r="C86" s="23" t="n"/>
      <c r="D86" s="35" t="n"/>
      <c r="E86" s="20" t="n"/>
      <c r="F86" s="36" t="n"/>
      <c r="G86" s="36" t="n"/>
      <c r="H86" s="37">
        <f>F86*G86</f>
        <v/>
      </c>
      <c r="I86" s="38">
        <f>IF($H$106&gt;0,H86/$H$106,0)</f>
        <v/>
      </c>
    </row>
    <row r="87">
      <c r="A87" s="34">
        <f>IF(B87="","",COUNTA($B$6:B87))</f>
        <v/>
      </c>
      <c r="B87" s="20" t="n"/>
      <c r="C87" s="23" t="n"/>
      <c r="D87" s="35" t="n"/>
      <c r="E87" s="20" t="n"/>
      <c r="F87" s="36" t="n"/>
      <c r="G87" s="36" t="n"/>
      <c r="H87" s="37">
        <f>F87*G87</f>
        <v/>
      </c>
      <c r="I87" s="38">
        <f>IF($H$106&gt;0,H87/$H$106,0)</f>
        <v/>
      </c>
    </row>
    <row r="88">
      <c r="A88" s="34">
        <f>IF(B88="","",COUNTA($B$6:B88))</f>
        <v/>
      </c>
      <c r="B88" s="20" t="n"/>
      <c r="C88" s="23" t="n"/>
      <c r="D88" s="35" t="n"/>
      <c r="E88" s="20" t="n"/>
      <c r="F88" s="36" t="n"/>
      <c r="G88" s="36" t="n"/>
      <c r="H88" s="37">
        <f>F88*G88</f>
        <v/>
      </c>
      <c r="I88" s="38">
        <f>IF($H$106&gt;0,H88/$H$106,0)</f>
        <v/>
      </c>
    </row>
    <row r="89">
      <c r="A89" s="34">
        <f>IF(B89="","",COUNTA($B$6:B89))</f>
        <v/>
      </c>
      <c r="B89" s="20" t="n"/>
      <c r="C89" s="23" t="n"/>
      <c r="D89" s="35" t="n"/>
      <c r="E89" s="20" t="n"/>
      <c r="F89" s="36" t="n"/>
      <c r="G89" s="36" t="n"/>
      <c r="H89" s="37">
        <f>F89*G89</f>
        <v/>
      </c>
      <c r="I89" s="38">
        <f>IF($H$106&gt;0,H89/$H$106,0)</f>
        <v/>
      </c>
    </row>
    <row r="90">
      <c r="A90" s="34">
        <f>IF(B90="","",COUNTA($B$6:B90))</f>
        <v/>
      </c>
      <c r="B90" s="20" t="n"/>
      <c r="C90" s="23" t="n"/>
      <c r="D90" s="35" t="n"/>
      <c r="E90" s="20" t="n"/>
      <c r="F90" s="36" t="n"/>
      <c r="G90" s="36" t="n"/>
      <c r="H90" s="37">
        <f>F90*G90</f>
        <v/>
      </c>
      <c r="I90" s="38">
        <f>IF($H$106&gt;0,H90/$H$106,0)</f>
        <v/>
      </c>
    </row>
    <row r="91">
      <c r="A91" s="34">
        <f>IF(B91="","",COUNTA($B$6:B91))</f>
        <v/>
      </c>
      <c r="B91" s="20" t="n"/>
      <c r="C91" s="23" t="n"/>
      <c r="D91" s="35" t="n"/>
      <c r="E91" s="20" t="n"/>
      <c r="F91" s="36" t="n"/>
      <c r="G91" s="36" t="n"/>
      <c r="H91" s="37">
        <f>F91*G91</f>
        <v/>
      </c>
      <c r="I91" s="38">
        <f>IF($H$106&gt;0,H91/$H$106,0)</f>
        <v/>
      </c>
    </row>
    <row r="92">
      <c r="A92" s="34">
        <f>IF(B92="","",COUNTA($B$6:B92))</f>
        <v/>
      </c>
      <c r="B92" s="20" t="n"/>
      <c r="C92" s="23" t="n"/>
      <c r="D92" s="35" t="n"/>
      <c r="E92" s="20" t="n"/>
      <c r="F92" s="36" t="n"/>
      <c r="G92" s="36" t="n"/>
      <c r="H92" s="37">
        <f>F92*G92</f>
        <v/>
      </c>
      <c r="I92" s="38">
        <f>IF($H$106&gt;0,H92/$H$106,0)</f>
        <v/>
      </c>
    </row>
    <row r="93">
      <c r="A93" s="34">
        <f>IF(B93="","",COUNTA($B$6:B93))</f>
        <v/>
      </c>
      <c r="B93" s="20" t="n"/>
      <c r="C93" s="23" t="n"/>
      <c r="D93" s="35" t="n"/>
      <c r="E93" s="20" t="n"/>
      <c r="F93" s="36" t="n"/>
      <c r="G93" s="36" t="n"/>
      <c r="H93" s="37">
        <f>F93*G93</f>
        <v/>
      </c>
      <c r="I93" s="38">
        <f>IF($H$106&gt;0,H93/$H$106,0)</f>
        <v/>
      </c>
    </row>
    <row r="94">
      <c r="A94" s="34">
        <f>IF(B94="","",COUNTA($B$6:B94))</f>
        <v/>
      </c>
      <c r="B94" s="20" t="n"/>
      <c r="C94" s="23" t="n"/>
      <c r="D94" s="35" t="n"/>
      <c r="E94" s="20" t="n"/>
      <c r="F94" s="36" t="n"/>
      <c r="G94" s="36" t="n"/>
      <c r="H94" s="37">
        <f>F94*G94</f>
        <v/>
      </c>
      <c r="I94" s="38">
        <f>IF($H$106&gt;0,H94/$H$106,0)</f>
        <v/>
      </c>
    </row>
    <row r="95">
      <c r="A95" s="34">
        <f>IF(B95="","",COUNTA($B$6:B95))</f>
        <v/>
      </c>
      <c r="B95" s="20" t="n"/>
      <c r="C95" s="23" t="n"/>
      <c r="D95" s="35" t="n"/>
      <c r="E95" s="20" t="n"/>
      <c r="F95" s="36" t="n"/>
      <c r="G95" s="36" t="n"/>
      <c r="H95" s="37">
        <f>F95*G95</f>
        <v/>
      </c>
      <c r="I95" s="38">
        <f>IF($H$106&gt;0,H95/$H$106,0)</f>
        <v/>
      </c>
    </row>
    <row r="96">
      <c r="A96" s="34">
        <f>IF(B96="","",COUNTA($B$6:B96))</f>
        <v/>
      </c>
      <c r="B96" s="20" t="n"/>
      <c r="C96" s="23" t="n"/>
      <c r="D96" s="35" t="n"/>
      <c r="E96" s="20" t="n"/>
      <c r="F96" s="36" t="n"/>
      <c r="G96" s="36" t="n"/>
      <c r="H96" s="37">
        <f>F96*G96</f>
        <v/>
      </c>
      <c r="I96" s="38">
        <f>IF($H$106&gt;0,H96/$H$106,0)</f>
        <v/>
      </c>
    </row>
    <row r="97">
      <c r="A97" s="34">
        <f>IF(B97="","",COUNTA($B$6:B97))</f>
        <v/>
      </c>
      <c r="B97" s="20" t="n"/>
      <c r="C97" s="23" t="n"/>
      <c r="D97" s="35" t="n"/>
      <c r="E97" s="20" t="n"/>
      <c r="F97" s="36" t="n"/>
      <c r="G97" s="36" t="n"/>
      <c r="H97" s="37">
        <f>F97*G97</f>
        <v/>
      </c>
      <c r="I97" s="38">
        <f>IF($H$106&gt;0,H97/$H$106,0)</f>
        <v/>
      </c>
    </row>
    <row r="98">
      <c r="A98" s="34">
        <f>IF(B98="","",COUNTA($B$6:B98))</f>
        <v/>
      </c>
      <c r="B98" s="20" t="n"/>
      <c r="C98" s="23" t="n"/>
      <c r="D98" s="35" t="n"/>
      <c r="E98" s="20" t="n"/>
      <c r="F98" s="36" t="n"/>
      <c r="G98" s="36" t="n"/>
      <c r="H98" s="37">
        <f>F98*G98</f>
        <v/>
      </c>
      <c r="I98" s="38">
        <f>IF($H$106&gt;0,H98/$H$106,0)</f>
        <v/>
      </c>
    </row>
    <row r="99">
      <c r="A99" s="34">
        <f>IF(B99="","",COUNTA($B$6:B99))</f>
        <v/>
      </c>
      <c r="B99" s="20" t="n"/>
      <c r="C99" s="23" t="n"/>
      <c r="D99" s="35" t="n"/>
      <c r="E99" s="20" t="n"/>
      <c r="F99" s="36" t="n"/>
      <c r="G99" s="36" t="n"/>
      <c r="H99" s="37">
        <f>F99*G99</f>
        <v/>
      </c>
      <c r="I99" s="38">
        <f>IF($H$106&gt;0,H99/$H$106,0)</f>
        <v/>
      </c>
    </row>
    <row r="100">
      <c r="A100" s="34">
        <f>IF(B100="","",COUNTA($B$6:B100))</f>
        <v/>
      </c>
      <c r="B100" s="20" t="n"/>
      <c r="C100" s="23" t="n"/>
      <c r="D100" s="35" t="n"/>
      <c r="E100" s="20" t="n"/>
      <c r="F100" s="36" t="n"/>
      <c r="G100" s="36" t="n"/>
      <c r="H100" s="37">
        <f>F100*G100</f>
        <v/>
      </c>
      <c r="I100" s="38">
        <f>IF($H$106&gt;0,H100/$H$106,0)</f>
        <v/>
      </c>
    </row>
    <row r="101">
      <c r="A101" s="34">
        <f>IF(B101="","",COUNTA($B$6:B101))</f>
        <v/>
      </c>
      <c r="B101" s="20" t="n"/>
      <c r="C101" s="23" t="n"/>
      <c r="D101" s="35" t="n"/>
      <c r="E101" s="20" t="n"/>
      <c r="F101" s="36" t="n"/>
      <c r="G101" s="36" t="n"/>
      <c r="H101" s="37">
        <f>F101*G101</f>
        <v/>
      </c>
      <c r="I101" s="38">
        <f>IF($H$106&gt;0,H101/$H$106,0)</f>
        <v/>
      </c>
    </row>
    <row r="102">
      <c r="A102" s="34">
        <f>IF(B102="","",COUNTA($B$6:B102))</f>
        <v/>
      </c>
      <c r="B102" s="20" t="n"/>
      <c r="C102" s="23" t="n"/>
      <c r="D102" s="35" t="n"/>
      <c r="E102" s="20" t="n"/>
      <c r="F102" s="36" t="n"/>
      <c r="G102" s="36" t="n"/>
      <c r="H102" s="37">
        <f>F102*G102</f>
        <v/>
      </c>
      <c r="I102" s="38">
        <f>IF($H$106&gt;0,H102/$H$106,0)</f>
        <v/>
      </c>
    </row>
    <row r="103">
      <c r="A103" s="34">
        <f>IF(B103="","",COUNTA($B$6:B103))</f>
        <v/>
      </c>
      <c r="B103" s="20" t="n"/>
      <c r="C103" s="23" t="n"/>
      <c r="D103" s="35" t="n"/>
      <c r="E103" s="20" t="n"/>
      <c r="F103" s="36" t="n"/>
      <c r="G103" s="36" t="n"/>
      <c r="H103" s="37">
        <f>F103*G103</f>
        <v/>
      </c>
      <c r="I103" s="38">
        <f>IF($H$106&gt;0,H103/$H$106,0)</f>
        <v/>
      </c>
    </row>
    <row r="104">
      <c r="A104" s="34">
        <f>IF(B104="","",COUNTA($B$6:B104))</f>
        <v/>
      </c>
      <c r="B104" s="20" t="n"/>
      <c r="C104" s="23" t="n"/>
      <c r="D104" s="35" t="n"/>
      <c r="E104" s="20" t="n"/>
      <c r="F104" s="36" t="n"/>
      <c r="G104" s="36" t="n"/>
      <c r="H104" s="37">
        <f>F104*G104</f>
        <v/>
      </c>
      <c r="I104" s="38">
        <f>IF($H$106&gt;0,H104/$H$106,0)</f>
        <v/>
      </c>
    </row>
    <row r="105">
      <c r="A105" s="34">
        <f>IF(B105="","",COUNTA($B$6:B105))</f>
        <v/>
      </c>
      <c r="B105" s="20" t="n"/>
      <c r="C105" s="23" t="n"/>
      <c r="D105" s="35" t="n"/>
      <c r="E105" s="20" t="n"/>
      <c r="F105" s="36" t="n"/>
      <c r="G105" s="36" t="n"/>
      <c r="H105" s="37">
        <f>F105*G105</f>
        <v/>
      </c>
      <c r="I105" s="38">
        <f>IF($H$106&gt;0,H105/$H$106,0)</f>
        <v/>
      </c>
    </row>
    <row r="106">
      <c r="A106" s="39" t="inlineStr">
        <is>
          <t>إجمالي قيمة العقد الأصلية</t>
        </is>
      </c>
      <c r="B106" s="39" t="n"/>
      <c r="C106" s="39" t="n"/>
      <c r="D106" s="39" t="n"/>
      <c r="E106" s="39" t="n"/>
      <c r="F106" s="39" t="n"/>
      <c r="G106" s="39" t="n"/>
      <c r="H106" s="40">
        <f>SUM(H6:H105)</f>
        <v/>
      </c>
      <c r="I106" s="41">
        <f>SUM(I6:I105)</f>
        <v/>
      </c>
    </row>
  </sheetData>
  <autoFilter ref="A5:I105"/>
  <mergeCells count="4">
    <mergeCell ref="A1:I1"/>
    <mergeCell ref="A106:G106"/>
    <mergeCell ref="A4:I4"/>
    <mergeCell ref="A2:I2"/>
  </mergeCells>
  <conditionalFormatting sqref="I6:I105">
    <cfRule type="dataBar" priority="1">
      <dataBar>
        <cfvo type="num" val="0"/>
        <cfvo type="max"/>
        <color rgb="005B9BD5"/>
      </dataBar>
    </cfRule>
  </conditionalFormatting>
  <conditionalFormatting sqref="B6:B105">
    <cfRule type="expression" priority="2" dxfId="0">
      <formula>AND(B6&lt;&gt;"",COUNTIF($B$6:$B$105,B6)&gt;1)</formula>
    </cfRule>
  </conditionalFormatting>
  <dataValidations count="2">
    <dataValidation sqref="C6:C105" showDropDown="0" showInputMessage="0" showErrorMessage="1" allowBlank="1" errorTitle="قيمة غير مسموحة" error="من فضلك اختر قيمة من القائمة المنسدلة." type="list">
      <formula1>=L_Sections</formula1>
    </dataValidation>
    <dataValidation sqref="F6:G105" showDropDown="0" showInputMessage="0" showErrorMessage="1" allowBlank="1" errorTitle="قيمة غير صحيحة" error="أدخل رقماً صحيحاً ضمن الحدود المسموحة." type="decimal" operator="greaterThanOrEqual">
      <formula1>0</formula1>
    </dataValidation>
  </dataValidations>
  <hyperlinks>
    <hyperlink ref="A3" location="'سجل المستخلصات'!A1" display="🗂 سجل المستخلصات"/>
    <hyperlink ref="B3" location="'بيانات العقد'!A1" display="⚙ بيانات العقد"/>
    <hyperlink ref="C3" location="'الأوامر التغييرية'!A1" display="🔁 التغييرية"/>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4.xml><?xml version="1.0" encoding="utf-8"?>
<worksheet xmlns="http://schemas.openxmlformats.org/spreadsheetml/2006/main">
  <sheetPr>
    <tabColor rgb="007B4F9D"/>
    <outlinePr summaryBelow="1" summaryRight="1"/>
    <pageSetUpPr fitToPage="1"/>
  </sheetPr>
  <dimension ref="A1:L5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48" customWidth="1" min="4" max="4"/>
    <col width="9" customWidth="1" min="5" max="5"/>
    <col width="16" customWidth="1" min="6" max="6"/>
    <col width="16" customWidth="1" min="7" max="7"/>
    <col width="13" customWidth="1" min="8" max="8"/>
    <col width="16" customWidth="1" min="9" max="9"/>
    <col width="16" customWidth="1" min="10" max="10"/>
    <col width="12" customWidth="1" min="11" max="11"/>
    <col width="30" customWidth="1" min="12" max="12"/>
  </cols>
  <sheetData>
    <row r="1" ht="38" customHeight="1">
      <c r="A1" s="1" t="inlineStr">
        <is>
          <t>🔁 سجل الأوامر التغييرية (Variation Orders)</t>
        </is>
      </c>
      <c r="B1" s="1" t="n"/>
      <c r="C1" s="1" t="n"/>
      <c r="D1" s="1" t="n"/>
      <c r="E1" s="1" t="n"/>
      <c r="F1" s="1" t="n"/>
      <c r="G1" s="1" t="n"/>
      <c r="H1" s="1" t="n"/>
      <c r="I1" s="1" t="n"/>
      <c r="J1" s="1" t="n"/>
      <c r="K1" s="1" t="n"/>
      <c r="L1" s="1" t="n"/>
    </row>
    <row r="2" ht="20" customHeight="1">
      <c r="A2" s="2">
        <f>IF('بيانات العقد'!$C$5="","مشروع رقم 10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row>
    <row r="3" ht="26" customHeight="1">
      <c r="A3" s="3" t="inlineStr">
        <is>
          <t>🗂 سجل المستخلصات</t>
        </is>
      </c>
      <c r="B3" s="16" t="inlineStr">
        <is>
          <t>⚙ بيانات العقد</t>
        </is>
      </c>
      <c r="C3" s="16" t="inlineStr">
        <is>
          <t>📋 جدول الكميات</t>
        </is>
      </c>
      <c r="D3" s="16" t="inlineStr">
        <is>
          <t>✂ الاستقطاعات</t>
        </is>
      </c>
      <c r="F3" s="17" t="inlineStr">
        <is>
          <t>💰 الموازنة</t>
        </is>
      </c>
      <c r="G3" s="4" t="inlineStr">
        <is>
          <t>🧾 مستخلص 01</t>
        </is>
      </c>
    </row>
    <row r="4" ht="28" customHeight="1">
      <c r="A4" s="42" t="inlineStr">
        <is>
          <t>«قيمة الأمر» تعدّل قيمة العقد عند الاعتماد — «القيمة المدرجة» تُصرف في المستخلص المحدد (للصرف على دفعات: كرر الأمر في سطر جديد بقيمة أمر = 0 ومستخلص مختلف).</t>
        </is>
      </c>
      <c r="B4" s="42" t="n"/>
      <c r="C4" s="42" t="n"/>
      <c r="D4" s="42" t="n"/>
      <c r="E4" s="42" t="n"/>
      <c r="F4" s="42" t="n"/>
      <c r="G4" s="42" t="n"/>
      <c r="H4" s="42" t="n"/>
      <c r="I4" s="42" t="n"/>
      <c r="J4" s="42" t="n"/>
      <c r="K4" s="42" t="n"/>
      <c r="L4" s="42" t="n"/>
    </row>
    <row r="5" ht="40" customHeight="1">
      <c r="A5" s="18" t="inlineStr">
        <is>
          <t>م</t>
        </is>
      </c>
      <c r="B5" s="18" t="inlineStr">
        <is>
          <t>رقم الأمر</t>
        </is>
      </c>
      <c r="C5" s="18" t="inlineStr">
        <is>
          <t>تاريخ الأمر</t>
        </is>
      </c>
      <c r="D5" s="18" t="inlineStr">
        <is>
          <t>وصف الأمر التغييري</t>
        </is>
      </c>
      <c r="E5" s="18" t="inlineStr">
        <is>
          <t>النوع</t>
        </is>
      </c>
      <c r="F5" s="18" t="inlineStr">
        <is>
          <t>قيمة الأمر</t>
        </is>
      </c>
      <c r="G5" s="18" t="inlineStr">
        <is>
          <t>الأثر على العقد (±)</t>
        </is>
      </c>
      <c r="H5" s="18" t="inlineStr">
        <is>
          <t>الحالة</t>
        </is>
      </c>
      <c r="I5" s="18" t="inlineStr">
        <is>
          <t>القيمة المدرجة بالمستخلص</t>
        </is>
      </c>
      <c r="J5" s="18" t="inlineStr">
        <is>
          <t>الأثر على المستخلص (±)</t>
        </is>
      </c>
      <c r="K5" s="18" t="inlineStr">
        <is>
          <t>رقم المستخلص المدرج به</t>
        </is>
      </c>
      <c r="L5" s="18" t="inlineStr">
        <is>
          <t>ملاحظات</t>
        </is>
      </c>
    </row>
    <row r="6">
      <c r="A6" s="34">
        <f>IF(B6="","",COUNTA($B$6:B6))</f>
        <v/>
      </c>
      <c r="B6" s="20" t="n"/>
      <c r="C6" s="24" t="n"/>
      <c r="D6" s="35" t="n"/>
      <c r="E6" s="20" t="n"/>
      <c r="F6" s="43" t="n"/>
      <c r="G6" s="44">
        <f>IF(E6="خصم",-1,1)*N(F6)</f>
        <v/>
      </c>
      <c r="H6" s="20" t="n"/>
      <c r="I6" s="43" t="n"/>
      <c r="J6" s="44">
        <f>IF(E6="خصم",-1,1)*N(I6)</f>
        <v/>
      </c>
      <c r="K6" s="25" t="n"/>
      <c r="L6" s="45" t="n"/>
    </row>
    <row r="7">
      <c r="A7" s="34">
        <f>IF(B7="","",COUNTA($B$6:B7))</f>
        <v/>
      </c>
      <c r="B7" s="20" t="n"/>
      <c r="C7" s="24" t="n"/>
      <c r="D7" s="35" t="n"/>
      <c r="E7" s="20" t="n"/>
      <c r="F7" s="43" t="n"/>
      <c r="G7" s="44">
        <f>IF(E7="خصم",-1,1)*N(F7)</f>
        <v/>
      </c>
      <c r="H7" s="20" t="n"/>
      <c r="I7" s="43" t="n"/>
      <c r="J7" s="44">
        <f>IF(E7="خصم",-1,1)*N(I7)</f>
        <v/>
      </c>
      <c r="K7" s="25" t="n"/>
      <c r="L7" s="45" t="n"/>
    </row>
    <row r="8">
      <c r="A8" s="34">
        <f>IF(B8="","",COUNTA($B$6:B8))</f>
        <v/>
      </c>
      <c r="B8" s="20" t="n"/>
      <c r="C8" s="24" t="n"/>
      <c r="D8" s="35" t="n"/>
      <c r="E8" s="20" t="n"/>
      <c r="F8" s="43" t="n"/>
      <c r="G8" s="44">
        <f>IF(E8="خصم",-1,1)*N(F8)</f>
        <v/>
      </c>
      <c r="H8" s="20" t="n"/>
      <c r="I8" s="43" t="n"/>
      <c r="J8" s="44">
        <f>IF(E8="خصم",-1,1)*N(I8)</f>
        <v/>
      </c>
      <c r="K8" s="25" t="n"/>
      <c r="L8" s="45" t="n"/>
    </row>
    <row r="9">
      <c r="A9" s="34">
        <f>IF(B9="","",COUNTA($B$6:B9))</f>
        <v/>
      </c>
      <c r="B9" s="20" t="n"/>
      <c r="C9" s="24" t="n"/>
      <c r="D9" s="35" t="n"/>
      <c r="E9" s="20" t="n"/>
      <c r="F9" s="43" t="n"/>
      <c r="G9" s="44">
        <f>IF(E9="خصم",-1,1)*N(F9)</f>
        <v/>
      </c>
      <c r="H9" s="20" t="n"/>
      <c r="I9" s="43" t="n"/>
      <c r="J9" s="44">
        <f>IF(E9="خصم",-1,1)*N(I9)</f>
        <v/>
      </c>
      <c r="K9" s="25" t="n"/>
      <c r="L9" s="45" t="n"/>
    </row>
    <row r="10">
      <c r="A10" s="34">
        <f>IF(B10="","",COUNTA($B$6:B10))</f>
        <v/>
      </c>
      <c r="B10" s="20" t="n"/>
      <c r="C10" s="24" t="n"/>
      <c r="D10" s="35" t="n"/>
      <c r="E10" s="20" t="n"/>
      <c r="F10" s="43" t="n"/>
      <c r="G10" s="44">
        <f>IF(E10="خصم",-1,1)*N(F10)</f>
        <v/>
      </c>
      <c r="H10" s="20" t="n"/>
      <c r="I10" s="43" t="n"/>
      <c r="J10" s="44">
        <f>IF(E10="خصم",-1,1)*N(I10)</f>
        <v/>
      </c>
      <c r="K10" s="25" t="n"/>
      <c r="L10" s="45" t="n"/>
    </row>
    <row r="11">
      <c r="A11" s="34">
        <f>IF(B11="","",COUNTA($B$6:B11))</f>
        <v/>
      </c>
      <c r="B11" s="20" t="n"/>
      <c r="C11" s="24" t="n"/>
      <c r="D11" s="35" t="n"/>
      <c r="E11" s="20" t="n"/>
      <c r="F11" s="43" t="n"/>
      <c r="G11" s="44">
        <f>IF(E11="خصم",-1,1)*N(F11)</f>
        <v/>
      </c>
      <c r="H11" s="20" t="n"/>
      <c r="I11" s="43" t="n"/>
      <c r="J11" s="44">
        <f>IF(E11="خصم",-1,1)*N(I11)</f>
        <v/>
      </c>
      <c r="K11" s="25" t="n"/>
      <c r="L11" s="45" t="n"/>
    </row>
    <row r="12">
      <c r="A12" s="34">
        <f>IF(B12="","",COUNTA($B$6:B12))</f>
        <v/>
      </c>
      <c r="B12" s="20" t="n"/>
      <c r="C12" s="24" t="n"/>
      <c r="D12" s="35" t="n"/>
      <c r="E12" s="20" t="n"/>
      <c r="F12" s="43" t="n"/>
      <c r="G12" s="44">
        <f>IF(E12="خصم",-1,1)*N(F12)</f>
        <v/>
      </c>
      <c r="H12" s="20" t="n"/>
      <c r="I12" s="43" t="n"/>
      <c r="J12" s="44">
        <f>IF(E12="خصم",-1,1)*N(I12)</f>
        <v/>
      </c>
      <c r="K12" s="25" t="n"/>
      <c r="L12" s="45" t="n"/>
    </row>
    <row r="13">
      <c r="A13" s="34">
        <f>IF(B13="","",COUNTA($B$6:B13))</f>
        <v/>
      </c>
      <c r="B13" s="20" t="n"/>
      <c r="C13" s="24" t="n"/>
      <c r="D13" s="35" t="n"/>
      <c r="E13" s="20" t="n"/>
      <c r="F13" s="43" t="n"/>
      <c r="G13" s="44">
        <f>IF(E13="خصم",-1,1)*N(F13)</f>
        <v/>
      </c>
      <c r="H13" s="20" t="n"/>
      <c r="I13" s="43" t="n"/>
      <c r="J13" s="44">
        <f>IF(E13="خصم",-1,1)*N(I13)</f>
        <v/>
      </c>
      <c r="K13" s="25" t="n"/>
      <c r="L13" s="45" t="n"/>
    </row>
    <row r="14">
      <c r="A14" s="34">
        <f>IF(B14="","",COUNTA($B$6:B14))</f>
        <v/>
      </c>
      <c r="B14" s="20" t="n"/>
      <c r="C14" s="24" t="n"/>
      <c r="D14" s="35" t="n"/>
      <c r="E14" s="20" t="n"/>
      <c r="F14" s="43" t="n"/>
      <c r="G14" s="44">
        <f>IF(E14="خصم",-1,1)*N(F14)</f>
        <v/>
      </c>
      <c r="H14" s="20" t="n"/>
      <c r="I14" s="43" t="n"/>
      <c r="J14" s="44">
        <f>IF(E14="خصم",-1,1)*N(I14)</f>
        <v/>
      </c>
      <c r="K14" s="25" t="n"/>
      <c r="L14" s="45" t="n"/>
    </row>
    <row r="15">
      <c r="A15" s="34">
        <f>IF(B15="","",COUNTA($B$6:B15))</f>
        <v/>
      </c>
      <c r="B15" s="20" t="n"/>
      <c r="C15" s="24" t="n"/>
      <c r="D15" s="35" t="n"/>
      <c r="E15" s="20" t="n"/>
      <c r="F15" s="43" t="n"/>
      <c r="G15" s="44">
        <f>IF(E15="خصم",-1,1)*N(F15)</f>
        <v/>
      </c>
      <c r="H15" s="20" t="n"/>
      <c r="I15" s="43" t="n"/>
      <c r="J15" s="44">
        <f>IF(E15="خصم",-1,1)*N(I15)</f>
        <v/>
      </c>
      <c r="K15" s="25" t="n"/>
      <c r="L15" s="45" t="n"/>
    </row>
    <row r="16">
      <c r="A16" s="34">
        <f>IF(B16="","",COUNTA($B$6:B16))</f>
        <v/>
      </c>
      <c r="B16" s="20" t="n"/>
      <c r="C16" s="24" t="n"/>
      <c r="D16" s="35" t="n"/>
      <c r="E16" s="20" t="n"/>
      <c r="F16" s="43" t="n"/>
      <c r="G16" s="44">
        <f>IF(E16="خصم",-1,1)*N(F16)</f>
        <v/>
      </c>
      <c r="H16" s="20" t="n"/>
      <c r="I16" s="43" t="n"/>
      <c r="J16" s="44">
        <f>IF(E16="خصم",-1,1)*N(I16)</f>
        <v/>
      </c>
      <c r="K16" s="25" t="n"/>
      <c r="L16" s="45" t="n"/>
    </row>
    <row r="17">
      <c r="A17" s="34">
        <f>IF(B17="","",COUNTA($B$6:B17))</f>
        <v/>
      </c>
      <c r="B17" s="20" t="n"/>
      <c r="C17" s="24" t="n"/>
      <c r="D17" s="35" t="n"/>
      <c r="E17" s="20" t="n"/>
      <c r="F17" s="43" t="n"/>
      <c r="G17" s="44">
        <f>IF(E17="خصم",-1,1)*N(F17)</f>
        <v/>
      </c>
      <c r="H17" s="20" t="n"/>
      <c r="I17" s="43" t="n"/>
      <c r="J17" s="44">
        <f>IF(E17="خصم",-1,1)*N(I17)</f>
        <v/>
      </c>
      <c r="K17" s="25" t="n"/>
      <c r="L17" s="45" t="n"/>
    </row>
    <row r="18">
      <c r="A18" s="34">
        <f>IF(B18="","",COUNTA($B$6:B18))</f>
        <v/>
      </c>
      <c r="B18" s="20" t="n"/>
      <c r="C18" s="24" t="n"/>
      <c r="D18" s="35" t="n"/>
      <c r="E18" s="20" t="n"/>
      <c r="F18" s="43" t="n"/>
      <c r="G18" s="44">
        <f>IF(E18="خصم",-1,1)*N(F18)</f>
        <v/>
      </c>
      <c r="H18" s="20" t="n"/>
      <c r="I18" s="43" t="n"/>
      <c r="J18" s="44">
        <f>IF(E18="خصم",-1,1)*N(I18)</f>
        <v/>
      </c>
      <c r="K18" s="25" t="n"/>
      <c r="L18" s="45" t="n"/>
    </row>
    <row r="19">
      <c r="A19" s="34">
        <f>IF(B19="","",COUNTA($B$6:B19))</f>
        <v/>
      </c>
      <c r="B19" s="20" t="n"/>
      <c r="C19" s="24" t="n"/>
      <c r="D19" s="35" t="n"/>
      <c r="E19" s="20" t="n"/>
      <c r="F19" s="43" t="n"/>
      <c r="G19" s="44">
        <f>IF(E19="خصم",-1,1)*N(F19)</f>
        <v/>
      </c>
      <c r="H19" s="20" t="n"/>
      <c r="I19" s="43" t="n"/>
      <c r="J19" s="44">
        <f>IF(E19="خصم",-1,1)*N(I19)</f>
        <v/>
      </c>
      <c r="K19" s="25" t="n"/>
      <c r="L19" s="45" t="n"/>
    </row>
    <row r="20">
      <c r="A20" s="34">
        <f>IF(B20="","",COUNTA($B$6:B20))</f>
        <v/>
      </c>
      <c r="B20" s="20" t="n"/>
      <c r="C20" s="24" t="n"/>
      <c r="D20" s="35" t="n"/>
      <c r="E20" s="20" t="n"/>
      <c r="F20" s="43" t="n"/>
      <c r="G20" s="44">
        <f>IF(E20="خصم",-1,1)*N(F20)</f>
        <v/>
      </c>
      <c r="H20" s="20" t="n"/>
      <c r="I20" s="43" t="n"/>
      <c r="J20" s="44">
        <f>IF(E20="خصم",-1,1)*N(I20)</f>
        <v/>
      </c>
      <c r="K20" s="25" t="n"/>
      <c r="L20" s="45" t="n"/>
    </row>
    <row r="21">
      <c r="A21" s="34">
        <f>IF(B21="","",COUNTA($B$6:B21))</f>
        <v/>
      </c>
      <c r="B21" s="20" t="n"/>
      <c r="C21" s="24" t="n"/>
      <c r="D21" s="35" t="n"/>
      <c r="E21" s="20" t="n"/>
      <c r="F21" s="43" t="n"/>
      <c r="G21" s="44">
        <f>IF(E21="خصم",-1,1)*N(F21)</f>
        <v/>
      </c>
      <c r="H21" s="20" t="n"/>
      <c r="I21" s="43" t="n"/>
      <c r="J21" s="44">
        <f>IF(E21="خصم",-1,1)*N(I21)</f>
        <v/>
      </c>
      <c r="K21" s="25" t="n"/>
      <c r="L21" s="45" t="n"/>
    </row>
    <row r="22">
      <c r="A22" s="34">
        <f>IF(B22="","",COUNTA($B$6:B22))</f>
        <v/>
      </c>
      <c r="B22" s="20" t="n"/>
      <c r="C22" s="24" t="n"/>
      <c r="D22" s="35" t="n"/>
      <c r="E22" s="20" t="n"/>
      <c r="F22" s="43" t="n"/>
      <c r="G22" s="44">
        <f>IF(E22="خصم",-1,1)*N(F22)</f>
        <v/>
      </c>
      <c r="H22" s="20" t="n"/>
      <c r="I22" s="43" t="n"/>
      <c r="J22" s="44">
        <f>IF(E22="خصم",-1,1)*N(I22)</f>
        <v/>
      </c>
      <c r="K22" s="25" t="n"/>
      <c r="L22" s="45" t="n"/>
    </row>
    <row r="23">
      <c r="A23" s="34">
        <f>IF(B23="","",COUNTA($B$6:B23))</f>
        <v/>
      </c>
      <c r="B23" s="20" t="n"/>
      <c r="C23" s="24" t="n"/>
      <c r="D23" s="35" t="n"/>
      <c r="E23" s="20" t="n"/>
      <c r="F23" s="43" t="n"/>
      <c r="G23" s="44">
        <f>IF(E23="خصم",-1,1)*N(F23)</f>
        <v/>
      </c>
      <c r="H23" s="20" t="n"/>
      <c r="I23" s="43" t="n"/>
      <c r="J23" s="44">
        <f>IF(E23="خصم",-1,1)*N(I23)</f>
        <v/>
      </c>
      <c r="K23" s="25" t="n"/>
      <c r="L23" s="45" t="n"/>
    </row>
    <row r="24">
      <c r="A24" s="34">
        <f>IF(B24="","",COUNTA($B$6:B24))</f>
        <v/>
      </c>
      <c r="B24" s="20" t="n"/>
      <c r="C24" s="24" t="n"/>
      <c r="D24" s="35" t="n"/>
      <c r="E24" s="20" t="n"/>
      <c r="F24" s="43" t="n"/>
      <c r="G24" s="44">
        <f>IF(E24="خصم",-1,1)*N(F24)</f>
        <v/>
      </c>
      <c r="H24" s="20" t="n"/>
      <c r="I24" s="43" t="n"/>
      <c r="J24" s="44">
        <f>IF(E24="خصم",-1,1)*N(I24)</f>
        <v/>
      </c>
      <c r="K24" s="25" t="n"/>
      <c r="L24" s="45" t="n"/>
    </row>
    <row r="25">
      <c r="A25" s="34">
        <f>IF(B25="","",COUNTA($B$6:B25))</f>
        <v/>
      </c>
      <c r="B25" s="20" t="n"/>
      <c r="C25" s="24" t="n"/>
      <c r="D25" s="35" t="n"/>
      <c r="E25" s="20" t="n"/>
      <c r="F25" s="43" t="n"/>
      <c r="G25" s="44">
        <f>IF(E25="خصم",-1,1)*N(F25)</f>
        <v/>
      </c>
      <c r="H25" s="20" t="n"/>
      <c r="I25" s="43" t="n"/>
      <c r="J25" s="44">
        <f>IF(E25="خصم",-1,1)*N(I25)</f>
        <v/>
      </c>
      <c r="K25" s="25" t="n"/>
      <c r="L25" s="45" t="n"/>
    </row>
    <row r="26">
      <c r="A26" s="34">
        <f>IF(B26="","",COUNTA($B$6:B26))</f>
        <v/>
      </c>
      <c r="B26" s="20" t="n"/>
      <c r="C26" s="24" t="n"/>
      <c r="D26" s="35" t="n"/>
      <c r="E26" s="20" t="n"/>
      <c r="F26" s="43" t="n"/>
      <c r="G26" s="44">
        <f>IF(E26="خصم",-1,1)*N(F26)</f>
        <v/>
      </c>
      <c r="H26" s="20" t="n"/>
      <c r="I26" s="43" t="n"/>
      <c r="J26" s="44">
        <f>IF(E26="خصم",-1,1)*N(I26)</f>
        <v/>
      </c>
      <c r="K26" s="25" t="n"/>
      <c r="L26" s="45" t="n"/>
    </row>
    <row r="27">
      <c r="A27" s="34">
        <f>IF(B27="","",COUNTA($B$6:B27))</f>
        <v/>
      </c>
      <c r="B27" s="20" t="n"/>
      <c r="C27" s="24" t="n"/>
      <c r="D27" s="35" t="n"/>
      <c r="E27" s="20" t="n"/>
      <c r="F27" s="43" t="n"/>
      <c r="G27" s="44">
        <f>IF(E27="خصم",-1,1)*N(F27)</f>
        <v/>
      </c>
      <c r="H27" s="20" t="n"/>
      <c r="I27" s="43" t="n"/>
      <c r="J27" s="44">
        <f>IF(E27="خصم",-1,1)*N(I27)</f>
        <v/>
      </c>
      <c r="K27" s="25" t="n"/>
      <c r="L27" s="45" t="n"/>
    </row>
    <row r="28">
      <c r="A28" s="34">
        <f>IF(B28="","",COUNTA($B$6:B28))</f>
        <v/>
      </c>
      <c r="B28" s="20" t="n"/>
      <c r="C28" s="24" t="n"/>
      <c r="D28" s="35" t="n"/>
      <c r="E28" s="20" t="n"/>
      <c r="F28" s="43" t="n"/>
      <c r="G28" s="44">
        <f>IF(E28="خصم",-1,1)*N(F28)</f>
        <v/>
      </c>
      <c r="H28" s="20" t="n"/>
      <c r="I28" s="43" t="n"/>
      <c r="J28" s="44">
        <f>IF(E28="خصم",-1,1)*N(I28)</f>
        <v/>
      </c>
      <c r="K28" s="25" t="n"/>
      <c r="L28" s="45" t="n"/>
    </row>
    <row r="29">
      <c r="A29" s="34">
        <f>IF(B29="","",COUNTA($B$6:B29))</f>
        <v/>
      </c>
      <c r="B29" s="20" t="n"/>
      <c r="C29" s="24" t="n"/>
      <c r="D29" s="35" t="n"/>
      <c r="E29" s="20" t="n"/>
      <c r="F29" s="43" t="n"/>
      <c r="G29" s="44">
        <f>IF(E29="خصم",-1,1)*N(F29)</f>
        <v/>
      </c>
      <c r="H29" s="20" t="n"/>
      <c r="I29" s="43" t="n"/>
      <c r="J29" s="44">
        <f>IF(E29="خصم",-1,1)*N(I29)</f>
        <v/>
      </c>
      <c r="K29" s="25" t="n"/>
      <c r="L29" s="45" t="n"/>
    </row>
    <row r="30">
      <c r="A30" s="34">
        <f>IF(B30="","",COUNTA($B$6:B30))</f>
        <v/>
      </c>
      <c r="B30" s="20" t="n"/>
      <c r="C30" s="24" t="n"/>
      <c r="D30" s="35" t="n"/>
      <c r="E30" s="20" t="n"/>
      <c r="F30" s="43" t="n"/>
      <c r="G30" s="44">
        <f>IF(E30="خصم",-1,1)*N(F30)</f>
        <v/>
      </c>
      <c r="H30" s="20" t="n"/>
      <c r="I30" s="43" t="n"/>
      <c r="J30" s="44">
        <f>IF(E30="خصم",-1,1)*N(I30)</f>
        <v/>
      </c>
      <c r="K30" s="25" t="n"/>
      <c r="L30" s="45" t="n"/>
    </row>
    <row r="31">
      <c r="A31" s="34">
        <f>IF(B31="","",COUNTA($B$6:B31))</f>
        <v/>
      </c>
      <c r="B31" s="20" t="n"/>
      <c r="C31" s="24" t="n"/>
      <c r="D31" s="35" t="n"/>
      <c r="E31" s="20" t="n"/>
      <c r="F31" s="43" t="n"/>
      <c r="G31" s="44">
        <f>IF(E31="خصم",-1,1)*N(F31)</f>
        <v/>
      </c>
      <c r="H31" s="20" t="n"/>
      <c r="I31" s="43" t="n"/>
      <c r="J31" s="44">
        <f>IF(E31="خصم",-1,1)*N(I31)</f>
        <v/>
      </c>
      <c r="K31" s="25" t="n"/>
      <c r="L31" s="45" t="n"/>
    </row>
    <row r="32">
      <c r="A32" s="34">
        <f>IF(B32="","",COUNTA($B$6:B32))</f>
        <v/>
      </c>
      <c r="B32" s="20" t="n"/>
      <c r="C32" s="24" t="n"/>
      <c r="D32" s="35" t="n"/>
      <c r="E32" s="20" t="n"/>
      <c r="F32" s="43" t="n"/>
      <c r="G32" s="44">
        <f>IF(E32="خصم",-1,1)*N(F32)</f>
        <v/>
      </c>
      <c r="H32" s="20" t="n"/>
      <c r="I32" s="43" t="n"/>
      <c r="J32" s="44">
        <f>IF(E32="خصم",-1,1)*N(I32)</f>
        <v/>
      </c>
      <c r="K32" s="25" t="n"/>
      <c r="L32" s="45" t="n"/>
    </row>
    <row r="33">
      <c r="A33" s="34">
        <f>IF(B33="","",COUNTA($B$6:B33))</f>
        <v/>
      </c>
      <c r="B33" s="20" t="n"/>
      <c r="C33" s="24" t="n"/>
      <c r="D33" s="35" t="n"/>
      <c r="E33" s="20" t="n"/>
      <c r="F33" s="43" t="n"/>
      <c r="G33" s="44">
        <f>IF(E33="خصم",-1,1)*N(F33)</f>
        <v/>
      </c>
      <c r="H33" s="20" t="n"/>
      <c r="I33" s="43" t="n"/>
      <c r="J33" s="44">
        <f>IF(E33="خصم",-1,1)*N(I33)</f>
        <v/>
      </c>
      <c r="K33" s="25" t="n"/>
      <c r="L33" s="45" t="n"/>
    </row>
    <row r="34">
      <c r="A34" s="34">
        <f>IF(B34="","",COUNTA($B$6:B34))</f>
        <v/>
      </c>
      <c r="B34" s="20" t="n"/>
      <c r="C34" s="24" t="n"/>
      <c r="D34" s="35" t="n"/>
      <c r="E34" s="20" t="n"/>
      <c r="F34" s="43" t="n"/>
      <c r="G34" s="44">
        <f>IF(E34="خصم",-1,1)*N(F34)</f>
        <v/>
      </c>
      <c r="H34" s="20" t="n"/>
      <c r="I34" s="43" t="n"/>
      <c r="J34" s="44">
        <f>IF(E34="خصم",-1,1)*N(I34)</f>
        <v/>
      </c>
      <c r="K34" s="25" t="n"/>
      <c r="L34" s="45" t="n"/>
    </row>
    <row r="35">
      <c r="A35" s="34">
        <f>IF(B35="","",COUNTA($B$6:B35))</f>
        <v/>
      </c>
      <c r="B35" s="20" t="n"/>
      <c r="C35" s="24" t="n"/>
      <c r="D35" s="35" t="n"/>
      <c r="E35" s="20" t="n"/>
      <c r="F35" s="43" t="n"/>
      <c r="G35" s="44">
        <f>IF(E35="خصم",-1,1)*N(F35)</f>
        <v/>
      </c>
      <c r="H35" s="20" t="n"/>
      <c r="I35" s="43" t="n"/>
      <c r="J35" s="44">
        <f>IF(E35="خصم",-1,1)*N(I35)</f>
        <v/>
      </c>
      <c r="K35" s="25" t="n"/>
      <c r="L35" s="45" t="n"/>
    </row>
    <row r="36">
      <c r="A36" s="34">
        <f>IF(B36="","",COUNTA($B$6:B36))</f>
        <v/>
      </c>
      <c r="B36" s="20" t="n"/>
      <c r="C36" s="24" t="n"/>
      <c r="D36" s="35" t="n"/>
      <c r="E36" s="20" t="n"/>
      <c r="F36" s="43" t="n"/>
      <c r="G36" s="44">
        <f>IF(E36="خصم",-1,1)*N(F36)</f>
        <v/>
      </c>
      <c r="H36" s="20" t="n"/>
      <c r="I36" s="43" t="n"/>
      <c r="J36" s="44">
        <f>IF(E36="خصم",-1,1)*N(I36)</f>
        <v/>
      </c>
      <c r="K36" s="25" t="n"/>
      <c r="L36" s="45" t="n"/>
    </row>
    <row r="37">
      <c r="A37" s="34">
        <f>IF(B37="","",COUNTA($B$6:B37))</f>
        <v/>
      </c>
      <c r="B37" s="20" t="n"/>
      <c r="C37" s="24" t="n"/>
      <c r="D37" s="35" t="n"/>
      <c r="E37" s="20" t="n"/>
      <c r="F37" s="43" t="n"/>
      <c r="G37" s="44">
        <f>IF(E37="خصم",-1,1)*N(F37)</f>
        <v/>
      </c>
      <c r="H37" s="20" t="n"/>
      <c r="I37" s="43" t="n"/>
      <c r="J37" s="44">
        <f>IF(E37="خصم",-1,1)*N(I37)</f>
        <v/>
      </c>
      <c r="K37" s="25" t="n"/>
      <c r="L37" s="45" t="n"/>
    </row>
    <row r="38">
      <c r="A38" s="34">
        <f>IF(B38="","",COUNTA($B$6:B38))</f>
        <v/>
      </c>
      <c r="B38" s="20" t="n"/>
      <c r="C38" s="24" t="n"/>
      <c r="D38" s="35" t="n"/>
      <c r="E38" s="20" t="n"/>
      <c r="F38" s="43" t="n"/>
      <c r="G38" s="44">
        <f>IF(E38="خصم",-1,1)*N(F38)</f>
        <v/>
      </c>
      <c r="H38" s="20" t="n"/>
      <c r="I38" s="43" t="n"/>
      <c r="J38" s="44">
        <f>IF(E38="خصم",-1,1)*N(I38)</f>
        <v/>
      </c>
      <c r="K38" s="25" t="n"/>
      <c r="L38" s="45" t="n"/>
    </row>
    <row r="39">
      <c r="A39" s="34">
        <f>IF(B39="","",COUNTA($B$6:B39))</f>
        <v/>
      </c>
      <c r="B39" s="20" t="n"/>
      <c r="C39" s="24" t="n"/>
      <c r="D39" s="35" t="n"/>
      <c r="E39" s="20" t="n"/>
      <c r="F39" s="43" t="n"/>
      <c r="G39" s="44">
        <f>IF(E39="خصم",-1,1)*N(F39)</f>
        <v/>
      </c>
      <c r="H39" s="20" t="n"/>
      <c r="I39" s="43" t="n"/>
      <c r="J39" s="44">
        <f>IF(E39="خصم",-1,1)*N(I39)</f>
        <v/>
      </c>
      <c r="K39" s="25" t="n"/>
      <c r="L39" s="45" t="n"/>
    </row>
    <row r="40">
      <c r="A40" s="34">
        <f>IF(B40="","",COUNTA($B$6:B40))</f>
        <v/>
      </c>
      <c r="B40" s="20" t="n"/>
      <c r="C40" s="24" t="n"/>
      <c r="D40" s="35" t="n"/>
      <c r="E40" s="20" t="n"/>
      <c r="F40" s="43" t="n"/>
      <c r="G40" s="44">
        <f>IF(E40="خصم",-1,1)*N(F40)</f>
        <v/>
      </c>
      <c r="H40" s="20" t="n"/>
      <c r="I40" s="43" t="n"/>
      <c r="J40" s="44">
        <f>IF(E40="خصم",-1,1)*N(I40)</f>
        <v/>
      </c>
      <c r="K40" s="25" t="n"/>
      <c r="L40" s="45" t="n"/>
    </row>
    <row r="41">
      <c r="A41" s="34">
        <f>IF(B41="","",COUNTA($B$6:B41))</f>
        <v/>
      </c>
      <c r="B41" s="20" t="n"/>
      <c r="C41" s="24" t="n"/>
      <c r="D41" s="35" t="n"/>
      <c r="E41" s="20" t="n"/>
      <c r="F41" s="43" t="n"/>
      <c r="G41" s="44">
        <f>IF(E41="خصم",-1,1)*N(F41)</f>
        <v/>
      </c>
      <c r="H41" s="20" t="n"/>
      <c r="I41" s="43" t="n"/>
      <c r="J41" s="44">
        <f>IF(E41="خصم",-1,1)*N(I41)</f>
        <v/>
      </c>
      <c r="K41" s="25" t="n"/>
      <c r="L41" s="45" t="n"/>
    </row>
    <row r="42">
      <c r="A42" s="34">
        <f>IF(B42="","",COUNTA($B$6:B42))</f>
        <v/>
      </c>
      <c r="B42" s="20" t="n"/>
      <c r="C42" s="24" t="n"/>
      <c r="D42" s="35" t="n"/>
      <c r="E42" s="20" t="n"/>
      <c r="F42" s="43" t="n"/>
      <c r="G42" s="44">
        <f>IF(E42="خصم",-1,1)*N(F42)</f>
        <v/>
      </c>
      <c r="H42" s="20" t="n"/>
      <c r="I42" s="43" t="n"/>
      <c r="J42" s="44">
        <f>IF(E42="خصم",-1,1)*N(I42)</f>
        <v/>
      </c>
      <c r="K42" s="25" t="n"/>
      <c r="L42" s="45" t="n"/>
    </row>
    <row r="43">
      <c r="A43" s="34">
        <f>IF(B43="","",COUNTA($B$6:B43))</f>
        <v/>
      </c>
      <c r="B43" s="20" t="n"/>
      <c r="C43" s="24" t="n"/>
      <c r="D43" s="35" t="n"/>
      <c r="E43" s="20" t="n"/>
      <c r="F43" s="43" t="n"/>
      <c r="G43" s="44">
        <f>IF(E43="خصم",-1,1)*N(F43)</f>
        <v/>
      </c>
      <c r="H43" s="20" t="n"/>
      <c r="I43" s="43" t="n"/>
      <c r="J43" s="44">
        <f>IF(E43="خصم",-1,1)*N(I43)</f>
        <v/>
      </c>
      <c r="K43" s="25" t="n"/>
      <c r="L43" s="45" t="n"/>
    </row>
    <row r="44">
      <c r="A44" s="34">
        <f>IF(B44="","",COUNTA($B$6:B44))</f>
        <v/>
      </c>
      <c r="B44" s="20" t="n"/>
      <c r="C44" s="24" t="n"/>
      <c r="D44" s="35" t="n"/>
      <c r="E44" s="20" t="n"/>
      <c r="F44" s="43" t="n"/>
      <c r="G44" s="44">
        <f>IF(E44="خصم",-1,1)*N(F44)</f>
        <v/>
      </c>
      <c r="H44" s="20" t="n"/>
      <c r="I44" s="43" t="n"/>
      <c r="J44" s="44">
        <f>IF(E44="خصم",-1,1)*N(I44)</f>
        <v/>
      </c>
      <c r="K44" s="25" t="n"/>
      <c r="L44" s="45" t="n"/>
    </row>
    <row r="45">
      <c r="A45" s="34">
        <f>IF(B45="","",COUNTA($B$6:B45))</f>
        <v/>
      </c>
      <c r="B45" s="20" t="n"/>
      <c r="C45" s="24" t="n"/>
      <c r="D45" s="35" t="n"/>
      <c r="E45" s="20" t="n"/>
      <c r="F45" s="43" t="n"/>
      <c r="G45" s="44">
        <f>IF(E45="خصم",-1,1)*N(F45)</f>
        <v/>
      </c>
      <c r="H45" s="20" t="n"/>
      <c r="I45" s="43" t="n"/>
      <c r="J45" s="44">
        <f>IF(E45="خصم",-1,1)*N(I45)</f>
        <v/>
      </c>
      <c r="K45" s="25" t="n"/>
      <c r="L45" s="45" t="n"/>
    </row>
    <row r="46">
      <c r="A46" s="34">
        <f>IF(B46="","",COUNTA($B$6:B46))</f>
        <v/>
      </c>
      <c r="B46" s="20" t="n"/>
      <c r="C46" s="24" t="n"/>
      <c r="D46" s="35" t="n"/>
      <c r="E46" s="20" t="n"/>
      <c r="F46" s="43" t="n"/>
      <c r="G46" s="44">
        <f>IF(E46="خصم",-1,1)*N(F46)</f>
        <v/>
      </c>
      <c r="H46" s="20" t="n"/>
      <c r="I46" s="43" t="n"/>
      <c r="J46" s="44">
        <f>IF(E46="خصم",-1,1)*N(I46)</f>
        <v/>
      </c>
      <c r="K46" s="25" t="n"/>
      <c r="L46" s="45" t="n"/>
    </row>
    <row r="47">
      <c r="A47" s="34">
        <f>IF(B47="","",COUNTA($B$6:B47))</f>
        <v/>
      </c>
      <c r="B47" s="20" t="n"/>
      <c r="C47" s="24" t="n"/>
      <c r="D47" s="35" t="n"/>
      <c r="E47" s="20" t="n"/>
      <c r="F47" s="43" t="n"/>
      <c r="G47" s="44">
        <f>IF(E47="خصم",-1,1)*N(F47)</f>
        <v/>
      </c>
      <c r="H47" s="20" t="n"/>
      <c r="I47" s="43" t="n"/>
      <c r="J47" s="44">
        <f>IF(E47="خصم",-1,1)*N(I47)</f>
        <v/>
      </c>
      <c r="K47" s="25" t="n"/>
      <c r="L47" s="45" t="n"/>
    </row>
    <row r="48">
      <c r="A48" s="34">
        <f>IF(B48="","",COUNTA($B$6:B48))</f>
        <v/>
      </c>
      <c r="B48" s="20" t="n"/>
      <c r="C48" s="24" t="n"/>
      <c r="D48" s="35" t="n"/>
      <c r="E48" s="20" t="n"/>
      <c r="F48" s="43" t="n"/>
      <c r="G48" s="44">
        <f>IF(E48="خصم",-1,1)*N(F48)</f>
        <v/>
      </c>
      <c r="H48" s="20" t="n"/>
      <c r="I48" s="43" t="n"/>
      <c r="J48" s="44">
        <f>IF(E48="خصم",-1,1)*N(I48)</f>
        <v/>
      </c>
      <c r="K48" s="25" t="n"/>
      <c r="L48" s="45" t="n"/>
    </row>
    <row r="49">
      <c r="A49" s="34">
        <f>IF(B49="","",COUNTA($B$6:B49))</f>
        <v/>
      </c>
      <c r="B49" s="20" t="n"/>
      <c r="C49" s="24" t="n"/>
      <c r="D49" s="35" t="n"/>
      <c r="E49" s="20" t="n"/>
      <c r="F49" s="43" t="n"/>
      <c r="G49" s="44">
        <f>IF(E49="خصم",-1,1)*N(F49)</f>
        <v/>
      </c>
      <c r="H49" s="20" t="n"/>
      <c r="I49" s="43" t="n"/>
      <c r="J49" s="44">
        <f>IF(E49="خصم",-1,1)*N(I49)</f>
        <v/>
      </c>
      <c r="K49" s="25" t="n"/>
      <c r="L49" s="45" t="n"/>
    </row>
    <row r="50">
      <c r="A50" s="34">
        <f>IF(B50="","",COUNTA($B$6:B50))</f>
        <v/>
      </c>
      <c r="B50" s="20" t="n"/>
      <c r="C50" s="24" t="n"/>
      <c r="D50" s="35" t="n"/>
      <c r="E50" s="20" t="n"/>
      <c r="F50" s="43" t="n"/>
      <c r="G50" s="44">
        <f>IF(E50="خصم",-1,1)*N(F50)</f>
        <v/>
      </c>
      <c r="H50" s="20" t="n"/>
      <c r="I50" s="43" t="n"/>
      <c r="J50" s="44">
        <f>IF(E50="خصم",-1,1)*N(I50)</f>
        <v/>
      </c>
      <c r="K50" s="25" t="n"/>
      <c r="L50" s="45" t="n"/>
    </row>
    <row r="51">
      <c r="A51" s="34">
        <f>IF(B51="","",COUNTA($B$6:B51))</f>
        <v/>
      </c>
      <c r="B51" s="20" t="n"/>
      <c r="C51" s="24" t="n"/>
      <c r="D51" s="35" t="n"/>
      <c r="E51" s="20" t="n"/>
      <c r="F51" s="43" t="n"/>
      <c r="G51" s="44">
        <f>IF(E51="خصم",-1,1)*N(F51)</f>
        <v/>
      </c>
      <c r="H51" s="20" t="n"/>
      <c r="I51" s="43" t="n"/>
      <c r="J51" s="44">
        <f>IF(E51="خصم",-1,1)*N(I51)</f>
        <v/>
      </c>
      <c r="K51" s="25" t="n"/>
      <c r="L51" s="45" t="n"/>
    </row>
    <row r="52">
      <c r="A52" s="34">
        <f>IF(B52="","",COUNTA($B$6:B52))</f>
        <v/>
      </c>
      <c r="B52" s="20" t="n"/>
      <c r="C52" s="24" t="n"/>
      <c r="D52" s="35" t="n"/>
      <c r="E52" s="20" t="n"/>
      <c r="F52" s="43" t="n"/>
      <c r="G52" s="44">
        <f>IF(E52="خصم",-1,1)*N(F52)</f>
        <v/>
      </c>
      <c r="H52" s="20" t="n"/>
      <c r="I52" s="43" t="n"/>
      <c r="J52" s="44">
        <f>IF(E52="خصم",-1,1)*N(I52)</f>
        <v/>
      </c>
      <c r="K52" s="25" t="n"/>
      <c r="L52" s="45" t="n"/>
    </row>
    <row r="53">
      <c r="A53" s="34">
        <f>IF(B53="","",COUNTA($B$6:B53))</f>
        <v/>
      </c>
      <c r="B53" s="20" t="n"/>
      <c r="C53" s="24" t="n"/>
      <c r="D53" s="35" t="n"/>
      <c r="E53" s="20" t="n"/>
      <c r="F53" s="43" t="n"/>
      <c r="G53" s="44">
        <f>IF(E53="خصم",-1,1)*N(F53)</f>
        <v/>
      </c>
      <c r="H53" s="20" t="n"/>
      <c r="I53" s="43" t="n"/>
      <c r="J53" s="44">
        <f>IF(E53="خصم",-1,1)*N(I53)</f>
        <v/>
      </c>
      <c r="K53" s="25" t="n"/>
      <c r="L53" s="45" t="n"/>
    </row>
    <row r="54">
      <c r="A54" s="34">
        <f>IF(B54="","",COUNTA($B$6:B54))</f>
        <v/>
      </c>
      <c r="B54" s="20" t="n"/>
      <c r="C54" s="24" t="n"/>
      <c r="D54" s="35" t="n"/>
      <c r="E54" s="20" t="n"/>
      <c r="F54" s="43" t="n"/>
      <c r="G54" s="44">
        <f>IF(E54="خصم",-1,1)*N(F54)</f>
        <v/>
      </c>
      <c r="H54" s="20" t="n"/>
      <c r="I54" s="43" t="n"/>
      <c r="J54" s="44">
        <f>IF(E54="خصم",-1,1)*N(I54)</f>
        <v/>
      </c>
      <c r="K54" s="25" t="n"/>
      <c r="L54" s="45" t="n"/>
    </row>
    <row r="55">
      <c r="A55" s="34">
        <f>IF(B55="","",COUNTA($B$6:B55))</f>
        <v/>
      </c>
      <c r="B55" s="20" t="n"/>
      <c r="C55" s="24" t="n"/>
      <c r="D55" s="35" t="n"/>
      <c r="E55" s="20" t="n"/>
      <c r="F55" s="43" t="n"/>
      <c r="G55" s="44">
        <f>IF(E55="خصم",-1,1)*N(F55)</f>
        <v/>
      </c>
      <c r="H55" s="20" t="n"/>
      <c r="I55" s="43" t="n"/>
      <c r="J55" s="44">
        <f>IF(E55="خصم",-1,1)*N(I55)</f>
        <v/>
      </c>
      <c r="K55" s="25" t="n"/>
      <c r="L55" s="45" t="n"/>
    </row>
    <row r="56">
      <c r="A56" s="39" t="inlineStr">
        <is>
          <t>الإجمالي</t>
        </is>
      </c>
      <c r="B56" s="39" t="n"/>
      <c r="C56" s="39" t="n"/>
      <c r="D56" s="39" t="n"/>
      <c r="E56" s="39" t="n"/>
      <c r="F56" s="46">
        <f>SUM(F6:F55)</f>
        <v/>
      </c>
      <c r="G56" s="46">
        <f>SUM(G6:G55)</f>
        <v/>
      </c>
      <c r="H56" s="47">
        <f>"معتمد: "&amp;COUNTIF(H6:H55,"معتمد")</f>
        <v/>
      </c>
      <c r="I56" s="46">
        <f>SUM(I6:I55)</f>
        <v/>
      </c>
      <c r="J56" s="46">
        <f>SUM(J6:J55)</f>
        <v/>
      </c>
    </row>
  </sheetData>
  <autoFilter ref="A5:L55"/>
  <mergeCells count="4">
    <mergeCell ref="A2:L2"/>
    <mergeCell ref="A56:E56"/>
    <mergeCell ref="A1:L1"/>
    <mergeCell ref="A4:L4"/>
  </mergeCells>
  <conditionalFormatting sqref="A6:L55">
    <cfRule type="expression" priority="1" dxfId="2">
      <formula>$H6="معتمد"</formula>
    </cfRule>
    <cfRule type="expression" priority="2" dxfId="3">
      <formula>$H6="قيد الدراسة"</formula>
    </cfRule>
    <cfRule type="expression" priority="3" dxfId="4">
      <formula>$H6="مرفوض"</formula>
    </cfRule>
  </conditionalFormatting>
  <dataValidations count="5">
    <dataValidation sqref="E6:E55" showDropDown="0" showInputMessage="0" showErrorMessage="1" allowBlank="1" errorTitle="قيمة غير مسموحة" error="من فضلك اختر قيمة من القائمة المنسدلة." type="list">
      <formula1>"إضافة,خصم"</formula1>
    </dataValidation>
    <dataValidation sqref="H6:H55" showDropDown="0" showInputMessage="0" showErrorMessage="1" allowBlank="1" errorTitle="قيمة غير مسموحة" error="من فضلك اختر قيمة من القائمة المنسدلة." type="list">
      <formula1>=L_VOStatus</formula1>
    </dataValidation>
    <dataValidation sqref="K6:K5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F6:F55 I6:I55" showDropDown="0" showInputMessage="1" showErrorMessage="1" allowBlank="1" errorTitle="قيمة غير صحيحة" error="أدخل رقماً صحيحاً ضمن الحدود المسموحة." promptTitle="إرشاد" prompt="أدخل القيمة موجبة واختر النوع إضافة/خصم" type="decimal" operator="greaterThanOrEqual">
      <formula1>0</formula1>
    </dataValidation>
    <dataValidation sqref="C6:C5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5.xml><?xml version="1.0" encoding="utf-8"?>
<worksheet xmlns="http://schemas.openxmlformats.org/spreadsheetml/2006/main">
  <sheetPr>
    <tabColor rgb="00C0504D"/>
    <outlinePr summaryBelow="1" summaryRight="1"/>
    <pageSetUpPr fitToPage="1"/>
  </sheetPr>
  <dimension ref="A1:M10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1" customWidth="1" min="4" max="4"/>
    <col width="11" customWidth="1" min="5" max="5"/>
    <col width="38" customWidth="1" min="6" max="6"/>
    <col width="42" customWidth="1" min="7" max="7"/>
    <col width="20" customWidth="1" min="8" max="8"/>
    <col width="15" customWidth="1" min="9" max="9"/>
    <col width="11" customWidth="1" min="10" max="10"/>
    <col width="12" customWidth="1" min="11" max="11"/>
    <col width="15" customWidth="1" min="12" max="12"/>
    <col width="26" customWidth="1" min="13" max="13"/>
  </cols>
  <sheetData>
    <row r="1" ht="38" customHeight="1">
      <c r="A1" s="1" t="inlineStr">
        <is>
          <t>✂ سجل الاستقطاعات الفنية (Technical Deductions)</t>
        </is>
      </c>
      <c r="B1" s="1" t="n"/>
      <c r="C1" s="1" t="n"/>
      <c r="D1" s="1" t="n"/>
      <c r="E1" s="1" t="n"/>
      <c r="F1" s="1" t="n"/>
      <c r="G1" s="1" t="n"/>
      <c r="H1" s="1" t="n"/>
      <c r="I1" s="1" t="n"/>
      <c r="J1" s="1" t="n"/>
      <c r="K1" s="1" t="n"/>
      <c r="L1" s="1" t="n"/>
      <c r="M1" s="1" t="n"/>
    </row>
    <row r="2" ht="20" customHeight="1">
      <c r="A2" s="2">
        <f>IF('بيانات العقد'!$C$5="","مشروع رقم 10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row>
    <row r="3" ht="26" customHeight="1">
      <c r="A3" s="3" t="inlineStr">
        <is>
          <t>🗂 سجل المستخلصات</t>
        </is>
      </c>
      <c r="B3" s="16" t="inlineStr">
        <is>
          <t>⚙ بيانات العقد</t>
        </is>
      </c>
      <c r="C3" s="16" t="inlineStr">
        <is>
          <t>📋 جدول الكميات</t>
        </is>
      </c>
      <c r="D3" s="16" t="inlineStr">
        <is>
          <t>🔁 التغييرية</t>
        </is>
      </c>
      <c r="F3" s="17" t="inlineStr">
        <is>
          <t>💰 الموازنة</t>
        </is>
      </c>
      <c r="G3" s="4" t="inlineStr">
        <is>
          <t>🧾 مستخلص 01</t>
        </is>
      </c>
    </row>
    <row r="4">
      <c r="A4" s="33" t="inlineStr">
        <is>
          <t>يُخصم المبلغ من المستخلص المحدد ويستمر محتجزاً تراكمياً حتى يتم الإفراج عنه في «مستخلص الإفراج».</t>
        </is>
      </c>
      <c r="B4" s="33" t="n"/>
      <c r="C4" s="33" t="n"/>
      <c r="D4" s="33" t="n"/>
      <c r="E4" s="33" t="n"/>
      <c r="F4" s="33" t="n"/>
      <c r="G4" s="33" t="n"/>
      <c r="H4" s="33" t="n"/>
      <c r="I4" s="33" t="n"/>
      <c r="J4" s="33" t="n"/>
      <c r="K4" s="33" t="n"/>
      <c r="L4" s="33" t="n"/>
      <c r="M4" s="33" t="n"/>
    </row>
    <row r="5" ht="40" customHeight="1">
      <c r="A5" s="18" t="inlineStr">
        <is>
          <t>م</t>
        </is>
      </c>
      <c r="B5" s="18" t="inlineStr">
        <is>
          <t>رقم الاستقطاع</t>
        </is>
      </c>
      <c r="C5" s="18" t="inlineStr">
        <is>
          <t>التاريخ</t>
        </is>
      </c>
      <c r="D5" s="18" t="inlineStr">
        <is>
          <t>رقم المستخلص</t>
        </is>
      </c>
      <c r="E5" s="18" t="inlineStr">
        <is>
          <t>كود البند</t>
        </is>
      </c>
      <c r="F5" s="18" t="inlineStr">
        <is>
          <t>وصف البند (آلي)</t>
        </is>
      </c>
      <c r="G5" s="18" t="inlineStr">
        <is>
          <t>سبب الاستقطاع</t>
        </is>
      </c>
      <c r="H5" s="18" t="inlineStr">
        <is>
          <t>نوع الاستقطاع</t>
        </is>
      </c>
      <c r="I5" s="18" t="inlineStr">
        <is>
          <t>المبلغ المستقطع</t>
        </is>
      </c>
      <c r="J5" s="18" t="inlineStr">
        <is>
          <t>تم الإفراج؟</t>
        </is>
      </c>
      <c r="K5" s="18" t="inlineStr">
        <is>
          <t>مستخلص الإفراج</t>
        </is>
      </c>
      <c r="L5" s="18" t="inlineStr">
        <is>
          <t>الرصيد المحتجز</t>
        </is>
      </c>
      <c r="M5" s="18" t="inlineStr">
        <is>
          <t>ملاحظات</t>
        </is>
      </c>
    </row>
    <row r="6">
      <c r="A6" s="34">
        <f>IF(B6="","",COUNTA($B$6:B6))</f>
        <v/>
      </c>
      <c r="B6" s="20" t="n"/>
      <c r="C6" s="24" t="n"/>
      <c r="D6" s="25" t="n"/>
      <c r="E6" s="20" t="n"/>
      <c r="F6" s="48">
        <f>IF(E6="","",IFERROR(INDEX('جدول الكميات'!$D$6:$D$105,MATCH(E6,'جدول الكميات'!$B$6:$B$105,0)),"⚠ كود غير موجود"))</f>
        <v/>
      </c>
      <c r="G6" s="35" t="n"/>
      <c r="H6" s="20" t="n"/>
      <c r="I6" s="43" t="n"/>
      <c r="J6" s="20" t="n"/>
      <c r="K6" s="25" t="n"/>
      <c r="L6" s="49">
        <f>IF(J6="نعم",0,N(I6))</f>
        <v/>
      </c>
      <c r="M6" s="45" t="n"/>
    </row>
    <row r="7">
      <c r="A7" s="34">
        <f>IF(B7="","",COUNTA($B$6:B7))</f>
        <v/>
      </c>
      <c r="B7" s="20" t="n"/>
      <c r="C7" s="24" t="n"/>
      <c r="D7" s="25" t="n"/>
      <c r="E7" s="20" t="n"/>
      <c r="F7" s="48">
        <f>IF(E7="","",IFERROR(INDEX('جدول الكميات'!$D$6:$D$105,MATCH(E7,'جدول الكميات'!$B$6:$B$105,0)),"⚠ كود غير موجود"))</f>
        <v/>
      </c>
      <c r="G7" s="35" t="n"/>
      <c r="H7" s="20" t="n"/>
      <c r="I7" s="43" t="n"/>
      <c r="J7" s="20" t="n"/>
      <c r="K7" s="25" t="n"/>
      <c r="L7" s="49">
        <f>IF(J7="نعم",0,N(I7))</f>
        <v/>
      </c>
      <c r="M7" s="45" t="n"/>
    </row>
    <row r="8">
      <c r="A8" s="34">
        <f>IF(B8="","",COUNTA($B$6:B8))</f>
        <v/>
      </c>
      <c r="B8" s="20" t="n"/>
      <c r="C8" s="24" t="n"/>
      <c r="D8" s="25" t="n"/>
      <c r="E8" s="20" t="n"/>
      <c r="F8" s="48">
        <f>IF(E8="","",IFERROR(INDEX('جدول الكميات'!$D$6:$D$105,MATCH(E8,'جدول الكميات'!$B$6:$B$105,0)),"⚠ كود غير موجود"))</f>
        <v/>
      </c>
      <c r="G8" s="35" t="n"/>
      <c r="H8" s="20" t="n"/>
      <c r="I8" s="43" t="n"/>
      <c r="J8" s="20" t="n"/>
      <c r="K8" s="25" t="n"/>
      <c r="L8" s="49">
        <f>IF(J8="نعم",0,N(I8))</f>
        <v/>
      </c>
      <c r="M8" s="45" t="n"/>
    </row>
    <row r="9">
      <c r="A9" s="34">
        <f>IF(B9="","",COUNTA($B$6:B9))</f>
        <v/>
      </c>
      <c r="B9" s="20" t="n"/>
      <c r="C9" s="24" t="n"/>
      <c r="D9" s="25" t="n"/>
      <c r="E9" s="20" t="n"/>
      <c r="F9" s="48">
        <f>IF(E9="","",IFERROR(INDEX('جدول الكميات'!$D$6:$D$105,MATCH(E9,'جدول الكميات'!$B$6:$B$105,0)),"⚠ كود غير موجود"))</f>
        <v/>
      </c>
      <c r="G9" s="35" t="n"/>
      <c r="H9" s="20" t="n"/>
      <c r="I9" s="43" t="n"/>
      <c r="J9" s="20" t="n"/>
      <c r="K9" s="25" t="n"/>
      <c r="L9" s="49">
        <f>IF(J9="نعم",0,N(I9))</f>
        <v/>
      </c>
      <c r="M9" s="45" t="n"/>
    </row>
    <row r="10">
      <c r="A10" s="34">
        <f>IF(B10="","",COUNTA($B$6:B10))</f>
        <v/>
      </c>
      <c r="B10" s="20" t="n"/>
      <c r="C10" s="24" t="n"/>
      <c r="D10" s="25" t="n"/>
      <c r="E10" s="20" t="n"/>
      <c r="F10" s="48">
        <f>IF(E10="","",IFERROR(INDEX('جدول الكميات'!$D$6:$D$105,MATCH(E10,'جدول الكميات'!$B$6:$B$105,0)),"⚠ كود غير موجود"))</f>
        <v/>
      </c>
      <c r="G10" s="35" t="n"/>
      <c r="H10" s="20" t="n"/>
      <c r="I10" s="43" t="n"/>
      <c r="J10" s="20" t="n"/>
      <c r="K10" s="25" t="n"/>
      <c r="L10" s="49">
        <f>IF(J10="نعم",0,N(I10))</f>
        <v/>
      </c>
      <c r="M10" s="45" t="n"/>
    </row>
    <row r="11">
      <c r="A11" s="34">
        <f>IF(B11="","",COUNTA($B$6:B11))</f>
        <v/>
      </c>
      <c r="B11" s="20" t="n"/>
      <c r="C11" s="24" t="n"/>
      <c r="D11" s="25" t="n"/>
      <c r="E11" s="20" t="n"/>
      <c r="F11" s="48">
        <f>IF(E11="","",IFERROR(INDEX('جدول الكميات'!$D$6:$D$105,MATCH(E11,'جدول الكميات'!$B$6:$B$105,0)),"⚠ كود غير موجود"))</f>
        <v/>
      </c>
      <c r="G11" s="35" t="n"/>
      <c r="H11" s="20" t="n"/>
      <c r="I11" s="43" t="n"/>
      <c r="J11" s="20" t="n"/>
      <c r="K11" s="25" t="n"/>
      <c r="L11" s="49">
        <f>IF(J11="نعم",0,N(I11))</f>
        <v/>
      </c>
      <c r="M11" s="45" t="n"/>
    </row>
    <row r="12">
      <c r="A12" s="34">
        <f>IF(B12="","",COUNTA($B$6:B12))</f>
        <v/>
      </c>
      <c r="B12" s="20" t="n"/>
      <c r="C12" s="24" t="n"/>
      <c r="D12" s="25" t="n"/>
      <c r="E12" s="20" t="n"/>
      <c r="F12" s="48">
        <f>IF(E12="","",IFERROR(INDEX('جدول الكميات'!$D$6:$D$105,MATCH(E12,'جدول الكميات'!$B$6:$B$105,0)),"⚠ كود غير موجود"))</f>
        <v/>
      </c>
      <c r="G12" s="35" t="n"/>
      <c r="H12" s="20" t="n"/>
      <c r="I12" s="43" t="n"/>
      <c r="J12" s="20" t="n"/>
      <c r="K12" s="25" t="n"/>
      <c r="L12" s="49">
        <f>IF(J12="نعم",0,N(I12))</f>
        <v/>
      </c>
      <c r="M12" s="45" t="n"/>
    </row>
    <row r="13">
      <c r="A13" s="34">
        <f>IF(B13="","",COUNTA($B$6:B13))</f>
        <v/>
      </c>
      <c r="B13" s="20" t="n"/>
      <c r="C13" s="24" t="n"/>
      <c r="D13" s="25" t="n"/>
      <c r="E13" s="20" t="n"/>
      <c r="F13" s="48">
        <f>IF(E13="","",IFERROR(INDEX('جدول الكميات'!$D$6:$D$105,MATCH(E13,'جدول الكميات'!$B$6:$B$105,0)),"⚠ كود غير موجود"))</f>
        <v/>
      </c>
      <c r="G13" s="35" t="n"/>
      <c r="H13" s="20" t="n"/>
      <c r="I13" s="43" t="n"/>
      <c r="J13" s="20" t="n"/>
      <c r="K13" s="25" t="n"/>
      <c r="L13" s="49">
        <f>IF(J13="نعم",0,N(I13))</f>
        <v/>
      </c>
      <c r="M13" s="45" t="n"/>
    </row>
    <row r="14">
      <c r="A14" s="34">
        <f>IF(B14="","",COUNTA($B$6:B14))</f>
        <v/>
      </c>
      <c r="B14" s="20" t="n"/>
      <c r="C14" s="24" t="n"/>
      <c r="D14" s="25" t="n"/>
      <c r="E14" s="20" t="n"/>
      <c r="F14" s="48">
        <f>IF(E14="","",IFERROR(INDEX('جدول الكميات'!$D$6:$D$105,MATCH(E14,'جدول الكميات'!$B$6:$B$105,0)),"⚠ كود غير موجود"))</f>
        <v/>
      </c>
      <c r="G14" s="35" t="n"/>
      <c r="H14" s="20" t="n"/>
      <c r="I14" s="43" t="n"/>
      <c r="J14" s="20" t="n"/>
      <c r="K14" s="25" t="n"/>
      <c r="L14" s="49">
        <f>IF(J14="نعم",0,N(I14))</f>
        <v/>
      </c>
      <c r="M14" s="45" t="n"/>
    </row>
    <row r="15">
      <c r="A15" s="34">
        <f>IF(B15="","",COUNTA($B$6:B15))</f>
        <v/>
      </c>
      <c r="B15" s="20" t="n"/>
      <c r="C15" s="24" t="n"/>
      <c r="D15" s="25" t="n"/>
      <c r="E15" s="20" t="n"/>
      <c r="F15" s="48">
        <f>IF(E15="","",IFERROR(INDEX('جدول الكميات'!$D$6:$D$105,MATCH(E15,'جدول الكميات'!$B$6:$B$105,0)),"⚠ كود غير موجود"))</f>
        <v/>
      </c>
      <c r="G15" s="35" t="n"/>
      <c r="H15" s="20" t="n"/>
      <c r="I15" s="43" t="n"/>
      <c r="J15" s="20" t="n"/>
      <c r="K15" s="25" t="n"/>
      <c r="L15" s="49">
        <f>IF(J15="نعم",0,N(I15))</f>
        <v/>
      </c>
      <c r="M15" s="45" t="n"/>
    </row>
    <row r="16">
      <c r="A16" s="34">
        <f>IF(B16="","",COUNTA($B$6:B16))</f>
        <v/>
      </c>
      <c r="B16" s="20" t="n"/>
      <c r="C16" s="24" t="n"/>
      <c r="D16" s="25" t="n"/>
      <c r="E16" s="20" t="n"/>
      <c r="F16" s="48">
        <f>IF(E16="","",IFERROR(INDEX('جدول الكميات'!$D$6:$D$105,MATCH(E16,'جدول الكميات'!$B$6:$B$105,0)),"⚠ كود غير موجود"))</f>
        <v/>
      </c>
      <c r="G16" s="35" t="n"/>
      <c r="H16" s="20" t="n"/>
      <c r="I16" s="43" t="n"/>
      <c r="J16" s="20" t="n"/>
      <c r="K16" s="25" t="n"/>
      <c r="L16" s="49">
        <f>IF(J16="نعم",0,N(I16))</f>
        <v/>
      </c>
      <c r="M16" s="45" t="n"/>
    </row>
    <row r="17">
      <c r="A17" s="34">
        <f>IF(B17="","",COUNTA($B$6:B17))</f>
        <v/>
      </c>
      <c r="B17" s="20" t="n"/>
      <c r="C17" s="24" t="n"/>
      <c r="D17" s="25" t="n"/>
      <c r="E17" s="20" t="n"/>
      <c r="F17" s="48">
        <f>IF(E17="","",IFERROR(INDEX('جدول الكميات'!$D$6:$D$105,MATCH(E17,'جدول الكميات'!$B$6:$B$105,0)),"⚠ كود غير موجود"))</f>
        <v/>
      </c>
      <c r="G17" s="35" t="n"/>
      <c r="H17" s="20" t="n"/>
      <c r="I17" s="43" t="n"/>
      <c r="J17" s="20" t="n"/>
      <c r="K17" s="25" t="n"/>
      <c r="L17" s="49">
        <f>IF(J17="نعم",0,N(I17))</f>
        <v/>
      </c>
      <c r="M17" s="45" t="n"/>
    </row>
    <row r="18">
      <c r="A18" s="34">
        <f>IF(B18="","",COUNTA($B$6:B18))</f>
        <v/>
      </c>
      <c r="B18" s="20" t="n"/>
      <c r="C18" s="24" t="n"/>
      <c r="D18" s="25" t="n"/>
      <c r="E18" s="20" t="n"/>
      <c r="F18" s="48">
        <f>IF(E18="","",IFERROR(INDEX('جدول الكميات'!$D$6:$D$105,MATCH(E18,'جدول الكميات'!$B$6:$B$105,0)),"⚠ كود غير موجود"))</f>
        <v/>
      </c>
      <c r="G18" s="35" t="n"/>
      <c r="H18" s="20" t="n"/>
      <c r="I18" s="43" t="n"/>
      <c r="J18" s="20" t="n"/>
      <c r="K18" s="25" t="n"/>
      <c r="L18" s="49">
        <f>IF(J18="نعم",0,N(I18))</f>
        <v/>
      </c>
      <c r="M18" s="45" t="n"/>
    </row>
    <row r="19">
      <c r="A19" s="34">
        <f>IF(B19="","",COUNTA($B$6:B19))</f>
        <v/>
      </c>
      <c r="B19" s="20" t="n"/>
      <c r="C19" s="24" t="n"/>
      <c r="D19" s="25" t="n"/>
      <c r="E19" s="20" t="n"/>
      <c r="F19" s="48">
        <f>IF(E19="","",IFERROR(INDEX('جدول الكميات'!$D$6:$D$105,MATCH(E19,'جدول الكميات'!$B$6:$B$105,0)),"⚠ كود غير موجود"))</f>
        <v/>
      </c>
      <c r="G19" s="35" t="n"/>
      <c r="H19" s="20" t="n"/>
      <c r="I19" s="43" t="n"/>
      <c r="J19" s="20" t="n"/>
      <c r="K19" s="25" t="n"/>
      <c r="L19" s="49">
        <f>IF(J19="نعم",0,N(I19))</f>
        <v/>
      </c>
      <c r="M19" s="45" t="n"/>
    </row>
    <row r="20">
      <c r="A20" s="34">
        <f>IF(B20="","",COUNTA($B$6:B20))</f>
        <v/>
      </c>
      <c r="B20" s="20" t="n"/>
      <c r="C20" s="24" t="n"/>
      <c r="D20" s="25" t="n"/>
      <c r="E20" s="20" t="n"/>
      <c r="F20" s="48">
        <f>IF(E20="","",IFERROR(INDEX('جدول الكميات'!$D$6:$D$105,MATCH(E20,'جدول الكميات'!$B$6:$B$105,0)),"⚠ كود غير موجود"))</f>
        <v/>
      </c>
      <c r="G20" s="35" t="n"/>
      <c r="H20" s="20" t="n"/>
      <c r="I20" s="43" t="n"/>
      <c r="J20" s="20" t="n"/>
      <c r="K20" s="25" t="n"/>
      <c r="L20" s="49">
        <f>IF(J20="نعم",0,N(I20))</f>
        <v/>
      </c>
      <c r="M20" s="45" t="n"/>
    </row>
    <row r="21">
      <c r="A21" s="34">
        <f>IF(B21="","",COUNTA($B$6:B21))</f>
        <v/>
      </c>
      <c r="B21" s="20" t="n"/>
      <c r="C21" s="24" t="n"/>
      <c r="D21" s="25" t="n"/>
      <c r="E21" s="20" t="n"/>
      <c r="F21" s="48">
        <f>IF(E21="","",IFERROR(INDEX('جدول الكميات'!$D$6:$D$105,MATCH(E21,'جدول الكميات'!$B$6:$B$105,0)),"⚠ كود غير موجود"))</f>
        <v/>
      </c>
      <c r="G21" s="35" t="n"/>
      <c r="H21" s="20" t="n"/>
      <c r="I21" s="43" t="n"/>
      <c r="J21" s="20" t="n"/>
      <c r="K21" s="25" t="n"/>
      <c r="L21" s="49">
        <f>IF(J21="نعم",0,N(I21))</f>
        <v/>
      </c>
      <c r="M21" s="45" t="n"/>
    </row>
    <row r="22">
      <c r="A22" s="34">
        <f>IF(B22="","",COUNTA($B$6:B22))</f>
        <v/>
      </c>
      <c r="B22" s="20" t="n"/>
      <c r="C22" s="24" t="n"/>
      <c r="D22" s="25" t="n"/>
      <c r="E22" s="20" t="n"/>
      <c r="F22" s="48">
        <f>IF(E22="","",IFERROR(INDEX('جدول الكميات'!$D$6:$D$105,MATCH(E22,'جدول الكميات'!$B$6:$B$105,0)),"⚠ كود غير موجود"))</f>
        <v/>
      </c>
      <c r="G22" s="35" t="n"/>
      <c r="H22" s="20" t="n"/>
      <c r="I22" s="43" t="n"/>
      <c r="J22" s="20" t="n"/>
      <c r="K22" s="25" t="n"/>
      <c r="L22" s="49">
        <f>IF(J22="نعم",0,N(I22))</f>
        <v/>
      </c>
      <c r="M22" s="45" t="n"/>
    </row>
    <row r="23">
      <c r="A23" s="34">
        <f>IF(B23="","",COUNTA($B$6:B23))</f>
        <v/>
      </c>
      <c r="B23" s="20" t="n"/>
      <c r="C23" s="24" t="n"/>
      <c r="D23" s="25" t="n"/>
      <c r="E23" s="20" t="n"/>
      <c r="F23" s="48">
        <f>IF(E23="","",IFERROR(INDEX('جدول الكميات'!$D$6:$D$105,MATCH(E23,'جدول الكميات'!$B$6:$B$105,0)),"⚠ كود غير موجود"))</f>
        <v/>
      </c>
      <c r="G23" s="35" t="n"/>
      <c r="H23" s="20" t="n"/>
      <c r="I23" s="43" t="n"/>
      <c r="J23" s="20" t="n"/>
      <c r="K23" s="25" t="n"/>
      <c r="L23" s="49">
        <f>IF(J23="نعم",0,N(I23))</f>
        <v/>
      </c>
      <c r="M23" s="45" t="n"/>
    </row>
    <row r="24">
      <c r="A24" s="34">
        <f>IF(B24="","",COUNTA($B$6:B24))</f>
        <v/>
      </c>
      <c r="B24" s="20" t="n"/>
      <c r="C24" s="24" t="n"/>
      <c r="D24" s="25" t="n"/>
      <c r="E24" s="20" t="n"/>
      <c r="F24" s="48">
        <f>IF(E24="","",IFERROR(INDEX('جدول الكميات'!$D$6:$D$105,MATCH(E24,'جدول الكميات'!$B$6:$B$105,0)),"⚠ كود غير موجود"))</f>
        <v/>
      </c>
      <c r="G24" s="35" t="n"/>
      <c r="H24" s="20" t="n"/>
      <c r="I24" s="43" t="n"/>
      <c r="J24" s="20" t="n"/>
      <c r="K24" s="25" t="n"/>
      <c r="L24" s="49">
        <f>IF(J24="نعم",0,N(I24))</f>
        <v/>
      </c>
      <c r="M24" s="45" t="n"/>
    </row>
    <row r="25">
      <c r="A25" s="34">
        <f>IF(B25="","",COUNTA($B$6:B25))</f>
        <v/>
      </c>
      <c r="B25" s="20" t="n"/>
      <c r="C25" s="24" t="n"/>
      <c r="D25" s="25" t="n"/>
      <c r="E25" s="20" t="n"/>
      <c r="F25" s="48">
        <f>IF(E25="","",IFERROR(INDEX('جدول الكميات'!$D$6:$D$105,MATCH(E25,'جدول الكميات'!$B$6:$B$105,0)),"⚠ كود غير موجود"))</f>
        <v/>
      </c>
      <c r="G25" s="35" t="n"/>
      <c r="H25" s="20" t="n"/>
      <c r="I25" s="43" t="n"/>
      <c r="J25" s="20" t="n"/>
      <c r="K25" s="25" t="n"/>
      <c r="L25" s="49">
        <f>IF(J25="نعم",0,N(I25))</f>
        <v/>
      </c>
      <c r="M25" s="45" t="n"/>
    </row>
    <row r="26">
      <c r="A26" s="34">
        <f>IF(B26="","",COUNTA($B$6:B26))</f>
        <v/>
      </c>
      <c r="B26" s="20" t="n"/>
      <c r="C26" s="24" t="n"/>
      <c r="D26" s="25" t="n"/>
      <c r="E26" s="20" t="n"/>
      <c r="F26" s="48">
        <f>IF(E26="","",IFERROR(INDEX('جدول الكميات'!$D$6:$D$105,MATCH(E26,'جدول الكميات'!$B$6:$B$105,0)),"⚠ كود غير موجود"))</f>
        <v/>
      </c>
      <c r="G26" s="35" t="n"/>
      <c r="H26" s="20" t="n"/>
      <c r="I26" s="43" t="n"/>
      <c r="J26" s="20" t="n"/>
      <c r="K26" s="25" t="n"/>
      <c r="L26" s="49">
        <f>IF(J26="نعم",0,N(I26))</f>
        <v/>
      </c>
      <c r="M26" s="45" t="n"/>
    </row>
    <row r="27">
      <c r="A27" s="34">
        <f>IF(B27="","",COUNTA($B$6:B27))</f>
        <v/>
      </c>
      <c r="B27" s="20" t="n"/>
      <c r="C27" s="24" t="n"/>
      <c r="D27" s="25" t="n"/>
      <c r="E27" s="20" t="n"/>
      <c r="F27" s="48">
        <f>IF(E27="","",IFERROR(INDEX('جدول الكميات'!$D$6:$D$105,MATCH(E27,'جدول الكميات'!$B$6:$B$105,0)),"⚠ كود غير موجود"))</f>
        <v/>
      </c>
      <c r="G27" s="35" t="n"/>
      <c r="H27" s="20" t="n"/>
      <c r="I27" s="43" t="n"/>
      <c r="J27" s="20" t="n"/>
      <c r="K27" s="25" t="n"/>
      <c r="L27" s="49">
        <f>IF(J27="نعم",0,N(I27))</f>
        <v/>
      </c>
      <c r="M27" s="45" t="n"/>
    </row>
    <row r="28">
      <c r="A28" s="34">
        <f>IF(B28="","",COUNTA($B$6:B28))</f>
        <v/>
      </c>
      <c r="B28" s="20" t="n"/>
      <c r="C28" s="24" t="n"/>
      <c r="D28" s="25" t="n"/>
      <c r="E28" s="20" t="n"/>
      <c r="F28" s="48">
        <f>IF(E28="","",IFERROR(INDEX('جدول الكميات'!$D$6:$D$105,MATCH(E28,'جدول الكميات'!$B$6:$B$105,0)),"⚠ كود غير موجود"))</f>
        <v/>
      </c>
      <c r="G28" s="35" t="n"/>
      <c r="H28" s="20" t="n"/>
      <c r="I28" s="43" t="n"/>
      <c r="J28" s="20" t="n"/>
      <c r="K28" s="25" t="n"/>
      <c r="L28" s="49">
        <f>IF(J28="نعم",0,N(I28))</f>
        <v/>
      </c>
      <c r="M28" s="45" t="n"/>
    </row>
    <row r="29">
      <c r="A29" s="34">
        <f>IF(B29="","",COUNTA($B$6:B29))</f>
        <v/>
      </c>
      <c r="B29" s="20" t="n"/>
      <c r="C29" s="24" t="n"/>
      <c r="D29" s="25" t="n"/>
      <c r="E29" s="20" t="n"/>
      <c r="F29" s="48">
        <f>IF(E29="","",IFERROR(INDEX('جدول الكميات'!$D$6:$D$105,MATCH(E29,'جدول الكميات'!$B$6:$B$105,0)),"⚠ كود غير موجود"))</f>
        <v/>
      </c>
      <c r="G29" s="35" t="n"/>
      <c r="H29" s="20" t="n"/>
      <c r="I29" s="43" t="n"/>
      <c r="J29" s="20" t="n"/>
      <c r="K29" s="25" t="n"/>
      <c r="L29" s="49">
        <f>IF(J29="نعم",0,N(I29))</f>
        <v/>
      </c>
      <c r="M29" s="45" t="n"/>
    </row>
    <row r="30">
      <c r="A30" s="34">
        <f>IF(B30="","",COUNTA($B$6:B30))</f>
        <v/>
      </c>
      <c r="B30" s="20" t="n"/>
      <c r="C30" s="24" t="n"/>
      <c r="D30" s="25" t="n"/>
      <c r="E30" s="20" t="n"/>
      <c r="F30" s="48">
        <f>IF(E30="","",IFERROR(INDEX('جدول الكميات'!$D$6:$D$105,MATCH(E30,'جدول الكميات'!$B$6:$B$105,0)),"⚠ كود غير موجود"))</f>
        <v/>
      </c>
      <c r="G30" s="35" t="n"/>
      <c r="H30" s="20" t="n"/>
      <c r="I30" s="43" t="n"/>
      <c r="J30" s="20" t="n"/>
      <c r="K30" s="25" t="n"/>
      <c r="L30" s="49">
        <f>IF(J30="نعم",0,N(I30))</f>
        <v/>
      </c>
      <c r="M30" s="45" t="n"/>
    </row>
    <row r="31">
      <c r="A31" s="34">
        <f>IF(B31="","",COUNTA($B$6:B31))</f>
        <v/>
      </c>
      <c r="B31" s="20" t="n"/>
      <c r="C31" s="24" t="n"/>
      <c r="D31" s="25" t="n"/>
      <c r="E31" s="20" t="n"/>
      <c r="F31" s="48">
        <f>IF(E31="","",IFERROR(INDEX('جدول الكميات'!$D$6:$D$105,MATCH(E31,'جدول الكميات'!$B$6:$B$105,0)),"⚠ كود غير موجود"))</f>
        <v/>
      </c>
      <c r="G31" s="35" t="n"/>
      <c r="H31" s="20" t="n"/>
      <c r="I31" s="43" t="n"/>
      <c r="J31" s="20" t="n"/>
      <c r="K31" s="25" t="n"/>
      <c r="L31" s="49">
        <f>IF(J31="نعم",0,N(I31))</f>
        <v/>
      </c>
      <c r="M31" s="45" t="n"/>
    </row>
    <row r="32">
      <c r="A32" s="34">
        <f>IF(B32="","",COUNTA($B$6:B32))</f>
        <v/>
      </c>
      <c r="B32" s="20" t="n"/>
      <c r="C32" s="24" t="n"/>
      <c r="D32" s="25" t="n"/>
      <c r="E32" s="20" t="n"/>
      <c r="F32" s="48">
        <f>IF(E32="","",IFERROR(INDEX('جدول الكميات'!$D$6:$D$105,MATCH(E32,'جدول الكميات'!$B$6:$B$105,0)),"⚠ كود غير موجود"))</f>
        <v/>
      </c>
      <c r="G32" s="35" t="n"/>
      <c r="H32" s="20" t="n"/>
      <c r="I32" s="43" t="n"/>
      <c r="J32" s="20" t="n"/>
      <c r="K32" s="25" t="n"/>
      <c r="L32" s="49">
        <f>IF(J32="نعم",0,N(I32))</f>
        <v/>
      </c>
      <c r="M32" s="45" t="n"/>
    </row>
    <row r="33">
      <c r="A33" s="34">
        <f>IF(B33="","",COUNTA($B$6:B33))</f>
        <v/>
      </c>
      <c r="B33" s="20" t="n"/>
      <c r="C33" s="24" t="n"/>
      <c r="D33" s="25" t="n"/>
      <c r="E33" s="20" t="n"/>
      <c r="F33" s="48">
        <f>IF(E33="","",IFERROR(INDEX('جدول الكميات'!$D$6:$D$105,MATCH(E33,'جدول الكميات'!$B$6:$B$105,0)),"⚠ كود غير موجود"))</f>
        <v/>
      </c>
      <c r="G33" s="35" t="n"/>
      <c r="H33" s="20" t="n"/>
      <c r="I33" s="43" t="n"/>
      <c r="J33" s="20" t="n"/>
      <c r="K33" s="25" t="n"/>
      <c r="L33" s="49">
        <f>IF(J33="نعم",0,N(I33))</f>
        <v/>
      </c>
      <c r="M33" s="45" t="n"/>
    </row>
    <row r="34">
      <c r="A34" s="34">
        <f>IF(B34="","",COUNTA($B$6:B34))</f>
        <v/>
      </c>
      <c r="B34" s="20" t="n"/>
      <c r="C34" s="24" t="n"/>
      <c r="D34" s="25" t="n"/>
      <c r="E34" s="20" t="n"/>
      <c r="F34" s="48">
        <f>IF(E34="","",IFERROR(INDEX('جدول الكميات'!$D$6:$D$105,MATCH(E34,'جدول الكميات'!$B$6:$B$105,0)),"⚠ كود غير موجود"))</f>
        <v/>
      </c>
      <c r="G34" s="35" t="n"/>
      <c r="H34" s="20" t="n"/>
      <c r="I34" s="43" t="n"/>
      <c r="J34" s="20" t="n"/>
      <c r="K34" s="25" t="n"/>
      <c r="L34" s="49">
        <f>IF(J34="نعم",0,N(I34))</f>
        <v/>
      </c>
      <c r="M34" s="45" t="n"/>
    </row>
    <row r="35">
      <c r="A35" s="34">
        <f>IF(B35="","",COUNTA($B$6:B35))</f>
        <v/>
      </c>
      <c r="B35" s="20" t="n"/>
      <c r="C35" s="24" t="n"/>
      <c r="D35" s="25" t="n"/>
      <c r="E35" s="20" t="n"/>
      <c r="F35" s="48">
        <f>IF(E35="","",IFERROR(INDEX('جدول الكميات'!$D$6:$D$105,MATCH(E35,'جدول الكميات'!$B$6:$B$105,0)),"⚠ كود غير موجود"))</f>
        <v/>
      </c>
      <c r="G35" s="35" t="n"/>
      <c r="H35" s="20" t="n"/>
      <c r="I35" s="43" t="n"/>
      <c r="J35" s="20" t="n"/>
      <c r="K35" s="25" t="n"/>
      <c r="L35" s="49">
        <f>IF(J35="نعم",0,N(I35))</f>
        <v/>
      </c>
      <c r="M35" s="45" t="n"/>
    </row>
    <row r="36">
      <c r="A36" s="34">
        <f>IF(B36="","",COUNTA($B$6:B36))</f>
        <v/>
      </c>
      <c r="B36" s="20" t="n"/>
      <c r="C36" s="24" t="n"/>
      <c r="D36" s="25" t="n"/>
      <c r="E36" s="20" t="n"/>
      <c r="F36" s="48">
        <f>IF(E36="","",IFERROR(INDEX('جدول الكميات'!$D$6:$D$105,MATCH(E36,'جدول الكميات'!$B$6:$B$105,0)),"⚠ كود غير موجود"))</f>
        <v/>
      </c>
      <c r="G36" s="35" t="n"/>
      <c r="H36" s="20" t="n"/>
      <c r="I36" s="43" t="n"/>
      <c r="J36" s="20" t="n"/>
      <c r="K36" s="25" t="n"/>
      <c r="L36" s="49">
        <f>IF(J36="نعم",0,N(I36))</f>
        <v/>
      </c>
      <c r="M36" s="45" t="n"/>
    </row>
    <row r="37">
      <c r="A37" s="34">
        <f>IF(B37="","",COUNTA($B$6:B37))</f>
        <v/>
      </c>
      <c r="B37" s="20" t="n"/>
      <c r="C37" s="24" t="n"/>
      <c r="D37" s="25" t="n"/>
      <c r="E37" s="20" t="n"/>
      <c r="F37" s="48">
        <f>IF(E37="","",IFERROR(INDEX('جدول الكميات'!$D$6:$D$105,MATCH(E37,'جدول الكميات'!$B$6:$B$105,0)),"⚠ كود غير موجود"))</f>
        <v/>
      </c>
      <c r="G37" s="35" t="n"/>
      <c r="H37" s="20" t="n"/>
      <c r="I37" s="43" t="n"/>
      <c r="J37" s="20" t="n"/>
      <c r="K37" s="25" t="n"/>
      <c r="L37" s="49">
        <f>IF(J37="نعم",0,N(I37))</f>
        <v/>
      </c>
      <c r="M37" s="45" t="n"/>
    </row>
    <row r="38">
      <c r="A38" s="34">
        <f>IF(B38="","",COUNTA($B$6:B38))</f>
        <v/>
      </c>
      <c r="B38" s="20" t="n"/>
      <c r="C38" s="24" t="n"/>
      <c r="D38" s="25" t="n"/>
      <c r="E38" s="20" t="n"/>
      <c r="F38" s="48">
        <f>IF(E38="","",IFERROR(INDEX('جدول الكميات'!$D$6:$D$105,MATCH(E38,'جدول الكميات'!$B$6:$B$105,0)),"⚠ كود غير موجود"))</f>
        <v/>
      </c>
      <c r="G38" s="35" t="n"/>
      <c r="H38" s="20" t="n"/>
      <c r="I38" s="43" t="n"/>
      <c r="J38" s="20" t="n"/>
      <c r="K38" s="25" t="n"/>
      <c r="L38" s="49">
        <f>IF(J38="نعم",0,N(I38))</f>
        <v/>
      </c>
      <c r="M38" s="45" t="n"/>
    </row>
    <row r="39">
      <c r="A39" s="34">
        <f>IF(B39="","",COUNTA($B$6:B39))</f>
        <v/>
      </c>
      <c r="B39" s="20" t="n"/>
      <c r="C39" s="24" t="n"/>
      <c r="D39" s="25" t="n"/>
      <c r="E39" s="20" t="n"/>
      <c r="F39" s="48">
        <f>IF(E39="","",IFERROR(INDEX('جدول الكميات'!$D$6:$D$105,MATCH(E39,'جدول الكميات'!$B$6:$B$105,0)),"⚠ كود غير موجود"))</f>
        <v/>
      </c>
      <c r="G39" s="35" t="n"/>
      <c r="H39" s="20" t="n"/>
      <c r="I39" s="43" t="n"/>
      <c r="J39" s="20" t="n"/>
      <c r="K39" s="25" t="n"/>
      <c r="L39" s="49">
        <f>IF(J39="نعم",0,N(I39))</f>
        <v/>
      </c>
      <c r="M39" s="45" t="n"/>
    </row>
    <row r="40">
      <c r="A40" s="34">
        <f>IF(B40="","",COUNTA($B$6:B40))</f>
        <v/>
      </c>
      <c r="B40" s="20" t="n"/>
      <c r="C40" s="24" t="n"/>
      <c r="D40" s="25" t="n"/>
      <c r="E40" s="20" t="n"/>
      <c r="F40" s="48">
        <f>IF(E40="","",IFERROR(INDEX('جدول الكميات'!$D$6:$D$105,MATCH(E40,'جدول الكميات'!$B$6:$B$105,0)),"⚠ كود غير موجود"))</f>
        <v/>
      </c>
      <c r="G40" s="35" t="n"/>
      <c r="H40" s="20" t="n"/>
      <c r="I40" s="43" t="n"/>
      <c r="J40" s="20" t="n"/>
      <c r="K40" s="25" t="n"/>
      <c r="L40" s="49">
        <f>IF(J40="نعم",0,N(I40))</f>
        <v/>
      </c>
      <c r="M40" s="45" t="n"/>
    </row>
    <row r="41">
      <c r="A41" s="34">
        <f>IF(B41="","",COUNTA($B$6:B41))</f>
        <v/>
      </c>
      <c r="B41" s="20" t="n"/>
      <c r="C41" s="24" t="n"/>
      <c r="D41" s="25" t="n"/>
      <c r="E41" s="20" t="n"/>
      <c r="F41" s="48">
        <f>IF(E41="","",IFERROR(INDEX('جدول الكميات'!$D$6:$D$105,MATCH(E41,'جدول الكميات'!$B$6:$B$105,0)),"⚠ كود غير موجود"))</f>
        <v/>
      </c>
      <c r="G41" s="35" t="n"/>
      <c r="H41" s="20" t="n"/>
      <c r="I41" s="43" t="n"/>
      <c r="J41" s="20" t="n"/>
      <c r="K41" s="25" t="n"/>
      <c r="L41" s="49">
        <f>IF(J41="نعم",0,N(I41))</f>
        <v/>
      </c>
      <c r="M41" s="45" t="n"/>
    </row>
    <row r="42">
      <c r="A42" s="34">
        <f>IF(B42="","",COUNTA($B$6:B42))</f>
        <v/>
      </c>
      <c r="B42" s="20" t="n"/>
      <c r="C42" s="24" t="n"/>
      <c r="D42" s="25" t="n"/>
      <c r="E42" s="20" t="n"/>
      <c r="F42" s="48">
        <f>IF(E42="","",IFERROR(INDEX('جدول الكميات'!$D$6:$D$105,MATCH(E42,'جدول الكميات'!$B$6:$B$105,0)),"⚠ كود غير موجود"))</f>
        <v/>
      </c>
      <c r="G42" s="35" t="n"/>
      <c r="H42" s="20" t="n"/>
      <c r="I42" s="43" t="n"/>
      <c r="J42" s="20" t="n"/>
      <c r="K42" s="25" t="n"/>
      <c r="L42" s="49">
        <f>IF(J42="نعم",0,N(I42))</f>
        <v/>
      </c>
      <c r="M42" s="45" t="n"/>
    </row>
    <row r="43">
      <c r="A43" s="34">
        <f>IF(B43="","",COUNTA($B$6:B43))</f>
        <v/>
      </c>
      <c r="B43" s="20" t="n"/>
      <c r="C43" s="24" t="n"/>
      <c r="D43" s="25" t="n"/>
      <c r="E43" s="20" t="n"/>
      <c r="F43" s="48">
        <f>IF(E43="","",IFERROR(INDEX('جدول الكميات'!$D$6:$D$105,MATCH(E43,'جدول الكميات'!$B$6:$B$105,0)),"⚠ كود غير موجود"))</f>
        <v/>
      </c>
      <c r="G43" s="35" t="n"/>
      <c r="H43" s="20" t="n"/>
      <c r="I43" s="43" t="n"/>
      <c r="J43" s="20" t="n"/>
      <c r="K43" s="25" t="n"/>
      <c r="L43" s="49">
        <f>IF(J43="نعم",0,N(I43))</f>
        <v/>
      </c>
      <c r="M43" s="45" t="n"/>
    </row>
    <row r="44">
      <c r="A44" s="34">
        <f>IF(B44="","",COUNTA($B$6:B44))</f>
        <v/>
      </c>
      <c r="B44" s="20" t="n"/>
      <c r="C44" s="24" t="n"/>
      <c r="D44" s="25" t="n"/>
      <c r="E44" s="20" t="n"/>
      <c r="F44" s="48">
        <f>IF(E44="","",IFERROR(INDEX('جدول الكميات'!$D$6:$D$105,MATCH(E44,'جدول الكميات'!$B$6:$B$105,0)),"⚠ كود غير موجود"))</f>
        <v/>
      </c>
      <c r="G44" s="35" t="n"/>
      <c r="H44" s="20" t="n"/>
      <c r="I44" s="43" t="n"/>
      <c r="J44" s="20" t="n"/>
      <c r="K44" s="25" t="n"/>
      <c r="L44" s="49">
        <f>IF(J44="نعم",0,N(I44))</f>
        <v/>
      </c>
      <c r="M44" s="45" t="n"/>
    </row>
    <row r="45">
      <c r="A45" s="34">
        <f>IF(B45="","",COUNTA($B$6:B45))</f>
        <v/>
      </c>
      <c r="B45" s="20" t="n"/>
      <c r="C45" s="24" t="n"/>
      <c r="D45" s="25" t="n"/>
      <c r="E45" s="20" t="n"/>
      <c r="F45" s="48">
        <f>IF(E45="","",IFERROR(INDEX('جدول الكميات'!$D$6:$D$105,MATCH(E45,'جدول الكميات'!$B$6:$B$105,0)),"⚠ كود غير موجود"))</f>
        <v/>
      </c>
      <c r="G45" s="35" t="n"/>
      <c r="H45" s="20" t="n"/>
      <c r="I45" s="43" t="n"/>
      <c r="J45" s="20" t="n"/>
      <c r="K45" s="25" t="n"/>
      <c r="L45" s="49">
        <f>IF(J45="نعم",0,N(I45))</f>
        <v/>
      </c>
      <c r="M45" s="45" t="n"/>
    </row>
    <row r="46">
      <c r="A46" s="34">
        <f>IF(B46="","",COUNTA($B$6:B46))</f>
        <v/>
      </c>
      <c r="B46" s="20" t="n"/>
      <c r="C46" s="24" t="n"/>
      <c r="D46" s="25" t="n"/>
      <c r="E46" s="20" t="n"/>
      <c r="F46" s="48">
        <f>IF(E46="","",IFERROR(INDEX('جدول الكميات'!$D$6:$D$105,MATCH(E46,'جدول الكميات'!$B$6:$B$105,0)),"⚠ كود غير موجود"))</f>
        <v/>
      </c>
      <c r="G46" s="35" t="n"/>
      <c r="H46" s="20" t="n"/>
      <c r="I46" s="43" t="n"/>
      <c r="J46" s="20" t="n"/>
      <c r="K46" s="25" t="n"/>
      <c r="L46" s="49">
        <f>IF(J46="نعم",0,N(I46))</f>
        <v/>
      </c>
      <c r="M46" s="45" t="n"/>
    </row>
    <row r="47">
      <c r="A47" s="34">
        <f>IF(B47="","",COUNTA($B$6:B47))</f>
        <v/>
      </c>
      <c r="B47" s="20" t="n"/>
      <c r="C47" s="24" t="n"/>
      <c r="D47" s="25" t="n"/>
      <c r="E47" s="20" t="n"/>
      <c r="F47" s="48">
        <f>IF(E47="","",IFERROR(INDEX('جدول الكميات'!$D$6:$D$105,MATCH(E47,'جدول الكميات'!$B$6:$B$105,0)),"⚠ كود غير موجود"))</f>
        <v/>
      </c>
      <c r="G47" s="35" t="n"/>
      <c r="H47" s="20" t="n"/>
      <c r="I47" s="43" t="n"/>
      <c r="J47" s="20" t="n"/>
      <c r="K47" s="25" t="n"/>
      <c r="L47" s="49">
        <f>IF(J47="نعم",0,N(I47))</f>
        <v/>
      </c>
      <c r="M47" s="45" t="n"/>
    </row>
    <row r="48">
      <c r="A48" s="34">
        <f>IF(B48="","",COUNTA($B$6:B48))</f>
        <v/>
      </c>
      <c r="B48" s="20" t="n"/>
      <c r="C48" s="24" t="n"/>
      <c r="D48" s="25" t="n"/>
      <c r="E48" s="20" t="n"/>
      <c r="F48" s="48">
        <f>IF(E48="","",IFERROR(INDEX('جدول الكميات'!$D$6:$D$105,MATCH(E48,'جدول الكميات'!$B$6:$B$105,0)),"⚠ كود غير موجود"))</f>
        <v/>
      </c>
      <c r="G48" s="35" t="n"/>
      <c r="H48" s="20" t="n"/>
      <c r="I48" s="43" t="n"/>
      <c r="J48" s="20" t="n"/>
      <c r="K48" s="25" t="n"/>
      <c r="L48" s="49">
        <f>IF(J48="نعم",0,N(I48))</f>
        <v/>
      </c>
      <c r="M48" s="45" t="n"/>
    </row>
    <row r="49">
      <c r="A49" s="34">
        <f>IF(B49="","",COUNTA($B$6:B49))</f>
        <v/>
      </c>
      <c r="B49" s="20" t="n"/>
      <c r="C49" s="24" t="n"/>
      <c r="D49" s="25" t="n"/>
      <c r="E49" s="20" t="n"/>
      <c r="F49" s="48">
        <f>IF(E49="","",IFERROR(INDEX('جدول الكميات'!$D$6:$D$105,MATCH(E49,'جدول الكميات'!$B$6:$B$105,0)),"⚠ كود غير موجود"))</f>
        <v/>
      </c>
      <c r="G49" s="35" t="n"/>
      <c r="H49" s="20" t="n"/>
      <c r="I49" s="43" t="n"/>
      <c r="J49" s="20" t="n"/>
      <c r="K49" s="25" t="n"/>
      <c r="L49" s="49">
        <f>IF(J49="نعم",0,N(I49))</f>
        <v/>
      </c>
      <c r="M49" s="45" t="n"/>
    </row>
    <row r="50">
      <c r="A50" s="34">
        <f>IF(B50="","",COUNTA($B$6:B50))</f>
        <v/>
      </c>
      <c r="B50" s="20" t="n"/>
      <c r="C50" s="24" t="n"/>
      <c r="D50" s="25" t="n"/>
      <c r="E50" s="20" t="n"/>
      <c r="F50" s="48">
        <f>IF(E50="","",IFERROR(INDEX('جدول الكميات'!$D$6:$D$105,MATCH(E50,'جدول الكميات'!$B$6:$B$105,0)),"⚠ كود غير موجود"))</f>
        <v/>
      </c>
      <c r="G50" s="35" t="n"/>
      <c r="H50" s="20" t="n"/>
      <c r="I50" s="43" t="n"/>
      <c r="J50" s="20" t="n"/>
      <c r="K50" s="25" t="n"/>
      <c r="L50" s="49">
        <f>IF(J50="نعم",0,N(I50))</f>
        <v/>
      </c>
      <c r="M50" s="45" t="n"/>
    </row>
    <row r="51">
      <c r="A51" s="34">
        <f>IF(B51="","",COUNTA($B$6:B51))</f>
        <v/>
      </c>
      <c r="B51" s="20" t="n"/>
      <c r="C51" s="24" t="n"/>
      <c r="D51" s="25" t="n"/>
      <c r="E51" s="20" t="n"/>
      <c r="F51" s="48">
        <f>IF(E51="","",IFERROR(INDEX('جدول الكميات'!$D$6:$D$105,MATCH(E51,'جدول الكميات'!$B$6:$B$105,0)),"⚠ كود غير موجود"))</f>
        <v/>
      </c>
      <c r="G51" s="35" t="n"/>
      <c r="H51" s="20" t="n"/>
      <c r="I51" s="43" t="n"/>
      <c r="J51" s="20" t="n"/>
      <c r="K51" s="25" t="n"/>
      <c r="L51" s="49">
        <f>IF(J51="نعم",0,N(I51))</f>
        <v/>
      </c>
      <c r="M51" s="45" t="n"/>
    </row>
    <row r="52">
      <c r="A52" s="34">
        <f>IF(B52="","",COUNTA($B$6:B52))</f>
        <v/>
      </c>
      <c r="B52" s="20" t="n"/>
      <c r="C52" s="24" t="n"/>
      <c r="D52" s="25" t="n"/>
      <c r="E52" s="20" t="n"/>
      <c r="F52" s="48">
        <f>IF(E52="","",IFERROR(INDEX('جدول الكميات'!$D$6:$D$105,MATCH(E52,'جدول الكميات'!$B$6:$B$105,0)),"⚠ كود غير موجود"))</f>
        <v/>
      </c>
      <c r="G52" s="35" t="n"/>
      <c r="H52" s="20" t="n"/>
      <c r="I52" s="43" t="n"/>
      <c r="J52" s="20" t="n"/>
      <c r="K52" s="25" t="n"/>
      <c r="L52" s="49">
        <f>IF(J52="نعم",0,N(I52))</f>
        <v/>
      </c>
      <c r="M52" s="45" t="n"/>
    </row>
    <row r="53">
      <c r="A53" s="34">
        <f>IF(B53="","",COUNTA($B$6:B53))</f>
        <v/>
      </c>
      <c r="B53" s="20" t="n"/>
      <c r="C53" s="24" t="n"/>
      <c r="D53" s="25" t="n"/>
      <c r="E53" s="20" t="n"/>
      <c r="F53" s="48">
        <f>IF(E53="","",IFERROR(INDEX('جدول الكميات'!$D$6:$D$105,MATCH(E53,'جدول الكميات'!$B$6:$B$105,0)),"⚠ كود غير موجود"))</f>
        <v/>
      </c>
      <c r="G53" s="35" t="n"/>
      <c r="H53" s="20" t="n"/>
      <c r="I53" s="43" t="n"/>
      <c r="J53" s="20" t="n"/>
      <c r="K53" s="25" t="n"/>
      <c r="L53" s="49">
        <f>IF(J53="نعم",0,N(I53))</f>
        <v/>
      </c>
      <c r="M53" s="45" t="n"/>
    </row>
    <row r="54">
      <c r="A54" s="34">
        <f>IF(B54="","",COUNTA($B$6:B54))</f>
        <v/>
      </c>
      <c r="B54" s="20" t="n"/>
      <c r="C54" s="24" t="n"/>
      <c r="D54" s="25" t="n"/>
      <c r="E54" s="20" t="n"/>
      <c r="F54" s="48">
        <f>IF(E54="","",IFERROR(INDEX('جدول الكميات'!$D$6:$D$105,MATCH(E54,'جدول الكميات'!$B$6:$B$105,0)),"⚠ كود غير موجود"))</f>
        <v/>
      </c>
      <c r="G54" s="35" t="n"/>
      <c r="H54" s="20" t="n"/>
      <c r="I54" s="43" t="n"/>
      <c r="J54" s="20" t="n"/>
      <c r="K54" s="25" t="n"/>
      <c r="L54" s="49">
        <f>IF(J54="نعم",0,N(I54))</f>
        <v/>
      </c>
      <c r="M54" s="45" t="n"/>
    </row>
    <row r="55">
      <c r="A55" s="34">
        <f>IF(B55="","",COUNTA($B$6:B55))</f>
        <v/>
      </c>
      <c r="B55" s="20" t="n"/>
      <c r="C55" s="24" t="n"/>
      <c r="D55" s="25" t="n"/>
      <c r="E55" s="20" t="n"/>
      <c r="F55" s="48">
        <f>IF(E55="","",IFERROR(INDEX('جدول الكميات'!$D$6:$D$105,MATCH(E55,'جدول الكميات'!$B$6:$B$105,0)),"⚠ كود غير موجود"))</f>
        <v/>
      </c>
      <c r="G55" s="35" t="n"/>
      <c r="H55" s="20" t="n"/>
      <c r="I55" s="43" t="n"/>
      <c r="J55" s="20" t="n"/>
      <c r="K55" s="25" t="n"/>
      <c r="L55" s="49">
        <f>IF(J55="نعم",0,N(I55))</f>
        <v/>
      </c>
      <c r="M55" s="45" t="n"/>
    </row>
    <row r="56">
      <c r="A56" s="34">
        <f>IF(B56="","",COUNTA($B$6:B56))</f>
        <v/>
      </c>
      <c r="B56" s="20" t="n"/>
      <c r="C56" s="24" t="n"/>
      <c r="D56" s="25" t="n"/>
      <c r="E56" s="20" t="n"/>
      <c r="F56" s="48">
        <f>IF(E56="","",IFERROR(INDEX('جدول الكميات'!$D$6:$D$105,MATCH(E56,'جدول الكميات'!$B$6:$B$105,0)),"⚠ كود غير موجود"))</f>
        <v/>
      </c>
      <c r="G56" s="35" t="n"/>
      <c r="H56" s="20" t="n"/>
      <c r="I56" s="43" t="n"/>
      <c r="J56" s="20" t="n"/>
      <c r="K56" s="25" t="n"/>
      <c r="L56" s="49">
        <f>IF(J56="نعم",0,N(I56))</f>
        <v/>
      </c>
      <c r="M56" s="45" t="n"/>
    </row>
    <row r="57">
      <c r="A57" s="34">
        <f>IF(B57="","",COUNTA($B$6:B57))</f>
        <v/>
      </c>
      <c r="B57" s="20" t="n"/>
      <c r="C57" s="24" t="n"/>
      <c r="D57" s="25" t="n"/>
      <c r="E57" s="20" t="n"/>
      <c r="F57" s="48">
        <f>IF(E57="","",IFERROR(INDEX('جدول الكميات'!$D$6:$D$105,MATCH(E57,'جدول الكميات'!$B$6:$B$105,0)),"⚠ كود غير موجود"))</f>
        <v/>
      </c>
      <c r="G57" s="35" t="n"/>
      <c r="H57" s="20" t="n"/>
      <c r="I57" s="43" t="n"/>
      <c r="J57" s="20" t="n"/>
      <c r="K57" s="25" t="n"/>
      <c r="L57" s="49">
        <f>IF(J57="نعم",0,N(I57))</f>
        <v/>
      </c>
      <c r="M57" s="45" t="n"/>
    </row>
    <row r="58">
      <c r="A58" s="34">
        <f>IF(B58="","",COUNTA($B$6:B58))</f>
        <v/>
      </c>
      <c r="B58" s="20" t="n"/>
      <c r="C58" s="24" t="n"/>
      <c r="D58" s="25" t="n"/>
      <c r="E58" s="20" t="n"/>
      <c r="F58" s="48">
        <f>IF(E58="","",IFERROR(INDEX('جدول الكميات'!$D$6:$D$105,MATCH(E58,'جدول الكميات'!$B$6:$B$105,0)),"⚠ كود غير موجود"))</f>
        <v/>
      </c>
      <c r="G58" s="35" t="n"/>
      <c r="H58" s="20" t="n"/>
      <c r="I58" s="43" t="n"/>
      <c r="J58" s="20" t="n"/>
      <c r="K58" s="25" t="n"/>
      <c r="L58" s="49">
        <f>IF(J58="نعم",0,N(I58))</f>
        <v/>
      </c>
      <c r="M58" s="45" t="n"/>
    </row>
    <row r="59">
      <c r="A59" s="34">
        <f>IF(B59="","",COUNTA($B$6:B59))</f>
        <v/>
      </c>
      <c r="B59" s="20" t="n"/>
      <c r="C59" s="24" t="n"/>
      <c r="D59" s="25" t="n"/>
      <c r="E59" s="20" t="n"/>
      <c r="F59" s="48">
        <f>IF(E59="","",IFERROR(INDEX('جدول الكميات'!$D$6:$D$105,MATCH(E59,'جدول الكميات'!$B$6:$B$105,0)),"⚠ كود غير موجود"))</f>
        <v/>
      </c>
      <c r="G59" s="35" t="n"/>
      <c r="H59" s="20" t="n"/>
      <c r="I59" s="43" t="n"/>
      <c r="J59" s="20" t="n"/>
      <c r="K59" s="25" t="n"/>
      <c r="L59" s="49">
        <f>IF(J59="نعم",0,N(I59))</f>
        <v/>
      </c>
      <c r="M59" s="45" t="n"/>
    </row>
    <row r="60">
      <c r="A60" s="34">
        <f>IF(B60="","",COUNTA($B$6:B60))</f>
        <v/>
      </c>
      <c r="B60" s="20" t="n"/>
      <c r="C60" s="24" t="n"/>
      <c r="D60" s="25" t="n"/>
      <c r="E60" s="20" t="n"/>
      <c r="F60" s="48">
        <f>IF(E60="","",IFERROR(INDEX('جدول الكميات'!$D$6:$D$105,MATCH(E60,'جدول الكميات'!$B$6:$B$105,0)),"⚠ كود غير موجود"))</f>
        <v/>
      </c>
      <c r="G60" s="35" t="n"/>
      <c r="H60" s="20" t="n"/>
      <c r="I60" s="43" t="n"/>
      <c r="J60" s="20" t="n"/>
      <c r="K60" s="25" t="n"/>
      <c r="L60" s="49">
        <f>IF(J60="نعم",0,N(I60))</f>
        <v/>
      </c>
      <c r="M60" s="45" t="n"/>
    </row>
    <row r="61">
      <c r="A61" s="34">
        <f>IF(B61="","",COUNTA($B$6:B61))</f>
        <v/>
      </c>
      <c r="B61" s="20" t="n"/>
      <c r="C61" s="24" t="n"/>
      <c r="D61" s="25" t="n"/>
      <c r="E61" s="20" t="n"/>
      <c r="F61" s="48">
        <f>IF(E61="","",IFERROR(INDEX('جدول الكميات'!$D$6:$D$105,MATCH(E61,'جدول الكميات'!$B$6:$B$105,0)),"⚠ كود غير موجود"))</f>
        <v/>
      </c>
      <c r="G61" s="35" t="n"/>
      <c r="H61" s="20" t="n"/>
      <c r="I61" s="43" t="n"/>
      <c r="J61" s="20" t="n"/>
      <c r="K61" s="25" t="n"/>
      <c r="L61" s="49">
        <f>IF(J61="نعم",0,N(I61))</f>
        <v/>
      </c>
      <c r="M61" s="45" t="n"/>
    </row>
    <row r="62">
      <c r="A62" s="34">
        <f>IF(B62="","",COUNTA($B$6:B62))</f>
        <v/>
      </c>
      <c r="B62" s="20" t="n"/>
      <c r="C62" s="24" t="n"/>
      <c r="D62" s="25" t="n"/>
      <c r="E62" s="20" t="n"/>
      <c r="F62" s="48">
        <f>IF(E62="","",IFERROR(INDEX('جدول الكميات'!$D$6:$D$105,MATCH(E62,'جدول الكميات'!$B$6:$B$105,0)),"⚠ كود غير موجود"))</f>
        <v/>
      </c>
      <c r="G62" s="35" t="n"/>
      <c r="H62" s="20" t="n"/>
      <c r="I62" s="43" t="n"/>
      <c r="J62" s="20" t="n"/>
      <c r="K62" s="25" t="n"/>
      <c r="L62" s="49">
        <f>IF(J62="نعم",0,N(I62))</f>
        <v/>
      </c>
      <c r="M62" s="45" t="n"/>
    </row>
    <row r="63">
      <c r="A63" s="34">
        <f>IF(B63="","",COUNTA($B$6:B63))</f>
        <v/>
      </c>
      <c r="B63" s="20" t="n"/>
      <c r="C63" s="24" t="n"/>
      <c r="D63" s="25" t="n"/>
      <c r="E63" s="20" t="n"/>
      <c r="F63" s="48">
        <f>IF(E63="","",IFERROR(INDEX('جدول الكميات'!$D$6:$D$105,MATCH(E63,'جدول الكميات'!$B$6:$B$105,0)),"⚠ كود غير موجود"))</f>
        <v/>
      </c>
      <c r="G63" s="35" t="n"/>
      <c r="H63" s="20" t="n"/>
      <c r="I63" s="43" t="n"/>
      <c r="J63" s="20" t="n"/>
      <c r="K63" s="25" t="n"/>
      <c r="L63" s="49">
        <f>IF(J63="نعم",0,N(I63))</f>
        <v/>
      </c>
      <c r="M63" s="45" t="n"/>
    </row>
    <row r="64">
      <c r="A64" s="34">
        <f>IF(B64="","",COUNTA($B$6:B64))</f>
        <v/>
      </c>
      <c r="B64" s="20" t="n"/>
      <c r="C64" s="24" t="n"/>
      <c r="D64" s="25" t="n"/>
      <c r="E64" s="20" t="n"/>
      <c r="F64" s="48">
        <f>IF(E64="","",IFERROR(INDEX('جدول الكميات'!$D$6:$D$105,MATCH(E64,'جدول الكميات'!$B$6:$B$105,0)),"⚠ كود غير موجود"))</f>
        <v/>
      </c>
      <c r="G64" s="35" t="n"/>
      <c r="H64" s="20" t="n"/>
      <c r="I64" s="43" t="n"/>
      <c r="J64" s="20" t="n"/>
      <c r="K64" s="25" t="n"/>
      <c r="L64" s="49">
        <f>IF(J64="نعم",0,N(I64))</f>
        <v/>
      </c>
      <c r="M64" s="45" t="n"/>
    </row>
    <row r="65">
      <c r="A65" s="34">
        <f>IF(B65="","",COUNTA($B$6:B65))</f>
        <v/>
      </c>
      <c r="B65" s="20" t="n"/>
      <c r="C65" s="24" t="n"/>
      <c r="D65" s="25" t="n"/>
      <c r="E65" s="20" t="n"/>
      <c r="F65" s="48">
        <f>IF(E65="","",IFERROR(INDEX('جدول الكميات'!$D$6:$D$105,MATCH(E65,'جدول الكميات'!$B$6:$B$105,0)),"⚠ كود غير موجود"))</f>
        <v/>
      </c>
      <c r="G65" s="35" t="n"/>
      <c r="H65" s="20" t="n"/>
      <c r="I65" s="43" t="n"/>
      <c r="J65" s="20" t="n"/>
      <c r="K65" s="25" t="n"/>
      <c r="L65" s="49">
        <f>IF(J65="نعم",0,N(I65))</f>
        <v/>
      </c>
      <c r="M65" s="45" t="n"/>
    </row>
    <row r="66">
      <c r="A66" s="34">
        <f>IF(B66="","",COUNTA($B$6:B66))</f>
        <v/>
      </c>
      <c r="B66" s="20" t="n"/>
      <c r="C66" s="24" t="n"/>
      <c r="D66" s="25" t="n"/>
      <c r="E66" s="20" t="n"/>
      <c r="F66" s="48">
        <f>IF(E66="","",IFERROR(INDEX('جدول الكميات'!$D$6:$D$105,MATCH(E66,'جدول الكميات'!$B$6:$B$105,0)),"⚠ كود غير موجود"))</f>
        <v/>
      </c>
      <c r="G66" s="35" t="n"/>
      <c r="H66" s="20" t="n"/>
      <c r="I66" s="43" t="n"/>
      <c r="J66" s="20" t="n"/>
      <c r="K66" s="25" t="n"/>
      <c r="L66" s="49">
        <f>IF(J66="نعم",0,N(I66))</f>
        <v/>
      </c>
      <c r="M66" s="45" t="n"/>
    </row>
    <row r="67">
      <c r="A67" s="34">
        <f>IF(B67="","",COUNTA($B$6:B67))</f>
        <v/>
      </c>
      <c r="B67" s="20" t="n"/>
      <c r="C67" s="24" t="n"/>
      <c r="D67" s="25" t="n"/>
      <c r="E67" s="20" t="n"/>
      <c r="F67" s="48">
        <f>IF(E67="","",IFERROR(INDEX('جدول الكميات'!$D$6:$D$105,MATCH(E67,'جدول الكميات'!$B$6:$B$105,0)),"⚠ كود غير موجود"))</f>
        <v/>
      </c>
      <c r="G67" s="35" t="n"/>
      <c r="H67" s="20" t="n"/>
      <c r="I67" s="43" t="n"/>
      <c r="J67" s="20" t="n"/>
      <c r="K67" s="25" t="n"/>
      <c r="L67" s="49">
        <f>IF(J67="نعم",0,N(I67))</f>
        <v/>
      </c>
      <c r="M67" s="45" t="n"/>
    </row>
    <row r="68">
      <c r="A68" s="34">
        <f>IF(B68="","",COUNTA($B$6:B68))</f>
        <v/>
      </c>
      <c r="B68" s="20" t="n"/>
      <c r="C68" s="24" t="n"/>
      <c r="D68" s="25" t="n"/>
      <c r="E68" s="20" t="n"/>
      <c r="F68" s="48">
        <f>IF(E68="","",IFERROR(INDEX('جدول الكميات'!$D$6:$D$105,MATCH(E68,'جدول الكميات'!$B$6:$B$105,0)),"⚠ كود غير موجود"))</f>
        <v/>
      </c>
      <c r="G68" s="35" t="n"/>
      <c r="H68" s="20" t="n"/>
      <c r="I68" s="43" t="n"/>
      <c r="J68" s="20" t="n"/>
      <c r="K68" s="25" t="n"/>
      <c r="L68" s="49">
        <f>IF(J68="نعم",0,N(I68))</f>
        <v/>
      </c>
      <c r="M68" s="45" t="n"/>
    </row>
    <row r="69">
      <c r="A69" s="34">
        <f>IF(B69="","",COUNTA($B$6:B69))</f>
        <v/>
      </c>
      <c r="B69" s="20" t="n"/>
      <c r="C69" s="24" t="n"/>
      <c r="D69" s="25" t="n"/>
      <c r="E69" s="20" t="n"/>
      <c r="F69" s="48">
        <f>IF(E69="","",IFERROR(INDEX('جدول الكميات'!$D$6:$D$105,MATCH(E69,'جدول الكميات'!$B$6:$B$105,0)),"⚠ كود غير موجود"))</f>
        <v/>
      </c>
      <c r="G69" s="35" t="n"/>
      <c r="H69" s="20" t="n"/>
      <c r="I69" s="43" t="n"/>
      <c r="J69" s="20" t="n"/>
      <c r="K69" s="25" t="n"/>
      <c r="L69" s="49">
        <f>IF(J69="نعم",0,N(I69))</f>
        <v/>
      </c>
      <c r="M69" s="45" t="n"/>
    </row>
    <row r="70">
      <c r="A70" s="34">
        <f>IF(B70="","",COUNTA($B$6:B70))</f>
        <v/>
      </c>
      <c r="B70" s="20" t="n"/>
      <c r="C70" s="24" t="n"/>
      <c r="D70" s="25" t="n"/>
      <c r="E70" s="20" t="n"/>
      <c r="F70" s="48">
        <f>IF(E70="","",IFERROR(INDEX('جدول الكميات'!$D$6:$D$105,MATCH(E70,'جدول الكميات'!$B$6:$B$105,0)),"⚠ كود غير موجود"))</f>
        <v/>
      </c>
      <c r="G70" s="35" t="n"/>
      <c r="H70" s="20" t="n"/>
      <c r="I70" s="43" t="n"/>
      <c r="J70" s="20" t="n"/>
      <c r="K70" s="25" t="n"/>
      <c r="L70" s="49">
        <f>IF(J70="نعم",0,N(I70))</f>
        <v/>
      </c>
      <c r="M70" s="45" t="n"/>
    </row>
    <row r="71">
      <c r="A71" s="34">
        <f>IF(B71="","",COUNTA($B$6:B71))</f>
        <v/>
      </c>
      <c r="B71" s="20" t="n"/>
      <c r="C71" s="24" t="n"/>
      <c r="D71" s="25" t="n"/>
      <c r="E71" s="20" t="n"/>
      <c r="F71" s="48">
        <f>IF(E71="","",IFERROR(INDEX('جدول الكميات'!$D$6:$D$105,MATCH(E71,'جدول الكميات'!$B$6:$B$105,0)),"⚠ كود غير موجود"))</f>
        <v/>
      </c>
      <c r="G71" s="35" t="n"/>
      <c r="H71" s="20" t="n"/>
      <c r="I71" s="43" t="n"/>
      <c r="J71" s="20" t="n"/>
      <c r="K71" s="25" t="n"/>
      <c r="L71" s="49">
        <f>IF(J71="نعم",0,N(I71))</f>
        <v/>
      </c>
      <c r="M71" s="45" t="n"/>
    </row>
    <row r="72">
      <c r="A72" s="34">
        <f>IF(B72="","",COUNTA($B$6:B72))</f>
        <v/>
      </c>
      <c r="B72" s="20" t="n"/>
      <c r="C72" s="24" t="n"/>
      <c r="D72" s="25" t="n"/>
      <c r="E72" s="20" t="n"/>
      <c r="F72" s="48">
        <f>IF(E72="","",IFERROR(INDEX('جدول الكميات'!$D$6:$D$105,MATCH(E72,'جدول الكميات'!$B$6:$B$105,0)),"⚠ كود غير موجود"))</f>
        <v/>
      </c>
      <c r="G72" s="35" t="n"/>
      <c r="H72" s="20" t="n"/>
      <c r="I72" s="43" t="n"/>
      <c r="J72" s="20" t="n"/>
      <c r="K72" s="25" t="n"/>
      <c r="L72" s="49">
        <f>IF(J72="نعم",0,N(I72))</f>
        <v/>
      </c>
      <c r="M72" s="45" t="n"/>
    </row>
    <row r="73">
      <c r="A73" s="34">
        <f>IF(B73="","",COUNTA($B$6:B73))</f>
        <v/>
      </c>
      <c r="B73" s="20" t="n"/>
      <c r="C73" s="24" t="n"/>
      <c r="D73" s="25" t="n"/>
      <c r="E73" s="20" t="n"/>
      <c r="F73" s="48">
        <f>IF(E73="","",IFERROR(INDEX('جدول الكميات'!$D$6:$D$105,MATCH(E73,'جدول الكميات'!$B$6:$B$105,0)),"⚠ كود غير موجود"))</f>
        <v/>
      </c>
      <c r="G73" s="35" t="n"/>
      <c r="H73" s="20" t="n"/>
      <c r="I73" s="43" t="n"/>
      <c r="J73" s="20" t="n"/>
      <c r="K73" s="25" t="n"/>
      <c r="L73" s="49">
        <f>IF(J73="نعم",0,N(I73))</f>
        <v/>
      </c>
      <c r="M73" s="45" t="n"/>
    </row>
    <row r="74">
      <c r="A74" s="34">
        <f>IF(B74="","",COUNTA($B$6:B74))</f>
        <v/>
      </c>
      <c r="B74" s="20" t="n"/>
      <c r="C74" s="24" t="n"/>
      <c r="D74" s="25" t="n"/>
      <c r="E74" s="20" t="n"/>
      <c r="F74" s="48">
        <f>IF(E74="","",IFERROR(INDEX('جدول الكميات'!$D$6:$D$105,MATCH(E74,'جدول الكميات'!$B$6:$B$105,0)),"⚠ كود غير موجود"))</f>
        <v/>
      </c>
      <c r="G74" s="35" t="n"/>
      <c r="H74" s="20" t="n"/>
      <c r="I74" s="43" t="n"/>
      <c r="J74" s="20" t="n"/>
      <c r="K74" s="25" t="n"/>
      <c r="L74" s="49">
        <f>IF(J74="نعم",0,N(I74))</f>
        <v/>
      </c>
      <c r="M74" s="45" t="n"/>
    </row>
    <row r="75">
      <c r="A75" s="34">
        <f>IF(B75="","",COUNTA($B$6:B75))</f>
        <v/>
      </c>
      <c r="B75" s="20" t="n"/>
      <c r="C75" s="24" t="n"/>
      <c r="D75" s="25" t="n"/>
      <c r="E75" s="20" t="n"/>
      <c r="F75" s="48">
        <f>IF(E75="","",IFERROR(INDEX('جدول الكميات'!$D$6:$D$105,MATCH(E75,'جدول الكميات'!$B$6:$B$105,0)),"⚠ كود غير موجود"))</f>
        <v/>
      </c>
      <c r="G75" s="35" t="n"/>
      <c r="H75" s="20" t="n"/>
      <c r="I75" s="43" t="n"/>
      <c r="J75" s="20" t="n"/>
      <c r="K75" s="25" t="n"/>
      <c r="L75" s="49">
        <f>IF(J75="نعم",0,N(I75))</f>
        <v/>
      </c>
      <c r="M75" s="45" t="n"/>
    </row>
    <row r="76">
      <c r="A76" s="34">
        <f>IF(B76="","",COUNTA($B$6:B76))</f>
        <v/>
      </c>
      <c r="B76" s="20" t="n"/>
      <c r="C76" s="24" t="n"/>
      <c r="D76" s="25" t="n"/>
      <c r="E76" s="20" t="n"/>
      <c r="F76" s="48">
        <f>IF(E76="","",IFERROR(INDEX('جدول الكميات'!$D$6:$D$105,MATCH(E76,'جدول الكميات'!$B$6:$B$105,0)),"⚠ كود غير موجود"))</f>
        <v/>
      </c>
      <c r="G76" s="35" t="n"/>
      <c r="H76" s="20" t="n"/>
      <c r="I76" s="43" t="n"/>
      <c r="J76" s="20" t="n"/>
      <c r="K76" s="25" t="n"/>
      <c r="L76" s="49">
        <f>IF(J76="نعم",0,N(I76))</f>
        <v/>
      </c>
      <c r="M76" s="45" t="n"/>
    </row>
    <row r="77">
      <c r="A77" s="34">
        <f>IF(B77="","",COUNTA($B$6:B77))</f>
        <v/>
      </c>
      <c r="B77" s="20" t="n"/>
      <c r="C77" s="24" t="n"/>
      <c r="D77" s="25" t="n"/>
      <c r="E77" s="20" t="n"/>
      <c r="F77" s="48">
        <f>IF(E77="","",IFERROR(INDEX('جدول الكميات'!$D$6:$D$105,MATCH(E77,'جدول الكميات'!$B$6:$B$105,0)),"⚠ كود غير موجود"))</f>
        <v/>
      </c>
      <c r="G77" s="35" t="n"/>
      <c r="H77" s="20" t="n"/>
      <c r="I77" s="43" t="n"/>
      <c r="J77" s="20" t="n"/>
      <c r="K77" s="25" t="n"/>
      <c r="L77" s="49">
        <f>IF(J77="نعم",0,N(I77))</f>
        <v/>
      </c>
      <c r="M77" s="45" t="n"/>
    </row>
    <row r="78">
      <c r="A78" s="34">
        <f>IF(B78="","",COUNTA($B$6:B78))</f>
        <v/>
      </c>
      <c r="B78" s="20" t="n"/>
      <c r="C78" s="24" t="n"/>
      <c r="D78" s="25" t="n"/>
      <c r="E78" s="20" t="n"/>
      <c r="F78" s="48">
        <f>IF(E78="","",IFERROR(INDEX('جدول الكميات'!$D$6:$D$105,MATCH(E78,'جدول الكميات'!$B$6:$B$105,0)),"⚠ كود غير موجود"))</f>
        <v/>
      </c>
      <c r="G78" s="35" t="n"/>
      <c r="H78" s="20" t="n"/>
      <c r="I78" s="43" t="n"/>
      <c r="J78" s="20" t="n"/>
      <c r="K78" s="25" t="n"/>
      <c r="L78" s="49">
        <f>IF(J78="نعم",0,N(I78))</f>
        <v/>
      </c>
      <c r="M78" s="45" t="n"/>
    </row>
    <row r="79">
      <c r="A79" s="34">
        <f>IF(B79="","",COUNTA($B$6:B79))</f>
        <v/>
      </c>
      <c r="B79" s="20" t="n"/>
      <c r="C79" s="24" t="n"/>
      <c r="D79" s="25" t="n"/>
      <c r="E79" s="20" t="n"/>
      <c r="F79" s="48">
        <f>IF(E79="","",IFERROR(INDEX('جدول الكميات'!$D$6:$D$105,MATCH(E79,'جدول الكميات'!$B$6:$B$105,0)),"⚠ كود غير موجود"))</f>
        <v/>
      </c>
      <c r="G79" s="35" t="n"/>
      <c r="H79" s="20" t="n"/>
      <c r="I79" s="43" t="n"/>
      <c r="J79" s="20" t="n"/>
      <c r="K79" s="25" t="n"/>
      <c r="L79" s="49">
        <f>IF(J79="نعم",0,N(I79))</f>
        <v/>
      </c>
      <c r="M79" s="45" t="n"/>
    </row>
    <row r="80">
      <c r="A80" s="34">
        <f>IF(B80="","",COUNTA($B$6:B80))</f>
        <v/>
      </c>
      <c r="B80" s="20" t="n"/>
      <c r="C80" s="24" t="n"/>
      <c r="D80" s="25" t="n"/>
      <c r="E80" s="20" t="n"/>
      <c r="F80" s="48">
        <f>IF(E80="","",IFERROR(INDEX('جدول الكميات'!$D$6:$D$105,MATCH(E80,'جدول الكميات'!$B$6:$B$105,0)),"⚠ كود غير موجود"))</f>
        <v/>
      </c>
      <c r="G80" s="35" t="n"/>
      <c r="H80" s="20" t="n"/>
      <c r="I80" s="43" t="n"/>
      <c r="J80" s="20" t="n"/>
      <c r="K80" s="25" t="n"/>
      <c r="L80" s="49">
        <f>IF(J80="نعم",0,N(I80))</f>
        <v/>
      </c>
      <c r="M80" s="45" t="n"/>
    </row>
    <row r="81">
      <c r="A81" s="34">
        <f>IF(B81="","",COUNTA($B$6:B81))</f>
        <v/>
      </c>
      <c r="B81" s="20" t="n"/>
      <c r="C81" s="24" t="n"/>
      <c r="D81" s="25" t="n"/>
      <c r="E81" s="20" t="n"/>
      <c r="F81" s="48">
        <f>IF(E81="","",IFERROR(INDEX('جدول الكميات'!$D$6:$D$105,MATCH(E81,'جدول الكميات'!$B$6:$B$105,0)),"⚠ كود غير موجود"))</f>
        <v/>
      </c>
      <c r="G81" s="35" t="n"/>
      <c r="H81" s="20" t="n"/>
      <c r="I81" s="43" t="n"/>
      <c r="J81" s="20" t="n"/>
      <c r="K81" s="25" t="n"/>
      <c r="L81" s="49">
        <f>IF(J81="نعم",0,N(I81))</f>
        <v/>
      </c>
      <c r="M81" s="45" t="n"/>
    </row>
    <row r="82">
      <c r="A82" s="34">
        <f>IF(B82="","",COUNTA($B$6:B82))</f>
        <v/>
      </c>
      <c r="B82" s="20" t="n"/>
      <c r="C82" s="24" t="n"/>
      <c r="D82" s="25" t="n"/>
      <c r="E82" s="20" t="n"/>
      <c r="F82" s="48">
        <f>IF(E82="","",IFERROR(INDEX('جدول الكميات'!$D$6:$D$105,MATCH(E82,'جدول الكميات'!$B$6:$B$105,0)),"⚠ كود غير موجود"))</f>
        <v/>
      </c>
      <c r="G82" s="35" t="n"/>
      <c r="H82" s="20" t="n"/>
      <c r="I82" s="43" t="n"/>
      <c r="J82" s="20" t="n"/>
      <c r="K82" s="25" t="n"/>
      <c r="L82" s="49">
        <f>IF(J82="نعم",0,N(I82))</f>
        <v/>
      </c>
      <c r="M82" s="45" t="n"/>
    </row>
    <row r="83">
      <c r="A83" s="34">
        <f>IF(B83="","",COUNTA($B$6:B83))</f>
        <v/>
      </c>
      <c r="B83" s="20" t="n"/>
      <c r="C83" s="24" t="n"/>
      <c r="D83" s="25" t="n"/>
      <c r="E83" s="20" t="n"/>
      <c r="F83" s="48">
        <f>IF(E83="","",IFERROR(INDEX('جدول الكميات'!$D$6:$D$105,MATCH(E83,'جدول الكميات'!$B$6:$B$105,0)),"⚠ كود غير موجود"))</f>
        <v/>
      </c>
      <c r="G83" s="35" t="n"/>
      <c r="H83" s="20" t="n"/>
      <c r="I83" s="43" t="n"/>
      <c r="J83" s="20" t="n"/>
      <c r="K83" s="25" t="n"/>
      <c r="L83" s="49">
        <f>IF(J83="نعم",0,N(I83))</f>
        <v/>
      </c>
      <c r="M83" s="45" t="n"/>
    </row>
    <row r="84">
      <c r="A84" s="34">
        <f>IF(B84="","",COUNTA($B$6:B84))</f>
        <v/>
      </c>
      <c r="B84" s="20" t="n"/>
      <c r="C84" s="24" t="n"/>
      <c r="D84" s="25" t="n"/>
      <c r="E84" s="20" t="n"/>
      <c r="F84" s="48">
        <f>IF(E84="","",IFERROR(INDEX('جدول الكميات'!$D$6:$D$105,MATCH(E84,'جدول الكميات'!$B$6:$B$105,0)),"⚠ كود غير موجود"))</f>
        <v/>
      </c>
      <c r="G84" s="35" t="n"/>
      <c r="H84" s="20" t="n"/>
      <c r="I84" s="43" t="n"/>
      <c r="J84" s="20" t="n"/>
      <c r="K84" s="25" t="n"/>
      <c r="L84" s="49">
        <f>IF(J84="نعم",0,N(I84))</f>
        <v/>
      </c>
      <c r="M84" s="45" t="n"/>
    </row>
    <row r="85">
      <c r="A85" s="34">
        <f>IF(B85="","",COUNTA($B$6:B85))</f>
        <v/>
      </c>
      <c r="B85" s="20" t="n"/>
      <c r="C85" s="24" t="n"/>
      <c r="D85" s="25" t="n"/>
      <c r="E85" s="20" t="n"/>
      <c r="F85" s="48">
        <f>IF(E85="","",IFERROR(INDEX('جدول الكميات'!$D$6:$D$105,MATCH(E85,'جدول الكميات'!$B$6:$B$105,0)),"⚠ كود غير موجود"))</f>
        <v/>
      </c>
      <c r="G85" s="35" t="n"/>
      <c r="H85" s="20" t="n"/>
      <c r="I85" s="43" t="n"/>
      <c r="J85" s="20" t="n"/>
      <c r="K85" s="25" t="n"/>
      <c r="L85" s="49">
        <f>IF(J85="نعم",0,N(I85))</f>
        <v/>
      </c>
      <c r="M85" s="45" t="n"/>
    </row>
    <row r="86">
      <c r="A86" s="34">
        <f>IF(B86="","",COUNTA($B$6:B86))</f>
        <v/>
      </c>
      <c r="B86" s="20" t="n"/>
      <c r="C86" s="24" t="n"/>
      <c r="D86" s="25" t="n"/>
      <c r="E86" s="20" t="n"/>
      <c r="F86" s="48">
        <f>IF(E86="","",IFERROR(INDEX('جدول الكميات'!$D$6:$D$105,MATCH(E86,'جدول الكميات'!$B$6:$B$105,0)),"⚠ كود غير موجود"))</f>
        <v/>
      </c>
      <c r="G86" s="35" t="n"/>
      <c r="H86" s="20" t="n"/>
      <c r="I86" s="43" t="n"/>
      <c r="J86" s="20" t="n"/>
      <c r="K86" s="25" t="n"/>
      <c r="L86" s="49">
        <f>IF(J86="نعم",0,N(I86))</f>
        <v/>
      </c>
      <c r="M86" s="45" t="n"/>
    </row>
    <row r="87">
      <c r="A87" s="34">
        <f>IF(B87="","",COUNTA($B$6:B87))</f>
        <v/>
      </c>
      <c r="B87" s="20" t="n"/>
      <c r="C87" s="24" t="n"/>
      <c r="D87" s="25" t="n"/>
      <c r="E87" s="20" t="n"/>
      <c r="F87" s="48">
        <f>IF(E87="","",IFERROR(INDEX('جدول الكميات'!$D$6:$D$105,MATCH(E87,'جدول الكميات'!$B$6:$B$105,0)),"⚠ كود غير موجود"))</f>
        <v/>
      </c>
      <c r="G87" s="35" t="n"/>
      <c r="H87" s="20" t="n"/>
      <c r="I87" s="43" t="n"/>
      <c r="J87" s="20" t="n"/>
      <c r="K87" s="25" t="n"/>
      <c r="L87" s="49">
        <f>IF(J87="نعم",0,N(I87))</f>
        <v/>
      </c>
      <c r="M87" s="45" t="n"/>
    </row>
    <row r="88">
      <c r="A88" s="34">
        <f>IF(B88="","",COUNTA($B$6:B88))</f>
        <v/>
      </c>
      <c r="B88" s="20" t="n"/>
      <c r="C88" s="24" t="n"/>
      <c r="D88" s="25" t="n"/>
      <c r="E88" s="20" t="n"/>
      <c r="F88" s="48">
        <f>IF(E88="","",IFERROR(INDEX('جدول الكميات'!$D$6:$D$105,MATCH(E88,'جدول الكميات'!$B$6:$B$105,0)),"⚠ كود غير موجود"))</f>
        <v/>
      </c>
      <c r="G88" s="35" t="n"/>
      <c r="H88" s="20" t="n"/>
      <c r="I88" s="43" t="n"/>
      <c r="J88" s="20" t="n"/>
      <c r="K88" s="25" t="n"/>
      <c r="L88" s="49">
        <f>IF(J88="نعم",0,N(I88))</f>
        <v/>
      </c>
      <c r="M88" s="45" t="n"/>
    </row>
    <row r="89">
      <c r="A89" s="34">
        <f>IF(B89="","",COUNTA($B$6:B89))</f>
        <v/>
      </c>
      <c r="B89" s="20" t="n"/>
      <c r="C89" s="24" t="n"/>
      <c r="D89" s="25" t="n"/>
      <c r="E89" s="20" t="n"/>
      <c r="F89" s="48">
        <f>IF(E89="","",IFERROR(INDEX('جدول الكميات'!$D$6:$D$105,MATCH(E89,'جدول الكميات'!$B$6:$B$105,0)),"⚠ كود غير موجود"))</f>
        <v/>
      </c>
      <c r="G89" s="35" t="n"/>
      <c r="H89" s="20" t="n"/>
      <c r="I89" s="43" t="n"/>
      <c r="J89" s="20" t="n"/>
      <c r="K89" s="25" t="n"/>
      <c r="L89" s="49">
        <f>IF(J89="نعم",0,N(I89))</f>
        <v/>
      </c>
      <c r="M89" s="45" t="n"/>
    </row>
    <row r="90">
      <c r="A90" s="34">
        <f>IF(B90="","",COUNTA($B$6:B90))</f>
        <v/>
      </c>
      <c r="B90" s="20" t="n"/>
      <c r="C90" s="24" t="n"/>
      <c r="D90" s="25" t="n"/>
      <c r="E90" s="20" t="n"/>
      <c r="F90" s="48">
        <f>IF(E90="","",IFERROR(INDEX('جدول الكميات'!$D$6:$D$105,MATCH(E90,'جدول الكميات'!$B$6:$B$105,0)),"⚠ كود غير موجود"))</f>
        <v/>
      </c>
      <c r="G90" s="35" t="n"/>
      <c r="H90" s="20" t="n"/>
      <c r="I90" s="43" t="n"/>
      <c r="J90" s="20" t="n"/>
      <c r="K90" s="25" t="n"/>
      <c r="L90" s="49">
        <f>IF(J90="نعم",0,N(I90))</f>
        <v/>
      </c>
      <c r="M90" s="45" t="n"/>
    </row>
    <row r="91">
      <c r="A91" s="34">
        <f>IF(B91="","",COUNTA($B$6:B91))</f>
        <v/>
      </c>
      <c r="B91" s="20" t="n"/>
      <c r="C91" s="24" t="n"/>
      <c r="D91" s="25" t="n"/>
      <c r="E91" s="20" t="n"/>
      <c r="F91" s="48">
        <f>IF(E91="","",IFERROR(INDEX('جدول الكميات'!$D$6:$D$105,MATCH(E91,'جدول الكميات'!$B$6:$B$105,0)),"⚠ كود غير موجود"))</f>
        <v/>
      </c>
      <c r="G91" s="35" t="n"/>
      <c r="H91" s="20" t="n"/>
      <c r="I91" s="43" t="n"/>
      <c r="J91" s="20" t="n"/>
      <c r="K91" s="25" t="n"/>
      <c r="L91" s="49">
        <f>IF(J91="نعم",0,N(I91))</f>
        <v/>
      </c>
      <c r="M91" s="45" t="n"/>
    </row>
    <row r="92">
      <c r="A92" s="34">
        <f>IF(B92="","",COUNTA($B$6:B92))</f>
        <v/>
      </c>
      <c r="B92" s="20" t="n"/>
      <c r="C92" s="24" t="n"/>
      <c r="D92" s="25" t="n"/>
      <c r="E92" s="20" t="n"/>
      <c r="F92" s="48">
        <f>IF(E92="","",IFERROR(INDEX('جدول الكميات'!$D$6:$D$105,MATCH(E92,'جدول الكميات'!$B$6:$B$105,0)),"⚠ كود غير موجود"))</f>
        <v/>
      </c>
      <c r="G92" s="35" t="n"/>
      <c r="H92" s="20" t="n"/>
      <c r="I92" s="43" t="n"/>
      <c r="J92" s="20" t="n"/>
      <c r="K92" s="25" t="n"/>
      <c r="L92" s="49">
        <f>IF(J92="نعم",0,N(I92))</f>
        <v/>
      </c>
      <c r="M92" s="45" t="n"/>
    </row>
    <row r="93">
      <c r="A93" s="34">
        <f>IF(B93="","",COUNTA($B$6:B93))</f>
        <v/>
      </c>
      <c r="B93" s="20" t="n"/>
      <c r="C93" s="24" t="n"/>
      <c r="D93" s="25" t="n"/>
      <c r="E93" s="20" t="n"/>
      <c r="F93" s="48">
        <f>IF(E93="","",IFERROR(INDEX('جدول الكميات'!$D$6:$D$105,MATCH(E93,'جدول الكميات'!$B$6:$B$105,0)),"⚠ كود غير موجود"))</f>
        <v/>
      </c>
      <c r="G93" s="35" t="n"/>
      <c r="H93" s="20" t="n"/>
      <c r="I93" s="43" t="n"/>
      <c r="J93" s="20" t="n"/>
      <c r="K93" s="25" t="n"/>
      <c r="L93" s="49">
        <f>IF(J93="نعم",0,N(I93))</f>
        <v/>
      </c>
      <c r="M93" s="45" t="n"/>
    </row>
    <row r="94">
      <c r="A94" s="34">
        <f>IF(B94="","",COUNTA($B$6:B94))</f>
        <v/>
      </c>
      <c r="B94" s="20" t="n"/>
      <c r="C94" s="24" t="n"/>
      <c r="D94" s="25" t="n"/>
      <c r="E94" s="20" t="n"/>
      <c r="F94" s="48">
        <f>IF(E94="","",IFERROR(INDEX('جدول الكميات'!$D$6:$D$105,MATCH(E94,'جدول الكميات'!$B$6:$B$105,0)),"⚠ كود غير موجود"))</f>
        <v/>
      </c>
      <c r="G94" s="35" t="n"/>
      <c r="H94" s="20" t="n"/>
      <c r="I94" s="43" t="n"/>
      <c r="J94" s="20" t="n"/>
      <c r="K94" s="25" t="n"/>
      <c r="L94" s="49">
        <f>IF(J94="نعم",0,N(I94))</f>
        <v/>
      </c>
      <c r="M94" s="45" t="n"/>
    </row>
    <row r="95">
      <c r="A95" s="34">
        <f>IF(B95="","",COUNTA($B$6:B95))</f>
        <v/>
      </c>
      <c r="B95" s="20" t="n"/>
      <c r="C95" s="24" t="n"/>
      <c r="D95" s="25" t="n"/>
      <c r="E95" s="20" t="n"/>
      <c r="F95" s="48">
        <f>IF(E95="","",IFERROR(INDEX('جدول الكميات'!$D$6:$D$105,MATCH(E95,'جدول الكميات'!$B$6:$B$105,0)),"⚠ كود غير موجود"))</f>
        <v/>
      </c>
      <c r="G95" s="35" t="n"/>
      <c r="H95" s="20" t="n"/>
      <c r="I95" s="43" t="n"/>
      <c r="J95" s="20" t="n"/>
      <c r="K95" s="25" t="n"/>
      <c r="L95" s="49">
        <f>IF(J95="نعم",0,N(I95))</f>
        <v/>
      </c>
      <c r="M95" s="45" t="n"/>
    </row>
    <row r="96">
      <c r="A96" s="34">
        <f>IF(B96="","",COUNTA($B$6:B96))</f>
        <v/>
      </c>
      <c r="B96" s="20" t="n"/>
      <c r="C96" s="24" t="n"/>
      <c r="D96" s="25" t="n"/>
      <c r="E96" s="20" t="n"/>
      <c r="F96" s="48">
        <f>IF(E96="","",IFERROR(INDEX('جدول الكميات'!$D$6:$D$105,MATCH(E96,'جدول الكميات'!$B$6:$B$105,0)),"⚠ كود غير موجود"))</f>
        <v/>
      </c>
      <c r="G96" s="35" t="n"/>
      <c r="H96" s="20" t="n"/>
      <c r="I96" s="43" t="n"/>
      <c r="J96" s="20" t="n"/>
      <c r="K96" s="25" t="n"/>
      <c r="L96" s="49">
        <f>IF(J96="نعم",0,N(I96))</f>
        <v/>
      </c>
      <c r="M96" s="45" t="n"/>
    </row>
    <row r="97">
      <c r="A97" s="34">
        <f>IF(B97="","",COUNTA($B$6:B97))</f>
        <v/>
      </c>
      <c r="B97" s="20" t="n"/>
      <c r="C97" s="24" t="n"/>
      <c r="D97" s="25" t="n"/>
      <c r="E97" s="20" t="n"/>
      <c r="F97" s="48">
        <f>IF(E97="","",IFERROR(INDEX('جدول الكميات'!$D$6:$D$105,MATCH(E97,'جدول الكميات'!$B$6:$B$105,0)),"⚠ كود غير موجود"))</f>
        <v/>
      </c>
      <c r="G97" s="35" t="n"/>
      <c r="H97" s="20" t="n"/>
      <c r="I97" s="43" t="n"/>
      <c r="J97" s="20" t="n"/>
      <c r="K97" s="25" t="n"/>
      <c r="L97" s="49">
        <f>IF(J97="نعم",0,N(I97))</f>
        <v/>
      </c>
      <c r="M97" s="45" t="n"/>
    </row>
    <row r="98">
      <c r="A98" s="34">
        <f>IF(B98="","",COUNTA($B$6:B98))</f>
        <v/>
      </c>
      <c r="B98" s="20" t="n"/>
      <c r="C98" s="24" t="n"/>
      <c r="D98" s="25" t="n"/>
      <c r="E98" s="20" t="n"/>
      <c r="F98" s="48">
        <f>IF(E98="","",IFERROR(INDEX('جدول الكميات'!$D$6:$D$105,MATCH(E98,'جدول الكميات'!$B$6:$B$105,0)),"⚠ كود غير موجود"))</f>
        <v/>
      </c>
      <c r="G98" s="35" t="n"/>
      <c r="H98" s="20" t="n"/>
      <c r="I98" s="43" t="n"/>
      <c r="J98" s="20" t="n"/>
      <c r="K98" s="25" t="n"/>
      <c r="L98" s="49">
        <f>IF(J98="نعم",0,N(I98))</f>
        <v/>
      </c>
      <c r="M98" s="45" t="n"/>
    </row>
    <row r="99">
      <c r="A99" s="34">
        <f>IF(B99="","",COUNTA($B$6:B99))</f>
        <v/>
      </c>
      <c r="B99" s="20" t="n"/>
      <c r="C99" s="24" t="n"/>
      <c r="D99" s="25" t="n"/>
      <c r="E99" s="20" t="n"/>
      <c r="F99" s="48">
        <f>IF(E99="","",IFERROR(INDEX('جدول الكميات'!$D$6:$D$105,MATCH(E99,'جدول الكميات'!$B$6:$B$105,0)),"⚠ كود غير موجود"))</f>
        <v/>
      </c>
      <c r="G99" s="35" t="n"/>
      <c r="H99" s="20" t="n"/>
      <c r="I99" s="43" t="n"/>
      <c r="J99" s="20" t="n"/>
      <c r="K99" s="25" t="n"/>
      <c r="L99" s="49">
        <f>IF(J99="نعم",0,N(I99))</f>
        <v/>
      </c>
      <c r="M99" s="45" t="n"/>
    </row>
    <row r="100">
      <c r="A100" s="34">
        <f>IF(B100="","",COUNTA($B$6:B100))</f>
        <v/>
      </c>
      <c r="B100" s="20" t="n"/>
      <c r="C100" s="24" t="n"/>
      <c r="D100" s="25" t="n"/>
      <c r="E100" s="20" t="n"/>
      <c r="F100" s="48">
        <f>IF(E100="","",IFERROR(INDEX('جدول الكميات'!$D$6:$D$105,MATCH(E100,'جدول الكميات'!$B$6:$B$105,0)),"⚠ كود غير موجود"))</f>
        <v/>
      </c>
      <c r="G100" s="35" t="n"/>
      <c r="H100" s="20" t="n"/>
      <c r="I100" s="43" t="n"/>
      <c r="J100" s="20" t="n"/>
      <c r="K100" s="25" t="n"/>
      <c r="L100" s="49">
        <f>IF(J100="نعم",0,N(I100))</f>
        <v/>
      </c>
      <c r="M100" s="45" t="n"/>
    </row>
    <row r="101">
      <c r="A101" s="34">
        <f>IF(B101="","",COUNTA($B$6:B101))</f>
        <v/>
      </c>
      <c r="B101" s="20" t="n"/>
      <c r="C101" s="24" t="n"/>
      <c r="D101" s="25" t="n"/>
      <c r="E101" s="20" t="n"/>
      <c r="F101" s="48">
        <f>IF(E101="","",IFERROR(INDEX('جدول الكميات'!$D$6:$D$105,MATCH(E101,'جدول الكميات'!$B$6:$B$105,0)),"⚠ كود غير موجود"))</f>
        <v/>
      </c>
      <c r="G101" s="35" t="n"/>
      <c r="H101" s="20" t="n"/>
      <c r="I101" s="43" t="n"/>
      <c r="J101" s="20" t="n"/>
      <c r="K101" s="25" t="n"/>
      <c r="L101" s="49">
        <f>IF(J101="نعم",0,N(I101))</f>
        <v/>
      </c>
      <c r="M101" s="45" t="n"/>
    </row>
    <row r="102">
      <c r="A102" s="34">
        <f>IF(B102="","",COUNTA($B$6:B102))</f>
        <v/>
      </c>
      <c r="B102" s="20" t="n"/>
      <c r="C102" s="24" t="n"/>
      <c r="D102" s="25" t="n"/>
      <c r="E102" s="20" t="n"/>
      <c r="F102" s="48">
        <f>IF(E102="","",IFERROR(INDEX('جدول الكميات'!$D$6:$D$105,MATCH(E102,'جدول الكميات'!$B$6:$B$105,0)),"⚠ كود غير موجود"))</f>
        <v/>
      </c>
      <c r="G102" s="35" t="n"/>
      <c r="H102" s="20" t="n"/>
      <c r="I102" s="43" t="n"/>
      <c r="J102" s="20" t="n"/>
      <c r="K102" s="25" t="n"/>
      <c r="L102" s="49">
        <f>IF(J102="نعم",0,N(I102))</f>
        <v/>
      </c>
      <c r="M102" s="45" t="n"/>
    </row>
    <row r="103">
      <c r="A103" s="34">
        <f>IF(B103="","",COUNTA($B$6:B103))</f>
        <v/>
      </c>
      <c r="B103" s="20" t="n"/>
      <c r="C103" s="24" t="n"/>
      <c r="D103" s="25" t="n"/>
      <c r="E103" s="20" t="n"/>
      <c r="F103" s="48">
        <f>IF(E103="","",IFERROR(INDEX('جدول الكميات'!$D$6:$D$105,MATCH(E103,'جدول الكميات'!$B$6:$B$105,0)),"⚠ كود غير موجود"))</f>
        <v/>
      </c>
      <c r="G103" s="35" t="n"/>
      <c r="H103" s="20" t="n"/>
      <c r="I103" s="43" t="n"/>
      <c r="J103" s="20" t="n"/>
      <c r="K103" s="25" t="n"/>
      <c r="L103" s="49">
        <f>IF(J103="نعم",0,N(I103))</f>
        <v/>
      </c>
      <c r="M103" s="45" t="n"/>
    </row>
    <row r="104">
      <c r="A104" s="34">
        <f>IF(B104="","",COUNTA($B$6:B104))</f>
        <v/>
      </c>
      <c r="B104" s="20" t="n"/>
      <c r="C104" s="24" t="n"/>
      <c r="D104" s="25" t="n"/>
      <c r="E104" s="20" t="n"/>
      <c r="F104" s="48">
        <f>IF(E104="","",IFERROR(INDEX('جدول الكميات'!$D$6:$D$105,MATCH(E104,'جدول الكميات'!$B$6:$B$105,0)),"⚠ كود غير موجود"))</f>
        <v/>
      </c>
      <c r="G104" s="35" t="n"/>
      <c r="H104" s="20" t="n"/>
      <c r="I104" s="43" t="n"/>
      <c r="J104" s="20" t="n"/>
      <c r="K104" s="25" t="n"/>
      <c r="L104" s="49">
        <f>IF(J104="نعم",0,N(I104))</f>
        <v/>
      </c>
      <c r="M104" s="45" t="n"/>
    </row>
    <row r="105">
      <c r="A105" s="34">
        <f>IF(B105="","",COUNTA($B$6:B105))</f>
        <v/>
      </c>
      <c r="B105" s="20" t="n"/>
      <c r="C105" s="24" t="n"/>
      <c r="D105" s="25" t="n"/>
      <c r="E105" s="20" t="n"/>
      <c r="F105" s="48">
        <f>IF(E105="","",IFERROR(INDEX('جدول الكميات'!$D$6:$D$105,MATCH(E105,'جدول الكميات'!$B$6:$B$105,0)),"⚠ كود غير موجود"))</f>
        <v/>
      </c>
      <c r="G105" s="35" t="n"/>
      <c r="H105" s="20" t="n"/>
      <c r="I105" s="43" t="n"/>
      <c r="J105" s="20" t="n"/>
      <c r="K105" s="25" t="n"/>
      <c r="L105" s="49">
        <f>IF(J105="نعم",0,N(I105))</f>
        <v/>
      </c>
      <c r="M105" s="45" t="n"/>
    </row>
    <row r="106">
      <c r="A106" s="39" t="inlineStr">
        <is>
          <t>الإجمالي</t>
        </is>
      </c>
      <c r="B106" s="39" t="n"/>
      <c r="C106" s="39" t="n"/>
      <c r="D106" s="39" t="n"/>
      <c r="E106" s="39" t="n"/>
      <c r="F106" s="39" t="n"/>
      <c r="G106" s="39" t="n"/>
      <c r="H106" s="39" t="n"/>
      <c r="I106" s="46">
        <f>SUM(I6:I105)</f>
        <v/>
      </c>
      <c r="J106" s="50">
        <f>I106-L106</f>
        <v/>
      </c>
      <c r="K106" s="50" t="n"/>
      <c r="L106" s="46">
        <f>SUM(L6:L105)</f>
        <v/>
      </c>
    </row>
  </sheetData>
  <autoFilter ref="A5:M105"/>
  <mergeCells count="5">
    <mergeCell ref="A106:H106"/>
    <mergeCell ref="A1:M1"/>
    <mergeCell ref="J106:K106"/>
    <mergeCell ref="A4:M4"/>
    <mergeCell ref="A2:M2"/>
  </mergeCells>
  <conditionalFormatting sqref="A6:M105">
    <cfRule type="expression" priority="1" dxfId="2">
      <formula>$J6="نعم"</formula>
    </cfRule>
    <cfRule type="expression" priority="2" dxfId="5">
      <formula>AND($J6&lt;&gt;"نعم",N($I6)&gt;0)</formula>
    </cfRule>
  </conditionalFormatting>
  <dataValidations count="6">
    <dataValidation sqref="E6:E105" showDropDown="0" showInputMessage="0" showErrorMessage="1" allowBlank="1" errorTitle="قيمة غير مسموحة" error="من فضلك اختر قيمة من القائمة المنسدلة." type="list">
      <formula1>='جدول الكميات'!$B$6:$B$105</formula1>
    </dataValidation>
    <dataValidation sqref="H6:H105" showDropDown="0" showInputMessage="0" showErrorMessage="1" allowBlank="1" errorTitle="قيمة غير مسموحة" error="من فضلك اختر قيمة من القائمة المنسدلة." type="list">
      <formula1>=L_TDType</formula1>
    </dataValidation>
    <dataValidation sqref="J6:J105" showDropDown="0" showInputMessage="0" showErrorMessage="1" allowBlank="1" errorTitle="قيمة غير مسموحة" error="من فضلك اختر قيمة من القائمة المنسدلة." type="list">
      <formula1>"نعم,لا"</formula1>
    </dataValidation>
    <dataValidation sqref="D6:D105 K6:K10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I6:I105" showDropDown="0" showInputMessage="0" showErrorMessage="1" allowBlank="1" errorTitle="قيمة غير صحيحة" error="أدخل رقماً صحيحاً ضمن الحدود المسموحة." type="decimal" operator="greaterThanOrEqual">
      <formula1>0</formula1>
    </dataValidation>
    <dataValidation sqref="C6:C10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أوامر التغييرية'!A1" display="🔁 التغييرية"/>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6.xml><?xml version="1.0" encoding="utf-8"?>
<worksheet xmlns="http://schemas.openxmlformats.org/spreadsheetml/2006/main">
  <sheetPr>
    <tabColor rgb="006A1B9A"/>
    <outlinePr summaryBelow="1" summaryRight="1"/>
    <pageSetUpPr fitToPage="1"/>
  </sheetPr>
  <dimension ref="B1:S79"/>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4" customWidth="1" min="2" max="2"/>
    <col width="24"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 width="14.5" customWidth="1" min="15" max="15"/>
    <col width="14.5" customWidth="1" min="16" max="16"/>
    <col width="14.5" customWidth="1" min="17" max="17"/>
    <col width="14.5" customWidth="1" min="18" max="18"/>
    <col width="14.5" customWidth="1" min="19" max="19"/>
    <col width="2" customWidth="1" min="20" max="20"/>
  </cols>
  <sheetData>
    <row r="1" ht="38" customHeight="1">
      <c r="B1" s="1" t="inlineStr">
        <is>
          <t>💰 الموازنة التقديرية والتكاليف الفعلية والربحية (Budget &amp; Cost Control) — داخلي</t>
        </is>
      </c>
      <c r="C1" s="1" t="n"/>
      <c r="D1" s="1" t="n"/>
      <c r="E1" s="1" t="n"/>
      <c r="F1" s="1" t="n"/>
      <c r="G1" s="1" t="n"/>
      <c r="H1" s="1" t="n"/>
      <c r="I1" s="1" t="n"/>
      <c r="J1" s="1" t="n"/>
      <c r="K1" s="1" t="n"/>
      <c r="L1" s="1" t="n"/>
      <c r="M1" s="1" t="n"/>
      <c r="N1" s="1" t="n"/>
      <c r="O1" s="1" t="n"/>
      <c r="P1" s="1" t="n"/>
      <c r="Q1" s="1" t="n"/>
      <c r="R1" s="1" t="n"/>
      <c r="S1" s="1" t="n"/>
    </row>
    <row r="2" ht="20" customHeight="1">
      <c r="B2" s="2">
        <f>IF('بيانات العقد'!$C$5="","مشروع رقم 10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c r="N2" s="2" t="n"/>
      <c r="O2" s="2" t="n"/>
      <c r="P2" s="2" t="n"/>
      <c r="Q2" s="2" t="n"/>
      <c r="R2" s="2" t="n"/>
      <c r="S2" s="2" t="n"/>
    </row>
    <row r="3" ht="26" customHeight="1">
      <c r="B3" s="3" t="inlineStr">
        <is>
          <t>🗂 سجل المستخلصات</t>
        </is>
      </c>
      <c r="C3" s="16" t="inlineStr">
        <is>
          <t>⚙ بيانات العقد</t>
        </is>
      </c>
      <c r="D3" s="16" t="inlineStr">
        <is>
          <t>📋 جدول الكميات</t>
        </is>
      </c>
      <c r="F3" s="16" t="inlineStr">
        <is>
          <t>🔁 التغييرية</t>
        </is>
      </c>
      <c r="G3" s="16" t="inlineStr">
        <is>
          <t>✂ الاستقطاعات</t>
        </is>
      </c>
      <c r="H3" s="4" t="inlineStr">
        <is>
          <t>🧾 مستخلص 01</t>
        </is>
      </c>
    </row>
    <row r="5" ht="22" customHeight="1">
      <c r="B5" s="51" t="inlineStr">
        <is>
          <t>إعدادات الموازنة</t>
        </is>
      </c>
      <c r="C5" s="51" t="n"/>
      <c r="D5" s="51" t="n"/>
      <c r="E5" s="51" t="n"/>
      <c r="F5" s="51" t="n"/>
      <c r="G5" s="51" t="n"/>
      <c r="H5" s="51" t="n"/>
      <c r="I5" s="51" t="n"/>
      <c r="J5" s="51" t="n"/>
      <c r="K5" s="51" t="n"/>
      <c r="L5" s="51" t="n"/>
    </row>
    <row r="6">
      <c r="B6" s="52" t="inlineStr">
        <is>
          <t>نسبة المصروفات العمومية والإدارية (من التكلفة المباشرة)</t>
        </is>
      </c>
      <c r="C6" s="52" t="n"/>
      <c r="D6" s="52" t="n"/>
      <c r="E6" s="30" t="n">
        <v>0.06</v>
      </c>
      <c r="F6" s="33" t="inlineStr">
        <is>
          <t>تُحمّل على الموازنة وعلى التكلفة الفعلية لكل مستخلص</t>
        </is>
      </c>
      <c r="G6" s="33" t="n"/>
      <c r="H6" s="33" t="n"/>
      <c r="I6" s="33" t="n"/>
      <c r="J6" s="33" t="n"/>
      <c r="K6" s="33" t="n"/>
      <c r="L6" s="33" t="n"/>
    </row>
    <row r="7">
      <c r="B7" s="52" t="inlineStr">
        <is>
          <t>نسبة احتياطي الطوارئ (من التكلفة المباشرة)</t>
        </is>
      </c>
      <c r="C7" s="52" t="n"/>
      <c r="D7" s="52" t="n"/>
      <c r="E7" s="30" t="n">
        <v>0.03</v>
      </c>
      <c r="F7" s="33" t="inlineStr">
        <is>
          <t>تُضاف للموازنة فقط</t>
        </is>
      </c>
      <c r="G7" s="33" t="n"/>
      <c r="H7" s="33" t="n"/>
      <c r="I7" s="33" t="n"/>
      <c r="J7" s="33" t="n"/>
      <c r="K7" s="33" t="n"/>
      <c r="L7" s="33" t="n"/>
    </row>
    <row r="8">
      <c r="B8" s="52" t="inlineStr">
        <is>
          <t>نسبة الربح المستهدفة من الإدارة</t>
        </is>
      </c>
      <c r="C8" s="52" t="n"/>
      <c r="D8" s="52" t="n"/>
      <c r="E8" s="30" t="n">
        <v>0.12</v>
      </c>
      <c r="F8" s="33" t="inlineStr">
        <is>
          <t>للمقارنة مع الربح المخطط والفعلي</t>
        </is>
      </c>
      <c r="G8" s="33" t="n"/>
      <c r="H8" s="33" t="n"/>
      <c r="I8" s="33" t="n"/>
      <c r="J8" s="33" t="n"/>
      <c r="K8" s="33" t="n"/>
      <c r="L8" s="33" t="n"/>
    </row>
    <row r="9" ht="22" customHeight="1">
      <c r="B9" s="51" t="inlineStr">
        <is>
          <t>أولاً: الموازنة التقديرية حسب أقسام الأعمال وعناصر التكلفة (إدخال)</t>
        </is>
      </c>
      <c r="C9" s="51" t="n"/>
      <c r="D9" s="51" t="n"/>
      <c r="E9" s="51" t="n"/>
      <c r="F9" s="51" t="n"/>
      <c r="G9" s="51" t="n"/>
      <c r="H9" s="51" t="n"/>
      <c r="I9" s="51" t="n"/>
      <c r="J9" s="51" t="n"/>
      <c r="K9" s="51" t="n"/>
      <c r="L9" s="51" t="n"/>
    </row>
    <row r="10" ht="36" customHeight="1">
      <c r="B10" s="18" t="inlineStr">
        <is>
          <t>القسم</t>
        </is>
      </c>
      <c r="C10" s="53" t="n"/>
      <c r="D10" s="18" t="inlineStr">
        <is>
          <t>القيمة التعاقدية للقسم</t>
        </is>
      </c>
      <c r="E10" s="18" t="inlineStr">
        <is>
          <t>المواد</t>
        </is>
      </c>
      <c r="F10" s="18" t="inlineStr">
        <is>
          <t>العمالة</t>
        </is>
      </c>
      <c r="G10" s="18" t="inlineStr">
        <is>
          <t>مقاولو الباطن</t>
        </is>
      </c>
      <c r="H10" s="18" t="inlineStr">
        <is>
          <t>المعدات</t>
        </is>
      </c>
      <c r="I10" s="18" t="inlineStr">
        <is>
          <t>مصروفات الموقع</t>
        </is>
      </c>
      <c r="J10" s="18" t="inlineStr">
        <is>
          <t>إجمالي التكلفة المباشرة</t>
        </is>
      </c>
      <c r="K10" s="18" t="inlineStr">
        <is>
          <t>الربح المباشر للقسم</t>
        </is>
      </c>
      <c r="L10" s="18" t="inlineStr">
        <is>
          <t>هامش القسم</t>
        </is>
      </c>
    </row>
    <row r="11">
      <c r="B11" s="54">
        <f>IF('بيانات العقد'!F6="","",'بيانات العقد'!F6)</f>
        <v/>
      </c>
      <c r="C11" s="54" t="n"/>
      <c r="D11" s="55">
        <f>IF(B11="",0,SUMIF('جدول الكميات'!$C$6:$C$105,B11,'جدول الكميات'!$H$6:$H$105))</f>
        <v/>
      </c>
      <c r="E11" s="56" t="n"/>
      <c r="F11" s="56" t="n"/>
      <c r="G11" s="56" t="n"/>
      <c r="H11" s="56" t="n"/>
      <c r="I11" s="56" t="n"/>
      <c r="J11" s="57">
        <f>SUM(E11:I11)</f>
        <v/>
      </c>
      <c r="K11" s="58">
        <f>D11-J11</f>
        <v/>
      </c>
      <c r="L11" s="59">
        <f>IF(D11&gt;0,K11/D11,0)</f>
        <v/>
      </c>
    </row>
    <row r="12">
      <c r="B12" s="54">
        <f>IF('بيانات العقد'!F7="","",'بيانات العقد'!F7)</f>
        <v/>
      </c>
      <c r="C12" s="54" t="n"/>
      <c r="D12" s="55">
        <f>IF(B12="",0,SUMIF('جدول الكميات'!$C$6:$C$105,B12,'جدول الكميات'!$H$6:$H$105))</f>
        <v/>
      </c>
      <c r="E12" s="56" t="n"/>
      <c r="F12" s="56" t="n"/>
      <c r="G12" s="56" t="n"/>
      <c r="H12" s="56" t="n"/>
      <c r="I12" s="56" t="n"/>
      <c r="J12" s="57">
        <f>SUM(E12:I12)</f>
        <v/>
      </c>
      <c r="K12" s="58">
        <f>D12-J12</f>
        <v/>
      </c>
      <c r="L12" s="59">
        <f>IF(D12&gt;0,K12/D12,0)</f>
        <v/>
      </c>
    </row>
    <row r="13">
      <c r="B13" s="54">
        <f>IF('بيانات العقد'!F8="","",'بيانات العقد'!F8)</f>
        <v/>
      </c>
      <c r="C13" s="54" t="n"/>
      <c r="D13" s="55">
        <f>IF(B13="",0,SUMIF('جدول الكميات'!$C$6:$C$105,B13,'جدول الكميات'!$H$6:$H$105))</f>
        <v/>
      </c>
      <c r="E13" s="56" t="n"/>
      <c r="F13" s="56" t="n"/>
      <c r="G13" s="56" t="n"/>
      <c r="H13" s="56" t="n"/>
      <c r="I13" s="56" t="n"/>
      <c r="J13" s="57">
        <f>SUM(E13:I13)</f>
        <v/>
      </c>
      <c r="K13" s="58">
        <f>D13-J13</f>
        <v/>
      </c>
      <c r="L13" s="59">
        <f>IF(D13&gt;0,K13/D13,0)</f>
        <v/>
      </c>
    </row>
    <row r="14">
      <c r="B14" s="54">
        <f>IF('بيانات العقد'!F9="","",'بيانات العقد'!F9)</f>
        <v/>
      </c>
      <c r="C14" s="54" t="n"/>
      <c r="D14" s="55">
        <f>IF(B14="",0,SUMIF('جدول الكميات'!$C$6:$C$105,B14,'جدول الكميات'!$H$6:$H$105))</f>
        <v/>
      </c>
      <c r="E14" s="56" t="n"/>
      <c r="F14" s="56" t="n"/>
      <c r="G14" s="56" t="n"/>
      <c r="H14" s="56" t="n"/>
      <c r="I14" s="56" t="n"/>
      <c r="J14" s="57">
        <f>SUM(E14:I14)</f>
        <v/>
      </c>
      <c r="K14" s="58">
        <f>D14-J14</f>
        <v/>
      </c>
      <c r="L14" s="59">
        <f>IF(D14&gt;0,K14/D14,0)</f>
        <v/>
      </c>
    </row>
    <row r="15">
      <c r="B15" s="54">
        <f>IF('بيانات العقد'!F10="","",'بيانات العقد'!F10)</f>
        <v/>
      </c>
      <c r="C15" s="54" t="n"/>
      <c r="D15" s="55">
        <f>IF(B15="",0,SUMIF('جدول الكميات'!$C$6:$C$105,B15,'جدول الكميات'!$H$6:$H$105))</f>
        <v/>
      </c>
      <c r="E15" s="56" t="n"/>
      <c r="F15" s="56" t="n"/>
      <c r="G15" s="56" t="n"/>
      <c r="H15" s="56" t="n"/>
      <c r="I15" s="56" t="n"/>
      <c r="J15" s="57">
        <f>SUM(E15:I15)</f>
        <v/>
      </c>
      <c r="K15" s="58">
        <f>D15-J15</f>
        <v/>
      </c>
      <c r="L15" s="59">
        <f>IF(D15&gt;0,K15/D15,0)</f>
        <v/>
      </c>
    </row>
    <row r="16">
      <c r="B16" s="54">
        <f>IF('بيانات العقد'!F11="","",'بيانات العقد'!F11)</f>
        <v/>
      </c>
      <c r="C16" s="54" t="n"/>
      <c r="D16" s="55">
        <f>IF(B16="",0,SUMIF('جدول الكميات'!$C$6:$C$105,B16,'جدول الكميات'!$H$6:$H$105))</f>
        <v/>
      </c>
      <c r="E16" s="56" t="n"/>
      <c r="F16" s="56" t="n"/>
      <c r="G16" s="56" t="n"/>
      <c r="H16" s="56" t="n"/>
      <c r="I16" s="56" t="n"/>
      <c r="J16" s="57">
        <f>SUM(E16:I16)</f>
        <v/>
      </c>
      <c r="K16" s="58">
        <f>D16-J16</f>
        <v/>
      </c>
      <c r="L16" s="59">
        <f>IF(D16&gt;0,K16/D16,0)</f>
        <v/>
      </c>
    </row>
    <row r="17">
      <c r="B17" s="54">
        <f>IF('بيانات العقد'!F12="","",'بيانات العقد'!F12)</f>
        <v/>
      </c>
      <c r="C17" s="54" t="n"/>
      <c r="D17" s="55">
        <f>IF(B17="",0,SUMIF('جدول الكميات'!$C$6:$C$105,B17,'جدول الكميات'!$H$6:$H$105))</f>
        <v/>
      </c>
      <c r="E17" s="56" t="n"/>
      <c r="F17" s="56" t="n"/>
      <c r="G17" s="56" t="n"/>
      <c r="H17" s="56" t="n"/>
      <c r="I17" s="56" t="n"/>
      <c r="J17" s="57">
        <f>SUM(E17:I17)</f>
        <v/>
      </c>
      <c r="K17" s="58">
        <f>D17-J17</f>
        <v/>
      </c>
      <c r="L17" s="59">
        <f>IF(D17&gt;0,K17/D17,0)</f>
        <v/>
      </c>
    </row>
    <row r="18">
      <c r="B18" s="54">
        <f>IF('بيانات العقد'!F13="","",'بيانات العقد'!F13)</f>
        <v/>
      </c>
      <c r="C18" s="54" t="n"/>
      <c r="D18" s="55">
        <f>IF(B18="",0,SUMIF('جدول الكميات'!$C$6:$C$105,B18,'جدول الكميات'!$H$6:$H$105))</f>
        <v/>
      </c>
      <c r="E18" s="56" t="n"/>
      <c r="F18" s="56" t="n"/>
      <c r="G18" s="56" t="n"/>
      <c r="H18" s="56" t="n"/>
      <c r="I18" s="56" t="n"/>
      <c r="J18" s="57">
        <f>SUM(E18:I18)</f>
        <v/>
      </c>
      <c r="K18" s="58">
        <f>D18-J18</f>
        <v/>
      </c>
      <c r="L18" s="59">
        <f>IF(D18&gt;0,K18/D18,0)</f>
        <v/>
      </c>
    </row>
    <row r="19">
      <c r="B19" s="54">
        <f>IF('بيانات العقد'!F14="","",'بيانات العقد'!F14)</f>
        <v/>
      </c>
      <c r="C19" s="54" t="n"/>
      <c r="D19" s="55">
        <f>IF(B19="",0,SUMIF('جدول الكميات'!$C$6:$C$105,B19,'جدول الكميات'!$H$6:$H$105))</f>
        <v/>
      </c>
      <c r="E19" s="56" t="n"/>
      <c r="F19" s="56" t="n"/>
      <c r="G19" s="56" t="n"/>
      <c r="H19" s="56" t="n"/>
      <c r="I19" s="56" t="n"/>
      <c r="J19" s="57">
        <f>SUM(E19:I19)</f>
        <v/>
      </c>
      <c r="K19" s="58">
        <f>D19-J19</f>
        <v/>
      </c>
      <c r="L19" s="59">
        <f>IF(D19&gt;0,K19/D19,0)</f>
        <v/>
      </c>
    </row>
    <row r="20">
      <c r="B20" s="54">
        <f>IF('بيانات العقد'!F15="","",'بيانات العقد'!F15)</f>
        <v/>
      </c>
      <c r="C20" s="54" t="n"/>
      <c r="D20" s="55">
        <f>IF(B20="",0,SUMIF('جدول الكميات'!$C$6:$C$105,B20,'جدول الكميات'!$H$6:$H$105))</f>
        <v/>
      </c>
      <c r="E20" s="56" t="n"/>
      <c r="F20" s="56" t="n"/>
      <c r="G20" s="56" t="n"/>
      <c r="H20" s="56" t="n"/>
      <c r="I20" s="56" t="n"/>
      <c r="J20" s="57">
        <f>SUM(E20:I20)</f>
        <v/>
      </c>
      <c r="K20" s="58">
        <f>D20-J20</f>
        <v/>
      </c>
      <c r="L20" s="59">
        <f>IF(D20&gt;0,K20/D20,0)</f>
        <v/>
      </c>
    </row>
    <row r="21">
      <c r="B21" s="54">
        <f>IF('بيانات العقد'!F16="","",'بيانات العقد'!F16)</f>
        <v/>
      </c>
      <c r="C21" s="54" t="n"/>
      <c r="D21" s="55">
        <f>IF(B21="",0,SUMIF('جدول الكميات'!$C$6:$C$105,B21,'جدول الكميات'!$H$6:$H$105))</f>
        <v/>
      </c>
      <c r="E21" s="56" t="n"/>
      <c r="F21" s="56" t="n"/>
      <c r="G21" s="56" t="n"/>
      <c r="H21" s="56" t="n"/>
      <c r="I21" s="56" t="n"/>
      <c r="J21" s="57">
        <f>SUM(E21:I21)</f>
        <v/>
      </c>
      <c r="K21" s="58">
        <f>D21-J21</f>
        <v/>
      </c>
      <c r="L21" s="59">
        <f>IF(D21&gt;0,K21/D21,0)</f>
        <v/>
      </c>
    </row>
    <row r="22">
      <c r="B22" s="54">
        <f>IF('بيانات العقد'!F17="","",'بيانات العقد'!F17)</f>
        <v/>
      </c>
      <c r="C22" s="54" t="n"/>
      <c r="D22" s="55">
        <f>IF(B22="",0,SUMIF('جدول الكميات'!$C$6:$C$105,B22,'جدول الكميات'!$H$6:$H$105))</f>
        <v/>
      </c>
      <c r="E22" s="56" t="n"/>
      <c r="F22" s="56" t="n"/>
      <c r="G22" s="56" t="n"/>
      <c r="H22" s="56" t="n"/>
      <c r="I22" s="56" t="n"/>
      <c r="J22" s="57">
        <f>SUM(E22:I22)</f>
        <v/>
      </c>
      <c r="K22" s="58">
        <f>D22-J22</f>
        <v/>
      </c>
      <c r="L22" s="59">
        <f>IF(D22&gt;0,K22/D22,0)</f>
        <v/>
      </c>
    </row>
    <row r="23">
      <c r="B23" s="60" t="inlineStr">
        <is>
          <t>إجمالي التكلفة المباشرة</t>
        </is>
      </c>
      <c r="C23" s="60" t="n"/>
      <c r="D23" s="61">
        <f>SUM(D11:D22)</f>
        <v/>
      </c>
      <c r="E23" s="61">
        <f>SUM(E11:E22)</f>
        <v/>
      </c>
      <c r="F23" s="61">
        <f>SUM(F11:F22)</f>
        <v/>
      </c>
      <c r="G23" s="61">
        <f>SUM(G11:G22)</f>
        <v/>
      </c>
      <c r="H23" s="61">
        <f>SUM(H11:H22)</f>
        <v/>
      </c>
      <c r="I23" s="61">
        <f>SUM(I11:I22)</f>
        <v/>
      </c>
      <c r="J23" s="61">
        <f>SUM(J11:J22)</f>
        <v/>
      </c>
    </row>
    <row r="24">
      <c r="B24" s="60" t="inlineStr">
        <is>
          <t>يُضاف: المصروفات العمومية والإدارية</t>
        </is>
      </c>
      <c r="C24" s="60" t="n"/>
      <c r="D24" s="60" t="n"/>
      <c r="E24" s="60" t="n"/>
      <c r="F24" s="60" t="n"/>
      <c r="G24" s="60" t="n"/>
      <c r="H24" s="60" t="n"/>
      <c r="I24" s="60" t="n"/>
      <c r="J24" s="61">
        <f>ROUND(J23*GAPct,2)</f>
        <v/>
      </c>
    </row>
    <row r="25">
      <c r="B25" s="60" t="inlineStr">
        <is>
          <t>يُضاف: احتياطي الطوارئ</t>
        </is>
      </c>
      <c r="C25" s="60" t="n"/>
      <c r="D25" s="60" t="n"/>
      <c r="E25" s="60" t="n"/>
      <c r="F25" s="60" t="n"/>
      <c r="G25" s="60" t="n"/>
      <c r="H25" s="60" t="n"/>
      <c r="I25" s="60" t="n"/>
      <c r="J25" s="61">
        <f>ROUND(J23*ContPct,2)</f>
        <v/>
      </c>
    </row>
    <row r="26">
      <c r="B26" s="62" t="inlineStr">
        <is>
          <t>إجمالي الموازنة عند الإنجاز (BAC)</t>
        </is>
      </c>
      <c r="C26" s="62" t="n"/>
      <c r="D26" s="62" t="n"/>
      <c r="E26" s="62" t="n"/>
      <c r="F26" s="62" t="n"/>
      <c r="G26" s="62" t="n"/>
      <c r="H26" s="62" t="n"/>
      <c r="I26" s="62" t="n"/>
      <c r="J26" s="63">
        <f>SUM(J23:J25)</f>
        <v/>
      </c>
    </row>
    <row r="27">
      <c r="B27" s="62" t="inlineStr">
        <is>
          <t>الربح المخطط (قيمة العقد الأصلية − الموازنة)</t>
        </is>
      </c>
      <c r="C27" s="62" t="n"/>
      <c r="D27" s="62" t="n"/>
      <c r="E27" s="62" t="n"/>
      <c r="F27" s="62" t="n"/>
      <c r="G27" s="62" t="n"/>
      <c r="H27" s="62" t="n"/>
      <c r="I27" s="62" t="n"/>
      <c r="J27" s="63">
        <f>D23-J26</f>
        <v/>
      </c>
      <c r="K27" s="64">
        <f>IF(D23&gt;0,J27/D23,0)</f>
        <v/>
      </c>
      <c r="L27" s="65">
        <f>IF(J26=0,"",IF(K27&gt;=$E$8,"✔ يحقق المستهدف","⚠ أقل من المستهدف"))</f>
        <v/>
      </c>
    </row>
    <row r="29" ht="22" customHeight="1">
      <c r="B29" s="51" t="inlineStr">
        <is>
          <t>ثانياً: التكاليف الفعلية لكل فترة مستخلص (إدخال التكاليف المباشرة) والربحية والقيمة المكتسبة</t>
        </is>
      </c>
      <c r="C29" s="51" t="n"/>
      <c r="D29" s="51" t="n"/>
      <c r="E29" s="51" t="n"/>
      <c r="F29" s="51" t="n"/>
      <c r="G29" s="51" t="n"/>
      <c r="H29" s="51" t="n"/>
      <c r="I29" s="51" t="n"/>
      <c r="J29" s="51" t="n"/>
      <c r="K29" s="51" t="n"/>
      <c r="L29" s="51" t="n"/>
      <c r="M29" s="51" t="n"/>
      <c r="N29" s="51" t="n"/>
      <c r="O29" s="51" t="n"/>
      <c r="P29" s="51" t="n"/>
      <c r="Q29" s="51" t="n"/>
      <c r="R29" s="51" t="n"/>
      <c r="S29" s="51" t="n"/>
    </row>
    <row r="30" ht="52" customHeight="1">
      <c r="B30" s="18" t="inlineStr">
        <is>
          <t>رقم المستخلص</t>
        </is>
      </c>
      <c r="C30" s="18" t="inlineStr">
        <is>
          <t>الفترة إلى</t>
        </is>
      </c>
      <c r="D30" s="18" t="inlineStr">
        <is>
          <t>المواد</t>
        </is>
      </c>
      <c r="E30" s="18" t="inlineStr">
        <is>
          <t>العمالة</t>
        </is>
      </c>
      <c r="F30" s="18" t="inlineStr">
        <is>
          <t>مقاولو الباطن</t>
        </is>
      </c>
      <c r="G30" s="18" t="inlineStr">
        <is>
          <t>المعدات</t>
        </is>
      </c>
      <c r="H30" s="18" t="inlineStr">
        <is>
          <t>مصروفات الموقع</t>
        </is>
      </c>
      <c r="I30" s="18" t="inlineStr">
        <is>
          <t>مصروفات عمومية (محسوبة)</t>
        </is>
      </c>
      <c r="J30" s="18" t="inlineStr">
        <is>
          <t>إجمالي تكلفة الفترة</t>
        </is>
      </c>
      <c r="K30" s="18" t="inlineStr">
        <is>
          <t>التكلفة التراكمية</t>
        </is>
      </c>
      <c r="L30" s="18" t="inlineStr">
        <is>
          <t>الإيراد التراكمي (إجمالي قيمة الأعمال)</t>
        </is>
      </c>
      <c r="M30" s="18" t="inlineStr">
        <is>
          <t>الربح التراكمي</t>
        </is>
      </c>
      <c r="N30" s="18" t="inlineStr">
        <is>
          <t>هامش الربح</t>
        </is>
      </c>
      <c r="O30" s="18" t="inlineStr">
        <is>
          <t>القيمة المكتسبة بالتكلفة (EV)</t>
        </is>
      </c>
      <c r="P30" s="18" t="inlineStr">
        <is>
          <t>مؤشر أداء التكلفة CPI</t>
        </is>
      </c>
      <c r="Q30" s="18" t="inlineStr">
        <is>
          <t>التكلفة المتوقعة عند الإنجاز EAC</t>
        </is>
      </c>
      <c r="R30" s="18" t="inlineStr">
        <is>
          <t>الربح المتوقع عند الإنجاز</t>
        </is>
      </c>
      <c r="S30" s="18" t="inlineStr">
        <is>
          <t>الموقف النقدي (محصل + مقدمة − تكلفة)</t>
        </is>
      </c>
    </row>
    <row r="31">
      <c r="B31" s="66" t="n">
        <v>1</v>
      </c>
      <c r="C31" s="67">
        <f>IF('سجل المستخلصات'!C6="","",'سجل المستخلصات'!C6)</f>
        <v/>
      </c>
      <c r="D31" s="56" t="n"/>
      <c r="E31" s="56" t="n"/>
      <c r="F31" s="56" t="n"/>
      <c r="G31" s="56" t="n"/>
      <c r="H31" s="56" t="n"/>
      <c r="I31" s="58">
        <f>ROUND(SUM(D31:H31)*GAPct,2)</f>
        <v/>
      </c>
      <c r="J31" s="58">
        <f>SUM(D31:I31)</f>
        <v/>
      </c>
      <c r="K31" s="58">
        <f>IF(AND(C31="",J31=0),"",SUM($J$31:J31))</f>
        <v/>
      </c>
      <c r="L31" s="58">
        <f>IF(C31="","",N('سجل المستخلصات'!K6))</f>
        <v/>
      </c>
      <c r="M31" s="57">
        <f>IF(OR(L31="",K31=""),"",L31-K31)</f>
        <v/>
      </c>
      <c r="N31" s="59">
        <f>IF(OR(M31="",N(L31)=0),"",M31/L31)</f>
        <v/>
      </c>
      <c r="O31" s="58">
        <f>IF(C31="","",BAC*N('سجل المستخلصات'!L6))</f>
        <v/>
      </c>
      <c r="P31" s="68">
        <f>IF(OR(O31="",N(K31)=0),"",O31/K31)</f>
        <v/>
      </c>
      <c r="Q31" s="58">
        <f>IF(P31="","",IF(P31&gt;0,BAC/P31,BAC))</f>
        <v/>
      </c>
      <c r="R31" s="57">
        <f>IF(Q31="","",RevisedContract-Q31)</f>
        <v/>
      </c>
      <c r="S31" s="58">
        <f>IF(C31="","",SUMIF('سجل المستخلصات'!$A$6:$A$25,"&lt;="&amp;B31,'سجل المستخلصات'!$AA$6:$AA$25)+IF(AND(AdvDate&lt;&gt;"",N(AdvDate)&lt;=N(C31)),AdvAmount,0)-N(K31))</f>
        <v/>
      </c>
    </row>
    <row r="32">
      <c r="B32" s="66" t="n">
        <v>2</v>
      </c>
      <c r="C32" s="67">
        <f>IF('سجل المستخلصات'!C7="","",'سجل المستخلصات'!C7)</f>
        <v/>
      </c>
      <c r="D32" s="56" t="n"/>
      <c r="E32" s="56" t="n"/>
      <c r="F32" s="56" t="n"/>
      <c r="G32" s="56" t="n"/>
      <c r="H32" s="56" t="n"/>
      <c r="I32" s="58">
        <f>ROUND(SUM(D32:H32)*GAPct,2)</f>
        <v/>
      </c>
      <c r="J32" s="58">
        <f>SUM(D32:I32)</f>
        <v/>
      </c>
      <c r="K32" s="58">
        <f>IF(AND(C32="",J32=0),"",SUM($J$31:J32))</f>
        <v/>
      </c>
      <c r="L32" s="58">
        <f>IF(C32="","",N('سجل المستخلصات'!K7))</f>
        <v/>
      </c>
      <c r="M32" s="57">
        <f>IF(OR(L32="",K32=""),"",L32-K32)</f>
        <v/>
      </c>
      <c r="N32" s="59">
        <f>IF(OR(M32="",N(L32)=0),"",M32/L32)</f>
        <v/>
      </c>
      <c r="O32" s="58">
        <f>IF(C32="","",BAC*N('سجل المستخلصات'!L7))</f>
        <v/>
      </c>
      <c r="P32" s="68">
        <f>IF(OR(O32="",N(K32)=0),"",O32/K32)</f>
        <v/>
      </c>
      <c r="Q32" s="58">
        <f>IF(P32="","",IF(P32&gt;0,BAC/P32,BAC))</f>
        <v/>
      </c>
      <c r="R32" s="57">
        <f>IF(Q32="","",RevisedContract-Q32)</f>
        <v/>
      </c>
      <c r="S32" s="58">
        <f>IF(C32="","",SUMIF('سجل المستخلصات'!$A$6:$A$25,"&lt;="&amp;B32,'سجل المستخلصات'!$AA$6:$AA$25)+IF(AND(AdvDate&lt;&gt;"",N(AdvDate)&lt;=N(C32)),AdvAmount,0)-N(K32))</f>
        <v/>
      </c>
    </row>
    <row r="33">
      <c r="B33" s="66" t="n">
        <v>3</v>
      </c>
      <c r="C33" s="67">
        <f>IF('سجل المستخلصات'!C8="","",'سجل المستخلصات'!C8)</f>
        <v/>
      </c>
      <c r="D33" s="56" t="n"/>
      <c r="E33" s="56" t="n"/>
      <c r="F33" s="56" t="n"/>
      <c r="G33" s="56" t="n"/>
      <c r="H33" s="56" t="n"/>
      <c r="I33" s="58">
        <f>ROUND(SUM(D33:H33)*GAPct,2)</f>
        <v/>
      </c>
      <c r="J33" s="58">
        <f>SUM(D33:I33)</f>
        <v/>
      </c>
      <c r="K33" s="58">
        <f>IF(AND(C33="",J33=0),"",SUM($J$31:J33))</f>
        <v/>
      </c>
      <c r="L33" s="58">
        <f>IF(C33="","",N('سجل المستخلصات'!K8))</f>
        <v/>
      </c>
      <c r="M33" s="57">
        <f>IF(OR(L33="",K33=""),"",L33-K33)</f>
        <v/>
      </c>
      <c r="N33" s="59">
        <f>IF(OR(M33="",N(L33)=0),"",M33/L33)</f>
        <v/>
      </c>
      <c r="O33" s="58">
        <f>IF(C33="","",BAC*N('سجل المستخلصات'!L8))</f>
        <v/>
      </c>
      <c r="P33" s="68">
        <f>IF(OR(O33="",N(K33)=0),"",O33/K33)</f>
        <v/>
      </c>
      <c r="Q33" s="58">
        <f>IF(P33="","",IF(P33&gt;0,BAC/P33,BAC))</f>
        <v/>
      </c>
      <c r="R33" s="57">
        <f>IF(Q33="","",RevisedContract-Q33)</f>
        <v/>
      </c>
      <c r="S33" s="58">
        <f>IF(C33="","",SUMIF('سجل المستخلصات'!$A$6:$A$25,"&lt;="&amp;B33,'سجل المستخلصات'!$AA$6:$AA$25)+IF(AND(AdvDate&lt;&gt;"",N(AdvDate)&lt;=N(C33)),AdvAmount,0)-N(K33))</f>
        <v/>
      </c>
    </row>
    <row r="34">
      <c r="B34" s="66" t="n">
        <v>4</v>
      </c>
      <c r="C34" s="67">
        <f>IF('سجل المستخلصات'!C9="","",'سجل المستخلصات'!C9)</f>
        <v/>
      </c>
      <c r="D34" s="56" t="n"/>
      <c r="E34" s="56" t="n"/>
      <c r="F34" s="56" t="n"/>
      <c r="G34" s="56" t="n"/>
      <c r="H34" s="56" t="n"/>
      <c r="I34" s="58">
        <f>ROUND(SUM(D34:H34)*GAPct,2)</f>
        <v/>
      </c>
      <c r="J34" s="58">
        <f>SUM(D34:I34)</f>
        <v/>
      </c>
      <c r="K34" s="58">
        <f>IF(AND(C34="",J34=0),"",SUM($J$31:J34))</f>
        <v/>
      </c>
      <c r="L34" s="58">
        <f>IF(C34="","",N('سجل المستخلصات'!K9))</f>
        <v/>
      </c>
      <c r="M34" s="57">
        <f>IF(OR(L34="",K34=""),"",L34-K34)</f>
        <v/>
      </c>
      <c r="N34" s="59">
        <f>IF(OR(M34="",N(L34)=0),"",M34/L34)</f>
        <v/>
      </c>
      <c r="O34" s="58">
        <f>IF(C34="","",BAC*N('سجل المستخلصات'!L9))</f>
        <v/>
      </c>
      <c r="P34" s="68">
        <f>IF(OR(O34="",N(K34)=0),"",O34/K34)</f>
        <v/>
      </c>
      <c r="Q34" s="58">
        <f>IF(P34="","",IF(P34&gt;0,BAC/P34,BAC))</f>
        <v/>
      </c>
      <c r="R34" s="57">
        <f>IF(Q34="","",RevisedContract-Q34)</f>
        <v/>
      </c>
      <c r="S34" s="58">
        <f>IF(C34="","",SUMIF('سجل المستخلصات'!$A$6:$A$25,"&lt;="&amp;B34,'سجل المستخلصات'!$AA$6:$AA$25)+IF(AND(AdvDate&lt;&gt;"",N(AdvDate)&lt;=N(C34)),AdvAmount,0)-N(K34))</f>
        <v/>
      </c>
    </row>
    <row r="35">
      <c r="B35" s="66" t="n">
        <v>5</v>
      </c>
      <c r="C35" s="67">
        <f>IF('سجل المستخلصات'!C10="","",'سجل المستخلصات'!C10)</f>
        <v/>
      </c>
      <c r="D35" s="56" t="n"/>
      <c r="E35" s="56" t="n"/>
      <c r="F35" s="56" t="n"/>
      <c r="G35" s="56" t="n"/>
      <c r="H35" s="56" t="n"/>
      <c r="I35" s="58">
        <f>ROUND(SUM(D35:H35)*GAPct,2)</f>
        <v/>
      </c>
      <c r="J35" s="58">
        <f>SUM(D35:I35)</f>
        <v/>
      </c>
      <c r="K35" s="58">
        <f>IF(AND(C35="",J35=0),"",SUM($J$31:J35))</f>
        <v/>
      </c>
      <c r="L35" s="58">
        <f>IF(C35="","",N('سجل المستخلصات'!K10))</f>
        <v/>
      </c>
      <c r="M35" s="57">
        <f>IF(OR(L35="",K35=""),"",L35-K35)</f>
        <v/>
      </c>
      <c r="N35" s="59">
        <f>IF(OR(M35="",N(L35)=0),"",M35/L35)</f>
        <v/>
      </c>
      <c r="O35" s="58">
        <f>IF(C35="","",BAC*N('سجل المستخلصات'!L10))</f>
        <v/>
      </c>
      <c r="P35" s="68">
        <f>IF(OR(O35="",N(K35)=0),"",O35/K35)</f>
        <v/>
      </c>
      <c r="Q35" s="58">
        <f>IF(P35="","",IF(P35&gt;0,BAC/P35,BAC))</f>
        <v/>
      </c>
      <c r="R35" s="57">
        <f>IF(Q35="","",RevisedContract-Q35)</f>
        <v/>
      </c>
      <c r="S35" s="58">
        <f>IF(C35="","",SUMIF('سجل المستخلصات'!$A$6:$A$25,"&lt;="&amp;B35,'سجل المستخلصات'!$AA$6:$AA$25)+IF(AND(AdvDate&lt;&gt;"",N(AdvDate)&lt;=N(C35)),AdvAmount,0)-N(K35))</f>
        <v/>
      </c>
    </row>
    <row r="36">
      <c r="B36" s="66" t="n">
        <v>6</v>
      </c>
      <c r="C36" s="67">
        <f>IF('سجل المستخلصات'!C11="","",'سجل المستخلصات'!C11)</f>
        <v/>
      </c>
      <c r="D36" s="56" t="n"/>
      <c r="E36" s="56" t="n"/>
      <c r="F36" s="56" t="n"/>
      <c r="G36" s="56" t="n"/>
      <c r="H36" s="56" t="n"/>
      <c r="I36" s="58">
        <f>ROUND(SUM(D36:H36)*GAPct,2)</f>
        <v/>
      </c>
      <c r="J36" s="58">
        <f>SUM(D36:I36)</f>
        <v/>
      </c>
      <c r="K36" s="58">
        <f>IF(AND(C36="",J36=0),"",SUM($J$31:J36))</f>
        <v/>
      </c>
      <c r="L36" s="58">
        <f>IF(C36="","",N('سجل المستخلصات'!K11))</f>
        <v/>
      </c>
      <c r="M36" s="57">
        <f>IF(OR(L36="",K36=""),"",L36-K36)</f>
        <v/>
      </c>
      <c r="N36" s="59">
        <f>IF(OR(M36="",N(L36)=0),"",M36/L36)</f>
        <v/>
      </c>
      <c r="O36" s="58">
        <f>IF(C36="","",BAC*N('سجل المستخلصات'!L11))</f>
        <v/>
      </c>
      <c r="P36" s="68">
        <f>IF(OR(O36="",N(K36)=0),"",O36/K36)</f>
        <v/>
      </c>
      <c r="Q36" s="58">
        <f>IF(P36="","",IF(P36&gt;0,BAC/P36,BAC))</f>
        <v/>
      </c>
      <c r="R36" s="57">
        <f>IF(Q36="","",RevisedContract-Q36)</f>
        <v/>
      </c>
      <c r="S36" s="58">
        <f>IF(C36="","",SUMIF('سجل المستخلصات'!$A$6:$A$25,"&lt;="&amp;B36,'سجل المستخلصات'!$AA$6:$AA$25)+IF(AND(AdvDate&lt;&gt;"",N(AdvDate)&lt;=N(C36)),AdvAmount,0)-N(K36))</f>
        <v/>
      </c>
    </row>
    <row r="37">
      <c r="B37" s="66" t="n">
        <v>7</v>
      </c>
      <c r="C37" s="67">
        <f>IF('سجل المستخلصات'!C12="","",'سجل المستخلصات'!C12)</f>
        <v/>
      </c>
      <c r="D37" s="56" t="n"/>
      <c r="E37" s="56" t="n"/>
      <c r="F37" s="56" t="n"/>
      <c r="G37" s="56" t="n"/>
      <c r="H37" s="56" t="n"/>
      <c r="I37" s="58">
        <f>ROUND(SUM(D37:H37)*GAPct,2)</f>
        <v/>
      </c>
      <c r="J37" s="58">
        <f>SUM(D37:I37)</f>
        <v/>
      </c>
      <c r="K37" s="58">
        <f>IF(AND(C37="",J37=0),"",SUM($J$31:J37))</f>
        <v/>
      </c>
      <c r="L37" s="58">
        <f>IF(C37="","",N('سجل المستخلصات'!K12))</f>
        <v/>
      </c>
      <c r="M37" s="57">
        <f>IF(OR(L37="",K37=""),"",L37-K37)</f>
        <v/>
      </c>
      <c r="N37" s="59">
        <f>IF(OR(M37="",N(L37)=0),"",M37/L37)</f>
        <v/>
      </c>
      <c r="O37" s="58">
        <f>IF(C37="","",BAC*N('سجل المستخلصات'!L12))</f>
        <v/>
      </c>
      <c r="P37" s="68">
        <f>IF(OR(O37="",N(K37)=0),"",O37/K37)</f>
        <v/>
      </c>
      <c r="Q37" s="58">
        <f>IF(P37="","",IF(P37&gt;0,BAC/P37,BAC))</f>
        <v/>
      </c>
      <c r="R37" s="57">
        <f>IF(Q37="","",RevisedContract-Q37)</f>
        <v/>
      </c>
      <c r="S37" s="58">
        <f>IF(C37="","",SUMIF('سجل المستخلصات'!$A$6:$A$25,"&lt;="&amp;B37,'سجل المستخلصات'!$AA$6:$AA$25)+IF(AND(AdvDate&lt;&gt;"",N(AdvDate)&lt;=N(C37)),AdvAmount,0)-N(K37))</f>
        <v/>
      </c>
    </row>
    <row r="38">
      <c r="B38" s="66" t="n">
        <v>8</v>
      </c>
      <c r="C38" s="67">
        <f>IF('سجل المستخلصات'!C13="","",'سجل المستخلصات'!C13)</f>
        <v/>
      </c>
      <c r="D38" s="56" t="n"/>
      <c r="E38" s="56" t="n"/>
      <c r="F38" s="56" t="n"/>
      <c r="G38" s="56" t="n"/>
      <c r="H38" s="56" t="n"/>
      <c r="I38" s="58">
        <f>ROUND(SUM(D38:H38)*GAPct,2)</f>
        <v/>
      </c>
      <c r="J38" s="58">
        <f>SUM(D38:I38)</f>
        <v/>
      </c>
      <c r="K38" s="58">
        <f>IF(AND(C38="",J38=0),"",SUM($J$31:J38))</f>
        <v/>
      </c>
      <c r="L38" s="58">
        <f>IF(C38="","",N('سجل المستخلصات'!K13))</f>
        <v/>
      </c>
      <c r="M38" s="57">
        <f>IF(OR(L38="",K38=""),"",L38-K38)</f>
        <v/>
      </c>
      <c r="N38" s="59">
        <f>IF(OR(M38="",N(L38)=0),"",M38/L38)</f>
        <v/>
      </c>
      <c r="O38" s="58">
        <f>IF(C38="","",BAC*N('سجل المستخلصات'!L13))</f>
        <v/>
      </c>
      <c r="P38" s="68">
        <f>IF(OR(O38="",N(K38)=0),"",O38/K38)</f>
        <v/>
      </c>
      <c r="Q38" s="58">
        <f>IF(P38="","",IF(P38&gt;0,BAC/P38,BAC))</f>
        <v/>
      </c>
      <c r="R38" s="57">
        <f>IF(Q38="","",RevisedContract-Q38)</f>
        <v/>
      </c>
      <c r="S38" s="58">
        <f>IF(C38="","",SUMIF('سجل المستخلصات'!$A$6:$A$25,"&lt;="&amp;B38,'سجل المستخلصات'!$AA$6:$AA$25)+IF(AND(AdvDate&lt;&gt;"",N(AdvDate)&lt;=N(C38)),AdvAmount,0)-N(K38))</f>
        <v/>
      </c>
    </row>
    <row r="39">
      <c r="B39" s="66" t="n">
        <v>9</v>
      </c>
      <c r="C39" s="67">
        <f>IF('سجل المستخلصات'!C14="","",'سجل المستخلصات'!C14)</f>
        <v/>
      </c>
      <c r="D39" s="56" t="n"/>
      <c r="E39" s="56" t="n"/>
      <c r="F39" s="56" t="n"/>
      <c r="G39" s="56" t="n"/>
      <c r="H39" s="56" t="n"/>
      <c r="I39" s="58">
        <f>ROUND(SUM(D39:H39)*GAPct,2)</f>
        <v/>
      </c>
      <c r="J39" s="58">
        <f>SUM(D39:I39)</f>
        <v/>
      </c>
      <c r="K39" s="58">
        <f>IF(AND(C39="",J39=0),"",SUM($J$31:J39))</f>
        <v/>
      </c>
      <c r="L39" s="58">
        <f>IF(C39="","",N('سجل المستخلصات'!K14))</f>
        <v/>
      </c>
      <c r="M39" s="57">
        <f>IF(OR(L39="",K39=""),"",L39-K39)</f>
        <v/>
      </c>
      <c r="N39" s="59">
        <f>IF(OR(M39="",N(L39)=0),"",M39/L39)</f>
        <v/>
      </c>
      <c r="O39" s="58">
        <f>IF(C39="","",BAC*N('سجل المستخلصات'!L14))</f>
        <v/>
      </c>
      <c r="P39" s="68">
        <f>IF(OR(O39="",N(K39)=0),"",O39/K39)</f>
        <v/>
      </c>
      <c r="Q39" s="58">
        <f>IF(P39="","",IF(P39&gt;0,BAC/P39,BAC))</f>
        <v/>
      </c>
      <c r="R39" s="57">
        <f>IF(Q39="","",RevisedContract-Q39)</f>
        <v/>
      </c>
      <c r="S39" s="58">
        <f>IF(C39="","",SUMIF('سجل المستخلصات'!$A$6:$A$25,"&lt;="&amp;B39,'سجل المستخلصات'!$AA$6:$AA$25)+IF(AND(AdvDate&lt;&gt;"",N(AdvDate)&lt;=N(C39)),AdvAmount,0)-N(K39))</f>
        <v/>
      </c>
    </row>
    <row r="40">
      <c r="B40" s="66" t="n">
        <v>10</v>
      </c>
      <c r="C40" s="67">
        <f>IF('سجل المستخلصات'!C15="","",'سجل المستخلصات'!C15)</f>
        <v/>
      </c>
      <c r="D40" s="56" t="n"/>
      <c r="E40" s="56" t="n"/>
      <c r="F40" s="56" t="n"/>
      <c r="G40" s="56" t="n"/>
      <c r="H40" s="56" t="n"/>
      <c r="I40" s="58">
        <f>ROUND(SUM(D40:H40)*GAPct,2)</f>
        <v/>
      </c>
      <c r="J40" s="58">
        <f>SUM(D40:I40)</f>
        <v/>
      </c>
      <c r="K40" s="58">
        <f>IF(AND(C40="",J40=0),"",SUM($J$31:J40))</f>
        <v/>
      </c>
      <c r="L40" s="58">
        <f>IF(C40="","",N('سجل المستخلصات'!K15))</f>
        <v/>
      </c>
      <c r="M40" s="57">
        <f>IF(OR(L40="",K40=""),"",L40-K40)</f>
        <v/>
      </c>
      <c r="N40" s="59">
        <f>IF(OR(M40="",N(L40)=0),"",M40/L40)</f>
        <v/>
      </c>
      <c r="O40" s="58">
        <f>IF(C40="","",BAC*N('سجل المستخلصات'!L15))</f>
        <v/>
      </c>
      <c r="P40" s="68">
        <f>IF(OR(O40="",N(K40)=0),"",O40/K40)</f>
        <v/>
      </c>
      <c r="Q40" s="58">
        <f>IF(P40="","",IF(P40&gt;0,BAC/P40,BAC))</f>
        <v/>
      </c>
      <c r="R40" s="57">
        <f>IF(Q40="","",RevisedContract-Q40)</f>
        <v/>
      </c>
      <c r="S40" s="58">
        <f>IF(C40="","",SUMIF('سجل المستخلصات'!$A$6:$A$25,"&lt;="&amp;B40,'سجل المستخلصات'!$AA$6:$AA$25)+IF(AND(AdvDate&lt;&gt;"",N(AdvDate)&lt;=N(C40)),AdvAmount,0)-N(K40))</f>
        <v/>
      </c>
    </row>
    <row r="41">
      <c r="B41" s="66" t="n">
        <v>11</v>
      </c>
      <c r="C41" s="67">
        <f>IF('سجل المستخلصات'!C16="","",'سجل المستخلصات'!C16)</f>
        <v/>
      </c>
      <c r="D41" s="56" t="n"/>
      <c r="E41" s="56" t="n"/>
      <c r="F41" s="56" t="n"/>
      <c r="G41" s="56" t="n"/>
      <c r="H41" s="56" t="n"/>
      <c r="I41" s="58">
        <f>ROUND(SUM(D41:H41)*GAPct,2)</f>
        <v/>
      </c>
      <c r="J41" s="58">
        <f>SUM(D41:I41)</f>
        <v/>
      </c>
      <c r="K41" s="58">
        <f>IF(AND(C41="",J41=0),"",SUM($J$31:J41))</f>
        <v/>
      </c>
      <c r="L41" s="58">
        <f>IF(C41="","",N('سجل المستخلصات'!K16))</f>
        <v/>
      </c>
      <c r="M41" s="57">
        <f>IF(OR(L41="",K41=""),"",L41-K41)</f>
        <v/>
      </c>
      <c r="N41" s="59">
        <f>IF(OR(M41="",N(L41)=0),"",M41/L41)</f>
        <v/>
      </c>
      <c r="O41" s="58">
        <f>IF(C41="","",BAC*N('سجل المستخلصات'!L16))</f>
        <v/>
      </c>
      <c r="P41" s="68">
        <f>IF(OR(O41="",N(K41)=0),"",O41/K41)</f>
        <v/>
      </c>
      <c r="Q41" s="58">
        <f>IF(P41="","",IF(P41&gt;0,BAC/P41,BAC))</f>
        <v/>
      </c>
      <c r="R41" s="57">
        <f>IF(Q41="","",RevisedContract-Q41)</f>
        <v/>
      </c>
      <c r="S41" s="58">
        <f>IF(C41="","",SUMIF('سجل المستخلصات'!$A$6:$A$25,"&lt;="&amp;B41,'سجل المستخلصات'!$AA$6:$AA$25)+IF(AND(AdvDate&lt;&gt;"",N(AdvDate)&lt;=N(C41)),AdvAmount,0)-N(K41))</f>
        <v/>
      </c>
    </row>
    <row r="42">
      <c r="B42" s="66" t="n">
        <v>12</v>
      </c>
      <c r="C42" s="67">
        <f>IF('سجل المستخلصات'!C17="","",'سجل المستخلصات'!C17)</f>
        <v/>
      </c>
      <c r="D42" s="56" t="n"/>
      <c r="E42" s="56" t="n"/>
      <c r="F42" s="56" t="n"/>
      <c r="G42" s="56" t="n"/>
      <c r="H42" s="56" t="n"/>
      <c r="I42" s="58">
        <f>ROUND(SUM(D42:H42)*GAPct,2)</f>
        <v/>
      </c>
      <c r="J42" s="58">
        <f>SUM(D42:I42)</f>
        <v/>
      </c>
      <c r="K42" s="58">
        <f>IF(AND(C42="",J42=0),"",SUM($J$31:J42))</f>
        <v/>
      </c>
      <c r="L42" s="58">
        <f>IF(C42="","",N('سجل المستخلصات'!K17))</f>
        <v/>
      </c>
      <c r="M42" s="57">
        <f>IF(OR(L42="",K42=""),"",L42-K42)</f>
        <v/>
      </c>
      <c r="N42" s="59">
        <f>IF(OR(M42="",N(L42)=0),"",M42/L42)</f>
        <v/>
      </c>
      <c r="O42" s="58">
        <f>IF(C42="","",BAC*N('سجل المستخلصات'!L17))</f>
        <v/>
      </c>
      <c r="P42" s="68">
        <f>IF(OR(O42="",N(K42)=0),"",O42/K42)</f>
        <v/>
      </c>
      <c r="Q42" s="58">
        <f>IF(P42="","",IF(P42&gt;0,BAC/P42,BAC))</f>
        <v/>
      </c>
      <c r="R42" s="57">
        <f>IF(Q42="","",RevisedContract-Q42)</f>
        <v/>
      </c>
      <c r="S42" s="58">
        <f>IF(C42="","",SUMIF('سجل المستخلصات'!$A$6:$A$25,"&lt;="&amp;B42,'سجل المستخلصات'!$AA$6:$AA$25)+IF(AND(AdvDate&lt;&gt;"",N(AdvDate)&lt;=N(C42)),AdvAmount,0)-N(K42))</f>
        <v/>
      </c>
    </row>
    <row r="43">
      <c r="B43" s="66" t="n">
        <v>13</v>
      </c>
      <c r="C43" s="67">
        <f>IF('سجل المستخلصات'!C18="","",'سجل المستخلصات'!C18)</f>
        <v/>
      </c>
      <c r="D43" s="56" t="n"/>
      <c r="E43" s="56" t="n"/>
      <c r="F43" s="56" t="n"/>
      <c r="G43" s="56" t="n"/>
      <c r="H43" s="56" t="n"/>
      <c r="I43" s="58">
        <f>ROUND(SUM(D43:H43)*GAPct,2)</f>
        <v/>
      </c>
      <c r="J43" s="58">
        <f>SUM(D43:I43)</f>
        <v/>
      </c>
      <c r="K43" s="58">
        <f>IF(AND(C43="",J43=0),"",SUM($J$31:J43))</f>
        <v/>
      </c>
      <c r="L43" s="58">
        <f>IF(C43="","",N('سجل المستخلصات'!K18))</f>
        <v/>
      </c>
      <c r="M43" s="57">
        <f>IF(OR(L43="",K43=""),"",L43-K43)</f>
        <v/>
      </c>
      <c r="N43" s="59">
        <f>IF(OR(M43="",N(L43)=0),"",M43/L43)</f>
        <v/>
      </c>
      <c r="O43" s="58">
        <f>IF(C43="","",BAC*N('سجل المستخلصات'!L18))</f>
        <v/>
      </c>
      <c r="P43" s="68">
        <f>IF(OR(O43="",N(K43)=0),"",O43/K43)</f>
        <v/>
      </c>
      <c r="Q43" s="58">
        <f>IF(P43="","",IF(P43&gt;0,BAC/P43,BAC))</f>
        <v/>
      </c>
      <c r="R43" s="57">
        <f>IF(Q43="","",RevisedContract-Q43)</f>
        <v/>
      </c>
      <c r="S43" s="58">
        <f>IF(C43="","",SUMIF('سجل المستخلصات'!$A$6:$A$25,"&lt;="&amp;B43,'سجل المستخلصات'!$AA$6:$AA$25)+IF(AND(AdvDate&lt;&gt;"",N(AdvDate)&lt;=N(C43)),AdvAmount,0)-N(K43))</f>
        <v/>
      </c>
    </row>
    <row r="44">
      <c r="B44" s="66" t="n">
        <v>14</v>
      </c>
      <c r="C44" s="67">
        <f>IF('سجل المستخلصات'!C19="","",'سجل المستخلصات'!C19)</f>
        <v/>
      </c>
      <c r="D44" s="56" t="n"/>
      <c r="E44" s="56" t="n"/>
      <c r="F44" s="56" t="n"/>
      <c r="G44" s="56" t="n"/>
      <c r="H44" s="56" t="n"/>
      <c r="I44" s="58">
        <f>ROUND(SUM(D44:H44)*GAPct,2)</f>
        <v/>
      </c>
      <c r="J44" s="58">
        <f>SUM(D44:I44)</f>
        <v/>
      </c>
      <c r="K44" s="58">
        <f>IF(AND(C44="",J44=0),"",SUM($J$31:J44))</f>
        <v/>
      </c>
      <c r="L44" s="58">
        <f>IF(C44="","",N('سجل المستخلصات'!K19))</f>
        <v/>
      </c>
      <c r="M44" s="57">
        <f>IF(OR(L44="",K44=""),"",L44-K44)</f>
        <v/>
      </c>
      <c r="N44" s="59">
        <f>IF(OR(M44="",N(L44)=0),"",M44/L44)</f>
        <v/>
      </c>
      <c r="O44" s="58">
        <f>IF(C44="","",BAC*N('سجل المستخلصات'!L19))</f>
        <v/>
      </c>
      <c r="P44" s="68">
        <f>IF(OR(O44="",N(K44)=0),"",O44/K44)</f>
        <v/>
      </c>
      <c r="Q44" s="58">
        <f>IF(P44="","",IF(P44&gt;0,BAC/P44,BAC))</f>
        <v/>
      </c>
      <c r="R44" s="57">
        <f>IF(Q44="","",RevisedContract-Q44)</f>
        <v/>
      </c>
      <c r="S44" s="58">
        <f>IF(C44="","",SUMIF('سجل المستخلصات'!$A$6:$A$25,"&lt;="&amp;B44,'سجل المستخلصات'!$AA$6:$AA$25)+IF(AND(AdvDate&lt;&gt;"",N(AdvDate)&lt;=N(C44)),AdvAmount,0)-N(K44))</f>
        <v/>
      </c>
    </row>
    <row r="45">
      <c r="B45" s="66" t="n">
        <v>15</v>
      </c>
      <c r="C45" s="67">
        <f>IF('سجل المستخلصات'!C20="","",'سجل المستخلصات'!C20)</f>
        <v/>
      </c>
      <c r="D45" s="56" t="n"/>
      <c r="E45" s="56" t="n"/>
      <c r="F45" s="56" t="n"/>
      <c r="G45" s="56" t="n"/>
      <c r="H45" s="56" t="n"/>
      <c r="I45" s="58">
        <f>ROUND(SUM(D45:H45)*GAPct,2)</f>
        <v/>
      </c>
      <c r="J45" s="58">
        <f>SUM(D45:I45)</f>
        <v/>
      </c>
      <c r="K45" s="58">
        <f>IF(AND(C45="",J45=0),"",SUM($J$31:J45))</f>
        <v/>
      </c>
      <c r="L45" s="58">
        <f>IF(C45="","",N('سجل المستخلصات'!K20))</f>
        <v/>
      </c>
      <c r="M45" s="57">
        <f>IF(OR(L45="",K45=""),"",L45-K45)</f>
        <v/>
      </c>
      <c r="N45" s="59">
        <f>IF(OR(M45="",N(L45)=0),"",M45/L45)</f>
        <v/>
      </c>
      <c r="O45" s="58">
        <f>IF(C45="","",BAC*N('سجل المستخلصات'!L20))</f>
        <v/>
      </c>
      <c r="P45" s="68">
        <f>IF(OR(O45="",N(K45)=0),"",O45/K45)</f>
        <v/>
      </c>
      <c r="Q45" s="58">
        <f>IF(P45="","",IF(P45&gt;0,BAC/P45,BAC))</f>
        <v/>
      </c>
      <c r="R45" s="57">
        <f>IF(Q45="","",RevisedContract-Q45)</f>
        <v/>
      </c>
      <c r="S45" s="58">
        <f>IF(C45="","",SUMIF('سجل المستخلصات'!$A$6:$A$25,"&lt;="&amp;B45,'سجل المستخلصات'!$AA$6:$AA$25)+IF(AND(AdvDate&lt;&gt;"",N(AdvDate)&lt;=N(C45)),AdvAmount,0)-N(K45))</f>
        <v/>
      </c>
    </row>
    <row r="46">
      <c r="B46" s="66" t="n">
        <v>16</v>
      </c>
      <c r="C46" s="67">
        <f>IF('سجل المستخلصات'!C21="","",'سجل المستخلصات'!C21)</f>
        <v/>
      </c>
      <c r="D46" s="56" t="n"/>
      <c r="E46" s="56" t="n"/>
      <c r="F46" s="56" t="n"/>
      <c r="G46" s="56" t="n"/>
      <c r="H46" s="56" t="n"/>
      <c r="I46" s="58">
        <f>ROUND(SUM(D46:H46)*GAPct,2)</f>
        <v/>
      </c>
      <c r="J46" s="58">
        <f>SUM(D46:I46)</f>
        <v/>
      </c>
      <c r="K46" s="58">
        <f>IF(AND(C46="",J46=0),"",SUM($J$31:J46))</f>
        <v/>
      </c>
      <c r="L46" s="58">
        <f>IF(C46="","",N('سجل المستخلصات'!K21))</f>
        <v/>
      </c>
      <c r="M46" s="57">
        <f>IF(OR(L46="",K46=""),"",L46-K46)</f>
        <v/>
      </c>
      <c r="N46" s="59">
        <f>IF(OR(M46="",N(L46)=0),"",M46/L46)</f>
        <v/>
      </c>
      <c r="O46" s="58">
        <f>IF(C46="","",BAC*N('سجل المستخلصات'!L21))</f>
        <v/>
      </c>
      <c r="P46" s="68">
        <f>IF(OR(O46="",N(K46)=0),"",O46/K46)</f>
        <v/>
      </c>
      <c r="Q46" s="58">
        <f>IF(P46="","",IF(P46&gt;0,BAC/P46,BAC))</f>
        <v/>
      </c>
      <c r="R46" s="57">
        <f>IF(Q46="","",RevisedContract-Q46)</f>
        <v/>
      </c>
      <c r="S46" s="58">
        <f>IF(C46="","",SUMIF('سجل المستخلصات'!$A$6:$A$25,"&lt;="&amp;B46,'سجل المستخلصات'!$AA$6:$AA$25)+IF(AND(AdvDate&lt;&gt;"",N(AdvDate)&lt;=N(C46)),AdvAmount,0)-N(K46))</f>
        <v/>
      </c>
    </row>
    <row r="47">
      <c r="B47" s="66" t="n">
        <v>17</v>
      </c>
      <c r="C47" s="67">
        <f>IF('سجل المستخلصات'!C22="","",'سجل المستخلصات'!C22)</f>
        <v/>
      </c>
      <c r="D47" s="56" t="n"/>
      <c r="E47" s="56" t="n"/>
      <c r="F47" s="56" t="n"/>
      <c r="G47" s="56" t="n"/>
      <c r="H47" s="56" t="n"/>
      <c r="I47" s="58">
        <f>ROUND(SUM(D47:H47)*GAPct,2)</f>
        <v/>
      </c>
      <c r="J47" s="58">
        <f>SUM(D47:I47)</f>
        <v/>
      </c>
      <c r="K47" s="58">
        <f>IF(AND(C47="",J47=0),"",SUM($J$31:J47))</f>
        <v/>
      </c>
      <c r="L47" s="58">
        <f>IF(C47="","",N('سجل المستخلصات'!K22))</f>
        <v/>
      </c>
      <c r="M47" s="57">
        <f>IF(OR(L47="",K47=""),"",L47-K47)</f>
        <v/>
      </c>
      <c r="N47" s="59">
        <f>IF(OR(M47="",N(L47)=0),"",M47/L47)</f>
        <v/>
      </c>
      <c r="O47" s="58">
        <f>IF(C47="","",BAC*N('سجل المستخلصات'!L22))</f>
        <v/>
      </c>
      <c r="P47" s="68">
        <f>IF(OR(O47="",N(K47)=0),"",O47/K47)</f>
        <v/>
      </c>
      <c r="Q47" s="58">
        <f>IF(P47="","",IF(P47&gt;0,BAC/P47,BAC))</f>
        <v/>
      </c>
      <c r="R47" s="57">
        <f>IF(Q47="","",RevisedContract-Q47)</f>
        <v/>
      </c>
      <c r="S47" s="58">
        <f>IF(C47="","",SUMIF('سجل المستخلصات'!$A$6:$A$25,"&lt;="&amp;B47,'سجل المستخلصات'!$AA$6:$AA$25)+IF(AND(AdvDate&lt;&gt;"",N(AdvDate)&lt;=N(C47)),AdvAmount,0)-N(K47))</f>
        <v/>
      </c>
    </row>
    <row r="48">
      <c r="B48" s="66" t="n">
        <v>18</v>
      </c>
      <c r="C48" s="67">
        <f>IF('سجل المستخلصات'!C23="","",'سجل المستخلصات'!C23)</f>
        <v/>
      </c>
      <c r="D48" s="56" t="n"/>
      <c r="E48" s="56" t="n"/>
      <c r="F48" s="56" t="n"/>
      <c r="G48" s="56" t="n"/>
      <c r="H48" s="56" t="n"/>
      <c r="I48" s="58">
        <f>ROUND(SUM(D48:H48)*GAPct,2)</f>
        <v/>
      </c>
      <c r="J48" s="58">
        <f>SUM(D48:I48)</f>
        <v/>
      </c>
      <c r="K48" s="58">
        <f>IF(AND(C48="",J48=0),"",SUM($J$31:J48))</f>
        <v/>
      </c>
      <c r="L48" s="58">
        <f>IF(C48="","",N('سجل المستخلصات'!K23))</f>
        <v/>
      </c>
      <c r="M48" s="57">
        <f>IF(OR(L48="",K48=""),"",L48-K48)</f>
        <v/>
      </c>
      <c r="N48" s="59">
        <f>IF(OR(M48="",N(L48)=0),"",M48/L48)</f>
        <v/>
      </c>
      <c r="O48" s="58">
        <f>IF(C48="","",BAC*N('سجل المستخلصات'!L23))</f>
        <v/>
      </c>
      <c r="P48" s="68">
        <f>IF(OR(O48="",N(K48)=0),"",O48/K48)</f>
        <v/>
      </c>
      <c r="Q48" s="58">
        <f>IF(P48="","",IF(P48&gt;0,BAC/P48,BAC))</f>
        <v/>
      </c>
      <c r="R48" s="57">
        <f>IF(Q48="","",RevisedContract-Q48)</f>
        <v/>
      </c>
      <c r="S48" s="58">
        <f>IF(C48="","",SUMIF('سجل المستخلصات'!$A$6:$A$25,"&lt;="&amp;B48,'سجل المستخلصات'!$AA$6:$AA$25)+IF(AND(AdvDate&lt;&gt;"",N(AdvDate)&lt;=N(C48)),AdvAmount,0)-N(K48))</f>
        <v/>
      </c>
    </row>
    <row r="49">
      <c r="B49" s="66" t="n">
        <v>19</v>
      </c>
      <c r="C49" s="67">
        <f>IF('سجل المستخلصات'!C24="","",'سجل المستخلصات'!C24)</f>
        <v/>
      </c>
      <c r="D49" s="56" t="n"/>
      <c r="E49" s="56" t="n"/>
      <c r="F49" s="56" t="n"/>
      <c r="G49" s="56" t="n"/>
      <c r="H49" s="56" t="n"/>
      <c r="I49" s="58">
        <f>ROUND(SUM(D49:H49)*GAPct,2)</f>
        <v/>
      </c>
      <c r="J49" s="58">
        <f>SUM(D49:I49)</f>
        <v/>
      </c>
      <c r="K49" s="58">
        <f>IF(AND(C49="",J49=0),"",SUM($J$31:J49))</f>
        <v/>
      </c>
      <c r="L49" s="58">
        <f>IF(C49="","",N('سجل المستخلصات'!K24))</f>
        <v/>
      </c>
      <c r="M49" s="57">
        <f>IF(OR(L49="",K49=""),"",L49-K49)</f>
        <v/>
      </c>
      <c r="N49" s="59">
        <f>IF(OR(M49="",N(L49)=0),"",M49/L49)</f>
        <v/>
      </c>
      <c r="O49" s="58">
        <f>IF(C49="","",BAC*N('سجل المستخلصات'!L24))</f>
        <v/>
      </c>
      <c r="P49" s="68">
        <f>IF(OR(O49="",N(K49)=0),"",O49/K49)</f>
        <v/>
      </c>
      <c r="Q49" s="58">
        <f>IF(P49="","",IF(P49&gt;0,BAC/P49,BAC))</f>
        <v/>
      </c>
      <c r="R49" s="57">
        <f>IF(Q49="","",RevisedContract-Q49)</f>
        <v/>
      </c>
      <c r="S49" s="58">
        <f>IF(C49="","",SUMIF('سجل المستخلصات'!$A$6:$A$25,"&lt;="&amp;B49,'سجل المستخلصات'!$AA$6:$AA$25)+IF(AND(AdvDate&lt;&gt;"",N(AdvDate)&lt;=N(C49)),AdvAmount,0)-N(K49))</f>
        <v/>
      </c>
    </row>
    <row r="50">
      <c r="B50" s="66" t="n">
        <v>20</v>
      </c>
      <c r="C50" s="67">
        <f>IF('سجل المستخلصات'!C25="","",'سجل المستخلصات'!C25)</f>
        <v/>
      </c>
      <c r="D50" s="56" t="n"/>
      <c r="E50" s="56" t="n"/>
      <c r="F50" s="56" t="n"/>
      <c r="G50" s="56" t="n"/>
      <c r="H50" s="56" t="n"/>
      <c r="I50" s="58">
        <f>ROUND(SUM(D50:H50)*GAPct,2)</f>
        <v/>
      </c>
      <c r="J50" s="58">
        <f>SUM(D50:I50)</f>
        <v/>
      </c>
      <c r="K50" s="58">
        <f>IF(AND(C50="",J50=0),"",SUM($J$31:J50))</f>
        <v/>
      </c>
      <c r="L50" s="58">
        <f>IF(C50="","",N('سجل المستخلصات'!K25))</f>
        <v/>
      </c>
      <c r="M50" s="57">
        <f>IF(OR(L50="",K50=""),"",L50-K50)</f>
        <v/>
      </c>
      <c r="N50" s="59">
        <f>IF(OR(M50="",N(L50)=0),"",M50/L50)</f>
        <v/>
      </c>
      <c r="O50" s="58">
        <f>IF(C50="","",BAC*N('سجل المستخلصات'!L25))</f>
        <v/>
      </c>
      <c r="P50" s="68">
        <f>IF(OR(O50="",N(K50)=0),"",O50/K50)</f>
        <v/>
      </c>
      <c r="Q50" s="58">
        <f>IF(P50="","",IF(P50&gt;0,BAC/P50,BAC))</f>
        <v/>
      </c>
      <c r="R50" s="57">
        <f>IF(Q50="","",RevisedContract-Q50)</f>
        <v/>
      </c>
      <c r="S50" s="58">
        <f>IF(C50="","",SUMIF('سجل المستخلصات'!$A$6:$A$25,"&lt;="&amp;B50,'سجل المستخلصات'!$AA$6:$AA$25)+IF(AND(AdvDate&lt;&gt;"",N(AdvDate)&lt;=N(C50)),AdvAmount,0)-N(K50))</f>
        <v/>
      </c>
    </row>
    <row r="51">
      <c r="B51" s="69" t="inlineStr">
        <is>
          <t>الإجمالي</t>
        </is>
      </c>
      <c r="C51" s="69" t="n"/>
      <c r="D51" s="70">
        <f>SUM(D31:D50)</f>
        <v/>
      </c>
      <c r="E51" s="70">
        <f>SUM(E31:E50)</f>
        <v/>
      </c>
      <c r="F51" s="70">
        <f>SUM(F31:F50)</f>
        <v/>
      </c>
      <c r="G51" s="70">
        <f>SUM(G31:G50)</f>
        <v/>
      </c>
      <c r="H51" s="70">
        <f>SUM(H31:H50)</f>
        <v/>
      </c>
      <c r="I51" s="70">
        <f>SUM(I31:I50)</f>
        <v/>
      </c>
      <c r="J51" s="70">
        <f>SUM(J31:J50)</f>
        <v/>
      </c>
      <c r="K51" s="69" t="n"/>
      <c r="L51" s="69" t="n"/>
      <c r="M51" s="69" t="n"/>
      <c r="N51" s="69" t="n"/>
      <c r="O51" s="69" t="n"/>
      <c r="P51" s="69" t="n"/>
      <c r="Q51" s="69" t="n"/>
      <c r="R51" s="69" t="n"/>
      <c r="S51" s="69" t="n"/>
    </row>
    <row r="53" ht="22" customHeight="1">
      <c r="B53" s="51" t="inlineStr">
        <is>
          <t>ثالثاً: مقارنة الموازنة بالفعلي حسب عنصر التكلفة</t>
        </is>
      </c>
      <c r="C53" s="51" t="n"/>
      <c r="D53" s="51" t="n"/>
      <c r="E53" s="51" t="n"/>
      <c r="F53" s="51" t="n"/>
      <c r="G53" s="51" t="n"/>
      <c r="H53" s="51" t="n"/>
    </row>
    <row r="54" ht="34" customHeight="1">
      <c r="B54" s="18" t="inlineStr">
        <is>
          <t>عنصر التكلفة</t>
        </is>
      </c>
      <c r="C54" s="53" t="n"/>
      <c r="D54" s="18" t="inlineStr">
        <is>
          <t>الموازنة</t>
        </is>
      </c>
      <c r="E54" s="18" t="inlineStr">
        <is>
          <t>الفعلي التراكمي</t>
        </is>
      </c>
      <c r="F54" s="18" t="inlineStr">
        <is>
          <t>المتبقي من الموازنة</t>
        </is>
      </c>
      <c r="G54" s="18" t="inlineStr">
        <is>
          <t>نسبة الاستهلاك</t>
        </is>
      </c>
      <c r="H54" s="18" t="inlineStr">
        <is>
          <t>مقارنة بنسبة الإنجاز</t>
        </is>
      </c>
    </row>
    <row r="55">
      <c r="B55" s="19" t="inlineStr">
        <is>
          <t>المواد</t>
        </is>
      </c>
      <c r="C55" s="19" t="n"/>
      <c r="D55" s="58">
        <f>E23</f>
        <v/>
      </c>
      <c r="E55" s="58">
        <f>D51</f>
        <v/>
      </c>
      <c r="F55" s="58">
        <f>D55-E55</f>
        <v/>
      </c>
      <c r="G55" s="71">
        <f>IF(D55&gt;0,E55/D55,0)</f>
        <v/>
      </c>
      <c r="H55" s="72">
        <f>IF(D55=0,"",IF(G55&gt;N('سجل المستخلصات'!L26)+0.05,"⚠ استهلاك أعلى من الإنجاز","✔ ضمن المعدل"))</f>
        <v/>
      </c>
    </row>
    <row r="56">
      <c r="B56" s="19" t="inlineStr">
        <is>
          <t>العمالة</t>
        </is>
      </c>
      <c r="C56" s="19" t="n"/>
      <c r="D56" s="58">
        <f>F23</f>
        <v/>
      </c>
      <c r="E56" s="58">
        <f>E51</f>
        <v/>
      </c>
      <c r="F56" s="58">
        <f>D56-E56</f>
        <v/>
      </c>
      <c r="G56" s="71">
        <f>IF(D56&gt;0,E56/D56,0)</f>
        <v/>
      </c>
      <c r="H56" s="72">
        <f>IF(D56=0,"",IF(G56&gt;N('سجل المستخلصات'!L26)+0.05,"⚠ استهلاك أعلى من الإنجاز","✔ ضمن المعدل"))</f>
        <v/>
      </c>
    </row>
    <row r="57">
      <c r="B57" s="19" t="inlineStr">
        <is>
          <t>مقاولو الباطن</t>
        </is>
      </c>
      <c r="C57" s="19" t="n"/>
      <c r="D57" s="58">
        <f>G23</f>
        <v/>
      </c>
      <c r="E57" s="58">
        <f>F51</f>
        <v/>
      </c>
      <c r="F57" s="58">
        <f>D57-E57</f>
        <v/>
      </c>
      <c r="G57" s="71">
        <f>IF(D57&gt;0,E57/D57,0)</f>
        <v/>
      </c>
      <c r="H57" s="72">
        <f>IF(D57=0,"",IF(G57&gt;N('سجل المستخلصات'!L26)+0.05,"⚠ استهلاك أعلى من الإنجاز","✔ ضمن المعدل"))</f>
        <v/>
      </c>
    </row>
    <row r="58">
      <c r="B58" s="19" t="inlineStr">
        <is>
          <t>المعدات</t>
        </is>
      </c>
      <c r="C58" s="19" t="n"/>
      <c r="D58" s="58">
        <f>H23</f>
        <v/>
      </c>
      <c r="E58" s="58">
        <f>G51</f>
        <v/>
      </c>
      <c r="F58" s="58">
        <f>D58-E58</f>
        <v/>
      </c>
      <c r="G58" s="71">
        <f>IF(D58&gt;0,E58/D58,0)</f>
        <v/>
      </c>
      <c r="H58" s="72">
        <f>IF(D58=0,"",IF(G58&gt;N('سجل المستخلصات'!L26)+0.05,"⚠ استهلاك أعلى من الإنجاز","✔ ضمن المعدل"))</f>
        <v/>
      </c>
    </row>
    <row r="59">
      <c r="B59" s="19" t="inlineStr">
        <is>
          <t>مصروفات الموقع</t>
        </is>
      </c>
      <c r="C59" s="19" t="n"/>
      <c r="D59" s="58">
        <f>I23</f>
        <v/>
      </c>
      <c r="E59" s="58">
        <f>H51</f>
        <v/>
      </c>
      <c r="F59" s="58">
        <f>D59-E59</f>
        <v/>
      </c>
      <c r="G59" s="71">
        <f>IF(D59&gt;0,E59/D59,0)</f>
        <v/>
      </c>
      <c r="H59" s="72">
        <f>IF(D59=0,"",IF(G59&gt;N('سجل المستخلصات'!L26)+0.05,"⚠ استهلاك أعلى من الإنجاز","✔ ضمن المعدل"))</f>
        <v/>
      </c>
    </row>
    <row r="60">
      <c r="B60" s="19" t="inlineStr">
        <is>
          <t>المصروفات العمومية والإدارية</t>
        </is>
      </c>
      <c r="C60" s="19" t="n"/>
      <c r="D60" s="58">
        <f>J24</f>
        <v/>
      </c>
      <c r="E60" s="58">
        <f>I51</f>
        <v/>
      </c>
      <c r="F60" s="58">
        <f>D60-E60</f>
        <v/>
      </c>
      <c r="G60" s="71">
        <f>IF(D60&gt;0,E60/D60,0)</f>
        <v/>
      </c>
      <c r="H60" s="72">
        <f>IF(D60=0,"",IF(G60&gt;N('سجل المستخلصات'!L26)+0.05,"⚠ استهلاك أعلى من الإنجاز","✔ ضمن المعدل"))</f>
        <v/>
      </c>
    </row>
    <row r="61">
      <c r="B61" s="19" t="inlineStr">
        <is>
          <t>احتياطي الطوارئ</t>
        </is>
      </c>
      <c r="C61" s="19" t="n"/>
      <c r="D61" s="58">
        <f>J25</f>
        <v/>
      </c>
      <c r="E61" s="58">
        <f>0</f>
        <v/>
      </c>
      <c r="F61" s="58">
        <f>D61-E61</f>
        <v/>
      </c>
      <c r="G61" s="71">
        <f>IF(D61&gt;0,E61/D61,0)</f>
        <v/>
      </c>
      <c r="H61" s="72">
        <f>IF(D61=0,"",IF(G61&gt;N('سجل المستخلصات'!L26)+0.05,"⚠ استهلاك أعلى من الإنجاز","✔ ضمن المعدل"))</f>
        <v/>
      </c>
    </row>
    <row r="62">
      <c r="B62" s="69" t="inlineStr">
        <is>
          <t>الإجمالي</t>
        </is>
      </c>
      <c r="C62" s="69" t="n"/>
      <c r="D62" s="70">
        <f>SUM(D55:D61)</f>
        <v/>
      </c>
      <c r="E62" s="70">
        <f>SUM(E55:E61)</f>
        <v/>
      </c>
      <c r="F62" s="70">
        <f>D62-E62</f>
        <v/>
      </c>
      <c r="G62" s="73">
        <f>IF(D62&gt;0,E62/D62,0)</f>
        <v/>
      </c>
      <c r="H62" s="69" t="n"/>
    </row>
    <row r="65" ht="22" customHeight="1">
      <c r="B65" s="51" t="inlineStr">
        <is>
          <t>رابعاً: ملخص الربحية ومؤشرات التكلفة</t>
        </is>
      </c>
      <c r="C65" s="51" t="n"/>
      <c r="D65" s="51" t="n"/>
      <c r="E65" s="51" t="n"/>
    </row>
    <row r="66">
      <c r="B66" s="52" t="inlineStr">
        <is>
          <t>إجمالي الموازنة عند الإنجاز (BAC)</t>
        </is>
      </c>
      <c r="C66" s="52" t="n"/>
      <c r="D66" s="74">
        <f>BAC</f>
        <v/>
      </c>
      <c r="E66" s="74" t="n"/>
    </row>
    <row r="67">
      <c r="B67" s="52" t="inlineStr">
        <is>
          <t>قيمة العقد المعدلة</t>
        </is>
      </c>
      <c r="C67" s="52" t="n"/>
      <c r="D67" s="74">
        <f>RevisedContract</f>
        <v/>
      </c>
      <c r="E67" s="74" t="n"/>
    </row>
    <row r="68">
      <c r="B68" s="52" t="inlineStr">
        <is>
          <t>الربح المخطط (على العقد المعدل)</t>
        </is>
      </c>
      <c r="C68" s="52" t="n"/>
      <c r="D68" s="74">
        <f>D67-D66</f>
        <v/>
      </c>
      <c r="E68" s="74" t="n"/>
    </row>
    <row r="69">
      <c r="B69" s="52" t="inlineStr">
        <is>
          <t>هامش الربح المخطط</t>
        </is>
      </c>
      <c r="C69" s="52" t="n"/>
      <c r="D69" s="75">
        <f>IF(D67&gt;0,D68/D67,0)</f>
        <v/>
      </c>
      <c r="E69" s="75" t="n"/>
    </row>
    <row r="70">
      <c r="B70" s="52" t="inlineStr">
        <is>
          <t>التكلفة الفعلية التراكمية</t>
        </is>
      </c>
      <c r="C70" s="52" t="n"/>
      <c r="D70" s="74">
        <f>J51</f>
        <v/>
      </c>
      <c r="E70" s="74" t="n"/>
    </row>
    <row r="71">
      <c r="B71" s="52" t="inlineStr">
        <is>
          <t>الإيراد التراكمي (إجمالي قيمة الأعمال)</t>
        </is>
      </c>
      <c r="C71" s="52" t="n"/>
      <c r="D71" s="74">
        <f>N('سجل المستخلصات'!K26)</f>
        <v/>
      </c>
      <c r="E71" s="74" t="n"/>
    </row>
    <row r="72">
      <c r="B72" s="52" t="inlineStr">
        <is>
          <t>الربح الفعلي التراكمي</t>
        </is>
      </c>
      <c r="C72" s="52" t="n"/>
      <c r="D72" s="74">
        <f>D71-D70</f>
        <v/>
      </c>
      <c r="E72" s="74" t="n"/>
    </row>
    <row r="73">
      <c r="B73" s="52" t="inlineStr">
        <is>
          <t>هامش الربح الفعلي</t>
        </is>
      </c>
      <c r="C73" s="52" t="n"/>
      <c r="D73" s="75">
        <f>IF(D71&gt;0,D72/D71,0)</f>
        <v/>
      </c>
      <c r="E73" s="75" t="n"/>
    </row>
    <row r="74">
      <c r="B74" s="52" t="inlineStr">
        <is>
          <t>مؤشر أداء التكلفة (CPI)</t>
        </is>
      </c>
      <c r="C74" s="52" t="n"/>
      <c r="D74" s="76">
        <f>IF(D70&gt;0,BAC*N('سجل المستخلصات'!L26)/D70,0)</f>
        <v/>
      </c>
      <c r="E74" s="76" t="n"/>
    </row>
    <row r="75">
      <c r="B75" s="52" t="inlineStr">
        <is>
          <t>التكلفة المتوقعة عند الإنجاز (EAC)</t>
        </is>
      </c>
      <c r="C75" s="52" t="n"/>
      <c r="D75" s="74">
        <f>IF(D74&gt;0,BAC/D74,BAC)</f>
        <v/>
      </c>
      <c r="E75" s="74" t="n"/>
    </row>
    <row r="76">
      <c r="B76" s="52" t="inlineStr">
        <is>
          <t>الربح المتوقع عند الإنجاز</t>
        </is>
      </c>
      <c r="C76" s="52" t="n"/>
      <c r="D76" s="74">
        <f>D67-D75</f>
        <v/>
      </c>
      <c r="E76" s="74" t="n"/>
    </row>
    <row r="77">
      <c r="B77" s="52" t="inlineStr">
        <is>
          <t>هامش الربح المتوقع</t>
        </is>
      </c>
      <c r="C77" s="52" t="n"/>
      <c r="D77" s="75">
        <f>IF(D67&gt;0,D76/D67,0)</f>
        <v/>
      </c>
      <c r="E77" s="75" t="n"/>
    </row>
    <row r="78">
      <c r="B78" s="52" t="inlineStr">
        <is>
          <t>الموقف النقدي الحالي</t>
        </is>
      </c>
      <c r="C78" s="52" t="n"/>
      <c r="D78" s="74">
        <f>SUM('سجل المستخلصات'!AA6:AA25)+IF(AdvDate&lt;&gt;"",AdvAmount,0)-D70</f>
        <v/>
      </c>
      <c r="E78" s="74" t="n"/>
    </row>
    <row r="79">
      <c r="B79" s="52" t="inlineStr">
        <is>
          <t>حالة التكلفة</t>
        </is>
      </c>
      <c r="C79" s="52" t="n"/>
      <c r="D79" s="77">
        <f>IF(D70=0,"لا توجد تكاليف مسجلة",IF(D74&lt;0.95,"⚠ تجاوز في التكاليف",IF(D74&lt;1,"متابعة — قريب من الموازنة","✔ ضمن الموازنة")))</f>
        <v/>
      </c>
      <c r="E79" s="77" t="n"/>
    </row>
  </sheetData>
  <mergeCells count="69">
    <mergeCell ref="D69:E69"/>
    <mergeCell ref="B16:C16"/>
    <mergeCell ref="B54:C54"/>
    <mergeCell ref="B62:C62"/>
    <mergeCell ref="B65:E65"/>
    <mergeCell ref="B72:C72"/>
    <mergeCell ref="B25:I25"/>
    <mergeCell ref="B2:S2"/>
    <mergeCell ref="B59:C59"/>
    <mergeCell ref="B8:D8"/>
    <mergeCell ref="B22:C22"/>
    <mergeCell ref="B66:C66"/>
    <mergeCell ref="B18:C18"/>
    <mergeCell ref="B1:S1"/>
    <mergeCell ref="B27:I27"/>
    <mergeCell ref="B56:C56"/>
    <mergeCell ref="B71:C71"/>
    <mergeCell ref="B12:C12"/>
    <mergeCell ref="B58:C58"/>
    <mergeCell ref="B77:C77"/>
    <mergeCell ref="B70:C70"/>
    <mergeCell ref="B21:C21"/>
    <mergeCell ref="D77:E77"/>
    <mergeCell ref="B29:S29"/>
    <mergeCell ref="B11:C11"/>
    <mergeCell ref="D76:E76"/>
    <mergeCell ref="B67:C67"/>
    <mergeCell ref="B23:C23"/>
    <mergeCell ref="B61:C61"/>
    <mergeCell ref="B14:C14"/>
    <mergeCell ref="B60:C60"/>
    <mergeCell ref="B17:C17"/>
    <mergeCell ref="D70:E70"/>
    <mergeCell ref="B57:C57"/>
    <mergeCell ref="D66:E66"/>
    <mergeCell ref="B6:D6"/>
    <mergeCell ref="D75:E75"/>
    <mergeCell ref="B73:C73"/>
    <mergeCell ref="B13:C13"/>
    <mergeCell ref="B69:C69"/>
    <mergeCell ref="F6:L6"/>
    <mergeCell ref="B78:C78"/>
    <mergeCell ref="D72:E72"/>
    <mergeCell ref="D78:E78"/>
    <mergeCell ref="B19:C19"/>
    <mergeCell ref="F7:L7"/>
    <mergeCell ref="B10:C10"/>
    <mergeCell ref="D71:E71"/>
    <mergeCell ref="B7:D7"/>
    <mergeCell ref="B9:L9"/>
    <mergeCell ref="B74:C74"/>
    <mergeCell ref="B55:C55"/>
    <mergeCell ref="B68:C68"/>
    <mergeCell ref="D74:E74"/>
    <mergeCell ref="B15:C15"/>
    <mergeCell ref="F8:L8"/>
    <mergeCell ref="D68:E68"/>
    <mergeCell ref="B24:I24"/>
    <mergeCell ref="B20:C20"/>
    <mergeCell ref="B51:C51"/>
    <mergeCell ref="B53:H53"/>
    <mergeCell ref="D67:E67"/>
    <mergeCell ref="B5:L5"/>
    <mergeCell ref="D73:E73"/>
    <mergeCell ref="B76:C76"/>
    <mergeCell ref="B79:C79"/>
    <mergeCell ref="D79:E79"/>
    <mergeCell ref="B75:C75"/>
    <mergeCell ref="B26:I26"/>
  </mergeCells>
  <conditionalFormatting sqref="P31:P50">
    <cfRule type="cellIs" priority="1" operator="lessThan" dxfId="0">
      <formula>0.95</formula>
    </cfRule>
    <cfRule type="cellIs" priority="2" operator="greaterThanOrEqual" dxfId="1">
      <formula>1</formula>
    </cfRule>
  </conditionalFormatting>
  <conditionalFormatting sqref="M31:M50">
    <cfRule type="cellIs" priority="3" operator="lessThan" dxfId="6">
      <formula>0</formula>
    </cfRule>
  </conditionalFormatting>
  <conditionalFormatting sqref="S31:S50">
    <cfRule type="cellIs" priority="4" operator="lessThan" dxfId="0">
      <formula>0</formula>
    </cfRule>
  </conditionalFormatting>
  <conditionalFormatting sqref="G55:G61">
    <cfRule type="dataBar" priority="5">
      <dataBar>
        <cfvo type="num" val="0"/>
        <cfvo type="num" val="1"/>
        <color rgb="009575CD"/>
      </dataBar>
    </cfRule>
  </conditionalFormatting>
  <conditionalFormatting sqref="H55:H61">
    <cfRule type="expression" priority="6" dxfId="6">
      <formula>ISNUMBER(SEARCH("⚠",H55))</formula>
    </cfRule>
    <cfRule type="expression" priority="7" dxfId="7">
      <formula>ISNUMBER(SEARCH("✔",H55))</formula>
    </cfRule>
  </conditionalFormatting>
  <conditionalFormatting sqref="D72">
    <cfRule type="cellIs" priority="8" operator="lessThan" dxfId="6">
      <formula>0</formula>
    </cfRule>
  </conditionalFormatting>
  <conditionalFormatting sqref="D76">
    <cfRule type="cellIs" priority="9" operator="lessThan" dxfId="6">
      <formula>0</formula>
    </cfRule>
  </conditionalFormatting>
  <conditionalFormatting sqref="D78">
    <cfRule type="cellIs" priority="10" operator="lessThan" dxfId="6">
      <formula>0</formula>
    </cfRule>
  </conditionalFormatting>
  <conditionalFormatting sqref="D79">
    <cfRule type="expression" priority="11" dxfId="0">
      <formula>ISNUMBER(SEARCH("⚠",D79))</formula>
    </cfRule>
    <cfRule type="expression" priority="12" dxfId="1">
      <formula>ISNUMBER(SEARCH("✔",D79))</formula>
    </cfRule>
  </conditionalFormatting>
  <dataValidations count="3">
    <dataValidation sqref="E6:E8" showDropDown="0" showInputMessage="0" showErrorMessage="1" allowBlank="1" errorTitle="قيمة غير صحيحة" error="أدخل رقماً صحيحاً ضمن الحدود المسموحة." type="decimal" operator="between">
      <formula1>0</formula1>
      <formula2>1</formula2>
    </dataValidation>
    <dataValidation sqref="E11:I22" showDropDown="0" showInputMessage="0" showErrorMessage="1" allowBlank="1" errorTitle="قيمة غير صحيحة" error="أدخل رقماً صحيحاً ضمن الحدود المسموحة." type="decimal" operator="greaterThanOrEqual">
      <formula1>0</formula1>
    </dataValidation>
    <dataValidation sqref="D31:H50" showDropDown="0" showInputMessage="1" showErrorMessage="1" allowBlank="1" errorTitle="قيمة غير صحيحة" error="أدخل رقماً صحيحاً ضمن الحدود المسموحة." promptTitle="إرشاد" prompt="التكاليف المباشرة الفعلية خلال فترة هذا المستخلص" type="decimal" operator="greaterThanOrEqual">
      <formula1>0</formula1>
    </dataValidation>
  </dataValidations>
  <hyperlinks>
    <hyperlink ref="B3" location="'سجل المستخلصات'!A1" display="🗂 سجل المستخلصات"/>
    <hyperlink ref="C3" location="'بيانات العقد'!A1" display="⚙ بيانات العقد"/>
    <hyperlink ref="D3" location="'جدول الكميات'!A1" display="📋 جدول الكميات"/>
    <hyperlink ref="F3" location="'الأوامر التغييرية'!A1" display="🔁 التغييرية"/>
    <hyperlink ref="G3" location="'الاستقطاعات الفنية'!A1" display="✂ الاستقطاعات"/>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1F3A5F"/>
    <outlinePr summaryBelow="1" summaryRight="1"/>
    <pageSetUpPr fitToPage="1"/>
  </sheetPr>
  <dimension ref="A1:AJ43"/>
  <sheetViews>
    <sheetView showGridLines="0" rightToLeft="1" zoomScale="85" workbookViewId="0">
      <pane xSplit="6" ySplit="5" topLeftCell="G6" activePane="bottomRight" state="frozen"/>
      <selection pane="topRight"/>
      <selection pane="bottomLeft"/>
      <selection pane="bottomRight" activeCell="A1" sqref="A1"/>
    </sheetView>
  </sheetViews>
  <sheetFormatPr baseColWidth="8" defaultRowHeight="15"/>
  <cols>
    <col width="9" customWidth="1" min="1" max="1"/>
    <col width="11.5" customWidth="1" min="2" max="2"/>
    <col width="11.5" customWidth="1" min="3" max="3"/>
    <col width="11.5" customWidth="1" min="4" max="4"/>
    <col width="11.5" customWidth="1" min="5" max="5"/>
    <col width="13" customWidth="1" min="6" max="6"/>
    <col width="16" customWidth="1" min="7" max="7"/>
    <col width="15" customWidth="1" min="8" max="8"/>
    <col width="15" customWidth="1" min="9" max="9"/>
    <col width="15" customWidth="1" min="10" max="10"/>
    <col width="16" customWidth="1" min="11" max="11"/>
    <col width="10" customWidth="1" min="12" max="12"/>
    <col width="10" customWidth="1" min="13" max="13"/>
    <col width="10" customWidth="1" min="14" max="14"/>
    <col width="15" customWidth="1" min="15" max="15"/>
    <col width="15" customWidth="1" min="16" max="16"/>
    <col width="14" customWidth="1" min="17" max="17"/>
    <col width="15" customWidth="1" min="18" max="18"/>
    <col width="14" customWidth="1" min="19" max="19"/>
    <col width="14" customWidth="1" min="20" max="20"/>
    <col width="16" customWidth="1" min="21" max="21"/>
    <col width="14" customWidth="1" min="22" max="22"/>
    <col width="13" customWidth="1" min="23" max="23"/>
    <col width="16" customWidth="1" min="24" max="24"/>
    <col width="16" customWidth="1" min="25" max="25"/>
    <col width="16" customWidth="1" min="26" max="26"/>
    <col width="15" customWidth="1" min="27" max="27"/>
    <col width="11.5" customWidth="1" min="28" max="28"/>
    <col width="15" customWidth="1" min="29" max="29"/>
    <col width="10" customWidth="1" min="30" max="30"/>
    <col width="15" customWidth="1" min="31" max="31"/>
    <col width="17" customWidth="1" min="32" max="32"/>
    <col width="20" customWidth="1" min="33" max="33"/>
    <col width="13" customWidth="1" min="35" max="35"/>
    <col width="8" customWidth="1" min="36" max="36"/>
  </cols>
  <sheetData>
    <row r="1" ht="38" customHeight="1">
      <c r="A1" s="1" t="inlineStr">
        <is>
          <t>🗂 سجل المستخلصات — مشروع رقم 10 (يُحدَّث آلياً من شيتات المستخلصات ويغذي ملف التقارير)</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20" customHeight="1">
      <c r="A2" s="2">
        <f>IF('بيانات العقد'!$C$5="","مشروع رقم 10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26" customHeight="1">
      <c r="B3" s="16" t="inlineStr">
        <is>
          <t>⚙ بيانات العقد</t>
        </is>
      </c>
      <c r="D3" s="16" t="inlineStr">
        <is>
          <t>📋 جدول الكميات</t>
        </is>
      </c>
      <c r="F3" s="16" t="inlineStr">
        <is>
          <t>🔁 التغييرية</t>
        </is>
      </c>
      <c r="H3" s="16" t="inlineStr">
        <is>
          <t>✂ الاستقطاعات</t>
        </is>
      </c>
      <c r="J3" s="17" t="inlineStr">
        <is>
          <t>💰 الموازنة</t>
        </is>
      </c>
      <c r="AI3" s="78" t="inlineStr">
        <is>
          <t>آخر مستخلص:</t>
        </is>
      </c>
      <c r="AJ3" s="79">
        <f>SUMPRODUCT(MAX((C6:C25&lt;&gt;"")*A6:A25))</f>
        <v/>
      </c>
    </row>
    <row r="4">
      <c r="A4" s="80" t="inlineStr">
        <is>
          <t>بيانات المستخلص</t>
        </is>
      </c>
      <c r="B4" s="80" t="n"/>
      <c r="C4" s="80" t="n"/>
      <c r="D4" s="80" t="n"/>
      <c r="E4" s="80" t="n"/>
      <c r="F4" s="80" t="n"/>
      <c r="G4" s="11" t="inlineStr">
        <is>
          <t>قيمة الأعمال ونسب الإنجاز</t>
        </is>
      </c>
      <c r="H4" s="11" t="n"/>
      <c r="I4" s="11" t="n"/>
      <c r="J4" s="11" t="n"/>
      <c r="K4" s="11" t="n"/>
      <c r="L4" s="11" t="n"/>
      <c r="M4" s="11" t="n"/>
      <c r="N4" s="11" t="n"/>
      <c r="O4" s="81" t="inlineStr">
        <is>
          <t>الاستقطاعات (تراكمي)</t>
        </is>
      </c>
      <c r="P4" s="81" t="n"/>
      <c r="Q4" s="81" t="n"/>
      <c r="R4" s="81" t="n"/>
      <c r="S4" s="81" t="n"/>
      <c r="T4" s="81" t="n"/>
      <c r="U4" s="69" t="inlineStr">
        <is>
          <t>صافي المستحق والضرائب</t>
        </is>
      </c>
      <c r="V4" s="69" t="n"/>
      <c r="W4" s="69" t="n"/>
      <c r="X4" s="69" t="n"/>
      <c r="Y4" s="69" t="n"/>
      <c r="Z4" s="69" t="n"/>
      <c r="AA4" s="82" t="inlineStr">
        <is>
          <t>التحصيل</t>
        </is>
      </c>
      <c r="AB4" s="82" t="n"/>
      <c r="AC4" s="82" t="n"/>
      <c r="AD4" s="82" t="n"/>
      <c r="AE4" s="82" t="n"/>
      <c r="AF4" s="83" t="inlineStr">
        <is>
          <t>الفوترة والمستندات</t>
        </is>
      </c>
      <c r="AG4" s="83" t="n"/>
    </row>
    <row r="5" ht="58" customHeight="1">
      <c r="A5" s="18" t="inlineStr">
        <is>
          <t>رقم المستخلص</t>
        </is>
      </c>
      <c r="B5" s="18" t="inlineStr">
        <is>
          <t>الفترة من</t>
        </is>
      </c>
      <c r="C5" s="18" t="inlineStr">
        <is>
          <t>الفترة إلى</t>
        </is>
      </c>
      <c r="D5" s="18" t="inlineStr">
        <is>
          <t>تاريخ التقديم</t>
        </is>
      </c>
      <c r="E5" s="18" t="inlineStr">
        <is>
          <t>تاريخ الاعتماد</t>
        </is>
      </c>
      <c r="F5" s="18" t="inlineStr">
        <is>
          <t>حالة المستخلص</t>
        </is>
      </c>
      <c r="G5" s="18" t="inlineStr">
        <is>
          <t>قيمة الأعمال المنفذة التراكمية</t>
        </is>
      </c>
      <c r="H5" s="18" t="inlineStr">
        <is>
          <t>أعمال الفترة</t>
        </is>
      </c>
      <c r="I5" s="18" t="inlineStr">
        <is>
          <t>الأوامر التغييرية التراكمية</t>
        </is>
      </c>
      <c r="J5" s="18" t="inlineStr">
        <is>
          <t>رصيد المواد بالموقع</t>
        </is>
      </c>
      <c r="K5" s="18" t="inlineStr">
        <is>
          <t>إجمالي القيمة التراكمية</t>
        </is>
      </c>
      <c r="L5" s="18" t="inlineStr">
        <is>
          <t>نسبة الإنجاز الفعلية</t>
        </is>
      </c>
      <c r="M5" s="18" t="inlineStr">
        <is>
          <t>نسبة الإنجاز المخططة</t>
        </is>
      </c>
      <c r="N5" s="18" t="inlineStr">
        <is>
          <t>الانحراف عن المخطط</t>
        </is>
      </c>
      <c r="O5" s="18" t="inlineStr">
        <is>
          <t>استرداد الدفعة المقدمة التراكمي</t>
        </is>
      </c>
      <c r="P5" s="18" t="inlineStr">
        <is>
          <t>ضمان الأعمال المحتسب</t>
        </is>
      </c>
      <c r="Q5" s="18" t="inlineStr">
        <is>
          <t>المفرج عنه من الضمان</t>
        </is>
      </c>
      <c r="R5" s="18" t="inlineStr">
        <is>
          <t>صافي الضمان المحتجز</t>
        </is>
      </c>
      <c r="S5" s="18" t="inlineStr">
        <is>
          <t>الاستقطاعات الفنية المحتجزة</t>
        </is>
      </c>
      <c r="T5" s="18" t="inlineStr">
        <is>
          <t>الغرامات والخصومات التراكمية</t>
        </is>
      </c>
      <c r="U5" s="18" t="inlineStr">
        <is>
          <t>الصافي التراكمي قبل الضرائب</t>
        </is>
      </c>
      <c r="V5" s="18" t="inlineStr">
        <is>
          <t>ضريبة القيمة المضافة</t>
        </is>
      </c>
      <c r="W5" s="18" t="inlineStr">
        <is>
          <t>ضريبة الاستقطاع (غير المقيم)</t>
        </is>
      </c>
      <c r="X5" s="18" t="inlineStr">
        <is>
          <t>صافي المستحق التراكمي</t>
        </is>
      </c>
      <c r="Y5" s="18" t="inlineStr">
        <is>
          <t>المعتمد في المستخلصات السابقة</t>
        </is>
      </c>
      <c r="Z5" s="18" t="inlineStr">
        <is>
          <t>صافي المستحق للمستخلص الحالي</t>
        </is>
      </c>
      <c r="AA5" s="18" t="inlineStr">
        <is>
          <t>المبلغ المحصل</t>
        </is>
      </c>
      <c r="AB5" s="18" t="inlineStr">
        <is>
          <t>تاريخ التحصيل</t>
        </is>
      </c>
      <c r="AC5" s="18" t="inlineStr">
        <is>
          <t>المتبقي غير المحصل</t>
        </is>
      </c>
      <c r="AD5" s="18" t="inlineStr">
        <is>
          <t>مدة التحصيل (يوم)</t>
        </is>
      </c>
      <c r="AE5" s="18" t="inlineStr">
        <is>
          <t>حالة التحصيل</t>
        </is>
      </c>
      <c r="AF5" s="18" t="inlineStr">
        <is>
          <t>رقم الفاتورة الضريبية</t>
        </is>
      </c>
      <c r="AG5" s="18" t="inlineStr">
        <is>
          <t>حالة المستندات النظامية</t>
        </is>
      </c>
    </row>
    <row r="6">
      <c r="A6" s="66" t="n">
        <v>1</v>
      </c>
      <c r="B6" s="84">
        <f>IF(OR('مستخلص 01'!$J$7="",'مستخلص 01'!$J$6=""),"",'مستخلص 01'!$J$6)</f>
        <v/>
      </c>
      <c r="C6" s="84">
        <f>IF('مستخلص 01'!$J$7="","",'مستخلص 01'!$J$7)</f>
        <v/>
      </c>
      <c r="D6" s="84">
        <f>IF(OR('مستخلص 01'!$J$7="",'مستخلص 01'!$J$8=""),"",'مستخلص 01'!$J$8)</f>
        <v/>
      </c>
      <c r="E6" s="84">
        <f>IF(OR('مستخلص 01'!$J$7="",'مستخلص 01'!$J$9=""),"",'مستخلص 01'!$J$9)</f>
        <v/>
      </c>
      <c r="F6" s="85">
        <f>IF(OR('مستخلص 01'!$J$7="",'مستخلص 01'!$J$5=""),"",'مستخلص 01'!$J$5)</f>
        <v/>
      </c>
      <c r="G6" s="44">
        <f>IF('مستخلص 01'!$J$7="","",'مستخلص 01'!$L$19)</f>
        <v/>
      </c>
      <c r="H6" s="44">
        <f>IF('مستخلص 01'!$J$7="","",'مستخلص 01'!$J$19)</f>
        <v/>
      </c>
      <c r="I6" s="44">
        <f>IF('مستخلص 01'!$J$7="","",'مستخلص 01'!$L$20)</f>
        <v/>
      </c>
      <c r="J6" s="44">
        <f>IF('مستخلص 01'!$J$7="","",'مستخلص 01'!$L$21)</f>
        <v/>
      </c>
      <c r="K6" s="44">
        <f>IF('مستخلص 01'!$J$7="","",'مستخلص 01'!$L$22)</f>
        <v/>
      </c>
      <c r="L6" s="59">
        <f>IF('مستخلص 01'!$J$7="","",'مستخلص 01'!$L$6)</f>
        <v/>
      </c>
      <c r="M6" s="59">
        <f>IF(OR('مستخلص 01'!$J$7="",'مستخلص 01'!$L$8=""),"",'مستخلص 01'!$L$8)</f>
        <v/>
      </c>
      <c r="N6" s="59">
        <f>IF(OR('مستخلص 01'!$J$7="",M6=""),"",L6-M6)</f>
        <v/>
      </c>
      <c r="O6" s="44">
        <f>IF('مستخلص 01'!$J$7="","",-'مستخلص 01'!$L$23)</f>
        <v/>
      </c>
      <c r="P6" s="44">
        <f>IF('مستخلص 01'!$J$7="","",-'مستخلص 01'!$L$24)</f>
        <v/>
      </c>
      <c r="Q6" s="44">
        <f>IF('مستخلص 01'!$J$7="","",'مستخلص 01'!$L$25)</f>
        <v/>
      </c>
      <c r="R6" s="44">
        <f>IF('مستخلص 01'!$J$7="","",P6-Q6)</f>
        <v/>
      </c>
      <c r="S6" s="44">
        <f>IF('مستخلص 01'!$J$7="","",-'مستخلص 01'!$L$26)</f>
        <v/>
      </c>
      <c r="T6" s="44">
        <f>IF('مستخلص 01'!$J$7="","",-'مستخلص 01'!$L$27)</f>
        <v/>
      </c>
      <c r="U6" s="44">
        <f>IF('مستخلص 01'!$J$7="","",'مستخلص 01'!$L$28)</f>
        <v/>
      </c>
      <c r="V6" s="44">
        <f>IF('مستخلص 01'!$J$7="","",'مستخلص 01'!$L$29)</f>
        <v/>
      </c>
      <c r="W6" s="44">
        <f>IF('مستخلص 01'!$J$7="","",-'مستخلص 01'!$L$30)</f>
        <v/>
      </c>
      <c r="X6" s="86">
        <f>IF('مستخلص 01'!$J$7="","",'مستخلص 01'!$L$31)</f>
        <v/>
      </c>
      <c r="Y6" s="44">
        <f>IF('مستخلص 01'!$J$7="","",'مستخلص 01'!$H$31)</f>
        <v/>
      </c>
      <c r="Z6" s="86">
        <f>IF('مستخلص 01'!$J$7="","",'مستخلص 01'!$J$31)</f>
        <v/>
      </c>
      <c r="AA6" s="44">
        <f>IF('مستخلص 01'!$J$7="","",N('مستخلص 01'!$E$15))</f>
        <v/>
      </c>
      <c r="AB6" s="84">
        <f>IF(OR('مستخلص 01'!$J$7="",'مستخلص 01'!$K$15=""),"",'مستخلص 01'!$K$15)</f>
        <v/>
      </c>
      <c r="AC6" s="44">
        <f>IF('مستخلص 01'!$J$7="","",Z6-AA6)</f>
        <v/>
      </c>
      <c r="AD6" s="87">
        <f>IF(OR(AB6="",E6=""),"",AB6-E6)</f>
        <v/>
      </c>
      <c r="AE6" s="85">
        <f>IF('مستخلص 01'!$J$7="","",IF(N(AA6)=0,IF(E6="","⏳ بانتظار الاعتماد","✖ غير محصل"),IF(AC6&lt;=1,"✔ محصل بالكامل","⚠ محصل جزئياً")))</f>
        <v/>
      </c>
      <c r="AF6" s="88">
        <f>IF(OR('مستخلص 01'!$J$7="",'مستخلص 01'!$E$16=""),"",'مستخلص 01'!$E$16)</f>
        <v/>
      </c>
      <c r="AG6" s="85">
        <f>IF('مستخلص 01'!$J$7="","",'مستخلص 01'!$E$43)</f>
        <v/>
      </c>
    </row>
    <row r="7">
      <c r="A7" s="66" t="n">
        <v>2</v>
      </c>
      <c r="B7" s="84">
        <f>IF(OR('مستخلص 02'!$J$7="",'مستخلص 02'!$J$6=""),"",'مستخلص 02'!$J$6)</f>
        <v/>
      </c>
      <c r="C7" s="84">
        <f>IF('مستخلص 02'!$J$7="","",'مستخلص 02'!$J$7)</f>
        <v/>
      </c>
      <c r="D7" s="84">
        <f>IF(OR('مستخلص 02'!$J$7="",'مستخلص 02'!$J$8=""),"",'مستخلص 02'!$J$8)</f>
        <v/>
      </c>
      <c r="E7" s="84">
        <f>IF(OR('مستخلص 02'!$J$7="",'مستخلص 02'!$J$9=""),"",'مستخلص 02'!$J$9)</f>
        <v/>
      </c>
      <c r="F7" s="85">
        <f>IF(OR('مستخلص 02'!$J$7="",'مستخلص 02'!$J$5=""),"",'مستخلص 02'!$J$5)</f>
        <v/>
      </c>
      <c r="G7" s="44">
        <f>IF('مستخلص 02'!$J$7="","",'مستخلص 02'!$L$19)</f>
        <v/>
      </c>
      <c r="H7" s="44">
        <f>IF('مستخلص 02'!$J$7="","",'مستخلص 02'!$J$19)</f>
        <v/>
      </c>
      <c r="I7" s="44">
        <f>IF('مستخلص 02'!$J$7="","",'مستخلص 02'!$L$20)</f>
        <v/>
      </c>
      <c r="J7" s="44">
        <f>IF('مستخلص 02'!$J$7="","",'مستخلص 02'!$L$21)</f>
        <v/>
      </c>
      <c r="K7" s="44">
        <f>IF('مستخلص 02'!$J$7="","",'مستخلص 02'!$L$22)</f>
        <v/>
      </c>
      <c r="L7" s="59">
        <f>IF('مستخلص 02'!$J$7="","",'مستخلص 02'!$L$6)</f>
        <v/>
      </c>
      <c r="M7" s="59">
        <f>IF(OR('مستخلص 02'!$J$7="",'مستخلص 02'!$L$8=""),"",'مستخلص 02'!$L$8)</f>
        <v/>
      </c>
      <c r="N7" s="59">
        <f>IF(OR('مستخلص 02'!$J$7="",M7=""),"",L7-M7)</f>
        <v/>
      </c>
      <c r="O7" s="44">
        <f>IF('مستخلص 02'!$J$7="","",-'مستخلص 02'!$L$23)</f>
        <v/>
      </c>
      <c r="P7" s="44">
        <f>IF('مستخلص 02'!$J$7="","",-'مستخلص 02'!$L$24)</f>
        <v/>
      </c>
      <c r="Q7" s="44">
        <f>IF('مستخلص 02'!$J$7="","",'مستخلص 02'!$L$25)</f>
        <v/>
      </c>
      <c r="R7" s="44">
        <f>IF('مستخلص 02'!$J$7="","",P7-Q7)</f>
        <v/>
      </c>
      <c r="S7" s="44">
        <f>IF('مستخلص 02'!$J$7="","",-'مستخلص 02'!$L$26)</f>
        <v/>
      </c>
      <c r="T7" s="44">
        <f>IF('مستخلص 02'!$J$7="","",-'مستخلص 02'!$L$27)</f>
        <v/>
      </c>
      <c r="U7" s="44">
        <f>IF('مستخلص 02'!$J$7="","",'مستخلص 02'!$L$28)</f>
        <v/>
      </c>
      <c r="V7" s="44">
        <f>IF('مستخلص 02'!$J$7="","",'مستخلص 02'!$L$29)</f>
        <v/>
      </c>
      <c r="W7" s="44">
        <f>IF('مستخلص 02'!$J$7="","",-'مستخلص 02'!$L$30)</f>
        <v/>
      </c>
      <c r="X7" s="86">
        <f>IF('مستخلص 02'!$J$7="","",'مستخلص 02'!$L$31)</f>
        <v/>
      </c>
      <c r="Y7" s="44">
        <f>IF('مستخلص 02'!$J$7="","",'مستخلص 02'!$H$31)</f>
        <v/>
      </c>
      <c r="Z7" s="86">
        <f>IF('مستخلص 02'!$J$7="","",'مستخلص 02'!$J$31)</f>
        <v/>
      </c>
      <c r="AA7" s="44">
        <f>IF('مستخلص 02'!$J$7="","",N('مستخلص 02'!$E$15))</f>
        <v/>
      </c>
      <c r="AB7" s="84">
        <f>IF(OR('مستخلص 02'!$J$7="",'مستخلص 02'!$K$15=""),"",'مستخلص 02'!$K$15)</f>
        <v/>
      </c>
      <c r="AC7" s="44">
        <f>IF('مستخلص 02'!$J$7="","",Z7-AA7)</f>
        <v/>
      </c>
      <c r="AD7" s="87">
        <f>IF(OR(AB7="",E7=""),"",AB7-E7)</f>
        <v/>
      </c>
      <c r="AE7" s="85">
        <f>IF('مستخلص 02'!$J$7="","",IF(N(AA7)=0,IF(E7="","⏳ بانتظار الاعتماد","✖ غير محصل"),IF(AC7&lt;=1,"✔ محصل بالكامل","⚠ محصل جزئياً")))</f>
        <v/>
      </c>
      <c r="AF7" s="88">
        <f>IF(OR('مستخلص 02'!$J$7="",'مستخلص 02'!$E$16=""),"",'مستخلص 02'!$E$16)</f>
        <v/>
      </c>
      <c r="AG7" s="85">
        <f>IF('مستخلص 02'!$J$7="","",'مستخلص 02'!$E$43)</f>
        <v/>
      </c>
    </row>
    <row r="8">
      <c r="A8" s="66" t="n">
        <v>3</v>
      </c>
      <c r="B8" s="84">
        <f>IF(OR('مستخلص 03'!$J$7="",'مستخلص 03'!$J$6=""),"",'مستخلص 03'!$J$6)</f>
        <v/>
      </c>
      <c r="C8" s="84">
        <f>IF('مستخلص 03'!$J$7="","",'مستخلص 03'!$J$7)</f>
        <v/>
      </c>
      <c r="D8" s="84">
        <f>IF(OR('مستخلص 03'!$J$7="",'مستخلص 03'!$J$8=""),"",'مستخلص 03'!$J$8)</f>
        <v/>
      </c>
      <c r="E8" s="84">
        <f>IF(OR('مستخلص 03'!$J$7="",'مستخلص 03'!$J$9=""),"",'مستخلص 03'!$J$9)</f>
        <v/>
      </c>
      <c r="F8" s="85">
        <f>IF(OR('مستخلص 03'!$J$7="",'مستخلص 03'!$J$5=""),"",'مستخلص 03'!$J$5)</f>
        <v/>
      </c>
      <c r="G8" s="44">
        <f>IF('مستخلص 03'!$J$7="","",'مستخلص 03'!$L$19)</f>
        <v/>
      </c>
      <c r="H8" s="44">
        <f>IF('مستخلص 03'!$J$7="","",'مستخلص 03'!$J$19)</f>
        <v/>
      </c>
      <c r="I8" s="44">
        <f>IF('مستخلص 03'!$J$7="","",'مستخلص 03'!$L$20)</f>
        <v/>
      </c>
      <c r="J8" s="44">
        <f>IF('مستخلص 03'!$J$7="","",'مستخلص 03'!$L$21)</f>
        <v/>
      </c>
      <c r="K8" s="44">
        <f>IF('مستخلص 03'!$J$7="","",'مستخلص 03'!$L$22)</f>
        <v/>
      </c>
      <c r="L8" s="59">
        <f>IF('مستخلص 03'!$J$7="","",'مستخلص 03'!$L$6)</f>
        <v/>
      </c>
      <c r="M8" s="59">
        <f>IF(OR('مستخلص 03'!$J$7="",'مستخلص 03'!$L$8=""),"",'مستخلص 03'!$L$8)</f>
        <v/>
      </c>
      <c r="N8" s="59">
        <f>IF(OR('مستخلص 03'!$J$7="",M8=""),"",L8-M8)</f>
        <v/>
      </c>
      <c r="O8" s="44">
        <f>IF('مستخلص 03'!$J$7="","",-'مستخلص 03'!$L$23)</f>
        <v/>
      </c>
      <c r="P8" s="44">
        <f>IF('مستخلص 03'!$J$7="","",-'مستخلص 03'!$L$24)</f>
        <v/>
      </c>
      <c r="Q8" s="44">
        <f>IF('مستخلص 03'!$J$7="","",'مستخلص 03'!$L$25)</f>
        <v/>
      </c>
      <c r="R8" s="44">
        <f>IF('مستخلص 03'!$J$7="","",P8-Q8)</f>
        <v/>
      </c>
      <c r="S8" s="44">
        <f>IF('مستخلص 03'!$J$7="","",-'مستخلص 03'!$L$26)</f>
        <v/>
      </c>
      <c r="T8" s="44">
        <f>IF('مستخلص 03'!$J$7="","",-'مستخلص 03'!$L$27)</f>
        <v/>
      </c>
      <c r="U8" s="44">
        <f>IF('مستخلص 03'!$J$7="","",'مستخلص 03'!$L$28)</f>
        <v/>
      </c>
      <c r="V8" s="44">
        <f>IF('مستخلص 03'!$J$7="","",'مستخلص 03'!$L$29)</f>
        <v/>
      </c>
      <c r="W8" s="44">
        <f>IF('مستخلص 03'!$J$7="","",-'مستخلص 03'!$L$30)</f>
        <v/>
      </c>
      <c r="X8" s="86">
        <f>IF('مستخلص 03'!$J$7="","",'مستخلص 03'!$L$31)</f>
        <v/>
      </c>
      <c r="Y8" s="44">
        <f>IF('مستخلص 03'!$J$7="","",'مستخلص 03'!$H$31)</f>
        <v/>
      </c>
      <c r="Z8" s="86">
        <f>IF('مستخلص 03'!$J$7="","",'مستخلص 03'!$J$31)</f>
        <v/>
      </c>
      <c r="AA8" s="44">
        <f>IF('مستخلص 03'!$J$7="","",N('مستخلص 03'!$E$15))</f>
        <v/>
      </c>
      <c r="AB8" s="84">
        <f>IF(OR('مستخلص 03'!$J$7="",'مستخلص 03'!$K$15=""),"",'مستخلص 03'!$K$15)</f>
        <v/>
      </c>
      <c r="AC8" s="44">
        <f>IF('مستخلص 03'!$J$7="","",Z8-AA8)</f>
        <v/>
      </c>
      <c r="AD8" s="87">
        <f>IF(OR(AB8="",E8=""),"",AB8-E8)</f>
        <v/>
      </c>
      <c r="AE8" s="85">
        <f>IF('مستخلص 03'!$J$7="","",IF(N(AA8)=0,IF(E8="","⏳ بانتظار الاعتماد","✖ غير محصل"),IF(AC8&lt;=1,"✔ محصل بالكامل","⚠ محصل جزئياً")))</f>
        <v/>
      </c>
      <c r="AF8" s="88">
        <f>IF(OR('مستخلص 03'!$J$7="",'مستخلص 03'!$E$16=""),"",'مستخلص 03'!$E$16)</f>
        <v/>
      </c>
      <c r="AG8" s="85">
        <f>IF('مستخلص 03'!$J$7="","",'مستخلص 03'!$E$43)</f>
        <v/>
      </c>
    </row>
    <row r="9">
      <c r="A9" s="66" t="n">
        <v>4</v>
      </c>
      <c r="B9" s="84">
        <f>IF(OR('مستخلص 04'!$J$7="",'مستخلص 04'!$J$6=""),"",'مستخلص 04'!$J$6)</f>
        <v/>
      </c>
      <c r="C9" s="84">
        <f>IF('مستخلص 04'!$J$7="","",'مستخلص 04'!$J$7)</f>
        <v/>
      </c>
      <c r="D9" s="84">
        <f>IF(OR('مستخلص 04'!$J$7="",'مستخلص 04'!$J$8=""),"",'مستخلص 04'!$J$8)</f>
        <v/>
      </c>
      <c r="E9" s="84">
        <f>IF(OR('مستخلص 04'!$J$7="",'مستخلص 04'!$J$9=""),"",'مستخلص 04'!$J$9)</f>
        <v/>
      </c>
      <c r="F9" s="85">
        <f>IF(OR('مستخلص 04'!$J$7="",'مستخلص 04'!$J$5=""),"",'مستخلص 04'!$J$5)</f>
        <v/>
      </c>
      <c r="G9" s="44">
        <f>IF('مستخلص 04'!$J$7="","",'مستخلص 04'!$L$19)</f>
        <v/>
      </c>
      <c r="H9" s="44">
        <f>IF('مستخلص 04'!$J$7="","",'مستخلص 04'!$J$19)</f>
        <v/>
      </c>
      <c r="I9" s="44">
        <f>IF('مستخلص 04'!$J$7="","",'مستخلص 04'!$L$20)</f>
        <v/>
      </c>
      <c r="J9" s="44">
        <f>IF('مستخلص 04'!$J$7="","",'مستخلص 04'!$L$21)</f>
        <v/>
      </c>
      <c r="K9" s="44">
        <f>IF('مستخلص 04'!$J$7="","",'مستخلص 04'!$L$22)</f>
        <v/>
      </c>
      <c r="L9" s="59">
        <f>IF('مستخلص 04'!$J$7="","",'مستخلص 04'!$L$6)</f>
        <v/>
      </c>
      <c r="M9" s="59">
        <f>IF(OR('مستخلص 04'!$J$7="",'مستخلص 04'!$L$8=""),"",'مستخلص 04'!$L$8)</f>
        <v/>
      </c>
      <c r="N9" s="59">
        <f>IF(OR('مستخلص 04'!$J$7="",M9=""),"",L9-M9)</f>
        <v/>
      </c>
      <c r="O9" s="44">
        <f>IF('مستخلص 04'!$J$7="","",-'مستخلص 04'!$L$23)</f>
        <v/>
      </c>
      <c r="P9" s="44">
        <f>IF('مستخلص 04'!$J$7="","",-'مستخلص 04'!$L$24)</f>
        <v/>
      </c>
      <c r="Q9" s="44">
        <f>IF('مستخلص 04'!$J$7="","",'مستخلص 04'!$L$25)</f>
        <v/>
      </c>
      <c r="R9" s="44">
        <f>IF('مستخلص 04'!$J$7="","",P9-Q9)</f>
        <v/>
      </c>
      <c r="S9" s="44">
        <f>IF('مستخلص 04'!$J$7="","",-'مستخلص 04'!$L$26)</f>
        <v/>
      </c>
      <c r="T9" s="44">
        <f>IF('مستخلص 04'!$J$7="","",-'مستخلص 04'!$L$27)</f>
        <v/>
      </c>
      <c r="U9" s="44">
        <f>IF('مستخلص 04'!$J$7="","",'مستخلص 04'!$L$28)</f>
        <v/>
      </c>
      <c r="V9" s="44">
        <f>IF('مستخلص 04'!$J$7="","",'مستخلص 04'!$L$29)</f>
        <v/>
      </c>
      <c r="W9" s="44">
        <f>IF('مستخلص 04'!$J$7="","",-'مستخلص 04'!$L$30)</f>
        <v/>
      </c>
      <c r="X9" s="86">
        <f>IF('مستخلص 04'!$J$7="","",'مستخلص 04'!$L$31)</f>
        <v/>
      </c>
      <c r="Y9" s="44">
        <f>IF('مستخلص 04'!$J$7="","",'مستخلص 04'!$H$31)</f>
        <v/>
      </c>
      <c r="Z9" s="86">
        <f>IF('مستخلص 04'!$J$7="","",'مستخلص 04'!$J$31)</f>
        <v/>
      </c>
      <c r="AA9" s="44">
        <f>IF('مستخلص 04'!$J$7="","",N('مستخلص 04'!$E$15))</f>
        <v/>
      </c>
      <c r="AB9" s="84">
        <f>IF(OR('مستخلص 04'!$J$7="",'مستخلص 04'!$K$15=""),"",'مستخلص 04'!$K$15)</f>
        <v/>
      </c>
      <c r="AC9" s="44">
        <f>IF('مستخلص 04'!$J$7="","",Z9-AA9)</f>
        <v/>
      </c>
      <c r="AD9" s="87">
        <f>IF(OR(AB9="",E9=""),"",AB9-E9)</f>
        <v/>
      </c>
      <c r="AE9" s="85">
        <f>IF('مستخلص 04'!$J$7="","",IF(N(AA9)=0,IF(E9="","⏳ بانتظار الاعتماد","✖ غير محصل"),IF(AC9&lt;=1,"✔ محصل بالكامل","⚠ محصل جزئياً")))</f>
        <v/>
      </c>
      <c r="AF9" s="88">
        <f>IF(OR('مستخلص 04'!$J$7="",'مستخلص 04'!$E$16=""),"",'مستخلص 04'!$E$16)</f>
        <v/>
      </c>
      <c r="AG9" s="85">
        <f>IF('مستخلص 04'!$J$7="","",'مستخلص 04'!$E$43)</f>
        <v/>
      </c>
    </row>
    <row r="10">
      <c r="A10" s="66" t="n">
        <v>5</v>
      </c>
      <c r="B10" s="84">
        <f>IF(OR('مستخلص 05'!$J$7="",'مستخلص 05'!$J$6=""),"",'مستخلص 05'!$J$6)</f>
        <v/>
      </c>
      <c r="C10" s="84">
        <f>IF('مستخلص 05'!$J$7="","",'مستخلص 05'!$J$7)</f>
        <v/>
      </c>
      <c r="D10" s="84">
        <f>IF(OR('مستخلص 05'!$J$7="",'مستخلص 05'!$J$8=""),"",'مستخلص 05'!$J$8)</f>
        <v/>
      </c>
      <c r="E10" s="84">
        <f>IF(OR('مستخلص 05'!$J$7="",'مستخلص 05'!$J$9=""),"",'مستخلص 05'!$J$9)</f>
        <v/>
      </c>
      <c r="F10" s="85">
        <f>IF(OR('مستخلص 05'!$J$7="",'مستخلص 05'!$J$5=""),"",'مستخلص 05'!$J$5)</f>
        <v/>
      </c>
      <c r="G10" s="44">
        <f>IF('مستخلص 05'!$J$7="","",'مستخلص 05'!$L$19)</f>
        <v/>
      </c>
      <c r="H10" s="44">
        <f>IF('مستخلص 05'!$J$7="","",'مستخلص 05'!$J$19)</f>
        <v/>
      </c>
      <c r="I10" s="44">
        <f>IF('مستخلص 05'!$J$7="","",'مستخلص 05'!$L$20)</f>
        <v/>
      </c>
      <c r="J10" s="44">
        <f>IF('مستخلص 05'!$J$7="","",'مستخلص 05'!$L$21)</f>
        <v/>
      </c>
      <c r="K10" s="44">
        <f>IF('مستخلص 05'!$J$7="","",'مستخلص 05'!$L$22)</f>
        <v/>
      </c>
      <c r="L10" s="59">
        <f>IF('مستخلص 05'!$J$7="","",'مستخلص 05'!$L$6)</f>
        <v/>
      </c>
      <c r="M10" s="59">
        <f>IF(OR('مستخلص 05'!$J$7="",'مستخلص 05'!$L$8=""),"",'مستخلص 05'!$L$8)</f>
        <v/>
      </c>
      <c r="N10" s="59">
        <f>IF(OR('مستخلص 05'!$J$7="",M10=""),"",L10-M10)</f>
        <v/>
      </c>
      <c r="O10" s="44">
        <f>IF('مستخلص 05'!$J$7="","",-'مستخلص 05'!$L$23)</f>
        <v/>
      </c>
      <c r="P10" s="44">
        <f>IF('مستخلص 05'!$J$7="","",-'مستخلص 05'!$L$24)</f>
        <v/>
      </c>
      <c r="Q10" s="44">
        <f>IF('مستخلص 05'!$J$7="","",'مستخلص 05'!$L$25)</f>
        <v/>
      </c>
      <c r="R10" s="44">
        <f>IF('مستخلص 05'!$J$7="","",P10-Q10)</f>
        <v/>
      </c>
      <c r="S10" s="44">
        <f>IF('مستخلص 05'!$J$7="","",-'مستخلص 05'!$L$26)</f>
        <v/>
      </c>
      <c r="T10" s="44">
        <f>IF('مستخلص 05'!$J$7="","",-'مستخلص 05'!$L$27)</f>
        <v/>
      </c>
      <c r="U10" s="44">
        <f>IF('مستخلص 05'!$J$7="","",'مستخلص 05'!$L$28)</f>
        <v/>
      </c>
      <c r="V10" s="44">
        <f>IF('مستخلص 05'!$J$7="","",'مستخلص 05'!$L$29)</f>
        <v/>
      </c>
      <c r="W10" s="44">
        <f>IF('مستخلص 05'!$J$7="","",-'مستخلص 05'!$L$30)</f>
        <v/>
      </c>
      <c r="X10" s="86">
        <f>IF('مستخلص 05'!$J$7="","",'مستخلص 05'!$L$31)</f>
        <v/>
      </c>
      <c r="Y10" s="44">
        <f>IF('مستخلص 05'!$J$7="","",'مستخلص 05'!$H$31)</f>
        <v/>
      </c>
      <c r="Z10" s="86">
        <f>IF('مستخلص 05'!$J$7="","",'مستخلص 05'!$J$31)</f>
        <v/>
      </c>
      <c r="AA10" s="44">
        <f>IF('مستخلص 05'!$J$7="","",N('مستخلص 05'!$E$15))</f>
        <v/>
      </c>
      <c r="AB10" s="84">
        <f>IF(OR('مستخلص 05'!$J$7="",'مستخلص 05'!$K$15=""),"",'مستخلص 05'!$K$15)</f>
        <v/>
      </c>
      <c r="AC10" s="44">
        <f>IF('مستخلص 05'!$J$7="","",Z10-AA10)</f>
        <v/>
      </c>
      <c r="AD10" s="87">
        <f>IF(OR(AB10="",E10=""),"",AB10-E10)</f>
        <v/>
      </c>
      <c r="AE10" s="85">
        <f>IF('مستخلص 05'!$J$7="","",IF(N(AA10)=0,IF(E10="","⏳ بانتظار الاعتماد","✖ غير محصل"),IF(AC10&lt;=1,"✔ محصل بالكامل","⚠ محصل جزئياً")))</f>
        <v/>
      </c>
      <c r="AF10" s="88">
        <f>IF(OR('مستخلص 05'!$J$7="",'مستخلص 05'!$E$16=""),"",'مستخلص 05'!$E$16)</f>
        <v/>
      </c>
      <c r="AG10" s="85">
        <f>IF('مستخلص 05'!$J$7="","",'مستخلص 05'!$E$43)</f>
        <v/>
      </c>
    </row>
    <row r="11">
      <c r="A11" s="66" t="n">
        <v>6</v>
      </c>
      <c r="B11" s="84">
        <f>IF(OR('مستخلص 06'!$J$7="",'مستخلص 06'!$J$6=""),"",'مستخلص 06'!$J$6)</f>
        <v/>
      </c>
      <c r="C11" s="84">
        <f>IF('مستخلص 06'!$J$7="","",'مستخلص 06'!$J$7)</f>
        <v/>
      </c>
      <c r="D11" s="84">
        <f>IF(OR('مستخلص 06'!$J$7="",'مستخلص 06'!$J$8=""),"",'مستخلص 06'!$J$8)</f>
        <v/>
      </c>
      <c r="E11" s="84">
        <f>IF(OR('مستخلص 06'!$J$7="",'مستخلص 06'!$J$9=""),"",'مستخلص 06'!$J$9)</f>
        <v/>
      </c>
      <c r="F11" s="85">
        <f>IF(OR('مستخلص 06'!$J$7="",'مستخلص 06'!$J$5=""),"",'مستخلص 06'!$J$5)</f>
        <v/>
      </c>
      <c r="G11" s="44">
        <f>IF('مستخلص 06'!$J$7="","",'مستخلص 06'!$L$19)</f>
        <v/>
      </c>
      <c r="H11" s="44">
        <f>IF('مستخلص 06'!$J$7="","",'مستخلص 06'!$J$19)</f>
        <v/>
      </c>
      <c r="I11" s="44">
        <f>IF('مستخلص 06'!$J$7="","",'مستخلص 06'!$L$20)</f>
        <v/>
      </c>
      <c r="J11" s="44">
        <f>IF('مستخلص 06'!$J$7="","",'مستخلص 06'!$L$21)</f>
        <v/>
      </c>
      <c r="K11" s="44">
        <f>IF('مستخلص 06'!$J$7="","",'مستخلص 06'!$L$22)</f>
        <v/>
      </c>
      <c r="L11" s="59">
        <f>IF('مستخلص 06'!$J$7="","",'مستخلص 06'!$L$6)</f>
        <v/>
      </c>
      <c r="M11" s="59">
        <f>IF(OR('مستخلص 06'!$J$7="",'مستخلص 06'!$L$8=""),"",'مستخلص 06'!$L$8)</f>
        <v/>
      </c>
      <c r="N11" s="59">
        <f>IF(OR('مستخلص 06'!$J$7="",M11=""),"",L11-M11)</f>
        <v/>
      </c>
      <c r="O11" s="44">
        <f>IF('مستخلص 06'!$J$7="","",-'مستخلص 06'!$L$23)</f>
        <v/>
      </c>
      <c r="P11" s="44">
        <f>IF('مستخلص 06'!$J$7="","",-'مستخلص 06'!$L$24)</f>
        <v/>
      </c>
      <c r="Q11" s="44">
        <f>IF('مستخلص 06'!$J$7="","",'مستخلص 06'!$L$25)</f>
        <v/>
      </c>
      <c r="R11" s="44">
        <f>IF('مستخلص 06'!$J$7="","",P11-Q11)</f>
        <v/>
      </c>
      <c r="S11" s="44">
        <f>IF('مستخلص 06'!$J$7="","",-'مستخلص 06'!$L$26)</f>
        <v/>
      </c>
      <c r="T11" s="44">
        <f>IF('مستخلص 06'!$J$7="","",-'مستخلص 06'!$L$27)</f>
        <v/>
      </c>
      <c r="U11" s="44">
        <f>IF('مستخلص 06'!$J$7="","",'مستخلص 06'!$L$28)</f>
        <v/>
      </c>
      <c r="V11" s="44">
        <f>IF('مستخلص 06'!$J$7="","",'مستخلص 06'!$L$29)</f>
        <v/>
      </c>
      <c r="W11" s="44">
        <f>IF('مستخلص 06'!$J$7="","",-'مستخلص 06'!$L$30)</f>
        <v/>
      </c>
      <c r="X11" s="86">
        <f>IF('مستخلص 06'!$J$7="","",'مستخلص 06'!$L$31)</f>
        <v/>
      </c>
      <c r="Y11" s="44">
        <f>IF('مستخلص 06'!$J$7="","",'مستخلص 06'!$H$31)</f>
        <v/>
      </c>
      <c r="Z11" s="86">
        <f>IF('مستخلص 06'!$J$7="","",'مستخلص 06'!$J$31)</f>
        <v/>
      </c>
      <c r="AA11" s="44">
        <f>IF('مستخلص 06'!$J$7="","",N('مستخلص 06'!$E$15))</f>
        <v/>
      </c>
      <c r="AB11" s="84">
        <f>IF(OR('مستخلص 06'!$J$7="",'مستخلص 06'!$K$15=""),"",'مستخلص 06'!$K$15)</f>
        <v/>
      </c>
      <c r="AC11" s="44">
        <f>IF('مستخلص 06'!$J$7="","",Z11-AA11)</f>
        <v/>
      </c>
      <c r="AD11" s="87">
        <f>IF(OR(AB11="",E11=""),"",AB11-E11)</f>
        <v/>
      </c>
      <c r="AE11" s="85">
        <f>IF('مستخلص 06'!$J$7="","",IF(N(AA11)=0,IF(E11="","⏳ بانتظار الاعتماد","✖ غير محصل"),IF(AC11&lt;=1,"✔ محصل بالكامل","⚠ محصل جزئياً")))</f>
        <v/>
      </c>
      <c r="AF11" s="88">
        <f>IF(OR('مستخلص 06'!$J$7="",'مستخلص 06'!$E$16=""),"",'مستخلص 06'!$E$16)</f>
        <v/>
      </c>
      <c r="AG11" s="85">
        <f>IF('مستخلص 06'!$J$7="","",'مستخلص 06'!$E$43)</f>
        <v/>
      </c>
    </row>
    <row r="12">
      <c r="A12" s="66" t="n">
        <v>7</v>
      </c>
      <c r="B12" s="84">
        <f>IF(OR('مستخلص 07'!$J$7="",'مستخلص 07'!$J$6=""),"",'مستخلص 07'!$J$6)</f>
        <v/>
      </c>
      <c r="C12" s="84">
        <f>IF('مستخلص 07'!$J$7="","",'مستخلص 07'!$J$7)</f>
        <v/>
      </c>
      <c r="D12" s="84">
        <f>IF(OR('مستخلص 07'!$J$7="",'مستخلص 07'!$J$8=""),"",'مستخلص 07'!$J$8)</f>
        <v/>
      </c>
      <c r="E12" s="84">
        <f>IF(OR('مستخلص 07'!$J$7="",'مستخلص 07'!$J$9=""),"",'مستخلص 07'!$J$9)</f>
        <v/>
      </c>
      <c r="F12" s="85">
        <f>IF(OR('مستخلص 07'!$J$7="",'مستخلص 07'!$J$5=""),"",'مستخلص 07'!$J$5)</f>
        <v/>
      </c>
      <c r="G12" s="44">
        <f>IF('مستخلص 07'!$J$7="","",'مستخلص 07'!$L$19)</f>
        <v/>
      </c>
      <c r="H12" s="44">
        <f>IF('مستخلص 07'!$J$7="","",'مستخلص 07'!$J$19)</f>
        <v/>
      </c>
      <c r="I12" s="44">
        <f>IF('مستخلص 07'!$J$7="","",'مستخلص 07'!$L$20)</f>
        <v/>
      </c>
      <c r="J12" s="44">
        <f>IF('مستخلص 07'!$J$7="","",'مستخلص 07'!$L$21)</f>
        <v/>
      </c>
      <c r="K12" s="44">
        <f>IF('مستخلص 07'!$J$7="","",'مستخلص 07'!$L$22)</f>
        <v/>
      </c>
      <c r="L12" s="59">
        <f>IF('مستخلص 07'!$J$7="","",'مستخلص 07'!$L$6)</f>
        <v/>
      </c>
      <c r="M12" s="59">
        <f>IF(OR('مستخلص 07'!$J$7="",'مستخلص 07'!$L$8=""),"",'مستخلص 07'!$L$8)</f>
        <v/>
      </c>
      <c r="N12" s="59">
        <f>IF(OR('مستخلص 07'!$J$7="",M12=""),"",L12-M12)</f>
        <v/>
      </c>
      <c r="O12" s="44">
        <f>IF('مستخلص 07'!$J$7="","",-'مستخلص 07'!$L$23)</f>
        <v/>
      </c>
      <c r="P12" s="44">
        <f>IF('مستخلص 07'!$J$7="","",-'مستخلص 07'!$L$24)</f>
        <v/>
      </c>
      <c r="Q12" s="44">
        <f>IF('مستخلص 07'!$J$7="","",'مستخلص 07'!$L$25)</f>
        <v/>
      </c>
      <c r="R12" s="44">
        <f>IF('مستخلص 07'!$J$7="","",P12-Q12)</f>
        <v/>
      </c>
      <c r="S12" s="44">
        <f>IF('مستخلص 07'!$J$7="","",-'مستخلص 07'!$L$26)</f>
        <v/>
      </c>
      <c r="T12" s="44">
        <f>IF('مستخلص 07'!$J$7="","",-'مستخلص 07'!$L$27)</f>
        <v/>
      </c>
      <c r="U12" s="44">
        <f>IF('مستخلص 07'!$J$7="","",'مستخلص 07'!$L$28)</f>
        <v/>
      </c>
      <c r="V12" s="44">
        <f>IF('مستخلص 07'!$J$7="","",'مستخلص 07'!$L$29)</f>
        <v/>
      </c>
      <c r="W12" s="44">
        <f>IF('مستخلص 07'!$J$7="","",-'مستخلص 07'!$L$30)</f>
        <v/>
      </c>
      <c r="X12" s="86">
        <f>IF('مستخلص 07'!$J$7="","",'مستخلص 07'!$L$31)</f>
        <v/>
      </c>
      <c r="Y12" s="44">
        <f>IF('مستخلص 07'!$J$7="","",'مستخلص 07'!$H$31)</f>
        <v/>
      </c>
      <c r="Z12" s="86">
        <f>IF('مستخلص 07'!$J$7="","",'مستخلص 07'!$J$31)</f>
        <v/>
      </c>
      <c r="AA12" s="44">
        <f>IF('مستخلص 07'!$J$7="","",N('مستخلص 07'!$E$15))</f>
        <v/>
      </c>
      <c r="AB12" s="84">
        <f>IF(OR('مستخلص 07'!$J$7="",'مستخلص 07'!$K$15=""),"",'مستخلص 07'!$K$15)</f>
        <v/>
      </c>
      <c r="AC12" s="44">
        <f>IF('مستخلص 07'!$J$7="","",Z12-AA12)</f>
        <v/>
      </c>
      <c r="AD12" s="87">
        <f>IF(OR(AB12="",E12=""),"",AB12-E12)</f>
        <v/>
      </c>
      <c r="AE12" s="85">
        <f>IF('مستخلص 07'!$J$7="","",IF(N(AA12)=0,IF(E12="","⏳ بانتظار الاعتماد","✖ غير محصل"),IF(AC12&lt;=1,"✔ محصل بالكامل","⚠ محصل جزئياً")))</f>
        <v/>
      </c>
      <c r="AF12" s="88">
        <f>IF(OR('مستخلص 07'!$J$7="",'مستخلص 07'!$E$16=""),"",'مستخلص 07'!$E$16)</f>
        <v/>
      </c>
      <c r="AG12" s="85">
        <f>IF('مستخلص 07'!$J$7="","",'مستخلص 07'!$E$43)</f>
        <v/>
      </c>
    </row>
    <row r="13">
      <c r="A13" s="66" t="n">
        <v>8</v>
      </c>
      <c r="B13" s="84">
        <f>IF(OR('مستخلص 08'!$J$7="",'مستخلص 08'!$J$6=""),"",'مستخلص 08'!$J$6)</f>
        <v/>
      </c>
      <c r="C13" s="84">
        <f>IF('مستخلص 08'!$J$7="","",'مستخلص 08'!$J$7)</f>
        <v/>
      </c>
      <c r="D13" s="84">
        <f>IF(OR('مستخلص 08'!$J$7="",'مستخلص 08'!$J$8=""),"",'مستخلص 08'!$J$8)</f>
        <v/>
      </c>
      <c r="E13" s="84">
        <f>IF(OR('مستخلص 08'!$J$7="",'مستخلص 08'!$J$9=""),"",'مستخلص 08'!$J$9)</f>
        <v/>
      </c>
      <c r="F13" s="85">
        <f>IF(OR('مستخلص 08'!$J$7="",'مستخلص 08'!$J$5=""),"",'مستخلص 08'!$J$5)</f>
        <v/>
      </c>
      <c r="G13" s="44">
        <f>IF('مستخلص 08'!$J$7="","",'مستخلص 08'!$L$19)</f>
        <v/>
      </c>
      <c r="H13" s="44">
        <f>IF('مستخلص 08'!$J$7="","",'مستخلص 08'!$J$19)</f>
        <v/>
      </c>
      <c r="I13" s="44">
        <f>IF('مستخلص 08'!$J$7="","",'مستخلص 08'!$L$20)</f>
        <v/>
      </c>
      <c r="J13" s="44">
        <f>IF('مستخلص 08'!$J$7="","",'مستخلص 08'!$L$21)</f>
        <v/>
      </c>
      <c r="K13" s="44">
        <f>IF('مستخلص 08'!$J$7="","",'مستخلص 08'!$L$22)</f>
        <v/>
      </c>
      <c r="L13" s="59">
        <f>IF('مستخلص 08'!$J$7="","",'مستخلص 08'!$L$6)</f>
        <v/>
      </c>
      <c r="M13" s="59">
        <f>IF(OR('مستخلص 08'!$J$7="",'مستخلص 08'!$L$8=""),"",'مستخلص 08'!$L$8)</f>
        <v/>
      </c>
      <c r="N13" s="59">
        <f>IF(OR('مستخلص 08'!$J$7="",M13=""),"",L13-M13)</f>
        <v/>
      </c>
      <c r="O13" s="44">
        <f>IF('مستخلص 08'!$J$7="","",-'مستخلص 08'!$L$23)</f>
        <v/>
      </c>
      <c r="P13" s="44">
        <f>IF('مستخلص 08'!$J$7="","",-'مستخلص 08'!$L$24)</f>
        <v/>
      </c>
      <c r="Q13" s="44">
        <f>IF('مستخلص 08'!$J$7="","",'مستخلص 08'!$L$25)</f>
        <v/>
      </c>
      <c r="R13" s="44">
        <f>IF('مستخلص 08'!$J$7="","",P13-Q13)</f>
        <v/>
      </c>
      <c r="S13" s="44">
        <f>IF('مستخلص 08'!$J$7="","",-'مستخلص 08'!$L$26)</f>
        <v/>
      </c>
      <c r="T13" s="44">
        <f>IF('مستخلص 08'!$J$7="","",-'مستخلص 08'!$L$27)</f>
        <v/>
      </c>
      <c r="U13" s="44">
        <f>IF('مستخلص 08'!$J$7="","",'مستخلص 08'!$L$28)</f>
        <v/>
      </c>
      <c r="V13" s="44">
        <f>IF('مستخلص 08'!$J$7="","",'مستخلص 08'!$L$29)</f>
        <v/>
      </c>
      <c r="W13" s="44">
        <f>IF('مستخلص 08'!$J$7="","",-'مستخلص 08'!$L$30)</f>
        <v/>
      </c>
      <c r="X13" s="86">
        <f>IF('مستخلص 08'!$J$7="","",'مستخلص 08'!$L$31)</f>
        <v/>
      </c>
      <c r="Y13" s="44">
        <f>IF('مستخلص 08'!$J$7="","",'مستخلص 08'!$H$31)</f>
        <v/>
      </c>
      <c r="Z13" s="86">
        <f>IF('مستخلص 08'!$J$7="","",'مستخلص 08'!$J$31)</f>
        <v/>
      </c>
      <c r="AA13" s="44">
        <f>IF('مستخلص 08'!$J$7="","",N('مستخلص 08'!$E$15))</f>
        <v/>
      </c>
      <c r="AB13" s="84">
        <f>IF(OR('مستخلص 08'!$J$7="",'مستخلص 08'!$K$15=""),"",'مستخلص 08'!$K$15)</f>
        <v/>
      </c>
      <c r="AC13" s="44">
        <f>IF('مستخلص 08'!$J$7="","",Z13-AA13)</f>
        <v/>
      </c>
      <c r="AD13" s="87">
        <f>IF(OR(AB13="",E13=""),"",AB13-E13)</f>
        <v/>
      </c>
      <c r="AE13" s="85">
        <f>IF('مستخلص 08'!$J$7="","",IF(N(AA13)=0,IF(E13="","⏳ بانتظار الاعتماد","✖ غير محصل"),IF(AC13&lt;=1,"✔ محصل بالكامل","⚠ محصل جزئياً")))</f>
        <v/>
      </c>
      <c r="AF13" s="88">
        <f>IF(OR('مستخلص 08'!$J$7="",'مستخلص 08'!$E$16=""),"",'مستخلص 08'!$E$16)</f>
        <v/>
      </c>
      <c r="AG13" s="85">
        <f>IF('مستخلص 08'!$J$7="","",'مستخلص 08'!$E$43)</f>
        <v/>
      </c>
    </row>
    <row r="14">
      <c r="A14" s="66" t="n">
        <v>9</v>
      </c>
      <c r="B14" s="84">
        <f>IF(OR('مستخلص 09'!$J$7="",'مستخلص 09'!$J$6=""),"",'مستخلص 09'!$J$6)</f>
        <v/>
      </c>
      <c r="C14" s="84">
        <f>IF('مستخلص 09'!$J$7="","",'مستخلص 09'!$J$7)</f>
        <v/>
      </c>
      <c r="D14" s="84">
        <f>IF(OR('مستخلص 09'!$J$7="",'مستخلص 09'!$J$8=""),"",'مستخلص 09'!$J$8)</f>
        <v/>
      </c>
      <c r="E14" s="84">
        <f>IF(OR('مستخلص 09'!$J$7="",'مستخلص 09'!$J$9=""),"",'مستخلص 09'!$J$9)</f>
        <v/>
      </c>
      <c r="F14" s="85">
        <f>IF(OR('مستخلص 09'!$J$7="",'مستخلص 09'!$J$5=""),"",'مستخلص 09'!$J$5)</f>
        <v/>
      </c>
      <c r="G14" s="44">
        <f>IF('مستخلص 09'!$J$7="","",'مستخلص 09'!$L$19)</f>
        <v/>
      </c>
      <c r="H14" s="44">
        <f>IF('مستخلص 09'!$J$7="","",'مستخلص 09'!$J$19)</f>
        <v/>
      </c>
      <c r="I14" s="44">
        <f>IF('مستخلص 09'!$J$7="","",'مستخلص 09'!$L$20)</f>
        <v/>
      </c>
      <c r="J14" s="44">
        <f>IF('مستخلص 09'!$J$7="","",'مستخلص 09'!$L$21)</f>
        <v/>
      </c>
      <c r="K14" s="44">
        <f>IF('مستخلص 09'!$J$7="","",'مستخلص 09'!$L$22)</f>
        <v/>
      </c>
      <c r="L14" s="59">
        <f>IF('مستخلص 09'!$J$7="","",'مستخلص 09'!$L$6)</f>
        <v/>
      </c>
      <c r="M14" s="59">
        <f>IF(OR('مستخلص 09'!$J$7="",'مستخلص 09'!$L$8=""),"",'مستخلص 09'!$L$8)</f>
        <v/>
      </c>
      <c r="N14" s="59">
        <f>IF(OR('مستخلص 09'!$J$7="",M14=""),"",L14-M14)</f>
        <v/>
      </c>
      <c r="O14" s="44">
        <f>IF('مستخلص 09'!$J$7="","",-'مستخلص 09'!$L$23)</f>
        <v/>
      </c>
      <c r="P14" s="44">
        <f>IF('مستخلص 09'!$J$7="","",-'مستخلص 09'!$L$24)</f>
        <v/>
      </c>
      <c r="Q14" s="44">
        <f>IF('مستخلص 09'!$J$7="","",'مستخلص 09'!$L$25)</f>
        <v/>
      </c>
      <c r="R14" s="44">
        <f>IF('مستخلص 09'!$J$7="","",P14-Q14)</f>
        <v/>
      </c>
      <c r="S14" s="44">
        <f>IF('مستخلص 09'!$J$7="","",-'مستخلص 09'!$L$26)</f>
        <v/>
      </c>
      <c r="T14" s="44">
        <f>IF('مستخلص 09'!$J$7="","",-'مستخلص 09'!$L$27)</f>
        <v/>
      </c>
      <c r="U14" s="44">
        <f>IF('مستخلص 09'!$J$7="","",'مستخلص 09'!$L$28)</f>
        <v/>
      </c>
      <c r="V14" s="44">
        <f>IF('مستخلص 09'!$J$7="","",'مستخلص 09'!$L$29)</f>
        <v/>
      </c>
      <c r="W14" s="44">
        <f>IF('مستخلص 09'!$J$7="","",-'مستخلص 09'!$L$30)</f>
        <v/>
      </c>
      <c r="X14" s="86">
        <f>IF('مستخلص 09'!$J$7="","",'مستخلص 09'!$L$31)</f>
        <v/>
      </c>
      <c r="Y14" s="44">
        <f>IF('مستخلص 09'!$J$7="","",'مستخلص 09'!$H$31)</f>
        <v/>
      </c>
      <c r="Z14" s="86">
        <f>IF('مستخلص 09'!$J$7="","",'مستخلص 09'!$J$31)</f>
        <v/>
      </c>
      <c r="AA14" s="44">
        <f>IF('مستخلص 09'!$J$7="","",N('مستخلص 09'!$E$15))</f>
        <v/>
      </c>
      <c r="AB14" s="84">
        <f>IF(OR('مستخلص 09'!$J$7="",'مستخلص 09'!$K$15=""),"",'مستخلص 09'!$K$15)</f>
        <v/>
      </c>
      <c r="AC14" s="44">
        <f>IF('مستخلص 09'!$J$7="","",Z14-AA14)</f>
        <v/>
      </c>
      <c r="AD14" s="87">
        <f>IF(OR(AB14="",E14=""),"",AB14-E14)</f>
        <v/>
      </c>
      <c r="AE14" s="85">
        <f>IF('مستخلص 09'!$J$7="","",IF(N(AA14)=0,IF(E14="","⏳ بانتظار الاعتماد","✖ غير محصل"),IF(AC14&lt;=1,"✔ محصل بالكامل","⚠ محصل جزئياً")))</f>
        <v/>
      </c>
      <c r="AF14" s="88">
        <f>IF(OR('مستخلص 09'!$J$7="",'مستخلص 09'!$E$16=""),"",'مستخلص 09'!$E$16)</f>
        <v/>
      </c>
      <c r="AG14" s="85">
        <f>IF('مستخلص 09'!$J$7="","",'مستخلص 09'!$E$43)</f>
        <v/>
      </c>
    </row>
    <row r="15">
      <c r="A15" s="66" t="n">
        <v>10</v>
      </c>
      <c r="B15" s="84">
        <f>IF(OR('مستخلص 10'!$J$7="",'مستخلص 10'!$J$6=""),"",'مستخلص 10'!$J$6)</f>
        <v/>
      </c>
      <c r="C15" s="84">
        <f>IF('مستخلص 10'!$J$7="","",'مستخلص 10'!$J$7)</f>
        <v/>
      </c>
      <c r="D15" s="84">
        <f>IF(OR('مستخلص 10'!$J$7="",'مستخلص 10'!$J$8=""),"",'مستخلص 10'!$J$8)</f>
        <v/>
      </c>
      <c r="E15" s="84">
        <f>IF(OR('مستخلص 10'!$J$7="",'مستخلص 10'!$J$9=""),"",'مستخلص 10'!$J$9)</f>
        <v/>
      </c>
      <c r="F15" s="85">
        <f>IF(OR('مستخلص 10'!$J$7="",'مستخلص 10'!$J$5=""),"",'مستخلص 10'!$J$5)</f>
        <v/>
      </c>
      <c r="G15" s="44">
        <f>IF('مستخلص 10'!$J$7="","",'مستخلص 10'!$L$19)</f>
        <v/>
      </c>
      <c r="H15" s="44">
        <f>IF('مستخلص 10'!$J$7="","",'مستخلص 10'!$J$19)</f>
        <v/>
      </c>
      <c r="I15" s="44">
        <f>IF('مستخلص 10'!$J$7="","",'مستخلص 10'!$L$20)</f>
        <v/>
      </c>
      <c r="J15" s="44">
        <f>IF('مستخلص 10'!$J$7="","",'مستخلص 10'!$L$21)</f>
        <v/>
      </c>
      <c r="K15" s="44">
        <f>IF('مستخلص 10'!$J$7="","",'مستخلص 10'!$L$22)</f>
        <v/>
      </c>
      <c r="L15" s="59">
        <f>IF('مستخلص 10'!$J$7="","",'مستخلص 10'!$L$6)</f>
        <v/>
      </c>
      <c r="M15" s="59">
        <f>IF(OR('مستخلص 10'!$J$7="",'مستخلص 10'!$L$8=""),"",'مستخلص 10'!$L$8)</f>
        <v/>
      </c>
      <c r="N15" s="59">
        <f>IF(OR('مستخلص 10'!$J$7="",M15=""),"",L15-M15)</f>
        <v/>
      </c>
      <c r="O15" s="44">
        <f>IF('مستخلص 10'!$J$7="","",-'مستخلص 10'!$L$23)</f>
        <v/>
      </c>
      <c r="P15" s="44">
        <f>IF('مستخلص 10'!$J$7="","",-'مستخلص 10'!$L$24)</f>
        <v/>
      </c>
      <c r="Q15" s="44">
        <f>IF('مستخلص 10'!$J$7="","",'مستخلص 10'!$L$25)</f>
        <v/>
      </c>
      <c r="R15" s="44">
        <f>IF('مستخلص 10'!$J$7="","",P15-Q15)</f>
        <v/>
      </c>
      <c r="S15" s="44">
        <f>IF('مستخلص 10'!$J$7="","",-'مستخلص 10'!$L$26)</f>
        <v/>
      </c>
      <c r="T15" s="44">
        <f>IF('مستخلص 10'!$J$7="","",-'مستخلص 10'!$L$27)</f>
        <v/>
      </c>
      <c r="U15" s="44">
        <f>IF('مستخلص 10'!$J$7="","",'مستخلص 10'!$L$28)</f>
        <v/>
      </c>
      <c r="V15" s="44">
        <f>IF('مستخلص 10'!$J$7="","",'مستخلص 10'!$L$29)</f>
        <v/>
      </c>
      <c r="W15" s="44">
        <f>IF('مستخلص 10'!$J$7="","",-'مستخلص 10'!$L$30)</f>
        <v/>
      </c>
      <c r="X15" s="86">
        <f>IF('مستخلص 10'!$J$7="","",'مستخلص 10'!$L$31)</f>
        <v/>
      </c>
      <c r="Y15" s="44">
        <f>IF('مستخلص 10'!$J$7="","",'مستخلص 10'!$H$31)</f>
        <v/>
      </c>
      <c r="Z15" s="86">
        <f>IF('مستخلص 10'!$J$7="","",'مستخلص 10'!$J$31)</f>
        <v/>
      </c>
      <c r="AA15" s="44">
        <f>IF('مستخلص 10'!$J$7="","",N('مستخلص 10'!$E$15))</f>
        <v/>
      </c>
      <c r="AB15" s="84">
        <f>IF(OR('مستخلص 10'!$J$7="",'مستخلص 10'!$K$15=""),"",'مستخلص 10'!$K$15)</f>
        <v/>
      </c>
      <c r="AC15" s="44">
        <f>IF('مستخلص 10'!$J$7="","",Z15-AA15)</f>
        <v/>
      </c>
      <c r="AD15" s="87">
        <f>IF(OR(AB15="",E15=""),"",AB15-E15)</f>
        <v/>
      </c>
      <c r="AE15" s="85">
        <f>IF('مستخلص 10'!$J$7="","",IF(N(AA15)=0,IF(E15="","⏳ بانتظار الاعتماد","✖ غير محصل"),IF(AC15&lt;=1,"✔ محصل بالكامل","⚠ محصل جزئياً")))</f>
        <v/>
      </c>
      <c r="AF15" s="88">
        <f>IF(OR('مستخلص 10'!$J$7="",'مستخلص 10'!$E$16=""),"",'مستخلص 10'!$E$16)</f>
        <v/>
      </c>
      <c r="AG15" s="85">
        <f>IF('مستخلص 10'!$J$7="","",'مستخلص 10'!$E$43)</f>
        <v/>
      </c>
    </row>
    <row r="16">
      <c r="A16" s="66" t="n">
        <v>11</v>
      </c>
      <c r="B16" s="84">
        <f>IF(OR('مستخلص 11'!$J$7="",'مستخلص 11'!$J$6=""),"",'مستخلص 11'!$J$6)</f>
        <v/>
      </c>
      <c r="C16" s="84">
        <f>IF('مستخلص 11'!$J$7="","",'مستخلص 11'!$J$7)</f>
        <v/>
      </c>
      <c r="D16" s="84">
        <f>IF(OR('مستخلص 11'!$J$7="",'مستخلص 11'!$J$8=""),"",'مستخلص 11'!$J$8)</f>
        <v/>
      </c>
      <c r="E16" s="84">
        <f>IF(OR('مستخلص 11'!$J$7="",'مستخلص 11'!$J$9=""),"",'مستخلص 11'!$J$9)</f>
        <v/>
      </c>
      <c r="F16" s="85">
        <f>IF(OR('مستخلص 11'!$J$7="",'مستخلص 11'!$J$5=""),"",'مستخلص 11'!$J$5)</f>
        <v/>
      </c>
      <c r="G16" s="44">
        <f>IF('مستخلص 11'!$J$7="","",'مستخلص 11'!$L$19)</f>
        <v/>
      </c>
      <c r="H16" s="44">
        <f>IF('مستخلص 11'!$J$7="","",'مستخلص 11'!$J$19)</f>
        <v/>
      </c>
      <c r="I16" s="44">
        <f>IF('مستخلص 11'!$J$7="","",'مستخلص 11'!$L$20)</f>
        <v/>
      </c>
      <c r="J16" s="44">
        <f>IF('مستخلص 11'!$J$7="","",'مستخلص 11'!$L$21)</f>
        <v/>
      </c>
      <c r="K16" s="44">
        <f>IF('مستخلص 11'!$J$7="","",'مستخلص 11'!$L$22)</f>
        <v/>
      </c>
      <c r="L16" s="59">
        <f>IF('مستخلص 11'!$J$7="","",'مستخلص 11'!$L$6)</f>
        <v/>
      </c>
      <c r="M16" s="59">
        <f>IF(OR('مستخلص 11'!$J$7="",'مستخلص 11'!$L$8=""),"",'مستخلص 11'!$L$8)</f>
        <v/>
      </c>
      <c r="N16" s="59">
        <f>IF(OR('مستخلص 11'!$J$7="",M16=""),"",L16-M16)</f>
        <v/>
      </c>
      <c r="O16" s="44">
        <f>IF('مستخلص 11'!$J$7="","",-'مستخلص 11'!$L$23)</f>
        <v/>
      </c>
      <c r="P16" s="44">
        <f>IF('مستخلص 11'!$J$7="","",-'مستخلص 11'!$L$24)</f>
        <v/>
      </c>
      <c r="Q16" s="44">
        <f>IF('مستخلص 11'!$J$7="","",'مستخلص 11'!$L$25)</f>
        <v/>
      </c>
      <c r="R16" s="44">
        <f>IF('مستخلص 11'!$J$7="","",P16-Q16)</f>
        <v/>
      </c>
      <c r="S16" s="44">
        <f>IF('مستخلص 11'!$J$7="","",-'مستخلص 11'!$L$26)</f>
        <v/>
      </c>
      <c r="T16" s="44">
        <f>IF('مستخلص 11'!$J$7="","",-'مستخلص 11'!$L$27)</f>
        <v/>
      </c>
      <c r="U16" s="44">
        <f>IF('مستخلص 11'!$J$7="","",'مستخلص 11'!$L$28)</f>
        <v/>
      </c>
      <c r="V16" s="44">
        <f>IF('مستخلص 11'!$J$7="","",'مستخلص 11'!$L$29)</f>
        <v/>
      </c>
      <c r="W16" s="44">
        <f>IF('مستخلص 11'!$J$7="","",-'مستخلص 11'!$L$30)</f>
        <v/>
      </c>
      <c r="X16" s="86">
        <f>IF('مستخلص 11'!$J$7="","",'مستخلص 11'!$L$31)</f>
        <v/>
      </c>
      <c r="Y16" s="44">
        <f>IF('مستخلص 11'!$J$7="","",'مستخلص 11'!$H$31)</f>
        <v/>
      </c>
      <c r="Z16" s="86">
        <f>IF('مستخلص 11'!$J$7="","",'مستخلص 11'!$J$31)</f>
        <v/>
      </c>
      <c r="AA16" s="44">
        <f>IF('مستخلص 11'!$J$7="","",N('مستخلص 11'!$E$15))</f>
        <v/>
      </c>
      <c r="AB16" s="84">
        <f>IF(OR('مستخلص 11'!$J$7="",'مستخلص 11'!$K$15=""),"",'مستخلص 11'!$K$15)</f>
        <v/>
      </c>
      <c r="AC16" s="44">
        <f>IF('مستخلص 11'!$J$7="","",Z16-AA16)</f>
        <v/>
      </c>
      <c r="AD16" s="87">
        <f>IF(OR(AB16="",E16=""),"",AB16-E16)</f>
        <v/>
      </c>
      <c r="AE16" s="85">
        <f>IF('مستخلص 11'!$J$7="","",IF(N(AA16)=0,IF(E16="","⏳ بانتظار الاعتماد","✖ غير محصل"),IF(AC16&lt;=1,"✔ محصل بالكامل","⚠ محصل جزئياً")))</f>
        <v/>
      </c>
      <c r="AF16" s="88">
        <f>IF(OR('مستخلص 11'!$J$7="",'مستخلص 11'!$E$16=""),"",'مستخلص 11'!$E$16)</f>
        <v/>
      </c>
      <c r="AG16" s="85">
        <f>IF('مستخلص 11'!$J$7="","",'مستخلص 11'!$E$43)</f>
        <v/>
      </c>
    </row>
    <row r="17">
      <c r="A17" s="66" t="n">
        <v>12</v>
      </c>
      <c r="B17" s="84">
        <f>IF(OR('مستخلص 12'!$J$7="",'مستخلص 12'!$J$6=""),"",'مستخلص 12'!$J$6)</f>
        <v/>
      </c>
      <c r="C17" s="84">
        <f>IF('مستخلص 12'!$J$7="","",'مستخلص 12'!$J$7)</f>
        <v/>
      </c>
      <c r="D17" s="84">
        <f>IF(OR('مستخلص 12'!$J$7="",'مستخلص 12'!$J$8=""),"",'مستخلص 12'!$J$8)</f>
        <v/>
      </c>
      <c r="E17" s="84">
        <f>IF(OR('مستخلص 12'!$J$7="",'مستخلص 12'!$J$9=""),"",'مستخلص 12'!$J$9)</f>
        <v/>
      </c>
      <c r="F17" s="85">
        <f>IF(OR('مستخلص 12'!$J$7="",'مستخلص 12'!$J$5=""),"",'مستخلص 12'!$J$5)</f>
        <v/>
      </c>
      <c r="G17" s="44">
        <f>IF('مستخلص 12'!$J$7="","",'مستخلص 12'!$L$19)</f>
        <v/>
      </c>
      <c r="H17" s="44">
        <f>IF('مستخلص 12'!$J$7="","",'مستخلص 12'!$J$19)</f>
        <v/>
      </c>
      <c r="I17" s="44">
        <f>IF('مستخلص 12'!$J$7="","",'مستخلص 12'!$L$20)</f>
        <v/>
      </c>
      <c r="J17" s="44">
        <f>IF('مستخلص 12'!$J$7="","",'مستخلص 12'!$L$21)</f>
        <v/>
      </c>
      <c r="K17" s="44">
        <f>IF('مستخلص 12'!$J$7="","",'مستخلص 12'!$L$22)</f>
        <v/>
      </c>
      <c r="L17" s="59">
        <f>IF('مستخلص 12'!$J$7="","",'مستخلص 12'!$L$6)</f>
        <v/>
      </c>
      <c r="M17" s="59">
        <f>IF(OR('مستخلص 12'!$J$7="",'مستخلص 12'!$L$8=""),"",'مستخلص 12'!$L$8)</f>
        <v/>
      </c>
      <c r="N17" s="59">
        <f>IF(OR('مستخلص 12'!$J$7="",M17=""),"",L17-M17)</f>
        <v/>
      </c>
      <c r="O17" s="44">
        <f>IF('مستخلص 12'!$J$7="","",-'مستخلص 12'!$L$23)</f>
        <v/>
      </c>
      <c r="P17" s="44">
        <f>IF('مستخلص 12'!$J$7="","",-'مستخلص 12'!$L$24)</f>
        <v/>
      </c>
      <c r="Q17" s="44">
        <f>IF('مستخلص 12'!$J$7="","",'مستخلص 12'!$L$25)</f>
        <v/>
      </c>
      <c r="R17" s="44">
        <f>IF('مستخلص 12'!$J$7="","",P17-Q17)</f>
        <v/>
      </c>
      <c r="S17" s="44">
        <f>IF('مستخلص 12'!$J$7="","",-'مستخلص 12'!$L$26)</f>
        <v/>
      </c>
      <c r="T17" s="44">
        <f>IF('مستخلص 12'!$J$7="","",-'مستخلص 12'!$L$27)</f>
        <v/>
      </c>
      <c r="U17" s="44">
        <f>IF('مستخلص 12'!$J$7="","",'مستخلص 12'!$L$28)</f>
        <v/>
      </c>
      <c r="V17" s="44">
        <f>IF('مستخلص 12'!$J$7="","",'مستخلص 12'!$L$29)</f>
        <v/>
      </c>
      <c r="W17" s="44">
        <f>IF('مستخلص 12'!$J$7="","",-'مستخلص 12'!$L$30)</f>
        <v/>
      </c>
      <c r="X17" s="86">
        <f>IF('مستخلص 12'!$J$7="","",'مستخلص 12'!$L$31)</f>
        <v/>
      </c>
      <c r="Y17" s="44">
        <f>IF('مستخلص 12'!$J$7="","",'مستخلص 12'!$H$31)</f>
        <v/>
      </c>
      <c r="Z17" s="86">
        <f>IF('مستخلص 12'!$J$7="","",'مستخلص 12'!$J$31)</f>
        <v/>
      </c>
      <c r="AA17" s="44">
        <f>IF('مستخلص 12'!$J$7="","",N('مستخلص 12'!$E$15))</f>
        <v/>
      </c>
      <c r="AB17" s="84">
        <f>IF(OR('مستخلص 12'!$J$7="",'مستخلص 12'!$K$15=""),"",'مستخلص 12'!$K$15)</f>
        <v/>
      </c>
      <c r="AC17" s="44">
        <f>IF('مستخلص 12'!$J$7="","",Z17-AA17)</f>
        <v/>
      </c>
      <c r="AD17" s="87">
        <f>IF(OR(AB17="",E17=""),"",AB17-E17)</f>
        <v/>
      </c>
      <c r="AE17" s="85">
        <f>IF('مستخلص 12'!$J$7="","",IF(N(AA17)=0,IF(E17="","⏳ بانتظار الاعتماد","✖ غير محصل"),IF(AC17&lt;=1,"✔ محصل بالكامل","⚠ محصل جزئياً")))</f>
        <v/>
      </c>
      <c r="AF17" s="88">
        <f>IF(OR('مستخلص 12'!$J$7="",'مستخلص 12'!$E$16=""),"",'مستخلص 12'!$E$16)</f>
        <v/>
      </c>
      <c r="AG17" s="85">
        <f>IF('مستخلص 12'!$J$7="","",'مستخلص 12'!$E$43)</f>
        <v/>
      </c>
    </row>
    <row r="18">
      <c r="A18" s="66" t="n">
        <v>13</v>
      </c>
      <c r="B18" s="84">
        <f>IF(OR('مستخلص 13'!$J$7="",'مستخلص 13'!$J$6=""),"",'مستخلص 13'!$J$6)</f>
        <v/>
      </c>
      <c r="C18" s="84">
        <f>IF('مستخلص 13'!$J$7="","",'مستخلص 13'!$J$7)</f>
        <v/>
      </c>
      <c r="D18" s="84">
        <f>IF(OR('مستخلص 13'!$J$7="",'مستخلص 13'!$J$8=""),"",'مستخلص 13'!$J$8)</f>
        <v/>
      </c>
      <c r="E18" s="84">
        <f>IF(OR('مستخلص 13'!$J$7="",'مستخلص 13'!$J$9=""),"",'مستخلص 13'!$J$9)</f>
        <v/>
      </c>
      <c r="F18" s="85">
        <f>IF(OR('مستخلص 13'!$J$7="",'مستخلص 13'!$J$5=""),"",'مستخلص 13'!$J$5)</f>
        <v/>
      </c>
      <c r="G18" s="44">
        <f>IF('مستخلص 13'!$J$7="","",'مستخلص 13'!$L$19)</f>
        <v/>
      </c>
      <c r="H18" s="44">
        <f>IF('مستخلص 13'!$J$7="","",'مستخلص 13'!$J$19)</f>
        <v/>
      </c>
      <c r="I18" s="44">
        <f>IF('مستخلص 13'!$J$7="","",'مستخلص 13'!$L$20)</f>
        <v/>
      </c>
      <c r="J18" s="44">
        <f>IF('مستخلص 13'!$J$7="","",'مستخلص 13'!$L$21)</f>
        <v/>
      </c>
      <c r="K18" s="44">
        <f>IF('مستخلص 13'!$J$7="","",'مستخلص 13'!$L$22)</f>
        <v/>
      </c>
      <c r="L18" s="59">
        <f>IF('مستخلص 13'!$J$7="","",'مستخلص 13'!$L$6)</f>
        <v/>
      </c>
      <c r="M18" s="59">
        <f>IF(OR('مستخلص 13'!$J$7="",'مستخلص 13'!$L$8=""),"",'مستخلص 13'!$L$8)</f>
        <v/>
      </c>
      <c r="N18" s="59">
        <f>IF(OR('مستخلص 13'!$J$7="",M18=""),"",L18-M18)</f>
        <v/>
      </c>
      <c r="O18" s="44">
        <f>IF('مستخلص 13'!$J$7="","",-'مستخلص 13'!$L$23)</f>
        <v/>
      </c>
      <c r="P18" s="44">
        <f>IF('مستخلص 13'!$J$7="","",-'مستخلص 13'!$L$24)</f>
        <v/>
      </c>
      <c r="Q18" s="44">
        <f>IF('مستخلص 13'!$J$7="","",'مستخلص 13'!$L$25)</f>
        <v/>
      </c>
      <c r="R18" s="44">
        <f>IF('مستخلص 13'!$J$7="","",P18-Q18)</f>
        <v/>
      </c>
      <c r="S18" s="44">
        <f>IF('مستخلص 13'!$J$7="","",-'مستخلص 13'!$L$26)</f>
        <v/>
      </c>
      <c r="T18" s="44">
        <f>IF('مستخلص 13'!$J$7="","",-'مستخلص 13'!$L$27)</f>
        <v/>
      </c>
      <c r="U18" s="44">
        <f>IF('مستخلص 13'!$J$7="","",'مستخلص 13'!$L$28)</f>
        <v/>
      </c>
      <c r="V18" s="44">
        <f>IF('مستخلص 13'!$J$7="","",'مستخلص 13'!$L$29)</f>
        <v/>
      </c>
      <c r="W18" s="44">
        <f>IF('مستخلص 13'!$J$7="","",-'مستخلص 13'!$L$30)</f>
        <v/>
      </c>
      <c r="X18" s="86">
        <f>IF('مستخلص 13'!$J$7="","",'مستخلص 13'!$L$31)</f>
        <v/>
      </c>
      <c r="Y18" s="44">
        <f>IF('مستخلص 13'!$J$7="","",'مستخلص 13'!$H$31)</f>
        <v/>
      </c>
      <c r="Z18" s="86">
        <f>IF('مستخلص 13'!$J$7="","",'مستخلص 13'!$J$31)</f>
        <v/>
      </c>
      <c r="AA18" s="44">
        <f>IF('مستخلص 13'!$J$7="","",N('مستخلص 13'!$E$15))</f>
        <v/>
      </c>
      <c r="AB18" s="84">
        <f>IF(OR('مستخلص 13'!$J$7="",'مستخلص 13'!$K$15=""),"",'مستخلص 13'!$K$15)</f>
        <v/>
      </c>
      <c r="AC18" s="44">
        <f>IF('مستخلص 13'!$J$7="","",Z18-AA18)</f>
        <v/>
      </c>
      <c r="AD18" s="87">
        <f>IF(OR(AB18="",E18=""),"",AB18-E18)</f>
        <v/>
      </c>
      <c r="AE18" s="85">
        <f>IF('مستخلص 13'!$J$7="","",IF(N(AA18)=0,IF(E18="","⏳ بانتظار الاعتماد","✖ غير محصل"),IF(AC18&lt;=1,"✔ محصل بالكامل","⚠ محصل جزئياً")))</f>
        <v/>
      </c>
      <c r="AF18" s="88">
        <f>IF(OR('مستخلص 13'!$J$7="",'مستخلص 13'!$E$16=""),"",'مستخلص 13'!$E$16)</f>
        <v/>
      </c>
      <c r="AG18" s="85">
        <f>IF('مستخلص 13'!$J$7="","",'مستخلص 13'!$E$43)</f>
        <v/>
      </c>
    </row>
    <row r="19">
      <c r="A19" s="66" t="n">
        <v>14</v>
      </c>
      <c r="B19" s="84">
        <f>IF(OR('مستخلص 14'!$J$7="",'مستخلص 14'!$J$6=""),"",'مستخلص 14'!$J$6)</f>
        <v/>
      </c>
      <c r="C19" s="84">
        <f>IF('مستخلص 14'!$J$7="","",'مستخلص 14'!$J$7)</f>
        <v/>
      </c>
      <c r="D19" s="84">
        <f>IF(OR('مستخلص 14'!$J$7="",'مستخلص 14'!$J$8=""),"",'مستخلص 14'!$J$8)</f>
        <v/>
      </c>
      <c r="E19" s="84">
        <f>IF(OR('مستخلص 14'!$J$7="",'مستخلص 14'!$J$9=""),"",'مستخلص 14'!$J$9)</f>
        <v/>
      </c>
      <c r="F19" s="85">
        <f>IF(OR('مستخلص 14'!$J$7="",'مستخلص 14'!$J$5=""),"",'مستخلص 14'!$J$5)</f>
        <v/>
      </c>
      <c r="G19" s="44">
        <f>IF('مستخلص 14'!$J$7="","",'مستخلص 14'!$L$19)</f>
        <v/>
      </c>
      <c r="H19" s="44">
        <f>IF('مستخلص 14'!$J$7="","",'مستخلص 14'!$J$19)</f>
        <v/>
      </c>
      <c r="I19" s="44">
        <f>IF('مستخلص 14'!$J$7="","",'مستخلص 14'!$L$20)</f>
        <v/>
      </c>
      <c r="J19" s="44">
        <f>IF('مستخلص 14'!$J$7="","",'مستخلص 14'!$L$21)</f>
        <v/>
      </c>
      <c r="K19" s="44">
        <f>IF('مستخلص 14'!$J$7="","",'مستخلص 14'!$L$22)</f>
        <v/>
      </c>
      <c r="L19" s="59">
        <f>IF('مستخلص 14'!$J$7="","",'مستخلص 14'!$L$6)</f>
        <v/>
      </c>
      <c r="M19" s="59">
        <f>IF(OR('مستخلص 14'!$J$7="",'مستخلص 14'!$L$8=""),"",'مستخلص 14'!$L$8)</f>
        <v/>
      </c>
      <c r="N19" s="59">
        <f>IF(OR('مستخلص 14'!$J$7="",M19=""),"",L19-M19)</f>
        <v/>
      </c>
      <c r="O19" s="44">
        <f>IF('مستخلص 14'!$J$7="","",-'مستخلص 14'!$L$23)</f>
        <v/>
      </c>
      <c r="P19" s="44">
        <f>IF('مستخلص 14'!$J$7="","",-'مستخلص 14'!$L$24)</f>
        <v/>
      </c>
      <c r="Q19" s="44">
        <f>IF('مستخلص 14'!$J$7="","",'مستخلص 14'!$L$25)</f>
        <v/>
      </c>
      <c r="R19" s="44">
        <f>IF('مستخلص 14'!$J$7="","",P19-Q19)</f>
        <v/>
      </c>
      <c r="S19" s="44">
        <f>IF('مستخلص 14'!$J$7="","",-'مستخلص 14'!$L$26)</f>
        <v/>
      </c>
      <c r="T19" s="44">
        <f>IF('مستخلص 14'!$J$7="","",-'مستخلص 14'!$L$27)</f>
        <v/>
      </c>
      <c r="U19" s="44">
        <f>IF('مستخلص 14'!$J$7="","",'مستخلص 14'!$L$28)</f>
        <v/>
      </c>
      <c r="V19" s="44">
        <f>IF('مستخلص 14'!$J$7="","",'مستخلص 14'!$L$29)</f>
        <v/>
      </c>
      <c r="W19" s="44">
        <f>IF('مستخلص 14'!$J$7="","",-'مستخلص 14'!$L$30)</f>
        <v/>
      </c>
      <c r="X19" s="86">
        <f>IF('مستخلص 14'!$J$7="","",'مستخلص 14'!$L$31)</f>
        <v/>
      </c>
      <c r="Y19" s="44">
        <f>IF('مستخلص 14'!$J$7="","",'مستخلص 14'!$H$31)</f>
        <v/>
      </c>
      <c r="Z19" s="86">
        <f>IF('مستخلص 14'!$J$7="","",'مستخلص 14'!$J$31)</f>
        <v/>
      </c>
      <c r="AA19" s="44">
        <f>IF('مستخلص 14'!$J$7="","",N('مستخلص 14'!$E$15))</f>
        <v/>
      </c>
      <c r="AB19" s="84">
        <f>IF(OR('مستخلص 14'!$J$7="",'مستخلص 14'!$K$15=""),"",'مستخلص 14'!$K$15)</f>
        <v/>
      </c>
      <c r="AC19" s="44">
        <f>IF('مستخلص 14'!$J$7="","",Z19-AA19)</f>
        <v/>
      </c>
      <c r="AD19" s="87">
        <f>IF(OR(AB19="",E19=""),"",AB19-E19)</f>
        <v/>
      </c>
      <c r="AE19" s="85">
        <f>IF('مستخلص 14'!$J$7="","",IF(N(AA19)=0,IF(E19="","⏳ بانتظار الاعتماد","✖ غير محصل"),IF(AC19&lt;=1,"✔ محصل بالكامل","⚠ محصل جزئياً")))</f>
        <v/>
      </c>
      <c r="AF19" s="88">
        <f>IF(OR('مستخلص 14'!$J$7="",'مستخلص 14'!$E$16=""),"",'مستخلص 14'!$E$16)</f>
        <v/>
      </c>
      <c r="AG19" s="85">
        <f>IF('مستخلص 14'!$J$7="","",'مستخلص 14'!$E$43)</f>
        <v/>
      </c>
    </row>
    <row r="20">
      <c r="A20" s="66" t="n">
        <v>15</v>
      </c>
      <c r="B20" s="84">
        <f>IF(OR('مستخلص 15'!$J$7="",'مستخلص 15'!$J$6=""),"",'مستخلص 15'!$J$6)</f>
        <v/>
      </c>
      <c r="C20" s="84">
        <f>IF('مستخلص 15'!$J$7="","",'مستخلص 15'!$J$7)</f>
        <v/>
      </c>
      <c r="D20" s="84">
        <f>IF(OR('مستخلص 15'!$J$7="",'مستخلص 15'!$J$8=""),"",'مستخلص 15'!$J$8)</f>
        <v/>
      </c>
      <c r="E20" s="84">
        <f>IF(OR('مستخلص 15'!$J$7="",'مستخلص 15'!$J$9=""),"",'مستخلص 15'!$J$9)</f>
        <v/>
      </c>
      <c r="F20" s="85">
        <f>IF(OR('مستخلص 15'!$J$7="",'مستخلص 15'!$J$5=""),"",'مستخلص 15'!$J$5)</f>
        <v/>
      </c>
      <c r="G20" s="44">
        <f>IF('مستخلص 15'!$J$7="","",'مستخلص 15'!$L$19)</f>
        <v/>
      </c>
      <c r="H20" s="44">
        <f>IF('مستخلص 15'!$J$7="","",'مستخلص 15'!$J$19)</f>
        <v/>
      </c>
      <c r="I20" s="44">
        <f>IF('مستخلص 15'!$J$7="","",'مستخلص 15'!$L$20)</f>
        <v/>
      </c>
      <c r="J20" s="44">
        <f>IF('مستخلص 15'!$J$7="","",'مستخلص 15'!$L$21)</f>
        <v/>
      </c>
      <c r="K20" s="44">
        <f>IF('مستخلص 15'!$J$7="","",'مستخلص 15'!$L$22)</f>
        <v/>
      </c>
      <c r="L20" s="59">
        <f>IF('مستخلص 15'!$J$7="","",'مستخلص 15'!$L$6)</f>
        <v/>
      </c>
      <c r="M20" s="59">
        <f>IF(OR('مستخلص 15'!$J$7="",'مستخلص 15'!$L$8=""),"",'مستخلص 15'!$L$8)</f>
        <v/>
      </c>
      <c r="N20" s="59">
        <f>IF(OR('مستخلص 15'!$J$7="",M20=""),"",L20-M20)</f>
        <v/>
      </c>
      <c r="O20" s="44">
        <f>IF('مستخلص 15'!$J$7="","",-'مستخلص 15'!$L$23)</f>
        <v/>
      </c>
      <c r="P20" s="44">
        <f>IF('مستخلص 15'!$J$7="","",-'مستخلص 15'!$L$24)</f>
        <v/>
      </c>
      <c r="Q20" s="44">
        <f>IF('مستخلص 15'!$J$7="","",'مستخلص 15'!$L$25)</f>
        <v/>
      </c>
      <c r="R20" s="44">
        <f>IF('مستخلص 15'!$J$7="","",P20-Q20)</f>
        <v/>
      </c>
      <c r="S20" s="44">
        <f>IF('مستخلص 15'!$J$7="","",-'مستخلص 15'!$L$26)</f>
        <v/>
      </c>
      <c r="T20" s="44">
        <f>IF('مستخلص 15'!$J$7="","",-'مستخلص 15'!$L$27)</f>
        <v/>
      </c>
      <c r="U20" s="44">
        <f>IF('مستخلص 15'!$J$7="","",'مستخلص 15'!$L$28)</f>
        <v/>
      </c>
      <c r="V20" s="44">
        <f>IF('مستخلص 15'!$J$7="","",'مستخلص 15'!$L$29)</f>
        <v/>
      </c>
      <c r="W20" s="44">
        <f>IF('مستخلص 15'!$J$7="","",-'مستخلص 15'!$L$30)</f>
        <v/>
      </c>
      <c r="X20" s="86">
        <f>IF('مستخلص 15'!$J$7="","",'مستخلص 15'!$L$31)</f>
        <v/>
      </c>
      <c r="Y20" s="44">
        <f>IF('مستخلص 15'!$J$7="","",'مستخلص 15'!$H$31)</f>
        <v/>
      </c>
      <c r="Z20" s="86">
        <f>IF('مستخلص 15'!$J$7="","",'مستخلص 15'!$J$31)</f>
        <v/>
      </c>
      <c r="AA20" s="44">
        <f>IF('مستخلص 15'!$J$7="","",N('مستخلص 15'!$E$15))</f>
        <v/>
      </c>
      <c r="AB20" s="84">
        <f>IF(OR('مستخلص 15'!$J$7="",'مستخلص 15'!$K$15=""),"",'مستخلص 15'!$K$15)</f>
        <v/>
      </c>
      <c r="AC20" s="44">
        <f>IF('مستخلص 15'!$J$7="","",Z20-AA20)</f>
        <v/>
      </c>
      <c r="AD20" s="87">
        <f>IF(OR(AB20="",E20=""),"",AB20-E20)</f>
        <v/>
      </c>
      <c r="AE20" s="85">
        <f>IF('مستخلص 15'!$J$7="","",IF(N(AA20)=0,IF(E20="","⏳ بانتظار الاعتماد","✖ غير محصل"),IF(AC20&lt;=1,"✔ محصل بالكامل","⚠ محصل جزئياً")))</f>
        <v/>
      </c>
      <c r="AF20" s="88">
        <f>IF(OR('مستخلص 15'!$J$7="",'مستخلص 15'!$E$16=""),"",'مستخلص 15'!$E$16)</f>
        <v/>
      </c>
      <c r="AG20" s="85">
        <f>IF('مستخلص 15'!$J$7="","",'مستخلص 15'!$E$43)</f>
        <v/>
      </c>
    </row>
    <row r="21">
      <c r="A21" s="66" t="n">
        <v>16</v>
      </c>
      <c r="B21" s="84">
        <f>IF(OR('مستخلص 16'!$J$7="",'مستخلص 16'!$J$6=""),"",'مستخلص 16'!$J$6)</f>
        <v/>
      </c>
      <c r="C21" s="84">
        <f>IF('مستخلص 16'!$J$7="","",'مستخلص 16'!$J$7)</f>
        <v/>
      </c>
      <c r="D21" s="84">
        <f>IF(OR('مستخلص 16'!$J$7="",'مستخلص 16'!$J$8=""),"",'مستخلص 16'!$J$8)</f>
        <v/>
      </c>
      <c r="E21" s="84">
        <f>IF(OR('مستخلص 16'!$J$7="",'مستخلص 16'!$J$9=""),"",'مستخلص 16'!$J$9)</f>
        <v/>
      </c>
      <c r="F21" s="85">
        <f>IF(OR('مستخلص 16'!$J$7="",'مستخلص 16'!$J$5=""),"",'مستخلص 16'!$J$5)</f>
        <v/>
      </c>
      <c r="G21" s="44">
        <f>IF('مستخلص 16'!$J$7="","",'مستخلص 16'!$L$19)</f>
        <v/>
      </c>
      <c r="H21" s="44">
        <f>IF('مستخلص 16'!$J$7="","",'مستخلص 16'!$J$19)</f>
        <v/>
      </c>
      <c r="I21" s="44">
        <f>IF('مستخلص 16'!$J$7="","",'مستخلص 16'!$L$20)</f>
        <v/>
      </c>
      <c r="J21" s="44">
        <f>IF('مستخلص 16'!$J$7="","",'مستخلص 16'!$L$21)</f>
        <v/>
      </c>
      <c r="K21" s="44">
        <f>IF('مستخلص 16'!$J$7="","",'مستخلص 16'!$L$22)</f>
        <v/>
      </c>
      <c r="L21" s="59">
        <f>IF('مستخلص 16'!$J$7="","",'مستخلص 16'!$L$6)</f>
        <v/>
      </c>
      <c r="M21" s="59">
        <f>IF(OR('مستخلص 16'!$J$7="",'مستخلص 16'!$L$8=""),"",'مستخلص 16'!$L$8)</f>
        <v/>
      </c>
      <c r="N21" s="59">
        <f>IF(OR('مستخلص 16'!$J$7="",M21=""),"",L21-M21)</f>
        <v/>
      </c>
      <c r="O21" s="44">
        <f>IF('مستخلص 16'!$J$7="","",-'مستخلص 16'!$L$23)</f>
        <v/>
      </c>
      <c r="P21" s="44">
        <f>IF('مستخلص 16'!$J$7="","",-'مستخلص 16'!$L$24)</f>
        <v/>
      </c>
      <c r="Q21" s="44">
        <f>IF('مستخلص 16'!$J$7="","",'مستخلص 16'!$L$25)</f>
        <v/>
      </c>
      <c r="R21" s="44">
        <f>IF('مستخلص 16'!$J$7="","",P21-Q21)</f>
        <v/>
      </c>
      <c r="S21" s="44">
        <f>IF('مستخلص 16'!$J$7="","",-'مستخلص 16'!$L$26)</f>
        <v/>
      </c>
      <c r="T21" s="44">
        <f>IF('مستخلص 16'!$J$7="","",-'مستخلص 16'!$L$27)</f>
        <v/>
      </c>
      <c r="U21" s="44">
        <f>IF('مستخلص 16'!$J$7="","",'مستخلص 16'!$L$28)</f>
        <v/>
      </c>
      <c r="V21" s="44">
        <f>IF('مستخلص 16'!$J$7="","",'مستخلص 16'!$L$29)</f>
        <v/>
      </c>
      <c r="W21" s="44">
        <f>IF('مستخلص 16'!$J$7="","",-'مستخلص 16'!$L$30)</f>
        <v/>
      </c>
      <c r="X21" s="86">
        <f>IF('مستخلص 16'!$J$7="","",'مستخلص 16'!$L$31)</f>
        <v/>
      </c>
      <c r="Y21" s="44">
        <f>IF('مستخلص 16'!$J$7="","",'مستخلص 16'!$H$31)</f>
        <v/>
      </c>
      <c r="Z21" s="86">
        <f>IF('مستخلص 16'!$J$7="","",'مستخلص 16'!$J$31)</f>
        <v/>
      </c>
      <c r="AA21" s="44">
        <f>IF('مستخلص 16'!$J$7="","",N('مستخلص 16'!$E$15))</f>
        <v/>
      </c>
      <c r="AB21" s="84">
        <f>IF(OR('مستخلص 16'!$J$7="",'مستخلص 16'!$K$15=""),"",'مستخلص 16'!$K$15)</f>
        <v/>
      </c>
      <c r="AC21" s="44">
        <f>IF('مستخلص 16'!$J$7="","",Z21-AA21)</f>
        <v/>
      </c>
      <c r="AD21" s="87">
        <f>IF(OR(AB21="",E21=""),"",AB21-E21)</f>
        <v/>
      </c>
      <c r="AE21" s="85">
        <f>IF('مستخلص 16'!$J$7="","",IF(N(AA21)=0,IF(E21="","⏳ بانتظار الاعتماد","✖ غير محصل"),IF(AC21&lt;=1,"✔ محصل بالكامل","⚠ محصل جزئياً")))</f>
        <v/>
      </c>
      <c r="AF21" s="88">
        <f>IF(OR('مستخلص 16'!$J$7="",'مستخلص 16'!$E$16=""),"",'مستخلص 16'!$E$16)</f>
        <v/>
      </c>
      <c r="AG21" s="85">
        <f>IF('مستخلص 16'!$J$7="","",'مستخلص 16'!$E$43)</f>
        <v/>
      </c>
    </row>
    <row r="22">
      <c r="A22" s="66" t="n">
        <v>17</v>
      </c>
      <c r="B22" s="84">
        <f>IF(OR('مستخلص 17'!$J$7="",'مستخلص 17'!$J$6=""),"",'مستخلص 17'!$J$6)</f>
        <v/>
      </c>
      <c r="C22" s="84">
        <f>IF('مستخلص 17'!$J$7="","",'مستخلص 17'!$J$7)</f>
        <v/>
      </c>
      <c r="D22" s="84">
        <f>IF(OR('مستخلص 17'!$J$7="",'مستخلص 17'!$J$8=""),"",'مستخلص 17'!$J$8)</f>
        <v/>
      </c>
      <c r="E22" s="84">
        <f>IF(OR('مستخلص 17'!$J$7="",'مستخلص 17'!$J$9=""),"",'مستخلص 17'!$J$9)</f>
        <v/>
      </c>
      <c r="F22" s="85">
        <f>IF(OR('مستخلص 17'!$J$7="",'مستخلص 17'!$J$5=""),"",'مستخلص 17'!$J$5)</f>
        <v/>
      </c>
      <c r="G22" s="44">
        <f>IF('مستخلص 17'!$J$7="","",'مستخلص 17'!$L$19)</f>
        <v/>
      </c>
      <c r="H22" s="44">
        <f>IF('مستخلص 17'!$J$7="","",'مستخلص 17'!$J$19)</f>
        <v/>
      </c>
      <c r="I22" s="44">
        <f>IF('مستخلص 17'!$J$7="","",'مستخلص 17'!$L$20)</f>
        <v/>
      </c>
      <c r="J22" s="44">
        <f>IF('مستخلص 17'!$J$7="","",'مستخلص 17'!$L$21)</f>
        <v/>
      </c>
      <c r="K22" s="44">
        <f>IF('مستخلص 17'!$J$7="","",'مستخلص 17'!$L$22)</f>
        <v/>
      </c>
      <c r="L22" s="59">
        <f>IF('مستخلص 17'!$J$7="","",'مستخلص 17'!$L$6)</f>
        <v/>
      </c>
      <c r="M22" s="59">
        <f>IF(OR('مستخلص 17'!$J$7="",'مستخلص 17'!$L$8=""),"",'مستخلص 17'!$L$8)</f>
        <v/>
      </c>
      <c r="N22" s="59">
        <f>IF(OR('مستخلص 17'!$J$7="",M22=""),"",L22-M22)</f>
        <v/>
      </c>
      <c r="O22" s="44">
        <f>IF('مستخلص 17'!$J$7="","",-'مستخلص 17'!$L$23)</f>
        <v/>
      </c>
      <c r="P22" s="44">
        <f>IF('مستخلص 17'!$J$7="","",-'مستخلص 17'!$L$24)</f>
        <v/>
      </c>
      <c r="Q22" s="44">
        <f>IF('مستخلص 17'!$J$7="","",'مستخلص 17'!$L$25)</f>
        <v/>
      </c>
      <c r="R22" s="44">
        <f>IF('مستخلص 17'!$J$7="","",P22-Q22)</f>
        <v/>
      </c>
      <c r="S22" s="44">
        <f>IF('مستخلص 17'!$J$7="","",-'مستخلص 17'!$L$26)</f>
        <v/>
      </c>
      <c r="T22" s="44">
        <f>IF('مستخلص 17'!$J$7="","",-'مستخلص 17'!$L$27)</f>
        <v/>
      </c>
      <c r="U22" s="44">
        <f>IF('مستخلص 17'!$J$7="","",'مستخلص 17'!$L$28)</f>
        <v/>
      </c>
      <c r="V22" s="44">
        <f>IF('مستخلص 17'!$J$7="","",'مستخلص 17'!$L$29)</f>
        <v/>
      </c>
      <c r="W22" s="44">
        <f>IF('مستخلص 17'!$J$7="","",-'مستخلص 17'!$L$30)</f>
        <v/>
      </c>
      <c r="X22" s="86">
        <f>IF('مستخلص 17'!$J$7="","",'مستخلص 17'!$L$31)</f>
        <v/>
      </c>
      <c r="Y22" s="44">
        <f>IF('مستخلص 17'!$J$7="","",'مستخلص 17'!$H$31)</f>
        <v/>
      </c>
      <c r="Z22" s="86">
        <f>IF('مستخلص 17'!$J$7="","",'مستخلص 17'!$J$31)</f>
        <v/>
      </c>
      <c r="AA22" s="44">
        <f>IF('مستخلص 17'!$J$7="","",N('مستخلص 17'!$E$15))</f>
        <v/>
      </c>
      <c r="AB22" s="84">
        <f>IF(OR('مستخلص 17'!$J$7="",'مستخلص 17'!$K$15=""),"",'مستخلص 17'!$K$15)</f>
        <v/>
      </c>
      <c r="AC22" s="44">
        <f>IF('مستخلص 17'!$J$7="","",Z22-AA22)</f>
        <v/>
      </c>
      <c r="AD22" s="87">
        <f>IF(OR(AB22="",E22=""),"",AB22-E22)</f>
        <v/>
      </c>
      <c r="AE22" s="85">
        <f>IF('مستخلص 17'!$J$7="","",IF(N(AA22)=0,IF(E22="","⏳ بانتظار الاعتماد","✖ غير محصل"),IF(AC22&lt;=1,"✔ محصل بالكامل","⚠ محصل جزئياً")))</f>
        <v/>
      </c>
      <c r="AF22" s="88">
        <f>IF(OR('مستخلص 17'!$J$7="",'مستخلص 17'!$E$16=""),"",'مستخلص 17'!$E$16)</f>
        <v/>
      </c>
      <c r="AG22" s="85">
        <f>IF('مستخلص 17'!$J$7="","",'مستخلص 17'!$E$43)</f>
        <v/>
      </c>
    </row>
    <row r="23">
      <c r="A23" s="66" t="n">
        <v>18</v>
      </c>
      <c r="B23" s="84">
        <f>IF(OR('مستخلص 18'!$J$7="",'مستخلص 18'!$J$6=""),"",'مستخلص 18'!$J$6)</f>
        <v/>
      </c>
      <c r="C23" s="84">
        <f>IF('مستخلص 18'!$J$7="","",'مستخلص 18'!$J$7)</f>
        <v/>
      </c>
      <c r="D23" s="84">
        <f>IF(OR('مستخلص 18'!$J$7="",'مستخلص 18'!$J$8=""),"",'مستخلص 18'!$J$8)</f>
        <v/>
      </c>
      <c r="E23" s="84">
        <f>IF(OR('مستخلص 18'!$J$7="",'مستخلص 18'!$J$9=""),"",'مستخلص 18'!$J$9)</f>
        <v/>
      </c>
      <c r="F23" s="85">
        <f>IF(OR('مستخلص 18'!$J$7="",'مستخلص 18'!$J$5=""),"",'مستخلص 18'!$J$5)</f>
        <v/>
      </c>
      <c r="G23" s="44">
        <f>IF('مستخلص 18'!$J$7="","",'مستخلص 18'!$L$19)</f>
        <v/>
      </c>
      <c r="H23" s="44">
        <f>IF('مستخلص 18'!$J$7="","",'مستخلص 18'!$J$19)</f>
        <v/>
      </c>
      <c r="I23" s="44">
        <f>IF('مستخلص 18'!$J$7="","",'مستخلص 18'!$L$20)</f>
        <v/>
      </c>
      <c r="J23" s="44">
        <f>IF('مستخلص 18'!$J$7="","",'مستخلص 18'!$L$21)</f>
        <v/>
      </c>
      <c r="K23" s="44">
        <f>IF('مستخلص 18'!$J$7="","",'مستخلص 18'!$L$22)</f>
        <v/>
      </c>
      <c r="L23" s="59">
        <f>IF('مستخلص 18'!$J$7="","",'مستخلص 18'!$L$6)</f>
        <v/>
      </c>
      <c r="M23" s="59">
        <f>IF(OR('مستخلص 18'!$J$7="",'مستخلص 18'!$L$8=""),"",'مستخلص 18'!$L$8)</f>
        <v/>
      </c>
      <c r="N23" s="59">
        <f>IF(OR('مستخلص 18'!$J$7="",M23=""),"",L23-M23)</f>
        <v/>
      </c>
      <c r="O23" s="44">
        <f>IF('مستخلص 18'!$J$7="","",-'مستخلص 18'!$L$23)</f>
        <v/>
      </c>
      <c r="P23" s="44">
        <f>IF('مستخلص 18'!$J$7="","",-'مستخلص 18'!$L$24)</f>
        <v/>
      </c>
      <c r="Q23" s="44">
        <f>IF('مستخلص 18'!$J$7="","",'مستخلص 18'!$L$25)</f>
        <v/>
      </c>
      <c r="R23" s="44">
        <f>IF('مستخلص 18'!$J$7="","",P23-Q23)</f>
        <v/>
      </c>
      <c r="S23" s="44">
        <f>IF('مستخلص 18'!$J$7="","",-'مستخلص 18'!$L$26)</f>
        <v/>
      </c>
      <c r="T23" s="44">
        <f>IF('مستخلص 18'!$J$7="","",-'مستخلص 18'!$L$27)</f>
        <v/>
      </c>
      <c r="U23" s="44">
        <f>IF('مستخلص 18'!$J$7="","",'مستخلص 18'!$L$28)</f>
        <v/>
      </c>
      <c r="V23" s="44">
        <f>IF('مستخلص 18'!$J$7="","",'مستخلص 18'!$L$29)</f>
        <v/>
      </c>
      <c r="W23" s="44">
        <f>IF('مستخلص 18'!$J$7="","",-'مستخلص 18'!$L$30)</f>
        <v/>
      </c>
      <c r="X23" s="86">
        <f>IF('مستخلص 18'!$J$7="","",'مستخلص 18'!$L$31)</f>
        <v/>
      </c>
      <c r="Y23" s="44">
        <f>IF('مستخلص 18'!$J$7="","",'مستخلص 18'!$H$31)</f>
        <v/>
      </c>
      <c r="Z23" s="86">
        <f>IF('مستخلص 18'!$J$7="","",'مستخلص 18'!$J$31)</f>
        <v/>
      </c>
      <c r="AA23" s="44">
        <f>IF('مستخلص 18'!$J$7="","",N('مستخلص 18'!$E$15))</f>
        <v/>
      </c>
      <c r="AB23" s="84">
        <f>IF(OR('مستخلص 18'!$J$7="",'مستخلص 18'!$K$15=""),"",'مستخلص 18'!$K$15)</f>
        <v/>
      </c>
      <c r="AC23" s="44">
        <f>IF('مستخلص 18'!$J$7="","",Z23-AA23)</f>
        <v/>
      </c>
      <c r="AD23" s="87">
        <f>IF(OR(AB23="",E23=""),"",AB23-E23)</f>
        <v/>
      </c>
      <c r="AE23" s="85">
        <f>IF('مستخلص 18'!$J$7="","",IF(N(AA23)=0,IF(E23="","⏳ بانتظار الاعتماد","✖ غير محصل"),IF(AC23&lt;=1,"✔ محصل بالكامل","⚠ محصل جزئياً")))</f>
        <v/>
      </c>
      <c r="AF23" s="88">
        <f>IF(OR('مستخلص 18'!$J$7="",'مستخلص 18'!$E$16=""),"",'مستخلص 18'!$E$16)</f>
        <v/>
      </c>
      <c r="AG23" s="85">
        <f>IF('مستخلص 18'!$J$7="","",'مستخلص 18'!$E$43)</f>
        <v/>
      </c>
    </row>
    <row r="24">
      <c r="A24" s="66" t="n">
        <v>19</v>
      </c>
      <c r="B24" s="84">
        <f>IF(OR('مستخلص 19'!$J$7="",'مستخلص 19'!$J$6=""),"",'مستخلص 19'!$J$6)</f>
        <v/>
      </c>
      <c r="C24" s="84">
        <f>IF('مستخلص 19'!$J$7="","",'مستخلص 19'!$J$7)</f>
        <v/>
      </c>
      <c r="D24" s="84">
        <f>IF(OR('مستخلص 19'!$J$7="",'مستخلص 19'!$J$8=""),"",'مستخلص 19'!$J$8)</f>
        <v/>
      </c>
      <c r="E24" s="84">
        <f>IF(OR('مستخلص 19'!$J$7="",'مستخلص 19'!$J$9=""),"",'مستخلص 19'!$J$9)</f>
        <v/>
      </c>
      <c r="F24" s="85">
        <f>IF(OR('مستخلص 19'!$J$7="",'مستخلص 19'!$J$5=""),"",'مستخلص 19'!$J$5)</f>
        <v/>
      </c>
      <c r="G24" s="44">
        <f>IF('مستخلص 19'!$J$7="","",'مستخلص 19'!$L$19)</f>
        <v/>
      </c>
      <c r="H24" s="44">
        <f>IF('مستخلص 19'!$J$7="","",'مستخلص 19'!$J$19)</f>
        <v/>
      </c>
      <c r="I24" s="44">
        <f>IF('مستخلص 19'!$J$7="","",'مستخلص 19'!$L$20)</f>
        <v/>
      </c>
      <c r="J24" s="44">
        <f>IF('مستخلص 19'!$J$7="","",'مستخلص 19'!$L$21)</f>
        <v/>
      </c>
      <c r="K24" s="44">
        <f>IF('مستخلص 19'!$J$7="","",'مستخلص 19'!$L$22)</f>
        <v/>
      </c>
      <c r="L24" s="59">
        <f>IF('مستخلص 19'!$J$7="","",'مستخلص 19'!$L$6)</f>
        <v/>
      </c>
      <c r="M24" s="59">
        <f>IF(OR('مستخلص 19'!$J$7="",'مستخلص 19'!$L$8=""),"",'مستخلص 19'!$L$8)</f>
        <v/>
      </c>
      <c r="N24" s="59">
        <f>IF(OR('مستخلص 19'!$J$7="",M24=""),"",L24-M24)</f>
        <v/>
      </c>
      <c r="O24" s="44">
        <f>IF('مستخلص 19'!$J$7="","",-'مستخلص 19'!$L$23)</f>
        <v/>
      </c>
      <c r="P24" s="44">
        <f>IF('مستخلص 19'!$J$7="","",-'مستخلص 19'!$L$24)</f>
        <v/>
      </c>
      <c r="Q24" s="44">
        <f>IF('مستخلص 19'!$J$7="","",'مستخلص 19'!$L$25)</f>
        <v/>
      </c>
      <c r="R24" s="44">
        <f>IF('مستخلص 19'!$J$7="","",P24-Q24)</f>
        <v/>
      </c>
      <c r="S24" s="44">
        <f>IF('مستخلص 19'!$J$7="","",-'مستخلص 19'!$L$26)</f>
        <v/>
      </c>
      <c r="T24" s="44">
        <f>IF('مستخلص 19'!$J$7="","",-'مستخلص 19'!$L$27)</f>
        <v/>
      </c>
      <c r="U24" s="44">
        <f>IF('مستخلص 19'!$J$7="","",'مستخلص 19'!$L$28)</f>
        <v/>
      </c>
      <c r="V24" s="44">
        <f>IF('مستخلص 19'!$J$7="","",'مستخلص 19'!$L$29)</f>
        <v/>
      </c>
      <c r="W24" s="44">
        <f>IF('مستخلص 19'!$J$7="","",-'مستخلص 19'!$L$30)</f>
        <v/>
      </c>
      <c r="X24" s="86">
        <f>IF('مستخلص 19'!$J$7="","",'مستخلص 19'!$L$31)</f>
        <v/>
      </c>
      <c r="Y24" s="44">
        <f>IF('مستخلص 19'!$J$7="","",'مستخلص 19'!$H$31)</f>
        <v/>
      </c>
      <c r="Z24" s="86">
        <f>IF('مستخلص 19'!$J$7="","",'مستخلص 19'!$J$31)</f>
        <v/>
      </c>
      <c r="AA24" s="44">
        <f>IF('مستخلص 19'!$J$7="","",N('مستخلص 19'!$E$15))</f>
        <v/>
      </c>
      <c r="AB24" s="84">
        <f>IF(OR('مستخلص 19'!$J$7="",'مستخلص 19'!$K$15=""),"",'مستخلص 19'!$K$15)</f>
        <v/>
      </c>
      <c r="AC24" s="44">
        <f>IF('مستخلص 19'!$J$7="","",Z24-AA24)</f>
        <v/>
      </c>
      <c r="AD24" s="87">
        <f>IF(OR(AB24="",E24=""),"",AB24-E24)</f>
        <v/>
      </c>
      <c r="AE24" s="85">
        <f>IF('مستخلص 19'!$J$7="","",IF(N(AA24)=0,IF(E24="","⏳ بانتظار الاعتماد","✖ غير محصل"),IF(AC24&lt;=1,"✔ محصل بالكامل","⚠ محصل جزئياً")))</f>
        <v/>
      </c>
      <c r="AF24" s="88">
        <f>IF(OR('مستخلص 19'!$J$7="",'مستخلص 19'!$E$16=""),"",'مستخلص 19'!$E$16)</f>
        <v/>
      </c>
      <c r="AG24" s="85">
        <f>IF('مستخلص 19'!$J$7="","",'مستخلص 19'!$E$43)</f>
        <v/>
      </c>
    </row>
    <row r="25">
      <c r="A25" s="66" t="n">
        <v>20</v>
      </c>
      <c r="B25" s="84">
        <f>IF(OR('مستخلص 20'!$J$7="",'مستخلص 20'!$J$6=""),"",'مستخلص 20'!$J$6)</f>
        <v/>
      </c>
      <c r="C25" s="84">
        <f>IF('مستخلص 20'!$J$7="","",'مستخلص 20'!$J$7)</f>
        <v/>
      </c>
      <c r="D25" s="84">
        <f>IF(OR('مستخلص 20'!$J$7="",'مستخلص 20'!$J$8=""),"",'مستخلص 20'!$J$8)</f>
        <v/>
      </c>
      <c r="E25" s="84">
        <f>IF(OR('مستخلص 20'!$J$7="",'مستخلص 20'!$J$9=""),"",'مستخلص 20'!$J$9)</f>
        <v/>
      </c>
      <c r="F25" s="85">
        <f>IF(OR('مستخلص 20'!$J$7="",'مستخلص 20'!$J$5=""),"",'مستخلص 20'!$J$5)</f>
        <v/>
      </c>
      <c r="G25" s="44">
        <f>IF('مستخلص 20'!$J$7="","",'مستخلص 20'!$L$19)</f>
        <v/>
      </c>
      <c r="H25" s="44">
        <f>IF('مستخلص 20'!$J$7="","",'مستخلص 20'!$J$19)</f>
        <v/>
      </c>
      <c r="I25" s="44">
        <f>IF('مستخلص 20'!$J$7="","",'مستخلص 20'!$L$20)</f>
        <v/>
      </c>
      <c r="J25" s="44">
        <f>IF('مستخلص 20'!$J$7="","",'مستخلص 20'!$L$21)</f>
        <v/>
      </c>
      <c r="K25" s="44">
        <f>IF('مستخلص 20'!$J$7="","",'مستخلص 20'!$L$22)</f>
        <v/>
      </c>
      <c r="L25" s="59">
        <f>IF('مستخلص 20'!$J$7="","",'مستخلص 20'!$L$6)</f>
        <v/>
      </c>
      <c r="M25" s="59">
        <f>IF(OR('مستخلص 20'!$J$7="",'مستخلص 20'!$L$8=""),"",'مستخلص 20'!$L$8)</f>
        <v/>
      </c>
      <c r="N25" s="59">
        <f>IF(OR('مستخلص 20'!$J$7="",M25=""),"",L25-M25)</f>
        <v/>
      </c>
      <c r="O25" s="44">
        <f>IF('مستخلص 20'!$J$7="","",-'مستخلص 20'!$L$23)</f>
        <v/>
      </c>
      <c r="P25" s="44">
        <f>IF('مستخلص 20'!$J$7="","",-'مستخلص 20'!$L$24)</f>
        <v/>
      </c>
      <c r="Q25" s="44">
        <f>IF('مستخلص 20'!$J$7="","",'مستخلص 20'!$L$25)</f>
        <v/>
      </c>
      <c r="R25" s="44">
        <f>IF('مستخلص 20'!$J$7="","",P25-Q25)</f>
        <v/>
      </c>
      <c r="S25" s="44">
        <f>IF('مستخلص 20'!$J$7="","",-'مستخلص 20'!$L$26)</f>
        <v/>
      </c>
      <c r="T25" s="44">
        <f>IF('مستخلص 20'!$J$7="","",-'مستخلص 20'!$L$27)</f>
        <v/>
      </c>
      <c r="U25" s="44">
        <f>IF('مستخلص 20'!$J$7="","",'مستخلص 20'!$L$28)</f>
        <v/>
      </c>
      <c r="V25" s="44">
        <f>IF('مستخلص 20'!$J$7="","",'مستخلص 20'!$L$29)</f>
        <v/>
      </c>
      <c r="W25" s="44">
        <f>IF('مستخلص 20'!$J$7="","",-'مستخلص 20'!$L$30)</f>
        <v/>
      </c>
      <c r="X25" s="86">
        <f>IF('مستخلص 20'!$J$7="","",'مستخلص 20'!$L$31)</f>
        <v/>
      </c>
      <c r="Y25" s="44">
        <f>IF('مستخلص 20'!$J$7="","",'مستخلص 20'!$H$31)</f>
        <v/>
      </c>
      <c r="Z25" s="86">
        <f>IF('مستخلص 20'!$J$7="","",'مستخلص 20'!$J$31)</f>
        <v/>
      </c>
      <c r="AA25" s="44">
        <f>IF('مستخلص 20'!$J$7="","",N('مستخلص 20'!$E$15))</f>
        <v/>
      </c>
      <c r="AB25" s="84">
        <f>IF(OR('مستخلص 20'!$J$7="",'مستخلص 20'!$K$15=""),"",'مستخلص 20'!$K$15)</f>
        <v/>
      </c>
      <c r="AC25" s="44">
        <f>IF('مستخلص 20'!$J$7="","",Z25-AA25)</f>
        <v/>
      </c>
      <c r="AD25" s="87">
        <f>IF(OR(AB25="",E25=""),"",AB25-E25)</f>
        <v/>
      </c>
      <c r="AE25" s="85">
        <f>IF('مستخلص 20'!$J$7="","",IF(N(AA25)=0,IF(E25="","⏳ بانتظار الاعتماد","✖ غير محصل"),IF(AC25&lt;=1,"✔ محصل بالكامل","⚠ محصل جزئياً")))</f>
        <v/>
      </c>
      <c r="AF25" s="88">
        <f>IF(OR('مستخلص 20'!$J$7="",'مستخلص 20'!$E$16=""),"",'مستخلص 20'!$E$16)</f>
        <v/>
      </c>
      <c r="AG25" s="85">
        <f>IF('مستخلص 20'!$J$7="","",'مستخلص 20'!$E$43)</f>
        <v/>
      </c>
    </row>
    <row r="26">
      <c r="A26" s="47" t="inlineStr">
        <is>
          <t>الإجمالي / آخر رصيد</t>
        </is>
      </c>
      <c r="B26" s="47" t="n"/>
      <c r="C26" s="47" t="n"/>
      <c r="D26" s="47" t="n"/>
      <c r="E26" s="47" t="n"/>
      <c r="F26" s="47" t="n"/>
      <c r="G26" s="89">
        <f>IF($AJ$3=0,0,INDEX(G6:G25,$AJ$3))</f>
        <v/>
      </c>
      <c r="H26" s="89">
        <f>SUM(H6:H25)</f>
        <v/>
      </c>
      <c r="I26" s="89">
        <f>IF($AJ$3=0,0,INDEX(I6:I25,$AJ$3))</f>
        <v/>
      </c>
      <c r="J26" s="89">
        <f>IF($AJ$3=0,0,INDEX(J6:J25,$AJ$3))</f>
        <v/>
      </c>
      <c r="K26" s="89">
        <f>IF($AJ$3=0,0,INDEX(K6:K25,$AJ$3))</f>
        <v/>
      </c>
      <c r="L26" s="73">
        <f>IF($AJ$3=0,0,INDEX(L6:L25,$AJ$3))</f>
        <v/>
      </c>
      <c r="M26" s="73" t="n"/>
      <c r="N26" s="73" t="n"/>
      <c r="O26" s="89">
        <f>IF($AJ$3=0,0,INDEX(O6:O25,$AJ$3))</f>
        <v/>
      </c>
      <c r="P26" s="89">
        <f>IF($AJ$3=0,0,INDEX(P6:P25,$AJ$3))</f>
        <v/>
      </c>
      <c r="Q26" s="89">
        <f>IF($AJ$3=0,0,INDEX(Q6:Q25,$AJ$3))</f>
        <v/>
      </c>
      <c r="R26" s="89">
        <f>IF($AJ$3=0,0,INDEX(R6:R25,$AJ$3))</f>
        <v/>
      </c>
      <c r="S26" s="89">
        <f>IF($AJ$3=0,0,INDEX(S6:S25,$AJ$3))</f>
        <v/>
      </c>
      <c r="T26" s="89">
        <f>IF($AJ$3=0,0,INDEX(T6:T25,$AJ$3))</f>
        <v/>
      </c>
      <c r="U26" s="89">
        <f>IF($AJ$3=0,0,INDEX(U6:U25,$AJ$3))</f>
        <v/>
      </c>
      <c r="V26" s="89">
        <f>IF($AJ$3=0,0,INDEX(V6:V25,$AJ$3))</f>
        <v/>
      </c>
      <c r="W26" s="89">
        <f>IF($AJ$3=0,0,INDEX(W6:W25,$AJ$3))</f>
        <v/>
      </c>
      <c r="X26" s="89">
        <f>IF($AJ$3=0,0,INDEX(X6:X25,$AJ$3))</f>
        <v/>
      </c>
      <c r="Y26" s="89" t="n"/>
      <c r="Z26" s="89">
        <f>SUM(Z6:Z25)</f>
        <v/>
      </c>
      <c r="AA26" s="89">
        <f>SUM(AA6:AA25)</f>
        <v/>
      </c>
      <c r="AB26" s="90" t="n"/>
      <c r="AC26" s="89">
        <f>SUM(AC6:AC25)</f>
        <v/>
      </c>
      <c r="AD26" s="91">
        <f>IFERROR(AVERAGE(AD6:AD25),0)</f>
        <v/>
      </c>
      <c r="AE26" s="69" t="n"/>
      <c r="AF26" s="92" t="n"/>
      <c r="AG26" s="69" t="n"/>
    </row>
    <row r="28">
      <c r="A28" s="42" t="inlineStr">
        <is>
          <t>هذا السجل للعرض فقط (لا يُدخل فيه شيء) — كل البيانات تُدخل في شيت كل مستخلص. يصبح المستخلص فعالاً بمجرد إدخال «الفترة إلى» في شيته. اضغط على رقم المستخلص للانتقال إليه.</t>
        </is>
      </c>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c r="AA28" s="42" t="n"/>
      <c r="AB28" s="42" t="n"/>
      <c r="AC28" s="42" t="n"/>
      <c r="AD28" s="42" t="n"/>
      <c r="AE28" s="42" t="n"/>
    </row>
    <row r="30" ht="22" customHeight="1">
      <c r="B30" s="27" t="inlineStr">
        <is>
          <t>الإنجاز حسب أقسام الأعمال</t>
        </is>
      </c>
      <c r="C30" s="27" t="n"/>
      <c r="D30" s="27" t="n"/>
      <c r="E30" s="27" t="n"/>
      <c r="F30" s="27" t="n"/>
      <c r="G30" s="27" t="n"/>
      <c r="H30" s="27" t="n"/>
    </row>
    <row r="31" ht="30" customHeight="1">
      <c r="B31" s="18" t="inlineStr">
        <is>
          <t>القسم</t>
        </is>
      </c>
      <c r="C31" s="18" t="n"/>
      <c r="D31" s="18" t="n"/>
      <c r="E31" s="18" t="inlineStr">
        <is>
          <t>القيمة التعاقدية</t>
        </is>
      </c>
      <c r="F31" s="18" t="inlineStr">
        <is>
          <t>القيمة المنفذة التراكمية</t>
        </is>
      </c>
      <c r="G31" s="18" t="inlineStr">
        <is>
          <t>نسبة الإنجاز</t>
        </is>
      </c>
      <c r="H31" s="18" t="inlineStr">
        <is>
          <t>الوزن من العقد</t>
        </is>
      </c>
    </row>
    <row r="32">
      <c r="B32" s="19">
        <f>IF('بيانات العقد'!F6="","",'بيانات العقد'!F6)</f>
        <v/>
      </c>
      <c r="C32" s="19" t="n"/>
      <c r="D32" s="19" t="n"/>
      <c r="E32" s="44">
        <f>IF(B32="",0,SUMIF('جدول الكميات'!$C$6:$C$105,B32,'جدول الكميات'!$H$6:$H$105))</f>
        <v/>
      </c>
      <c r="F32" s="44">
        <f>IF(B32="",0,SUMIF('جدول الكميات'!$C$6:$C$105,B32,'مستخلص 20'!$M$51:$M$150))</f>
        <v/>
      </c>
      <c r="G32" s="71">
        <f>IF(E32&gt;0,F32/E32,0)</f>
        <v/>
      </c>
      <c r="H32" s="59">
        <f>IF(ContractValue&gt;0,E32/ContractValue,0)</f>
        <v/>
      </c>
    </row>
    <row r="33">
      <c r="B33" s="19">
        <f>IF('بيانات العقد'!F7="","",'بيانات العقد'!F7)</f>
        <v/>
      </c>
      <c r="C33" s="19" t="n"/>
      <c r="D33" s="19" t="n"/>
      <c r="E33" s="44">
        <f>IF(B33="",0,SUMIF('جدول الكميات'!$C$6:$C$105,B33,'جدول الكميات'!$H$6:$H$105))</f>
        <v/>
      </c>
      <c r="F33" s="44">
        <f>IF(B33="",0,SUMIF('جدول الكميات'!$C$6:$C$105,B33,'مستخلص 20'!$M$51:$M$150))</f>
        <v/>
      </c>
      <c r="G33" s="71">
        <f>IF(E33&gt;0,F33/E33,0)</f>
        <v/>
      </c>
      <c r="H33" s="59">
        <f>IF(ContractValue&gt;0,E33/ContractValue,0)</f>
        <v/>
      </c>
    </row>
    <row r="34">
      <c r="B34" s="19">
        <f>IF('بيانات العقد'!F8="","",'بيانات العقد'!F8)</f>
        <v/>
      </c>
      <c r="C34" s="19" t="n"/>
      <c r="D34" s="19" t="n"/>
      <c r="E34" s="44">
        <f>IF(B34="",0,SUMIF('جدول الكميات'!$C$6:$C$105,B34,'جدول الكميات'!$H$6:$H$105))</f>
        <v/>
      </c>
      <c r="F34" s="44">
        <f>IF(B34="",0,SUMIF('جدول الكميات'!$C$6:$C$105,B34,'مستخلص 20'!$M$51:$M$150))</f>
        <v/>
      </c>
      <c r="G34" s="71">
        <f>IF(E34&gt;0,F34/E34,0)</f>
        <v/>
      </c>
      <c r="H34" s="59">
        <f>IF(ContractValue&gt;0,E34/ContractValue,0)</f>
        <v/>
      </c>
    </row>
    <row r="35">
      <c r="B35" s="19">
        <f>IF('بيانات العقد'!F9="","",'بيانات العقد'!F9)</f>
        <v/>
      </c>
      <c r="C35" s="19" t="n"/>
      <c r="D35" s="19" t="n"/>
      <c r="E35" s="44">
        <f>IF(B35="",0,SUMIF('جدول الكميات'!$C$6:$C$105,B35,'جدول الكميات'!$H$6:$H$105))</f>
        <v/>
      </c>
      <c r="F35" s="44">
        <f>IF(B35="",0,SUMIF('جدول الكميات'!$C$6:$C$105,B35,'مستخلص 20'!$M$51:$M$150))</f>
        <v/>
      </c>
      <c r="G35" s="71">
        <f>IF(E35&gt;0,F35/E35,0)</f>
        <v/>
      </c>
      <c r="H35" s="59">
        <f>IF(ContractValue&gt;0,E35/ContractValue,0)</f>
        <v/>
      </c>
    </row>
    <row r="36">
      <c r="B36" s="19">
        <f>IF('بيانات العقد'!F10="","",'بيانات العقد'!F10)</f>
        <v/>
      </c>
      <c r="C36" s="19" t="n"/>
      <c r="D36" s="19" t="n"/>
      <c r="E36" s="44">
        <f>IF(B36="",0,SUMIF('جدول الكميات'!$C$6:$C$105,B36,'جدول الكميات'!$H$6:$H$105))</f>
        <v/>
      </c>
      <c r="F36" s="44">
        <f>IF(B36="",0,SUMIF('جدول الكميات'!$C$6:$C$105,B36,'مستخلص 20'!$M$51:$M$150))</f>
        <v/>
      </c>
      <c r="G36" s="71">
        <f>IF(E36&gt;0,F36/E36,0)</f>
        <v/>
      </c>
      <c r="H36" s="59">
        <f>IF(ContractValue&gt;0,E36/ContractValue,0)</f>
        <v/>
      </c>
    </row>
    <row r="37">
      <c r="B37" s="19">
        <f>IF('بيانات العقد'!F11="","",'بيانات العقد'!F11)</f>
        <v/>
      </c>
      <c r="C37" s="19" t="n"/>
      <c r="D37" s="19" t="n"/>
      <c r="E37" s="44">
        <f>IF(B37="",0,SUMIF('جدول الكميات'!$C$6:$C$105,B37,'جدول الكميات'!$H$6:$H$105))</f>
        <v/>
      </c>
      <c r="F37" s="44">
        <f>IF(B37="",0,SUMIF('جدول الكميات'!$C$6:$C$105,B37,'مستخلص 20'!$M$51:$M$150))</f>
        <v/>
      </c>
      <c r="G37" s="71">
        <f>IF(E37&gt;0,F37/E37,0)</f>
        <v/>
      </c>
      <c r="H37" s="59">
        <f>IF(ContractValue&gt;0,E37/ContractValue,0)</f>
        <v/>
      </c>
    </row>
    <row r="38">
      <c r="B38" s="19">
        <f>IF('بيانات العقد'!F12="","",'بيانات العقد'!F12)</f>
        <v/>
      </c>
      <c r="C38" s="19" t="n"/>
      <c r="D38" s="19" t="n"/>
      <c r="E38" s="44">
        <f>IF(B38="",0,SUMIF('جدول الكميات'!$C$6:$C$105,B38,'جدول الكميات'!$H$6:$H$105))</f>
        <v/>
      </c>
      <c r="F38" s="44">
        <f>IF(B38="",0,SUMIF('جدول الكميات'!$C$6:$C$105,B38,'مستخلص 20'!$M$51:$M$150))</f>
        <v/>
      </c>
      <c r="G38" s="71">
        <f>IF(E38&gt;0,F38/E38,0)</f>
        <v/>
      </c>
      <c r="H38" s="59">
        <f>IF(ContractValue&gt;0,E38/ContractValue,0)</f>
        <v/>
      </c>
    </row>
    <row r="39">
      <c r="B39" s="19">
        <f>IF('بيانات العقد'!F13="","",'بيانات العقد'!F13)</f>
        <v/>
      </c>
      <c r="C39" s="19" t="n"/>
      <c r="D39" s="19" t="n"/>
      <c r="E39" s="44">
        <f>IF(B39="",0,SUMIF('جدول الكميات'!$C$6:$C$105,B39,'جدول الكميات'!$H$6:$H$105))</f>
        <v/>
      </c>
      <c r="F39" s="44">
        <f>IF(B39="",0,SUMIF('جدول الكميات'!$C$6:$C$105,B39,'مستخلص 20'!$M$51:$M$150))</f>
        <v/>
      </c>
      <c r="G39" s="71">
        <f>IF(E39&gt;0,F39/E39,0)</f>
        <v/>
      </c>
      <c r="H39" s="59">
        <f>IF(ContractValue&gt;0,E39/ContractValue,0)</f>
        <v/>
      </c>
    </row>
    <row r="40">
      <c r="B40" s="19">
        <f>IF('بيانات العقد'!F14="","",'بيانات العقد'!F14)</f>
        <v/>
      </c>
      <c r="C40" s="19" t="n"/>
      <c r="D40" s="19" t="n"/>
      <c r="E40" s="44">
        <f>IF(B40="",0,SUMIF('جدول الكميات'!$C$6:$C$105,B40,'جدول الكميات'!$H$6:$H$105))</f>
        <v/>
      </c>
      <c r="F40" s="44">
        <f>IF(B40="",0,SUMIF('جدول الكميات'!$C$6:$C$105,B40,'مستخلص 20'!$M$51:$M$150))</f>
        <v/>
      </c>
      <c r="G40" s="71">
        <f>IF(E40&gt;0,F40/E40,0)</f>
        <v/>
      </c>
      <c r="H40" s="59">
        <f>IF(ContractValue&gt;0,E40/ContractValue,0)</f>
        <v/>
      </c>
    </row>
    <row r="41">
      <c r="B41" s="19">
        <f>IF('بيانات العقد'!F15="","",'بيانات العقد'!F15)</f>
        <v/>
      </c>
      <c r="C41" s="19" t="n"/>
      <c r="D41" s="19" t="n"/>
      <c r="E41" s="44">
        <f>IF(B41="",0,SUMIF('جدول الكميات'!$C$6:$C$105,B41,'جدول الكميات'!$H$6:$H$105))</f>
        <v/>
      </c>
      <c r="F41" s="44">
        <f>IF(B41="",0,SUMIF('جدول الكميات'!$C$6:$C$105,B41,'مستخلص 20'!$M$51:$M$150))</f>
        <v/>
      </c>
      <c r="G41" s="71">
        <f>IF(E41&gt;0,F41/E41,0)</f>
        <v/>
      </c>
      <c r="H41" s="59">
        <f>IF(ContractValue&gt;0,E41/ContractValue,0)</f>
        <v/>
      </c>
    </row>
    <row r="42">
      <c r="B42" s="19">
        <f>IF('بيانات العقد'!F16="","",'بيانات العقد'!F16)</f>
        <v/>
      </c>
      <c r="C42" s="19" t="n"/>
      <c r="D42" s="19" t="n"/>
      <c r="E42" s="44">
        <f>IF(B42="",0,SUMIF('جدول الكميات'!$C$6:$C$105,B42,'جدول الكميات'!$H$6:$H$105))</f>
        <v/>
      </c>
      <c r="F42" s="44">
        <f>IF(B42="",0,SUMIF('جدول الكميات'!$C$6:$C$105,B42,'مستخلص 20'!$M$51:$M$150))</f>
        <v/>
      </c>
      <c r="G42" s="71">
        <f>IF(E42&gt;0,F42/E42,0)</f>
        <v/>
      </c>
      <c r="H42" s="59">
        <f>IF(ContractValue&gt;0,E42/ContractValue,0)</f>
        <v/>
      </c>
    </row>
    <row r="43">
      <c r="B43" s="19">
        <f>IF('بيانات العقد'!F17="","",'بيانات العقد'!F17)</f>
        <v/>
      </c>
      <c r="C43" s="19" t="n"/>
      <c r="D43" s="19" t="n"/>
      <c r="E43" s="44">
        <f>IF(B43="",0,SUMIF('جدول الكميات'!$C$6:$C$105,B43,'جدول الكميات'!$H$6:$H$105))</f>
        <v/>
      </c>
      <c r="F43" s="44">
        <f>IF(B43="",0,SUMIF('جدول الكميات'!$C$6:$C$105,B43,'مستخلص 20'!$M$51:$M$150))</f>
        <v/>
      </c>
      <c r="G43" s="71">
        <f>IF(E43&gt;0,F43/E43,0)</f>
        <v/>
      </c>
      <c r="H43" s="59">
        <f>IF(ContractValue&gt;0,E43/ContractValue,0)</f>
        <v/>
      </c>
    </row>
  </sheetData>
  <mergeCells count="24">
    <mergeCell ref="B42:D42"/>
    <mergeCell ref="A2:AE2"/>
    <mergeCell ref="O4:T4"/>
    <mergeCell ref="B30:H30"/>
    <mergeCell ref="A26:F26"/>
    <mergeCell ref="B38:D38"/>
    <mergeCell ref="B34:D34"/>
    <mergeCell ref="AF4:AG4"/>
    <mergeCell ref="B37:D37"/>
    <mergeCell ref="A28:AE28"/>
    <mergeCell ref="B40:D40"/>
    <mergeCell ref="A4:F4"/>
    <mergeCell ref="AA4:AE4"/>
    <mergeCell ref="B33:D33"/>
    <mergeCell ref="B36:D36"/>
    <mergeCell ref="B41:D41"/>
    <mergeCell ref="B32:D32"/>
    <mergeCell ref="B35:D35"/>
    <mergeCell ref="A1:AE1"/>
    <mergeCell ref="U4:Z4"/>
    <mergeCell ref="G4:N4"/>
    <mergeCell ref="B31:D31"/>
    <mergeCell ref="B43:D43"/>
    <mergeCell ref="B39:D39"/>
  </mergeCells>
  <conditionalFormatting sqref="A6:AE25">
    <cfRule type="expression" priority="1" dxfId="8">
      <formula>$A6=$AJ$3</formula>
    </cfRule>
  </conditionalFormatting>
  <conditionalFormatting sqref="N6:N25">
    <cfRule type="cellIs" priority="2" operator="lessThan" dxfId="0">
      <formula>-0.0001</formula>
    </cfRule>
    <cfRule type="cellIs" priority="3" operator="between" dxfId="1">
      <formula>0</formula>
      <formula>10</formula>
    </cfRule>
  </conditionalFormatting>
  <conditionalFormatting sqref="AE6:AE25">
    <cfRule type="expression" priority="4" dxfId="1">
      <formula>ISNUMBER(SEARCH("✔",AE6))</formula>
    </cfRule>
    <cfRule type="expression" priority="5" dxfId="0">
      <formula>ISNUMBER(SEARCH("✖",AE6))</formula>
    </cfRule>
    <cfRule type="expression" priority="6" dxfId="9">
      <formula>ISNUMBER(SEARCH("⚠",AE6))</formula>
    </cfRule>
  </conditionalFormatting>
  <conditionalFormatting sqref="L6:L25">
    <cfRule type="dataBar" priority="7">
      <dataBar>
        <cfvo type="num" val="0"/>
        <cfvo type="num" val="1"/>
        <color rgb="0063BE7B"/>
      </dataBar>
    </cfRule>
  </conditionalFormatting>
  <conditionalFormatting sqref="G32:G43">
    <cfRule type="dataBar" priority="8">
      <dataBar>
        <cfvo type="num" val="0"/>
        <cfvo type="num" val="1"/>
        <color rgb="0063BE7B"/>
      </dataBar>
    </cfRule>
  </conditionalFormatting>
  <hyperlinks>
    <hyperlink ref="B3" location="'بيانات العقد'!A1" display="⚙ بيانات العقد"/>
    <hyperlink ref="D3" location="'جدول الكميات'!A1" display="📋 جدول الكميات"/>
    <hyperlink ref="F3" location="'الأوامر التغييرية'!A1" display="🔁 التغييرية"/>
    <hyperlink ref="H3" location="'الاستقطاعات الفنية'!A1" display="✂ الاستقطاعات"/>
    <hyperlink ref="J3" location="'الموازنة والتكاليف'!A1" display="💰 الموازنة"/>
    <hyperlink ref="A6" location="'مستخلص 01'!A1" display="1"/>
    <hyperlink ref="A7" location="'مستخلص 02'!A1" display="2"/>
    <hyperlink ref="A8" location="'مستخلص 03'!A1" display="3"/>
    <hyperlink ref="A9" location="'مستخلص 04'!A1" display="4"/>
    <hyperlink ref="A10" location="'مستخلص 05'!A1" display="5"/>
    <hyperlink ref="A11" location="'مستخلص 06'!A1" display="6"/>
    <hyperlink ref="A12" location="'مستخلص 07'!A1" display="7"/>
    <hyperlink ref="A13" location="'مستخلص 08'!A1" display="8"/>
    <hyperlink ref="A14" location="'مستخلص 09'!A1" display="9"/>
    <hyperlink ref="A15" location="'مستخلص 10'!A1" display="10"/>
    <hyperlink ref="A16" location="'مستخلص 11'!A1" display="11"/>
    <hyperlink ref="A17" location="'مستخلص 12'!A1" display="12"/>
    <hyperlink ref="A18" location="'مستخلص 13'!A1" display="13"/>
    <hyperlink ref="A19" location="'مستخلص 14'!A1" display="14"/>
    <hyperlink ref="A20" location="'مستخلص 15'!A1" display="15"/>
    <hyperlink ref="A21" location="'مستخلص 16'!A1" display="16"/>
    <hyperlink ref="A22" location="'مستخلص 17'!A1" display="17"/>
    <hyperlink ref="A23" location="'مستخلص 18'!A1" display="18"/>
    <hyperlink ref="A24" location="'مستخلص 19'!A1" display="19"/>
    <hyperlink ref="A25" location="'مستخلص 20'!A1" display="20"/>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L3" s="4" t="inlineStr">
        <is>
          <t>المستخلص التالي ►</t>
        </is>
      </c>
    </row>
    <row r="5">
      <c r="B5" s="52" t="inlineStr">
        <is>
          <t>رقم المستخلص</t>
        </is>
      </c>
      <c r="C5" s="93" t="n">
        <v>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44" t="n">
        <v>0</v>
      </c>
      <c r="I19" s="44"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44" t="n">
        <v>0</v>
      </c>
      <c r="I20" s="44"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44" t="n">
        <v>0</v>
      </c>
      <c r="I21" s="44" t="n"/>
      <c r="J21" s="86">
        <f>L21-H21</f>
        <v/>
      </c>
      <c r="K21" s="86" t="n"/>
      <c r="L21" s="44">
        <f>N(E13)</f>
        <v/>
      </c>
      <c r="M21" s="44" t="n"/>
    </row>
    <row r="22" ht="20" customHeight="1">
      <c r="B22" s="101" t="n">
        <v>4</v>
      </c>
      <c r="C22" s="102" t="inlineStr">
        <is>
          <t>إجمالي قيمة الأعمال</t>
        </is>
      </c>
      <c r="D22" s="102" t="n"/>
      <c r="E22" s="102" t="n"/>
      <c r="F22" s="102" t="n"/>
      <c r="G22" s="102" t="n"/>
      <c r="H22" s="103" t="n">
        <v>0</v>
      </c>
      <c r="I22" s="103"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06" t="n">
        <v>0</v>
      </c>
      <c r="I23" s="106"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06" t="n">
        <v>0</v>
      </c>
      <c r="I24" s="106"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44" t="n">
        <v>0</v>
      </c>
      <c r="I25" s="44"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06" t="n">
        <v>0</v>
      </c>
      <c r="I26" s="106"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06" t="n">
        <v>0</v>
      </c>
      <c r="I27" s="106"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03" t="n">
        <v>0</v>
      </c>
      <c r="I28" s="103"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44" t="n">
        <v>0</v>
      </c>
      <c r="I29" s="44"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06" t="n">
        <v>0</v>
      </c>
      <c r="I30" s="106" t="n"/>
      <c r="J30" s="107">
        <f>L30-H30</f>
        <v/>
      </c>
      <c r="K30" s="107" t="n"/>
      <c r="L30" s="106">
        <f>-ROUND(WHTPct*(L28-(L24+L25)),2)</f>
        <v/>
      </c>
      <c r="M30" s="106" t="n"/>
    </row>
    <row r="31" ht="20" customHeight="1">
      <c r="B31" s="69" t="n">
        <v>13</v>
      </c>
      <c r="C31" s="62" t="inlineStr">
        <is>
          <t>صافي المستحق</t>
        </is>
      </c>
      <c r="D31" s="62" t="n"/>
      <c r="E31" s="62" t="n"/>
      <c r="F31" s="62" t="n"/>
      <c r="G31" s="62" t="n"/>
      <c r="H31" s="89" t="n">
        <v>0</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t="n">
        <v>0</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t="n">
        <v>0</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t="n">
        <v>0</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t="n">
        <v>0</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t="n">
        <v>0</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t="n">
        <v>0</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t="n">
        <v>0</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t="n">
        <v>0</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t="n">
        <v>0</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t="n">
        <v>0</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t="n">
        <v>0</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t="n">
        <v>0</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t="n">
        <v>0</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t="n">
        <v>0</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t="n">
        <v>0</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t="n">
        <v>0</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t="n">
        <v>0</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t="n">
        <v>0</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t="n">
        <v>0</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t="n">
        <v>0</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t="n">
        <v>0</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t="n">
        <v>0</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t="n">
        <v>0</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t="n">
        <v>0</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t="n">
        <v>0</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t="n">
        <v>0</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t="n">
        <v>0</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t="n">
        <v>0</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t="n">
        <v>0</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t="n">
        <v>0</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t="n">
        <v>0</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t="n">
        <v>0</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t="n">
        <v>0</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t="n">
        <v>0</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t="n">
        <v>0</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t="n">
        <v>0</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t="n">
        <v>0</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t="n">
        <v>0</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t="n">
        <v>0</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t="n">
        <v>0</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t="n">
        <v>0</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t="n">
        <v>0</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t="n">
        <v>0</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t="n">
        <v>0</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t="n">
        <v>0</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t="n">
        <v>0</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t="n">
        <v>0</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t="n">
        <v>0</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t="n">
        <v>0</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t="n">
        <v>0</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t="n">
        <v>0</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t="n">
        <v>0</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t="n">
        <v>0</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t="n">
        <v>0</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t="n">
        <v>0</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t="n">
        <v>0</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t="n">
        <v>0</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t="n">
        <v>0</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t="n">
        <v>0</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t="n">
        <v>0</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t="n">
        <v>0</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t="n">
        <v>0</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t="n">
        <v>0</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t="n">
        <v>0</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t="n">
        <v>0</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t="n">
        <v>0</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t="n">
        <v>0</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t="n">
        <v>0</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t="n">
        <v>0</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t="n">
        <v>0</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t="n">
        <v>0</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t="n">
        <v>0</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t="n">
        <v>0</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t="n">
        <v>0</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t="n">
        <v>0</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t="n">
        <v>0</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t="n">
        <v>0</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t="n">
        <v>0</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t="n">
        <v>0</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t="n">
        <v>0</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t="n">
        <v>0</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t="n">
        <v>0</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t="n">
        <v>0</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t="n">
        <v>0</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t="n">
        <v>0</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t="n">
        <v>0</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t="n">
        <v>0</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t="n">
        <v>0</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t="n">
        <v>0</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t="n">
        <v>0</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t="n">
        <v>0</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t="n">
        <v>0</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t="n">
        <v>0</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t="n">
        <v>0</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t="n">
        <v>0</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t="n">
        <v>0</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t="n">
        <v>0</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t="n">
        <v>0</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t="n">
        <v>0</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t="n">
        <v>0</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L3" location="'مستخلص 0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1'!A1" display="◄ المستخلص السابق"/>
    <hyperlink ref="L3" location="'مستخلص 0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2'!A1" display="◄ المستخلص السابق"/>
    <hyperlink ref="L3" location="'مستخلص 0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3'!A1" display="◄ المستخلص السابق"/>
    <hyperlink ref="L3" location="'مستخلص 0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4'!A1" display="◄ المستخلص السابق"/>
    <hyperlink ref="L3" location="'مستخلص 0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5'!A1" display="◄ المستخلص السابق"/>
    <hyperlink ref="L3" location="'مستخلص 0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6'!A1" display="◄ المستخلص السابق"/>
    <hyperlink ref="L3" location="'مستخلص 0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7'!A1" display="◄ المستخلص السابق"/>
    <hyperlink ref="L3" location="'مستخلص 0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8'!A1" display="◄ المستخلص السابق"/>
    <hyperlink ref="L3" location="'مستخلص 1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9'!A1" display="◄ المستخلص السابق"/>
    <hyperlink ref="L3" location="'مستخلص 11'!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10'!L19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10'!L20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10'!L21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10'!L22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10'!L23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10'!L24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10'!L25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10'!L26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10'!L27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10'!L28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10'!L29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10'!L30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10'!L31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10'!I51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10'!I52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10'!I53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10'!I54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10'!I55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10'!I56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10'!I57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10'!I58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10'!I59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10'!I60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10'!I61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10'!I62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10'!I63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10'!I64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10'!I65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10'!I66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10'!I67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10'!I68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10'!I69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10'!I70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10'!I71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10'!I72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10'!I73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10'!I74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10'!I75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10'!I76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10'!I77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10'!I78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10'!I79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10'!I80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10'!I81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10'!I82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10'!I83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10'!I84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10'!I85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10'!I86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10'!I87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10'!I88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10'!I89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10'!I90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10'!I91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10'!I92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10'!I93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10'!I94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10'!I95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10'!I96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10'!I97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10'!I98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10'!I99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10'!I100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10'!I101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10'!I102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10'!I103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10'!I104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10'!I105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10'!I106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10'!I107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10'!I108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10'!I109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10'!I110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10'!I111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10'!I112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10'!I113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10'!I114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10'!I115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10'!I116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10'!I117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10'!I118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10'!I119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10'!I120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10'!I121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10'!I122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10'!I123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10'!I124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10'!I125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10'!I126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10'!I127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10'!I128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10'!I129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10'!I130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10'!I131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10'!I132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10'!I133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10'!I134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10'!I135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10'!I136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10'!I137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10'!I138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10'!I139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10'!I140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10'!I141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10'!I142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10'!I143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10'!I144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10'!I145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10'!I146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10'!I147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10'!I148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10'!I149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10'!I150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0'!A1" display="◄ المستخلص السابق"/>
    <hyperlink ref="L3" location="'مستخلص 1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1'!A1" display="◄ المستخلص السابق"/>
    <hyperlink ref="L3" location="'مستخلص 1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2'!A1" display="◄ المستخلص السابق"/>
    <hyperlink ref="L3" location="'مستخلص 1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3'!A1" display="◄ المستخلص السابق"/>
    <hyperlink ref="L3" location="'مستخلص 1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4'!A1" display="◄ المستخلص السابق"/>
    <hyperlink ref="L3" location="'مستخلص 1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5'!A1" display="◄ المستخلص السابق"/>
    <hyperlink ref="L3" location="'مستخلص 1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6'!A1" display="◄ المستخلص السابق"/>
    <hyperlink ref="L3" location="'مستخلص 1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7'!A1" display="◄ المستخلص السابق"/>
    <hyperlink ref="L3" location="'مستخلص 1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8'!A1" display="◄ المستخلص السابق"/>
    <hyperlink ref="L3" location="'مستخلص 2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10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row>
    <row r="5">
      <c r="B5" s="52" t="inlineStr">
        <is>
          <t>رقم المستخلص</t>
        </is>
      </c>
      <c r="C5" s="93" t="n">
        <v>20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9'!A1" display="◄ المستخلص السابق"/>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2026-10-01T21:05:20Z</dcterms:created>
  <dcterms:modified xsi:type="dcterms:W3CDTF">2026-10-01T21:05:25Z</dcterms:modified>
</cp:coreProperties>
</file>