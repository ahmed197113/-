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2">
    <numFmt numFmtId="164" formatCode="yyyy-mm-dd"/>
    <numFmt numFmtId="165" formatCode="yyyy/mm/dd"/>
    <numFmt numFmtId="166" formatCode="#,##0.00;[Red](#,##0.00);&quot;-&quot;"/>
    <numFmt numFmtId="167" formatCode="0.0%;[Red]-0.0%;&quot;-&quot;"/>
    <numFmt numFmtId="168" formatCode="#,##0.00;[Red]-#,##0.00;;@"/>
    <numFmt numFmtId="169" formatCode="0.00%;-0.00%;;@"/>
    <numFmt numFmtId="170" formatCode="&quot;مستخلص رقم &quot;0"/>
    <numFmt numFmtId="171" formatCode="B2yyyy/mm/dd"/>
    <numFmt numFmtId="172" formatCode="0.0%;[Red]-0.0%;;@"/>
    <numFmt numFmtId="173" formatCode="&quot;مستخلص &quot;0"/>
    <numFmt numFmtId="174" formatCode="0;-0;&quot;-&quot;"/>
    <numFmt numFmtId="175"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5"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5"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6" fontId="7" fillId="9" borderId="2" applyAlignment="1" pivotButton="0" quotePrefix="0" xfId="0">
      <alignment horizontal="center" vertical="center" readingOrder="2"/>
    </xf>
    <xf numFmtId="166" fontId="4" fillId="9" borderId="2" applyAlignment="1" pivotButton="0" quotePrefix="0" xfId="0">
      <alignment horizontal="center" vertical="center" readingOrder="2"/>
    </xf>
    <xf numFmtId="167"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8" fontId="5" fillId="8" borderId="2" applyAlignment="1" pivotButton="0" quotePrefix="0" xfId="0">
      <alignment horizontal="center" vertical="center" readingOrder="2"/>
    </xf>
    <xf numFmtId="168" fontId="10" fillId="0" borderId="2" applyAlignment="1" pivotButton="0" quotePrefix="0" xfId="0">
      <alignment horizontal="center" vertical="center" readingOrder="2"/>
    </xf>
    <xf numFmtId="169"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167"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6" fontId="5" fillId="8"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6"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6" fontId="4" fillId="0" borderId="2" applyAlignment="1" pivotButton="0" quotePrefix="0" xfId="0">
      <alignment horizontal="center" vertical="center" readingOrder="2"/>
    </xf>
    <xf numFmtId="166"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5" fontId="11" fillId="0" borderId="2" applyAlignment="1" pivotButton="0" quotePrefix="0" xfId="0">
      <alignment horizontal="center" vertical="center" readingOrder="2"/>
    </xf>
    <xf numFmtId="175" fontId="5" fillId="8" borderId="2" applyAlignment="1" pivotButton="0" quotePrefix="0" xfId="0">
      <alignment horizontal="center" vertical="center" readingOrder="2"/>
    </xf>
    <xf numFmtId="175" fontId="4" fillId="0" borderId="2" applyAlignment="1" pivotButton="0" quotePrefix="0" xfId="0">
      <alignment horizontal="center" vertical="center" readingOrder="2"/>
    </xf>
    <xf numFmtId="175" fontId="10" fillId="0" borderId="2" applyAlignment="1" pivotButton="0" quotePrefix="0" xfId="0">
      <alignment horizontal="center" vertical="center" readingOrder="2"/>
    </xf>
    <xf numFmtId="167"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5"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5" fontId="8" fillId="2" borderId="2" applyAlignment="1" pivotButton="0" quotePrefix="0" xfId="0">
      <alignment horizontal="center" vertical="center" readingOrder="2"/>
    </xf>
    <xf numFmtId="167"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3" fontId="12" fillId="7" borderId="2" applyAlignment="1" pivotButton="0" quotePrefix="0" xfId="0">
      <alignment horizontal="center" vertical="center" readingOrder="2"/>
    </xf>
    <xf numFmtId="165"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5" fontId="3" fillId="2" borderId="2" applyAlignment="1" pivotButton="0" quotePrefix="0" xfId="0">
      <alignment horizontal="center" vertical="center" readingOrder="2"/>
    </xf>
    <xf numFmtId="167"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7" fontId="3" fillId="2" borderId="2" applyAlignment="1" pivotButton="0" quotePrefix="0" xfId="0">
      <alignment horizontal="center" vertical="center" readingOrder="2"/>
    </xf>
    <xf numFmtId="175" fontId="32" fillId="0" borderId="2" applyAlignment="1" pivotButton="0" quotePrefix="0" xfId="0">
      <alignment horizontal="center" vertical="center" readingOrder="2"/>
    </xf>
    <xf numFmtId="167"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6" fontId="4" fillId="10" borderId="2" applyAlignment="1" pivotButton="0" quotePrefix="0" xfId="0">
      <alignment horizontal="center" vertical="center" readingOrder="2"/>
    </xf>
    <xf numFmtId="174"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65"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70"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7" fontId="15" fillId="0" borderId="2" applyAlignment="1" pivotButton="0" quotePrefix="0" xfId="0">
      <alignment horizontal="center" vertical="center" readingOrder="2"/>
    </xf>
    <xf numFmtId="167" fontId="16" fillId="8" borderId="2" applyAlignment="1" pivotButton="0" quotePrefix="0" xfId="0">
      <alignment horizontal="center" vertical="center" readingOrder="2"/>
    </xf>
    <xf numFmtId="166" fontId="7" fillId="0" borderId="2" applyAlignment="1" pivotButton="0" quotePrefix="0" xfId="0">
      <alignment horizontal="center" vertical="center" readingOrder="2"/>
    </xf>
    <xf numFmtId="171"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6"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6" fontId="17" fillId="0" borderId="2" applyAlignment="1" pivotButton="0" quotePrefix="0" xfId="0">
      <alignment horizontal="center" vertical="center" readingOrder="2"/>
    </xf>
    <xf numFmtId="166"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6"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6"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6"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8" fontId="27" fillId="0" borderId="2" applyAlignment="1" pivotButton="0" quotePrefix="0" xfId="0">
      <alignment horizontal="center" vertical="center" readingOrder="2"/>
    </xf>
    <xf numFmtId="168" fontId="11" fillId="0" borderId="2" applyAlignment="1" pivotButton="0" quotePrefix="0" xfId="0">
      <alignment horizontal="center" vertical="center" readingOrder="2"/>
    </xf>
    <xf numFmtId="168" fontId="28" fillId="0" borderId="2" applyAlignment="1" pivotButton="0" quotePrefix="0" xfId="0">
      <alignment horizontal="center" vertical="center" readingOrder="2"/>
    </xf>
    <xf numFmtId="172" fontId="28" fillId="0" borderId="2" applyAlignment="1" pivotButton="0" quotePrefix="0" xfId="0">
      <alignment horizontal="center" vertical="center" readingOrder="2"/>
    </xf>
    <xf numFmtId="168" fontId="29" fillId="10" borderId="2" applyAlignment="1" pivotButton="0" quotePrefix="0" xfId="0">
      <alignment horizontal="center" vertical="center" readingOrder="2"/>
    </xf>
    <xf numFmtId="166" fontId="11" fillId="0" borderId="2" applyAlignment="1" pivotButton="0" quotePrefix="0" xfId="0">
      <alignment horizontal="center" vertical="center" readingOrder="2"/>
    </xf>
    <xf numFmtId="166"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01 — 20 مستخلص مترابط</t>
        </is>
      </c>
      <c r="C1" s="1" t="n"/>
    </row>
    <row r="2" ht="20" customHeight="1">
      <c r="B2" s="2">
        <f>IF('بيانات العقد'!$C$5="","مشروع رقم 01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«IPC_Project_01.xlsx» داخل فولدر «Project_01»،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01</t>
        </is>
      </c>
      <c r="C1" s="1" t="n"/>
      <c r="D1" s="1" t="n"/>
      <c r="E1" s="1" t="n"/>
      <c r="F1" s="1" t="n"/>
      <c r="G1" s="1" t="n"/>
      <c r="H1" s="1" t="n"/>
      <c r="I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inlineStr">
        <is>
          <t>مشروع إنشاء مبنى إداري - الرياض</t>
        </is>
      </c>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inlineStr">
        <is>
          <t>CT-2026-014</t>
        </is>
      </c>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inlineStr">
        <is>
          <t>شركة رؤية للتطوير العقاري</t>
        </is>
      </c>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inlineStr">
        <is>
          <t>مكتب البنيان للاستشارات الهندسية</t>
        </is>
      </c>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inlineStr">
        <is>
          <t>شركة البناء الحديث للمقاولات</t>
        </is>
      </c>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v>46068</v>
      </c>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v>46082</v>
      </c>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v>18</v>
      </c>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v>46091</v>
      </c>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inlineStr">
        <is>
          <t>خاص - FIDIC</t>
        </is>
      </c>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inlineStr">
        <is>
          <t>310123456700003</t>
        </is>
      </c>
      <c r="D37" s="21" t="inlineStr">
        <is>
          <t>15 رقماً يبدأ وينتهي بالرقم 3 (يظهر في الفاتورة الضريبية)</t>
        </is>
      </c>
    </row>
    <row r="38">
      <c r="B38" s="19" t="inlineStr">
        <is>
          <t>السجل التجاري للمقاول</t>
        </is>
      </c>
      <c r="C38" s="31" t="inlineStr">
        <is>
          <t>1010123456</t>
        </is>
      </c>
      <c r="D38" s="21" t="inlineStr"/>
    </row>
    <row r="39">
      <c r="B39" s="19" t="inlineStr">
        <is>
          <t>الرقم الضريبي لصاحب العمل</t>
        </is>
      </c>
      <c r="C39" s="31" t="inlineStr">
        <is>
          <t>300987654300003</t>
        </is>
      </c>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v>46997</v>
      </c>
      <c r="D42" s="21" t="inlineStr">
        <is>
          <t>تنبيه أحمر إذا تبقى أقل من 30 يوماً</t>
        </is>
      </c>
    </row>
    <row r="43">
      <c r="B43" s="19" t="inlineStr">
        <is>
          <t>تاريخ انتهاء ضمان الدفعة المقدمة</t>
        </is>
      </c>
      <c r="C43" s="24" t="n">
        <v>46446</v>
      </c>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01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inlineStr">
        <is>
          <t>01-001</t>
        </is>
      </c>
      <c r="C6" s="23" t="inlineStr">
        <is>
          <t>أعمال الحفر والردم</t>
        </is>
      </c>
      <c r="D6" s="35" t="inlineStr">
        <is>
          <t>حفر عام للأساسات حتى المنسوب التصميمي مع نقل الناتج خارج الموقع</t>
        </is>
      </c>
      <c r="E6" s="20" t="inlineStr">
        <is>
          <t>م3</t>
        </is>
      </c>
      <c r="F6" s="36" t="n">
        <v>4500</v>
      </c>
      <c r="G6" s="36" t="n">
        <v>25</v>
      </c>
      <c r="H6" s="37">
        <f>F6*G6</f>
        <v/>
      </c>
      <c r="I6" s="38">
        <f>IF($H$106&gt;0,H6/$H$106,0)</f>
        <v/>
      </c>
    </row>
    <row r="7">
      <c r="A7" s="34">
        <f>IF(B7="","",COUNTA($B$6:B7))</f>
        <v/>
      </c>
      <c r="B7" s="20" t="inlineStr">
        <is>
          <t>01-002</t>
        </is>
      </c>
      <c r="C7" s="23" t="inlineStr">
        <is>
          <t>أعمال الحفر والردم</t>
        </is>
      </c>
      <c r="D7" s="35" t="inlineStr">
        <is>
          <t>ردم بالتربة المختارة على طبقات مع الدمك حتى 95% بروكتور معدل</t>
        </is>
      </c>
      <c r="E7" s="20" t="inlineStr">
        <is>
          <t>م3</t>
        </is>
      </c>
      <c r="F7" s="36" t="n">
        <v>2200</v>
      </c>
      <c r="G7" s="36" t="n">
        <v>18</v>
      </c>
      <c r="H7" s="37">
        <f>F7*G7</f>
        <v/>
      </c>
      <c r="I7" s="38">
        <f>IF($H$106&gt;0,H7/$H$106,0)</f>
        <v/>
      </c>
    </row>
    <row r="8">
      <c r="A8" s="34">
        <f>IF(B8="","",COUNTA($B$6:B8))</f>
        <v/>
      </c>
      <c r="B8" s="20" t="inlineStr">
        <is>
          <t>01-003</t>
        </is>
      </c>
      <c r="C8" s="23" t="inlineStr">
        <is>
          <t>أعمال الحفر والردم</t>
        </is>
      </c>
      <c r="D8" s="35" t="inlineStr">
        <is>
          <t>إحلال تربة بمواد مختارة (Sub-base) مع الدمك والاختبارات</t>
        </is>
      </c>
      <c r="E8" s="20" t="inlineStr">
        <is>
          <t>م3</t>
        </is>
      </c>
      <c r="F8" s="36" t="n">
        <v>1800</v>
      </c>
      <c r="G8" s="36" t="n">
        <v>75</v>
      </c>
      <c r="H8" s="37">
        <f>F8*G8</f>
        <v/>
      </c>
      <c r="I8" s="38">
        <f>IF($H$106&gt;0,H8/$H$106,0)</f>
        <v/>
      </c>
    </row>
    <row r="9">
      <c r="A9" s="34">
        <f>IF(B9="","",COUNTA($B$6:B9))</f>
        <v/>
      </c>
      <c r="B9" s="20" t="inlineStr">
        <is>
          <t>02-001</t>
        </is>
      </c>
      <c r="C9" s="23" t="inlineStr">
        <is>
          <t>الخرسانة العادية والمسلحة</t>
        </is>
      </c>
      <c r="D9" s="35" t="inlineStr">
        <is>
          <t>خرسانة عادية للنظافة قوة 20 ميجا باسكال</t>
        </is>
      </c>
      <c r="E9" s="20" t="inlineStr">
        <is>
          <t>م3</t>
        </is>
      </c>
      <c r="F9" s="36" t="n">
        <v>380</v>
      </c>
      <c r="G9" s="36" t="n">
        <v>380</v>
      </c>
      <c r="H9" s="37">
        <f>F9*G9</f>
        <v/>
      </c>
      <c r="I9" s="38">
        <f>IF($H$106&gt;0,H9/$H$106,0)</f>
        <v/>
      </c>
    </row>
    <row r="10">
      <c r="A10" s="34">
        <f>IF(B10="","",COUNTA($B$6:B10))</f>
        <v/>
      </c>
      <c r="B10" s="20" t="inlineStr">
        <is>
          <t>02-002</t>
        </is>
      </c>
      <c r="C10" s="23" t="inlineStr">
        <is>
          <t>الخرسانة العادية والمسلحة</t>
        </is>
      </c>
      <c r="D10" s="35" t="inlineStr">
        <is>
          <t>خرسانة مسلحة للقواعد والميد قوة 35 ميجا باسكال (بدون حديد)</t>
        </is>
      </c>
      <c r="E10" s="20" t="inlineStr">
        <is>
          <t>م3</t>
        </is>
      </c>
      <c r="F10" s="36" t="n">
        <v>950</v>
      </c>
      <c r="G10" s="36" t="n">
        <v>950</v>
      </c>
      <c r="H10" s="37">
        <f>F10*G10</f>
        <v/>
      </c>
      <c r="I10" s="38">
        <f>IF($H$106&gt;0,H10/$H$106,0)</f>
        <v/>
      </c>
    </row>
    <row r="11">
      <c r="A11" s="34">
        <f>IF(B11="","",COUNTA($B$6:B11))</f>
        <v/>
      </c>
      <c r="B11" s="20" t="inlineStr">
        <is>
          <t>02-003</t>
        </is>
      </c>
      <c r="C11" s="23" t="inlineStr">
        <is>
          <t>الخرسانة العادية والمسلحة</t>
        </is>
      </c>
      <c r="D11" s="35" t="inlineStr">
        <is>
          <t>خرسانة مسلحة للأعمدة والجدران الخرسانية قوة 35 ميجا باسكال</t>
        </is>
      </c>
      <c r="E11" s="20" t="inlineStr">
        <is>
          <t>م3</t>
        </is>
      </c>
      <c r="F11" s="36" t="n">
        <v>420</v>
      </c>
      <c r="G11" s="36" t="n">
        <v>1150</v>
      </c>
      <c r="H11" s="37">
        <f>F11*G11</f>
        <v/>
      </c>
      <c r="I11" s="38">
        <f>IF($H$106&gt;0,H11/$H$106,0)</f>
        <v/>
      </c>
    </row>
    <row r="12">
      <c r="A12" s="34">
        <f>IF(B12="","",COUNTA($B$6:B12))</f>
        <v/>
      </c>
      <c r="B12" s="20" t="inlineStr">
        <is>
          <t>02-004</t>
        </is>
      </c>
      <c r="C12" s="23" t="inlineStr">
        <is>
          <t>الخرسانة العادية والمسلحة</t>
        </is>
      </c>
      <c r="D12" s="35" t="inlineStr">
        <is>
          <t>خرسانة مسلحة للأسقف والكمرات والدرج قوة 35 ميجا باسكال</t>
        </is>
      </c>
      <c r="E12" s="20" t="inlineStr">
        <is>
          <t>م3</t>
        </is>
      </c>
      <c r="F12" s="36" t="n">
        <v>1650</v>
      </c>
      <c r="G12" s="36" t="n">
        <v>1050</v>
      </c>
      <c r="H12" s="37">
        <f>F12*G12</f>
        <v/>
      </c>
      <c r="I12" s="38">
        <f>IF($H$106&gt;0,H12/$H$106,0)</f>
        <v/>
      </c>
    </row>
    <row r="13">
      <c r="A13" s="34">
        <f>IF(B13="","",COUNTA($B$6:B13))</f>
        <v/>
      </c>
      <c r="B13" s="20" t="inlineStr">
        <is>
          <t>02-005</t>
        </is>
      </c>
      <c r="C13" s="23" t="inlineStr">
        <is>
          <t>الخرسانة العادية والمسلحة</t>
        </is>
      </c>
      <c r="D13" s="35" t="inlineStr">
        <is>
          <t>توريد وتركيب حديد تسليح عالي المقاومة (مطابق للمواصفات السعودية)</t>
        </is>
      </c>
      <c r="E13" s="20" t="inlineStr">
        <is>
          <t>طن</t>
        </is>
      </c>
      <c r="F13" s="36" t="n">
        <v>480</v>
      </c>
      <c r="G13" s="36" t="n">
        <v>3400</v>
      </c>
      <c r="H13" s="37">
        <f>F13*G13</f>
        <v/>
      </c>
      <c r="I13" s="38">
        <f>IF($H$106&gt;0,H13/$H$106,0)</f>
        <v/>
      </c>
    </row>
    <row r="14">
      <c r="A14" s="34">
        <f>IF(B14="","",COUNTA($B$6:B14))</f>
        <v/>
      </c>
      <c r="B14" s="20" t="inlineStr">
        <is>
          <t>03-001</t>
        </is>
      </c>
      <c r="C14" s="23" t="inlineStr">
        <is>
          <t>أعمال المباني</t>
        </is>
      </c>
      <c r="D14" s="35" t="inlineStr">
        <is>
          <t>مباني بلوك أسمنتي مصمت سماكة 20 سم</t>
        </is>
      </c>
      <c r="E14" s="20" t="inlineStr">
        <is>
          <t>م2</t>
        </is>
      </c>
      <c r="F14" s="36" t="n">
        <v>7800</v>
      </c>
      <c r="G14" s="36" t="n">
        <v>75</v>
      </c>
      <c r="H14" s="37">
        <f>F14*G14</f>
        <v/>
      </c>
      <c r="I14" s="38">
        <f>IF($H$106&gt;0,H14/$H$106,0)</f>
        <v/>
      </c>
    </row>
    <row r="15">
      <c r="A15" s="34">
        <f>IF(B15="","",COUNTA($B$6:B15))</f>
        <v/>
      </c>
      <c r="B15" s="20" t="inlineStr">
        <is>
          <t>03-002</t>
        </is>
      </c>
      <c r="C15" s="23" t="inlineStr">
        <is>
          <t>أعمال المباني</t>
        </is>
      </c>
      <c r="D15" s="35" t="inlineStr">
        <is>
          <t>مباني بلوك أسمنتي سماكة 15 سم للقواطع</t>
        </is>
      </c>
      <c r="E15" s="20" t="inlineStr">
        <is>
          <t>م2</t>
        </is>
      </c>
      <c r="F15" s="36" t="n">
        <v>3600</v>
      </c>
      <c r="G15" s="36" t="n">
        <v>60</v>
      </c>
      <c r="H15" s="37">
        <f>F15*G15</f>
        <v/>
      </c>
      <c r="I15" s="38">
        <f>IF($H$106&gt;0,H15/$H$106,0)</f>
        <v/>
      </c>
    </row>
    <row r="16">
      <c r="A16" s="34">
        <f>IF(B16="","",COUNTA($B$6:B16))</f>
        <v/>
      </c>
      <c r="B16" s="20" t="inlineStr">
        <is>
          <t>04-001</t>
        </is>
      </c>
      <c r="C16" s="23" t="inlineStr">
        <is>
          <t>أعمال العزل</t>
        </is>
      </c>
      <c r="D16" s="35" t="inlineStr">
        <is>
          <t>عزل مائي للأساسات بالبيتومين على وجهين</t>
        </is>
      </c>
      <c r="E16" s="20" t="inlineStr">
        <is>
          <t>م2</t>
        </is>
      </c>
      <c r="F16" s="36" t="n">
        <v>2400</v>
      </c>
      <c r="G16" s="36" t="n">
        <v>30</v>
      </c>
      <c r="H16" s="37">
        <f>F16*G16</f>
        <v/>
      </c>
      <c r="I16" s="38">
        <f>IF($H$106&gt;0,H16/$H$106,0)</f>
        <v/>
      </c>
    </row>
    <row r="17">
      <c r="A17" s="34">
        <f>IF(B17="","",COUNTA($B$6:B17))</f>
        <v/>
      </c>
      <c r="B17" s="20" t="inlineStr">
        <is>
          <t>04-002</t>
        </is>
      </c>
      <c r="C17" s="23" t="inlineStr">
        <is>
          <t>أعمال العزل</t>
        </is>
      </c>
      <c r="D17" s="35" t="inlineStr">
        <is>
          <t>عزل مائي وحراري للأسطح بالممبرين والبوليسترين</t>
        </is>
      </c>
      <c r="E17" s="20" t="inlineStr">
        <is>
          <t>م2</t>
        </is>
      </c>
      <c r="F17" s="36" t="n">
        <v>1900</v>
      </c>
      <c r="G17" s="36" t="n">
        <v>120</v>
      </c>
      <c r="H17" s="37">
        <f>F17*G17</f>
        <v/>
      </c>
      <c r="I17" s="38">
        <f>IF($H$106&gt;0,H17/$H$106,0)</f>
        <v/>
      </c>
    </row>
    <row r="18">
      <c r="A18" s="34">
        <f>IF(B18="","",COUNTA($B$6:B18))</f>
        <v/>
      </c>
      <c r="B18" s="20" t="inlineStr">
        <is>
          <t>05-001</t>
        </is>
      </c>
      <c r="C18" s="23" t="inlineStr">
        <is>
          <t>أعمال التشطيبات</t>
        </is>
      </c>
      <c r="D18" s="35" t="inlineStr">
        <is>
          <t>لياسة داخلية للجدران والأسقف</t>
        </is>
      </c>
      <c r="E18" s="20" t="inlineStr">
        <is>
          <t>م2</t>
        </is>
      </c>
      <c r="F18" s="36" t="n">
        <v>21000</v>
      </c>
      <c r="G18" s="36" t="n">
        <v>32</v>
      </c>
      <c r="H18" s="37">
        <f>F18*G18</f>
        <v/>
      </c>
      <c r="I18" s="38">
        <f>IF($H$106&gt;0,H18/$H$106,0)</f>
        <v/>
      </c>
    </row>
    <row r="19">
      <c r="A19" s="34">
        <f>IF(B19="","",COUNTA($B$6:B19))</f>
        <v/>
      </c>
      <c r="B19" s="20" t="inlineStr">
        <is>
          <t>05-002</t>
        </is>
      </c>
      <c r="C19" s="23" t="inlineStr">
        <is>
          <t>أعمال التشطيبات</t>
        </is>
      </c>
      <c r="D19" s="35" t="inlineStr">
        <is>
          <t>لياسة خارجية للواجهات</t>
        </is>
      </c>
      <c r="E19" s="20" t="inlineStr">
        <is>
          <t>م2</t>
        </is>
      </c>
      <c r="F19" s="36" t="n">
        <v>6500</v>
      </c>
      <c r="G19" s="36" t="n">
        <v>40</v>
      </c>
      <c r="H19" s="37">
        <f>F19*G19</f>
        <v/>
      </c>
      <c r="I19" s="38">
        <f>IF($H$106&gt;0,H19/$H$106,0)</f>
        <v/>
      </c>
    </row>
    <row r="20">
      <c r="A20" s="34">
        <f>IF(B20="","",COUNTA($B$6:B20))</f>
        <v/>
      </c>
      <c r="B20" s="20" t="inlineStr">
        <is>
          <t>05-003</t>
        </is>
      </c>
      <c r="C20" s="23" t="inlineStr">
        <is>
          <t>أعمال التشطيبات</t>
        </is>
      </c>
      <c r="D20" s="35" t="inlineStr">
        <is>
          <t>توريد وتركيب بلاط بورسلين 60×60 درجة أولى</t>
        </is>
      </c>
      <c r="E20" s="20" t="inlineStr">
        <is>
          <t>م2</t>
        </is>
      </c>
      <c r="F20" s="36" t="n">
        <v>7200</v>
      </c>
      <c r="G20" s="36" t="n">
        <v>140</v>
      </c>
      <c r="H20" s="37">
        <f>F20*G20</f>
        <v/>
      </c>
      <c r="I20" s="38">
        <f>IF($H$106&gt;0,H20/$H$106,0)</f>
        <v/>
      </c>
    </row>
    <row r="21">
      <c r="A21" s="34">
        <f>IF(B21="","",COUNTA($B$6:B21))</f>
        <v/>
      </c>
      <c r="B21" s="20" t="inlineStr">
        <is>
          <t>05-004</t>
        </is>
      </c>
      <c r="C21" s="23" t="inlineStr">
        <is>
          <t>أعمال التشطيبات</t>
        </is>
      </c>
      <c r="D21" s="35" t="inlineStr">
        <is>
          <t>دهانات داخلية (أساس + وجهين)</t>
        </is>
      </c>
      <c r="E21" s="20" t="inlineStr">
        <is>
          <t>م2</t>
        </is>
      </c>
      <c r="F21" s="36" t="n">
        <v>21000</v>
      </c>
      <c r="G21" s="36" t="n">
        <v>28</v>
      </c>
      <c r="H21" s="37">
        <f>F21*G21</f>
        <v/>
      </c>
      <c r="I21" s="38">
        <f>IF($H$106&gt;0,H21/$H$106,0)</f>
        <v/>
      </c>
    </row>
    <row r="22">
      <c r="A22" s="34">
        <f>IF(B22="","",COUNTA($B$6:B22))</f>
        <v/>
      </c>
      <c r="B22" s="20" t="inlineStr">
        <is>
          <t>05-005</t>
        </is>
      </c>
      <c r="C22" s="23" t="inlineStr">
        <is>
          <t>أعمال التشطيبات</t>
        </is>
      </c>
      <c r="D22" s="35" t="inlineStr">
        <is>
          <t>تكسيات واجهات حجر طبيعي سماكة 3 سم</t>
        </is>
      </c>
      <c r="E22" s="20" t="inlineStr">
        <is>
          <t>م2</t>
        </is>
      </c>
      <c r="F22" s="36" t="n">
        <v>2800</v>
      </c>
      <c r="G22" s="36" t="n">
        <v>260</v>
      </c>
      <c r="H22" s="37">
        <f>F22*G22</f>
        <v/>
      </c>
      <c r="I22" s="38">
        <f>IF($H$106&gt;0,H22/$H$106,0)</f>
        <v/>
      </c>
    </row>
    <row r="23">
      <c r="A23" s="34">
        <f>IF(B23="","",COUNTA($B$6:B23))</f>
        <v/>
      </c>
      <c r="B23" s="20" t="inlineStr">
        <is>
          <t>05-006</t>
        </is>
      </c>
      <c r="C23" s="23" t="inlineStr">
        <is>
          <t>أعمال التشطيبات</t>
        </is>
      </c>
      <c r="D23" s="35" t="inlineStr">
        <is>
          <t>توريد وتركيب أبواب خشبية داخلية كاملة</t>
        </is>
      </c>
      <c r="E23" s="20" t="inlineStr">
        <is>
          <t>عدد</t>
        </is>
      </c>
      <c r="F23" s="36" t="n">
        <v>160</v>
      </c>
      <c r="G23" s="36" t="n">
        <v>1800</v>
      </c>
      <c r="H23" s="37">
        <f>F23*G23</f>
        <v/>
      </c>
      <c r="I23" s="38">
        <f>IF($H$106&gt;0,H23/$H$106,0)</f>
        <v/>
      </c>
    </row>
    <row r="24">
      <c r="A24" s="34">
        <f>IF(B24="","",COUNTA($B$6:B24))</f>
        <v/>
      </c>
      <c r="B24" s="20" t="inlineStr">
        <is>
          <t>05-007</t>
        </is>
      </c>
      <c r="C24" s="23" t="inlineStr">
        <is>
          <t>أعمال التشطيبات</t>
        </is>
      </c>
      <c r="D24" s="35" t="inlineStr">
        <is>
          <t>توريد وتركيب نوافذ ألمنيوم مع زجاج مزدوج</t>
        </is>
      </c>
      <c r="E24" s="20" t="inlineStr">
        <is>
          <t>م2</t>
        </is>
      </c>
      <c r="F24" s="36" t="n">
        <v>950</v>
      </c>
      <c r="G24" s="36" t="n">
        <v>650</v>
      </c>
      <c r="H24" s="37">
        <f>F24*G24</f>
        <v/>
      </c>
      <c r="I24" s="38">
        <f>IF($H$106&gt;0,H24/$H$106,0)</f>
        <v/>
      </c>
    </row>
    <row r="25">
      <c r="A25" s="34">
        <f>IF(B25="","",COUNTA($B$6:B25))</f>
        <v/>
      </c>
      <c r="B25" s="20" t="inlineStr">
        <is>
          <t>06-001</t>
        </is>
      </c>
      <c r="C25" s="23" t="inlineStr">
        <is>
          <t>الأعمال الكهربائية</t>
        </is>
      </c>
      <c r="D25" s="35" t="inlineStr">
        <is>
          <t>تأسيس نقاط إنارة وأفياش بالمواسير والأسلاك</t>
        </is>
      </c>
      <c r="E25" s="20" t="inlineStr">
        <is>
          <t>نقطة</t>
        </is>
      </c>
      <c r="F25" s="36" t="n">
        <v>3200</v>
      </c>
      <c r="G25" s="36" t="n">
        <v>120</v>
      </c>
      <c r="H25" s="37">
        <f>F25*G25</f>
        <v/>
      </c>
      <c r="I25" s="38">
        <f>IF($H$106&gt;0,H25/$H$106,0)</f>
        <v/>
      </c>
    </row>
    <row r="26">
      <c r="A26" s="34">
        <f>IF(B26="","",COUNTA($B$6:B26))</f>
        <v/>
      </c>
      <c r="B26" s="20" t="inlineStr">
        <is>
          <t>06-002</t>
        </is>
      </c>
      <c r="C26" s="23" t="inlineStr">
        <is>
          <t>الأعمال الكهربائية</t>
        </is>
      </c>
      <c r="D26" s="35" t="inlineStr">
        <is>
          <t>توريد وتركيب لوحات توزيع فرعية</t>
        </is>
      </c>
      <c r="E26" s="20" t="inlineStr">
        <is>
          <t>عدد</t>
        </is>
      </c>
      <c r="F26" s="36" t="n">
        <v>24</v>
      </c>
      <c r="G26" s="36" t="n">
        <v>6500</v>
      </c>
      <c r="H26" s="37">
        <f>F26*G26</f>
        <v/>
      </c>
      <c r="I26" s="38">
        <f>IF($H$106&gt;0,H26/$H$106,0)</f>
        <v/>
      </c>
    </row>
    <row r="27">
      <c r="A27" s="34">
        <f>IF(B27="","",COUNTA($B$6:B27))</f>
        <v/>
      </c>
      <c r="B27" s="20" t="inlineStr">
        <is>
          <t>06-003</t>
        </is>
      </c>
      <c r="C27" s="23" t="inlineStr">
        <is>
          <t>الأعمال الكهربائية</t>
        </is>
      </c>
      <c r="D27" s="35" t="inlineStr">
        <is>
          <t>كابلات تغذية رئيسية نحاس معزولة</t>
        </is>
      </c>
      <c r="E27" s="20" t="inlineStr">
        <is>
          <t>م.ط</t>
        </is>
      </c>
      <c r="F27" s="36" t="n">
        <v>1800</v>
      </c>
      <c r="G27" s="36" t="n">
        <v>160</v>
      </c>
      <c r="H27" s="37">
        <f>F27*G27</f>
        <v/>
      </c>
      <c r="I27" s="38">
        <f>IF($H$106&gt;0,H27/$H$106,0)</f>
        <v/>
      </c>
    </row>
    <row r="28">
      <c r="A28" s="34">
        <f>IF(B28="","",COUNTA($B$6:B28))</f>
        <v/>
      </c>
      <c r="B28" s="20" t="inlineStr">
        <is>
          <t>06-004</t>
        </is>
      </c>
      <c r="C28" s="23" t="inlineStr">
        <is>
          <t>الأعمال الكهربائية</t>
        </is>
      </c>
      <c r="D28" s="35" t="inlineStr">
        <is>
          <t>توريد وتركيب وحدات إنارة LED</t>
        </is>
      </c>
      <c r="E28" s="20" t="inlineStr">
        <is>
          <t>عدد</t>
        </is>
      </c>
      <c r="F28" s="36" t="n">
        <v>1400</v>
      </c>
      <c r="G28" s="36" t="n">
        <v>280</v>
      </c>
      <c r="H28" s="37">
        <f>F28*G28</f>
        <v/>
      </c>
      <c r="I28" s="38">
        <f>IF($H$106&gt;0,H28/$H$106,0)</f>
        <v/>
      </c>
    </row>
    <row r="29">
      <c r="A29" s="34">
        <f>IF(B29="","",COUNTA($B$6:B29))</f>
        <v/>
      </c>
      <c r="B29" s="20" t="inlineStr">
        <is>
          <t>07-001</t>
        </is>
      </c>
      <c r="C29" s="23" t="inlineStr">
        <is>
          <t>الأعمال الصحية</t>
        </is>
      </c>
      <c r="D29" s="35" t="inlineStr">
        <is>
          <t>تمديدات تغذية مياه بمواسير PPR</t>
        </is>
      </c>
      <c r="E29" s="20" t="inlineStr">
        <is>
          <t>نقطة</t>
        </is>
      </c>
      <c r="F29" s="36" t="n">
        <v>420</v>
      </c>
      <c r="G29" s="36" t="n">
        <v>350</v>
      </c>
      <c r="H29" s="37">
        <f>F29*G29</f>
        <v/>
      </c>
      <c r="I29" s="38">
        <f>IF($H$106&gt;0,H29/$H$106,0)</f>
        <v/>
      </c>
    </row>
    <row r="30">
      <c r="A30" s="34">
        <f>IF(B30="","",COUNTA($B$6:B30))</f>
        <v/>
      </c>
      <c r="B30" s="20" t="inlineStr">
        <is>
          <t>07-002</t>
        </is>
      </c>
      <c r="C30" s="23" t="inlineStr">
        <is>
          <t>الأعمال الصحية</t>
        </is>
      </c>
      <c r="D30" s="35" t="inlineStr">
        <is>
          <t>تمديدات صرف صحي بمواسير UPVC</t>
        </is>
      </c>
      <c r="E30" s="20" t="inlineStr">
        <is>
          <t>نقطة</t>
        </is>
      </c>
      <c r="F30" s="36" t="n">
        <v>380</v>
      </c>
      <c r="G30" s="36" t="n">
        <v>300</v>
      </c>
      <c r="H30" s="37">
        <f>F30*G30</f>
        <v/>
      </c>
      <c r="I30" s="38">
        <f>IF($H$106&gt;0,H30/$H$106,0)</f>
        <v/>
      </c>
    </row>
    <row r="31">
      <c r="A31" s="34">
        <f>IF(B31="","",COUNTA($B$6:B31))</f>
        <v/>
      </c>
      <c r="B31" s="20" t="inlineStr">
        <is>
          <t>07-003</t>
        </is>
      </c>
      <c r="C31" s="23" t="inlineStr">
        <is>
          <t>الأعمال الصحية</t>
        </is>
      </c>
      <c r="D31" s="35" t="inlineStr">
        <is>
          <t>توريد وتركيب أطقم صحية كاملة</t>
        </is>
      </c>
      <c r="E31" s="20" t="inlineStr">
        <is>
          <t>طقم</t>
        </is>
      </c>
      <c r="F31" s="36" t="n">
        <v>96</v>
      </c>
      <c r="G31" s="36" t="n">
        <v>2800</v>
      </c>
      <c r="H31" s="37">
        <f>F31*G31</f>
        <v/>
      </c>
      <c r="I31" s="38">
        <f>IF($H$106&gt;0,H31/$H$106,0)</f>
        <v/>
      </c>
    </row>
    <row r="32">
      <c r="A32" s="34">
        <f>IF(B32="","",COUNTA($B$6:B32))</f>
        <v/>
      </c>
      <c r="B32" s="20" t="inlineStr">
        <is>
          <t>08-001</t>
        </is>
      </c>
      <c r="C32" s="23" t="inlineStr">
        <is>
          <t>أعمال التكييف</t>
        </is>
      </c>
      <c r="D32" s="35" t="inlineStr">
        <is>
          <t>توريد وتركيب وحدات تكييف سبليت</t>
        </is>
      </c>
      <c r="E32" s="20" t="inlineStr">
        <is>
          <t>عدد</t>
        </is>
      </c>
      <c r="F32" s="36" t="n">
        <v>120</v>
      </c>
      <c r="G32" s="36" t="n">
        <v>4200</v>
      </c>
      <c r="H32" s="37">
        <f>F32*G32</f>
        <v/>
      </c>
      <c r="I32" s="38">
        <f>IF($H$106&gt;0,H32/$H$106,0)</f>
        <v/>
      </c>
    </row>
    <row r="33">
      <c r="A33" s="34">
        <f>IF(B33="","",COUNTA($B$6:B33))</f>
        <v/>
      </c>
      <c r="B33" s="20" t="inlineStr">
        <is>
          <t>08-002</t>
        </is>
      </c>
      <c r="C33" s="23" t="inlineStr">
        <is>
          <t>أعمال التكييف</t>
        </is>
      </c>
      <c r="D33" s="35" t="inlineStr">
        <is>
          <t>مجاري هواء صاج مجلفن معزولة</t>
        </is>
      </c>
      <c r="E33" s="20" t="inlineStr">
        <is>
          <t>م2</t>
        </is>
      </c>
      <c r="F33" s="36" t="n">
        <v>2600</v>
      </c>
      <c r="G33" s="36" t="n">
        <v>220</v>
      </c>
      <c r="H33" s="37">
        <f>F33*G33</f>
        <v/>
      </c>
      <c r="I33" s="38">
        <f>IF($H$106&gt;0,H33/$H$106,0)</f>
        <v/>
      </c>
    </row>
    <row r="34">
      <c r="A34" s="34">
        <f>IF(B34="","",COUNTA($B$6:B34))</f>
        <v/>
      </c>
      <c r="B34" s="20" t="inlineStr">
        <is>
          <t>09-001</t>
        </is>
      </c>
      <c r="C34" s="23" t="inlineStr">
        <is>
          <t>أعمال الموقع العام</t>
        </is>
      </c>
      <c r="D34" s="35" t="inlineStr">
        <is>
          <t>بردورات وأرصفة خرسانية</t>
        </is>
      </c>
      <c r="E34" s="20" t="inlineStr">
        <is>
          <t>م.ط</t>
        </is>
      </c>
      <c r="F34" s="36" t="n">
        <v>1200</v>
      </c>
      <c r="G34" s="36" t="n">
        <v>85</v>
      </c>
      <c r="H34" s="37">
        <f>F34*G34</f>
        <v/>
      </c>
      <c r="I34" s="38">
        <f>IF($H$106&gt;0,H34/$H$106,0)</f>
        <v/>
      </c>
    </row>
    <row r="35">
      <c r="A35" s="34">
        <f>IF(B35="","",COUNTA($B$6:B35))</f>
        <v/>
      </c>
      <c r="B35" s="20" t="inlineStr">
        <is>
          <t>09-002</t>
        </is>
      </c>
      <c r="C35" s="23" t="inlineStr">
        <is>
          <t>أعمال الموقع العام</t>
        </is>
      </c>
      <c r="D35" s="35" t="inlineStr">
        <is>
          <t>أعمال بلاط متداخل (إنترلوك) سماكة 8 سم</t>
        </is>
      </c>
      <c r="E35" s="20" t="inlineStr">
        <is>
          <t>م2</t>
        </is>
      </c>
      <c r="F35" s="36" t="n">
        <v>3500</v>
      </c>
      <c r="G35" s="36" t="n">
        <v>70</v>
      </c>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inlineStr">
        <is>
          <t>VO-01</t>
        </is>
      </c>
      <c r="C6" s="24" t="n">
        <v>46160</v>
      </c>
      <c r="D6" s="35" t="inlineStr">
        <is>
          <t>إضافة غرفة محولات ولوحة جهد متوسط خارجية</t>
        </is>
      </c>
      <c r="E6" s="20" t="inlineStr">
        <is>
          <t>إضافة</t>
        </is>
      </c>
      <c r="F6" s="43" t="n">
        <v>250000</v>
      </c>
      <c r="G6" s="44">
        <f>IF(E6="خصم",-1,1)*N(F6)</f>
        <v/>
      </c>
      <c r="H6" s="20" t="inlineStr">
        <is>
          <t>معتمد</t>
        </is>
      </c>
      <c r="I6" s="43" t="n">
        <v>250000</v>
      </c>
      <c r="J6" s="44">
        <f>IF(E6="خصم",-1,1)*N(I6)</f>
        <v/>
      </c>
      <c r="K6" s="25" t="n">
        <v>4</v>
      </c>
      <c r="L6" s="45" t="n"/>
    </row>
    <row r="7">
      <c r="A7" s="34">
        <f>IF(B7="","",COUNTA($B$6:B7))</f>
        <v/>
      </c>
      <c r="B7" s="20" t="inlineStr">
        <is>
          <t>VO-02</t>
        </is>
      </c>
      <c r="C7" s="24" t="n">
        <v>46205</v>
      </c>
      <c r="D7" s="35" t="inlineStr">
        <is>
          <t>تعديل مواصفة البورسلين بموافقة المالك</t>
        </is>
      </c>
      <c r="E7" s="20" t="inlineStr">
        <is>
          <t>خصم</t>
        </is>
      </c>
      <c r="F7" s="43" t="n">
        <v>64000</v>
      </c>
      <c r="G7" s="44">
        <f>IF(E7="خصم",-1,1)*N(F7)</f>
        <v/>
      </c>
      <c r="H7" s="20" t="inlineStr">
        <is>
          <t>معتمد</t>
        </is>
      </c>
      <c r="I7" s="43" t="n">
        <v>64000</v>
      </c>
      <c r="J7" s="44">
        <f>IF(E7="خصم",-1,1)*N(I7)</f>
        <v/>
      </c>
      <c r="K7" s="25" t="n">
        <v>5</v>
      </c>
      <c r="L7" s="45" t="n"/>
    </row>
    <row r="8">
      <c r="A8" s="34">
        <f>IF(B8="","",COUNTA($B$6:B8))</f>
        <v/>
      </c>
      <c r="B8" s="20" t="inlineStr">
        <is>
          <t>VO-03</t>
        </is>
      </c>
      <c r="C8" s="24" t="n">
        <v>46259</v>
      </c>
      <c r="D8" s="35" t="inlineStr">
        <is>
          <t>أعمال تنسيق موقع وزراعة إضافية</t>
        </is>
      </c>
      <c r="E8" s="20" t="inlineStr">
        <is>
          <t>إضافة</t>
        </is>
      </c>
      <c r="F8" s="43" t="n">
        <v>180000</v>
      </c>
      <c r="G8" s="44">
        <f>IF(E8="خصم",-1,1)*N(F8)</f>
        <v/>
      </c>
      <c r="H8" s="20" t="inlineStr">
        <is>
          <t>قيد الدراسة</t>
        </is>
      </c>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inlineStr">
        <is>
          <t>TD-01</t>
        </is>
      </c>
      <c r="C6" s="24" t="n">
        <v>46145</v>
      </c>
      <c r="D6" s="25" t="n">
        <v>2</v>
      </c>
      <c r="E6" s="20" t="inlineStr">
        <is>
          <t>02-002</t>
        </is>
      </c>
      <c r="F6" s="48">
        <f>IF(E6="","",IFERROR(INDEX('جدول الكميات'!$D$6:$D$105,MATCH(E6,'جدول الكميات'!$B$6:$B$105,0)),"⚠ كود غير موجود"))</f>
        <v/>
      </c>
      <c r="G6" s="35" t="inlineStr">
        <is>
          <t>تعشيش في خرسانة بعض القواعد يلزم معالجته</t>
        </is>
      </c>
      <c r="H6" s="20" t="inlineStr">
        <is>
          <t>أعمال غير مطابقة</t>
        </is>
      </c>
      <c r="I6" s="43" t="n">
        <v>17000</v>
      </c>
      <c r="J6" s="20" t="inlineStr">
        <is>
          <t>نعم</t>
        </is>
      </c>
      <c r="K6" s="25" t="n">
        <v>4</v>
      </c>
      <c r="L6" s="49">
        <f>IF(J6="نعم",0,N(I6))</f>
        <v/>
      </c>
      <c r="M6" s="45" t="n"/>
    </row>
    <row r="7">
      <c r="A7" s="34">
        <f>IF(B7="","",COUNTA($B$6:B7))</f>
        <v/>
      </c>
      <c r="B7" s="20" t="inlineStr">
        <is>
          <t>TD-02</t>
        </is>
      </c>
      <c r="C7" s="24" t="n">
        <v>46177</v>
      </c>
      <c r="D7" s="25" t="n">
        <v>3</v>
      </c>
      <c r="E7" s="20" t="inlineStr">
        <is>
          <t>04-001</t>
        </is>
      </c>
      <c r="F7" s="48">
        <f>IF(E7="","",IFERROR(INDEX('جدول الكميات'!$D$6:$D$105,MATCH(E7,'جدول الكميات'!$B$6:$B$105,0)),"⚠ كود غير موجود"))</f>
        <v/>
      </c>
      <c r="G7" s="35" t="inlineStr">
        <is>
          <t>عدم تقديم نتائج اختبار التصاق العزل</t>
        </is>
      </c>
      <c r="H7" s="20" t="inlineStr">
        <is>
          <t>اختبارات غير مستكملة</t>
        </is>
      </c>
      <c r="I7" s="43" t="n">
        <v>8000</v>
      </c>
      <c r="J7" s="20" t="inlineStr">
        <is>
          <t>لا</t>
        </is>
      </c>
      <c r="K7" s="25" t="n"/>
      <c r="L7" s="49">
        <f>IF(J7="نعم",0,N(I7))</f>
        <v/>
      </c>
      <c r="M7" s="45" t="n"/>
    </row>
    <row r="8">
      <c r="A8" s="34">
        <f>IF(B8="","",COUNTA($B$6:B8))</f>
        <v/>
      </c>
      <c r="B8" s="20" t="inlineStr">
        <is>
          <t>TD-03</t>
        </is>
      </c>
      <c r="C8" s="24" t="n">
        <v>46238</v>
      </c>
      <c r="D8" s="25" t="n">
        <v>5</v>
      </c>
      <c r="E8" s="20" t="inlineStr">
        <is>
          <t>02-004</t>
        </is>
      </c>
      <c r="F8" s="48">
        <f>IF(E8="","",IFERROR(INDEX('جدول الكميات'!$D$6:$D$105,MATCH(E8,'جدول الكميات'!$B$6:$B$105,0)),"⚠ كود غير موجود"))</f>
        <v/>
      </c>
      <c r="G8" s="35" t="inlineStr">
        <is>
          <t>ملاحظات على استواء أسطح بلاطات الدور الأول</t>
        </is>
      </c>
      <c r="H8" s="20" t="inlineStr">
        <is>
          <t>ملاحظات فنية</t>
        </is>
      </c>
      <c r="I8" s="43" t="n">
        <v>24000</v>
      </c>
      <c r="J8" s="20" t="inlineStr">
        <is>
          <t>لا</t>
        </is>
      </c>
      <c r="K8" s="25" t="n"/>
      <c r="L8" s="49">
        <f>IF(J8="نعم",0,N(I8))</f>
        <v/>
      </c>
      <c r="M8" s="45" t="n"/>
    </row>
    <row r="9">
      <c r="A9" s="34">
        <f>IF(B9="","",COUNTA($B$6:B9))</f>
        <v/>
      </c>
      <c r="B9" s="20" t="inlineStr">
        <is>
          <t>TD-04</t>
        </is>
      </c>
      <c r="C9" s="24" t="n">
        <v>46268</v>
      </c>
      <c r="D9" s="25" t="n">
        <v>6</v>
      </c>
      <c r="E9" s="20" t="inlineStr">
        <is>
          <t>03-001</t>
        </is>
      </c>
      <c r="F9" s="48">
        <f>IF(E9="","",IFERROR(INDEX('جدول الكميات'!$D$6:$D$105,MATCH(E9,'جدول الكميات'!$B$6:$B$105,0)),"⚠ كود غير موجود"))</f>
        <v/>
      </c>
      <c r="G9" s="35" t="inlineStr">
        <is>
          <t>مباني بلوك غير مطابقة للمواصفات (عدم ضبط الرأسية)</t>
        </is>
      </c>
      <c r="H9" s="20" t="inlineStr">
        <is>
          <t>أعمال غير مطابقة</t>
        </is>
      </c>
      <c r="I9" s="43" t="n">
        <v>13000</v>
      </c>
      <c r="J9" s="20" t="inlineStr">
        <is>
          <t>لا</t>
        </is>
      </c>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v>33600</v>
      </c>
      <c r="F11" s="56" t="n">
        <v>33600</v>
      </c>
      <c r="G11" s="56" t="n">
        <v>44800</v>
      </c>
      <c r="H11" s="56" t="n">
        <v>100800</v>
      </c>
      <c r="I11" s="56" t="n">
        <v>11200</v>
      </c>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v>2153500</v>
      </c>
      <c r="F12" s="56" t="n">
        <v>783100</v>
      </c>
      <c r="G12" s="56" t="n">
        <v>391600</v>
      </c>
      <c r="H12" s="56" t="n">
        <v>391600</v>
      </c>
      <c r="I12" s="56" t="n">
        <v>195800</v>
      </c>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v>328400</v>
      </c>
      <c r="F13" s="56" t="n">
        <v>229900</v>
      </c>
      <c r="G13" s="56" t="n">
        <v>32800</v>
      </c>
      <c r="H13" s="56" t="n">
        <v>19700</v>
      </c>
      <c r="I13" s="56" t="n">
        <v>46000</v>
      </c>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v>117000</v>
      </c>
      <c r="F14" s="56" t="n">
        <v>46800</v>
      </c>
      <c r="G14" s="56" t="n">
        <v>58500</v>
      </c>
      <c r="H14" s="56" t="n"/>
      <c r="I14" s="56" t="n">
        <v>11700</v>
      </c>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v>1664600</v>
      </c>
      <c r="F15" s="56" t="n">
        <v>832300</v>
      </c>
      <c r="G15" s="56" t="n">
        <v>599300</v>
      </c>
      <c r="H15" s="56" t="n">
        <v>66600</v>
      </c>
      <c r="I15" s="56" t="n">
        <v>166500</v>
      </c>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v>400200</v>
      </c>
      <c r="F16" s="56" t="n">
        <v>100000</v>
      </c>
      <c r="G16" s="56" t="n">
        <v>450200</v>
      </c>
      <c r="H16" s="56" t="n"/>
      <c r="I16" s="56" t="n">
        <v>50000</v>
      </c>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v>165300</v>
      </c>
      <c r="F17" s="56" t="n">
        <v>41300</v>
      </c>
      <c r="G17" s="56" t="n">
        <v>186000</v>
      </c>
      <c r="H17" s="56" t="n"/>
      <c r="I17" s="56" t="n">
        <v>20700</v>
      </c>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v>387400</v>
      </c>
      <c r="F18" s="56" t="n">
        <v>43000</v>
      </c>
      <c r="G18" s="56" t="n">
        <v>387400</v>
      </c>
      <c r="H18" s="56" t="n"/>
      <c r="I18" s="56" t="n">
        <v>43000</v>
      </c>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v>113800</v>
      </c>
      <c r="F19" s="56" t="n">
        <v>56900</v>
      </c>
      <c r="G19" s="56" t="n">
        <v>56900</v>
      </c>
      <c r="H19" s="56" t="n">
        <v>42700</v>
      </c>
      <c r="I19" s="56" t="n">
        <v>14200</v>
      </c>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v>65629.71000000001</v>
      </c>
      <c r="E31" s="56" t="n">
        <v>26499.01</v>
      </c>
      <c r="F31" s="56" t="n">
        <v>27000.76</v>
      </c>
      <c r="G31" s="56" t="n">
        <v>7632.7</v>
      </c>
      <c r="H31" s="56" t="n">
        <v>6837.14</v>
      </c>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v>305101.85</v>
      </c>
      <c r="E32" s="56" t="n">
        <v>123189.6</v>
      </c>
      <c r="F32" s="56" t="n">
        <v>125522.17</v>
      </c>
      <c r="G32" s="56" t="n">
        <v>35483.17</v>
      </c>
      <c r="H32" s="56" t="n">
        <v>31784.77</v>
      </c>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v>308771.43</v>
      </c>
      <c r="E33" s="56" t="n">
        <v>124671.25</v>
      </c>
      <c r="F33" s="56" t="n">
        <v>127031.87</v>
      </c>
      <c r="G33" s="56" t="n">
        <v>35909.95</v>
      </c>
      <c r="H33" s="56" t="n">
        <v>32167.06</v>
      </c>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v>278313.98</v>
      </c>
      <c r="E34" s="56" t="n">
        <v>112373.58</v>
      </c>
      <c r="F34" s="56" t="n">
        <v>114501.35</v>
      </c>
      <c r="G34" s="56" t="n">
        <v>32367.76</v>
      </c>
      <c r="H34" s="56" t="n">
        <v>28994.08</v>
      </c>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v>278313.91</v>
      </c>
      <c r="E35" s="56" t="n">
        <v>112373.55</v>
      </c>
      <c r="F35" s="56" t="n">
        <v>114501.32</v>
      </c>
      <c r="G35" s="56" t="n">
        <v>32367.75</v>
      </c>
      <c r="H35" s="56" t="n">
        <v>28994.07</v>
      </c>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v>311906.57</v>
      </c>
      <c r="E36" s="56" t="n">
        <v>125937.11</v>
      </c>
      <c r="F36" s="56" t="n">
        <v>128321.7</v>
      </c>
      <c r="G36" s="56" t="n">
        <v>36274.56</v>
      </c>
      <c r="H36" s="56" t="n">
        <v>32493.67</v>
      </c>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01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46082</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46112</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46117</v>
      </c>
      <c r="K8" s="24" t="n"/>
      <c r="L8" s="97" t="n">
        <v>0.0109</v>
      </c>
      <c r="M8" s="30" t="n"/>
    </row>
    <row r="9">
      <c r="B9" s="52" t="inlineStr">
        <is>
          <t>الاستشاري</t>
        </is>
      </c>
      <c r="C9" s="95">
        <f>'بيانات العقد'!C8</f>
        <v/>
      </c>
      <c r="D9" s="95" t="n"/>
      <c r="E9" s="95" t="n"/>
      <c r="F9" s="95" t="n"/>
      <c r="G9" s="95" t="n"/>
      <c r="H9" s="52" t="inlineStr">
        <is>
          <t>تاريخ الاعتماد</t>
        </is>
      </c>
      <c r="I9" s="52" t="n"/>
      <c r="J9" s="24" t="n">
        <v>46133</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145872.76</v>
      </c>
      <c r="F15" s="43" t="n"/>
      <c r="H15" s="52" t="inlineStr">
        <is>
          <t>تاريخ التحصيل</t>
        </is>
      </c>
      <c r="I15" s="52" t="n"/>
      <c r="J15" s="52" t="n"/>
      <c r="K15" s="24" t="n">
        <v>46165</v>
      </c>
      <c r="L15" s="24" t="n"/>
      <c r="M15" s="24" t="n"/>
    </row>
    <row r="16" ht="20" customHeight="1">
      <c r="B16" s="52" t="inlineStr">
        <is>
          <t>رقم الفاتورة الضريبية (من نظام الفوترة الإلكترونية)</t>
        </is>
      </c>
      <c r="C16" s="52" t="n"/>
      <c r="D16" s="52" t="n"/>
      <c r="E16" s="31" t="inlineStr">
        <is>
          <t>INV-2026-01001</t>
        </is>
      </c>
      <c r="F16" s="31" t="n"/>
      <c r="H16" s="52" t="inlineStr">
        <is>
          <t>تاريخ الفاتورة الضريبية</t>
        </is>
      </c>
      <c r="I16" s="52" t="n"/>
      <c r="J16" s="52" t="n"/>
      <c r="K16" s="24" t="n">
        <v>46133</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v>1500</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v>733.33</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v>600</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v>5.07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v>12.67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v>22</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46113</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46142</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46147</v>
      </c>
      <c r="K8" s="24" t="n"/>
      <c r="L8" s="97" t="n">
        <v>0.0618</v>
      </c>
      <c r="M8" s="30" t="n"/>
    </row>
    <row r="9">
      <c r="B9" s="52" t="inlineStr">
        <is>
          <t>الاستشاري</t>
        </is>
      </c>
      <c r="C9" s="95">
        <f>'بيانات العقد'!C8</f>
        <v/>
      </c>
      <c r="D9" s="95" t="n"/>
      <c r="E9" s="95" t="n"/>
      <c r="F9" s="95" t="n"/>
      <c r="G9" s="95" t="n"/>
      <c r="H9" s="52" t="inlineStr">
        <is>
          <t>تاريخ الاعتماد</t>
        </is>
      </c>
      <c r="I9" s="52" t="n"/>
      <c r="J9" s="24" t="n">
        <v>46164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90000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753088.75</v>
      </c>
      <c r="F15" s="43" t="n"/>
      <c r="H15" s="52" t="inlineStr">
        <is>
          <t>تاريخ التحصيل</t>
        </is>
      </c>
      <c r="I15" s="52" t="n"/>
      <c r="J15" s="52" t="n"/>
      <c r="K15" s="24" t="n">
        <v>46203</v>
      </c>
      <c r="L15" s="24" t="n"/>
      <c r="M15" s="24" t="n"/>
    </row>
    <row r="16" ht="20" customHeight="1">
      <c r="B16" s="52" t="inlineStr">
        <is>
          <t>رقم الفاتورة الضريبية (من نظام الفوترة الإلكترونية)</t>
        </is>
      </c>
      <c r="C16" s="52" t="n"/>
      <c r="D16" s="52" t="n"/>
      <c r="E16" s="31" t="inlineStr">
        <is>
          <t>INV-2026-01002</t>
        </is>
      </c>
      <c r="F16" s="31" t="n"/>
      <c r="H16" s="52" t="inlineStr">
        <is>
          <t>تاريخ الفاتورة الضريبية</t>
        </is>
      </c>
      <c r="I16" s="52" t="n"/>
      <c r="J16" s="52" t="n"/>
      <c r="K16" s="24" t="n">
        <v>46164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v>1500</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v>733.33</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v>600</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v>50.67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v>126.67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v>220</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46143</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46173</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46178</v>
      </c>
      <c r="K8" s="24" t="n"/>
      <c r="L8" s="97" t="n">
        <v>0.1133</v>
      </c>
      <c r="M8" s="30" t="n"/>
    </row>
    <row r="9">
      <c r="B9" s="52" t="inlineStr">
        <is>
          <t>الاستشاري</t>
        </is>
      </c>
      <c r="C9" s="95">
        <f>'بيانات العقد'!C8</f>
        <v/>
      </c>
      <c r="D9" s="95" t="n"/>
      <c r="E9" s="95" t="n"/>
      <c r="F9" s="95" t="n"/>
      <c r="G9" s="95" t="n"/>
      <c r="H9" s="52" t="inlineStr">
        <is>
          <t>تاريخ الاعتماد</t>
        </is>
      </c>
      <c r="I9" s="52" t="n"/>
      <c r="J9" s="24" t="n">
        <v>46193</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180000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771595.01</v>
      </c>
      <c r="F15" s="43" t="n"/>
      <c r="H15" s="52" t="inlineStr">
        <is>
          <t>تاريخ التحصيل</t>
        </is>
      </c>
      <c r="I15" s="52" t="n"/>
      <c r="J15" s="52" t="n"/>
      <c r="K15" s="24" t="n">
        <v>46223</v>
      </c>
      <c r="L15" s="24" t="n"/>
      <c r="M15" s="24" t="n"/>
    </row>
    <row r="16" ht="20" customHeight="1">
      <c r="B16" s="52" t="inlineStr">
        <is>
          <t>رقم الفاتورة الضريبية (من نظام الفوترة الإلكترونية)</t>
        </is>
      </c>
      <c r="C16" s="52" t="n"/>
      <c r="D16" s="52" t="n"/>
      <c r="E16" s="31" t="inlineStr">
        <is>
          <t>INV-2026-01003</t>
        </is>
      </c>
      <c r="F16" s="31" t="n"/>
      <c r="H16" s="52" t="inlineStr">
        <is>
          <t>تاريخ الفاتورة الضريبية</t>
        </is>
      </c>
      <c r="I16" s="52" t="n"/>
      <c r="J16" s="52" t="n"/>
      <c r="K16" s="24" t="n">
        <v>46193</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v>1500</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v>733.33</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v>600</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v>50.67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v>126.67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v>220</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v>72</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v>57</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46174</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46203</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46208</v>
      </c>
      <c r="K8" s="24" t="n"/>
      <c r="L8" s="97" t="n">
        <v>0.1613</v>
      </c>
      <c r="M8" s="30" t="n"/>
    </row>
    <row r="9">
      <c r="B9" s="52" t="inlineStr">
        <is>
          <t>الاستشاري</t>
        </is>
      </c>
      <c r="C9" s="95">
        <f>'بيانات العقد'!C8</f>
        <v/>
      </c>
      <c r="D9" s="95" t="n"/>
      <c r="E9" s="95" t="n"/>
      <c r="F9" s="95" t="n"/>
      <c r="G9" s="95" t="n"/>
      <c r="H9" s="52" t="inlineStr">
        <is>
          <t>تاريخ الاعتماد</t>
        </is>
      </c>
      <c r="I9" s="52" t="n"/>
      <c r="J9" s="24" t="n">
        <v>46224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120000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801710.84</v>
      </c>
      <c r="F15" s="43" t="n"/>
      <c r="H15" s="52" t="inlineStr">
        <is>
          <t>تاريخ التحصيل</t>
        </is>
      </c>
      <c r="I15" s="52" t="n"/>
      <c r="J15" s="52" t="n"/>
      <c r="K15" s="24" t="n">
        <v>46261</v>
      </c>
      <c r="L15" s="24" t="n"/>
      <c r="M15" s="24" t="n"/>
    </row>
    <row r="16" ht="20" customHeight="1">
      <c r="B16" s="52" t="inlineStr">
        <is>
          <t>رقم الفاتورة الضريبية (من نظام الفوترة الإلكترونية)</t>
        </is>
      </c>
      <c r="C16" s="52" t="n"/>
      <c r="D16" s="52" t="n"/>
      <c r="E16" s="31" t="inlineStr">
        <is>
          <t>INV-2026-01004</t>
        </is>
      </c>
      <c r="F16" s="31" t="n"/>
      <c r="H16" s="52" t="inlineStr">
        <is>
          <t>تاريخ الفاتورة الضريبية</t>
        </is>
      </c>
      <c r="I16" s="52" t="n"/>
      <c r="J16" s="52" t="n"/>
      <c r="K16" s="24" t="n">
        <v>46224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v>0.01</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v>50.67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v>126.67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v>220</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v>240</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v>190</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46204</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46234</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46239</v>
      </c>
      <c r="K8" s="24" t="n"/>
      <c r="L8" s="97" t="n">
        <v>0.2077</v>
      </c>
      <c r="M8" s="30" t="n"/>
    </row>
    <row r="9">
      <c r="B9" s="52" t="inlineStr">
        <is>
          <t>الاستشاري</t>
        </is>
      </c>
      <c r="C9" s="95">
        <f>'بيانات العقد'!C8</f>
        <v/>
      </c>
      <c r="D9" s="95" t="n"/>
      <c r="E9" s="95" t="n"/>
      <c r="F9" s="95" t="n"/>
      <c r="G9" s="95" t="n"/>
      <c r="H9" s="52" t="inlineStr">
        <is>
          <t>تاريخ الاعتماد</t>
        </is>
      </c>
      <c r="I9" s="52" t="n"/>
      <c r="J9" s="24" t="n">
        <v>46256</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220000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v>5000</v>
      </c>
      <c r="F14" s="43" t="n"/>
      <c r="H14" s="52" t="inlineStr">
        <is>
          <t>سبب الغرامة / الخصم</t>
        </is>
      </c>
      <c r="I14" s="52" t="n"/>
      <c r="J14" s="52" t="n"/>
      <c r="K14" s="20" t="inlineStr">
        <is>
          <t>مخالفة اشتراطات السلامة بالموقع</t>
        </is>
      </c>
      <c r="L14" s="20" t="n"/>
      <c r="M14" s="20" t="n"/>
    </row>
    <row r="15" ht="20" customHeight="1">
      <c r="B15" s="52" t="inlineStr">
        <is>
          <t>المبلغ المحصل من هذا المستخلص</t>
        </is>
      </c>
      <c r="C15" s="52" t="n"/>
      <c r="D15" s="52" t="n"/>
      <c r="E15" s="43" t="n">
        <v>380000</v>
      </c>
      <c r="F15" s="43" t="n"/>
      <c r="H15" s="52" t="inlineStr">
        <is>
          <t>تاريخ التحصيل</t>
        </is>
      </c>
      <c r="I15" s="52" t="n"/>
      <c r="J15" s="52" t="n"/>
      <c r="K15" s="24" t="n">
        <v>46284</v>
      </c>
      <c r="L15" s="24" t="n"/>
      <c r="M15" s="24" t="n"/>
    </row>
    <row r="16" ht="20" customHeight="1">
      <c r="B16" s="52" t="inlineStr">
        <is>
          <t>رقم الفاتورة الضريبية (من نظام الفوترة الإلكترونية)</t>
        </is>
      </c>
      <c r="C16" s="52" t="n"/>
      <c r="D16" s="52" t="n"/>
      <c r="E16" s="31" t="inlineStr">
        <is>
          <t>INV-2026-01005</t>
        </is>
      </c>
      <c r="F16" s="31" t="n"/>
      <c r="H16" s="52" t="inlineStr">
        <is>
          <t>تاريخ الفاتورة الضريبية</t>
        </is>
      </c>
      <c r="I16" s="52" t="n"/>
      <c r="J16" s="52" t="n"/>
      <c r="K16" s="24" t="n">
        <v>46256</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v>50.67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v>126.67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v>220</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v>240</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v>190</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46235</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46265</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46270</v>
      </c>
      <c r="K8" s="24" t="n"/>
      <c r="L8" s="97" t="n">
        <v>0.2597</v>
      </c>
      <c r="M8" s="30" t="n"/>
    </row>
    <row r="9">
      <c r="B9" s="52" t="inlineStr">
        <is>
          <t>الاستشاري</t>
        </is>
      </c>
      <c r="C9" s="95">
        <f>'بيانات العقد'!C8</f>
        <v/>
      </c>
      <c r="D9" s="95" t="n"/>
      <c r="E9" s="95" t="n"/>
      <c r="F9" s="95" t="n"/>
      <c r="G9" s="95" t="n"/>
      <c r="H9" s="52" t="inlineStr">
        <is>
          <t>تاريخ الاعتماد</t>
        </is>
      </c>
      <c r="I9" s="52" t="n"/>
      <c r="J9" s="24" t="n">
        <v>46285</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150000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inlineStr">
        <is>
          <t>INV-2026-01006</t>
        </is>
      </c>
      <c r="F16" s="31" t="n"/>
      <c r="H16" s="52" t="inlineStr">
        <is>
          <t>تاريخ الفاتورة الضريبية</t>
        </is>
      </c>
      <c r="I16" s="52" t="n"/>
      <c r="J16" s="52" t="n"/>
      <c r="K16" s="24" t="n">
        <v>46285</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v>50.67</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v>126.67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v>56</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v>220</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v>64</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v>802.29</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v>370.29</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v>240</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v>190</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0.3238</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0.3915</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0.4897</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0.5469000000000001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0.6066</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0.6736</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0.7341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0.7935</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0.8561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0.9216</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0.9871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2026-10-01T21:02:57Z</dcterms:created>
  <dcterms:modified xsi:type="dcterms:W3CDTF">2026-10-01T21:03:02Z</dcterms:modified>
</cp:coreProperties>
</file>