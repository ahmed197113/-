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yyyy/mm/dd"/>
    <numFmt numFmtId="166" formatCode="#,##0.00;[Red](#,##0.00);&quot;-&quot;"/>
    <numFmt numFmtId="167" formatCode="0.0%;[Red]-0.0%;&quot;-&quot;"/>
    <numFmt numFmtId="168" formatCode="#,##0.00;[Red]-#,##0.00;;@"/>
    <numFmt numFmtId="169" formatCode="0.00%;-0.00%;;@"/>
    <numFmt numFmtId="170" formatCode="&quot;مستخلص رقم &quot;0"/>
    <numFmt numFmtId="171" formatCode="B2yyyy/mm/dd"/>
    <numFmt numFmtId="172" formatCode="0.0%;[Red]-0.0%;;@"/>
    <numFmt numFmtId="173" formatCode="&quot;مستخلص &quot;0"/>
    <numFmt numFmtId="174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5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6" fontId="7" fillId="8" borderId="2" applyAlignment="1" pivotButton="0" quotePrefix="0" xfId="0">
      <alignment horizontal="center" vertical="center" readingOrder="2"/>
    </xf>
    <xf numFmtId="166" fontId="4" fillId="8" borderId="2" applyAlignment="1" pivotButton="0" quotePrefix="0" xfId="0">
      <alignment horizontal="center" vertical="center" readingOrder="2"/>
    </xf>
    <xf numFmtId="167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8" fontId="5" fillId="7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169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167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6" fontId="5" fillId="7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6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6" fontId="4" fillId="0" borderId="2" applyAlignment="1" pivotButton="0" quotePrefix="0" xfId="0">
      <alignment horizontal="center" vertical="center" readingOrder="2"/>
    </xf>
    <xf numFmtId="166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3" fontId="12" fillId="6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6" fontId="4" fillId="9" borderId="2" applyAlignment="1" pivotButton="0" quotePrefix="0" xfId="0">
      <alignment horizontal="center" vertical="center" readingOrder="2"/>
    </xf>
    <xf numFmtId="174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7" fontId="3" fillId="2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74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7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70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7" fontId="15" fillId="0" borderId="2" applyAlignment="1" pivotButton="0" quotePrefix="0" xfId="0">
      <alignment horizontal="center" vertical="center" readingOrder="2"/>
    </xf>
    <xf numFmtId="167" fontId="16" fillId="7" borderId="2" applyAlignment="1" pivotButton="0" quotePrefix="0" xfId="0">
      <alignment horizontal="center" vertical="center" readingOrder="2"/>
    </xf>
    <xf numFmtId="166" fontId="7" fillId="0" borderId="2" applyAlignment="1" pivotButton="0" quotePrefix="0" xfId="0">
      <alignment horizontal="center" vertical="center" readingOrder="2"/>
    </xf>
    <xf numFmtId="171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6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6" fontId="17" fillId="0" borderId="2" applyAlignment="1" pivotButton="0" quotePrefix="0" xfId="0">
      <alignment horizontal="center" vertical="center" readingOrder="2"/>
    </xf>
    <xf numFmtId="166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6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6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6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8" fontId="27" fillId="0" borderId="2" applyAlignment="1" pivotButton="0" quotePrefix="0" xfId="0">
      <alignment horizontal="center" vertical="center" readingOrder="2"/>
    </xf>
    <xf numFmtId="168" fontId="11" fillId="0" borderId="2" applyAlignment="1" pivotButton="0" quotePrefix="0" xfId="0">
      <alignment horizontal="center" vertical="center" readingOrder="2"/>
    </xf>
    <xf numFmtId="168" fontId="28" fillId="0" borderId="2" applyAlignment="1" pivotButton="0" quotePrefix="0" xfId="0">
      <alignment horizontal="center" vertical="center" readingOrder="2"/>
    </xf>
    <xf numFmtId="172" fontId="28" fillId="0" borderId="2" applyAlignment="1" pivotButton="0" quotePrefix="0" xfId="0">
      <alignment horizontal="center" vertical="center" readingOrder="2"/>
    </xf>
    <xf numFmtId="168" fontId="29" fillId="9" borderId="2" applyAlignment="1" pivotButton="0" quotePrefix="0" xfId="0">
      <alignment horizontal="center" vertical="center" readingOrder="2"/>
    </xf>
    <xf numFmtId="166" fontId="11" fillId="0" borderId="2" applyAlignment="1" pivotButton="0" quotePrefix="0" xfId="0">
      <alignment horizontal="center" vertical="center" readingOrder="2"/>
    </xf>
    <xf numFmtId="166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01 — 20 مستخلص مترابط</t>
        </is>
      </c>
      <c r="C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«IPC_Project_01.xlsx» داخل فولدر «Project_01»،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01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inlineStr">
        <is>
          <t>مشروع إنشاء مبنى إداري - الرياض</t>
        </is>
      </c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inlineStr">
        <is>
          <t>CT-2026-014</t>
        </is>
      </c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inlineStr">
        <is>
          <t>شركة رؤية للتطوير العقاري</t>
        </is>
      </c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inlineStr">
        <is>
          <t>مكتب البنيان للاستشارات الهندسية</t>
        </is>
      </c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inlineStr">
        <is>
          <t>شركة البناء الحديث للمقاولات</t>
        </is>
      </c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>
        <v>46068</v>
      </c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>
        <v>46082</v>
      </c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>
        <v>18</v>
      </c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>
        <v>46091</v>
      </c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inlineStr">
        <is>
          <t>خاص - FIDIC</t>
        </is>
      </c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inlineStr">
        <is>
          <t>310123456700003</t>
        </is>
      </c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inlineStr">
        <is>
          <t>1010123456</t>
        </is>
      </c>
      <c r="D38" s="20" t="inlineStr"/>
    </row>
    <row r="39">
      <c r="B39" s="18" t="inlineStr">
        <is>
          <t>الرقم الضريبي لصاحب العمل</t>
        </is>
      </c>
      <c r="C39" s="30" t="inlineStr">
        <is>
          <t>300987654300003</t>
        </is>
      </c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>
        <v>46997</v>
      </c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>
        <v>46446</v>
      </c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inlineStr">
        <is>
          <t>01-001</t>
        </is>
      </c>
      <c r="C6" s="22" t="inlineStr">
        <is>
          <t>أعمال الحفر والردم</t>
        </is>
      </c>
      <c r="D6" s="34" t="inlineStr">
        <is>
          <t>حفر عام للأساسات حتى المنسوب التصميمي مع نقل الناتج خارج الموقع</t>
        </is>
      </c>
      <c r="E6" s="19" t="inlineStr">
        <is>
          <t>م3</t>
        </is>
      </c>
      <c r="F6" s="35" t="n">
        <v>4500</v>
      </c>
      <c r="G6" s="35" t="n">
        <v>25</v>
      </c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inlineStr">
        <is>
          <t>01-002</t>
        </is>
      </c>
      <c r="C7" s="22" t="inlineStr">
        <is>
          <t>أعمال الحفر والردم</t>
        </is>
      </c>
      <c r="D7" s="34" t="inlineStr">
        <is>
          <t>ردم بالتربة المختارة على طبقات مع الدمك حتى 95% بروكتور معدل</t>
        </is>
      </c>
      <c r="E7" s="19" t="inlineStr">
        <is>
          <t>م3</t>
        </is>
      </c>
      <c r="F7" s="35" t="n">
        <v>2200</v>
      </c>
      <c r="G7" s="35" t="n">
        <v>18</v>
      </c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inlineStr">
        <is>
          <t>01-003</t>
        </is>
      </c>
      <c r="C8" s="22" t="inlineStr">
        <is>
          <t>أعمال الحفر والردم</t>
        </is>
      </c>
      <c r="D8" s="34" t="inlineStr">
        <is>
          <t>إحلال تربة بمواد مختارة (Sub-base) مع الدمك والاختبارات</t>
        </is>
      </c>
      <c r="E8" s="19" t="inlineStr">
        <is>
          <t>م3</t>
        </is>
      </c>
      <c r="F8" s="35" t="n">
        <v>1800</v>
      </c>
      <c r="G8" s="35" t="n">
        <v>75</v>
      </c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inlineStr">
        <is>
          <t>02-001</t>
        </is>
      </c>
      <c r="C9" s="22" t="inlineStr">
        <is>
          <t>الخرسانة العادية والمسلحة</t>
        </is>
      </c>
      <c r="D9" s="34" t="inlineStr">
        <is>
          <t>خرسانة عادية للنظافة قوة 20 ميجا باسكال</t>
        </is>
      </c>
      <c r="E9" s="19" t="inlineStr">
        <is>
          <t>م3</t>
        </is>
      </c>
      <c r="F9" s="35" t="n">
        <v>380</v>
      </c>
      <c r="G9" s="35" t="n">
        <v>380</v>
      </c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inlineStr">
        <is>
          <t>02-002</t>
        </is>
      </c>
      <c r="C10" s="22" t="inlineStr">
        <is>
          <t>الخرسانة العادية والمسلحة</t>
        </is>
      </c>
      <c r="D10" s="34" t="inlineStr">
        <is>
          <t>خرسانة مسلحة للقواعد والميد قوة 35 ميجا باسكال (بدون حديد)</t>
        </is>
      </c>
      <c r="E10" s="19" t="inlineStr">
        <is>
          <t>م3</t>
        </is>
      </c>
      <c r="F10" s="35" t="n">
        <v>950</v>
      </c>
      <c r="G10" s="35" t="n">
        <v>950</v>
      </c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inlineStr">
        <is>
          <t>02-003</t>
        </is>
      </c>
      <c r="C11" s="22" t="inlineStr">
        <is>
          <t>الخرسانة العادية والمسلحة</t>
        </is>
      </c>
      <c r="D11" s="34" t="inlineStr">
        <is>
          <t>خرسانة مسلحة للأعمدة والجدران الخرسانية قوة 35 ميجا باسكال</t>
        </is>
      </c>
      <c r="E11" s="19" t="inlineStr">
        <is>
          <t>م3</t>
        </is>
      </c>
      <c r="F11" s="35" t="n">
        <v>420</v>
      </c>
      <c r="G11" s="35" t="n">
        <v>1150</v>
      </c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inlineStr">
        <is>
          <t>02-004</t>
        </is>
      </c>
      <c r="C12" s="22" t="inlineStr">
        <is>
          <t>الخرسانة العادية والمسلحة</t>
        </is>
      </c>
      <c r="D12" s="34" t="inlineStr">
        <is>
          <t>خرسانة مسلحة للأسقف والكمرات والدرج قوة 35 ميجا باسكال</t>
        </is>
      </c>
      <c r="E12" s="19" t="inlineStr">
        <is>
          <t>م3</t>
        </is>
      </c>
      <c r="F12" s="35" t="n">
        <v>1650</v>
      </c>
      <c r="G12" s="35" t="n">
        <v>1050</v>
      </c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inlineStr">
        <is>
          <t>02-005</t>
        </is>
      </c>
      <c r="C13" s="22" t="inlineStr">
        <is>
          <t>الخرسانة العادية والمسلحة</t>
        </is>
      </c>
      <c r="D13" s="34" t="inlineStr">
        <is>
          <t>توريد وتركيب حديد تسليح عالي المقاومة (مطابق للمواصفات السعودية)</t>
        </is>
      </c>
      <c r="E13" s="19" t="inlineStr">
        <is>
          <t>طن</t>
        </is>
      </c>
      <c r="F13" s="35" t="n">
        <v>480</v>
      </c>
      <c r="G13" s="35" t="n">
        <v>3400</v>
      </c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inlineStr">
        <is>
          <t>03-001</t>
        </is>
      </c>
      <c r="C14" s="22" t="inlineStr">
        <is>
          <t>أعمال المباني</t>
        </is>
      </c>
      <c r="D14" s="34" t="inlineStr">
        <is>
          <t>مباني بلوك أسمنتي مصمت سماكة 20 سم</t>
        </is>
      </c>
      <c r="E14" s="19" t="inlineStr">
        <is>
          <t>م2</t>
        </is>
      </c>
      <c r="F14" s="35" t="n">
        <v>7800</v>
      </c>
      <c r="G14" s="35" t="n">
        <v>75</v>
      </c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inlineStr">
        <is>
          <t>03-002</t>
        </is>
      </c>
      <c r="C15" s="22" t="inlineStr">
        <is>
          <t>أعمال المباني</t>
        </is>
      </c>
      <c r="D15" s="34" t="inlineStr">
        <is>
          <t>مباني بلوك أسمنتي سماكة 15 سم للقواطع</t>
        </is>
      </c>
      <c r="E15" s="19" t="inlineStr">
        <is>
          <t>م2</t>
        </is>
      </c>
      <c r="F15" s="35" t="n">
        <v>3600</v>
      </c>
      <c r="G15" s="35" t="n">
        <v>60</v>
      </c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inlineStr">
        <is>
          <t>04-001</t>
        </is>
      </c>
      <c r="C16" s="22" t="inlineStr">
        <is>
          <t>أعمال العزل</t>
        </is>
      </c>
      <c r="D16" s="34" t="inlineStr">
        <is>
          <t>عزل مائي للأساسات بالبيتومين على وجهين</t>
        </is>
      </c>
      <c r="E16" s="19" t="inlineStr">
        <is>
          <t>م2</t>
        </is>
      </c>
      <c r="F16" s="35" t="n">
        <v>2400</v>
      </c>
      <c r="G16" s="35" t="n">
        <v>30</v>
      </c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inlineStr">
        <is>
          <t>04-002</t>
        </is>
      </c>
      <c r="C17" s="22" t="inlineStr">
        <is>
          <t>أعمال العزل</t>
        </is>
      </c>
      <c r="D17" s="34" t="inlineStr">
        <is>
          <t>عزل مائي وحراري للأسطح بالممبرين والبوليسترين</t>
        </is>
      </c>
      <c r="E17" s="19" t="inlineStr">
        <is>
          <t>م2</t>
        </is>
      </c>
      <c r="F17" s="35" t="n">
        <v>1900</v>
      </c>
      <c r="G17" s="35" t="n">
        <v>120</v>
      </c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inlineStr">
        <is>
          <t>05-001</t>
        </is>
      </c>
      <c r="C18" s="22" t="inlineStr">
        <is>
          <t>أعمال التشطيبات</t>
        </is>
      </c>
      <c r="D18" s="34" t="inlineStr">
        <is>
          <t>لياسة داخلية للجدران والأسقف</t>
        </is>
      </c>
      <c r="E18" s="19" t="inlineStr">
        <is>
          <t>م2</t>
        </is>
      </c>
      <c r="F18" s="35" t="n">
        <v>21000</v>
      </c>
      <c r="G18" s="35" t="n">
        <v>32</v>
      </c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inlineStr">
        <is>
          <t>05-002</t>
        </is>
      </c>
      <c r="C19" s="22" t="inlineStr">
        <is>
          <t>أعمال التشطيبات</t>
        </is>
      </c>
      <c r="D19" s="34" t="inlineStr">
        <is>
          <t>لياسة خارجية للواجهات</t>
        </is>
      </c>
      <c r="E19" s="19" t="inlineStr">
        <is>
          <t>م2</t>
        </is>
      </c>
      <c r="F19" s="35" t="n">
        <v>6500</v>
      </c>
      <c r="G19" s="35" t="n">
        <v>40</v>
      </c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inlineStr">
        <is>
          <t>05-003</t>
        </is>
      </c>
      <c r="C20" s="22" t="inlineStr">
        <is>
          <t>أعمال التشطيبات</t>
        </is>
      </c>
      <c r="D20" s="34" t="inlineStr">
        <is>
          <t>توريد وتركيب بلاط بورسلين 60×60 درجة أولى</t>
        </is>
      </c>
      <c r="E20" s="19" t="inlineStr">
        <is>
          <t>م2</t>
        </is>
      </c>
      <c r="F20" s="35" t="n">
        <v>7200</v>
      </c>
      <c r="G20" s="35" t="n">
        <v>140</v>
      </c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inlineStr">
        <is>
          <t>05-004</t>
        </is>
      </c>
      <c r="C21" s="22" t="inlineStr">
        <is>
          <t>أعمال التشطيبات</t>
        </is>
      </c>
      <c r="D21" s="34" t="inlineStr">
        <is>
          <t>دهانات داخلية (أساس + وجهين)</t>
        </is>
      </c>
      <c r="E21" s="19" t="inlineStr">
        <is>
          <t>م2</t>
        </is>
      </c>
      <c r="F21" s="35" t="n">
        <v>21000</v>
      </c>
      <c r="G21" s="35" t="n">
        <v>28</v>
      </c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inlineStr">
        <is>
          <t>05-005</t>
        </is>
      </c>
      <c r="C22" s="22" t="inlineStr">
        <is>
          <t>أعمال التشطيبات</t>
        </is>
      </c>
      <c r="D22" s="34" t="inlineStr">
        <is>
          <t>تكسيات واجهات حجر طبيعي سماكة 3 سم</t>
        </is>
      </c>
      <c r="E22" s="19" t="inlineStr">
        <is>
          <t>م2</t>
        </is>
      </c>
      <c r="F22" s="35" t="n">
        <v>2800</v>
      </c>
      <c r="G22" s="35" t="n">
        <v>260</v>
      </c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inlineStr">
        <is>
          <t>05-006</t>
        </is>
      </c>
      <c r="C23" s="22" t="inlineStr">
        <is>
          <t>أعمال التشطيبات</t>
        </is>
      </c>
      <c r="D23" s="34" t="inlineStr">
        <is>
          <t>توريد وتركيب أبواب خشبية داخلية كاملة</t>
        </is>
      </c>
      <c r="E23" s="19" t="inlineStr">
        <is>
          <t>عدد</t>
        </is>
      </c>
      <c r="F23" s="35" t="n">
        <v>160</v>
      </c>
      <c r="G23" s="35" t="n">
        <v>1800</v>
      </c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inlineStr">
        <is>
          <t>05-007</t>
        </is>
      </c>
      <c r="C24" s="22" t="inlineStr">
        <is>
          <t>أعمال التشطيبات</t>
        </is>
      </c>
      <c r="D24" s="34" t="inlineStr">
        <is>
          <t>توريد وتركيب نوافذ ألمنيوم مع زجاج مزدوج</t>
        </is>
      </c>
      <c r="E24" s="19" t="inlineStr">
        <is>
          <t>م2</t>
        </is>
      </c>
      <c r="F24" s="35" t="n">
        <v>950</v>
      </c>
      <c r="G24" s="35" t="n">
        <v>650</v>
      </c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inlineStr">
        <is>
          <t>06-001</t>
        </is>
      </c>
      <c r="C25" s="22" t="inlineStr">
        <is>
          <t>الأعمال الكهربائية</t>
        </is>
      </c>
      <c r="D25" s="34" t="inlineStr">
        <is>
          <t>تأسيس نقاط إنارة وأفياش بالمواسير والأسلاك</t>
        </is>
      </c>
      <c r="E25" s="19" t="inlineStr">
        <is>
          <t>نقطة</t>
        </is>
      </c>
      <c r="F25" s="35" t="n">
        <v>3200</v>
      </c>
      <c r="G25" s="35" t="n">
        <v>120</v>
      </c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inlineStr">
        <is>
          <t>06-002</t>
        </is>
      </c>
      <c r="C26" s="22" t="inlineStr">
        <is>
          <t>الأعمال الكهربائية</t>
        </is>
      </c>
      <c r="D26" s="34" t="inlineStr">
        <is>
          <t>توريد وتركيب لوحات توزيع فرعية</t>
        </is>
      </c>
      <c r="E26" s="19" t="inlineStr">
        <is>
          <t>عدد</t>
        </is>
      </c>
      <c r="F26" s="35" t="n">
        <v>24</v>
      </c>
      <c r="G26" s="35" t="n">
        <v>6500</v>
      </c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inlineStr">
        <is>
          <t>06-003</t>
        </is>
      </c>
      <c r="C27" s="22" t="inlineStr">
        <is>
          <t>الأعمال الكهربائية</t>
        </is>
      </c>
      <c r="D27" s="34" t="inlineStr">
        <is>
          <t>كابلات تغذية رئيسية نحاس معزولة</t>
        </is>
      </c>
      <c r="E27" s="19" t="inlineStr">
        <is>
          <t>م.ط</t>
        </is>
      </c>
      <c r="F27" s="35" t="n">
        <v>1800</v>
      </c>
      <c r="G27" s="35" t="n">
        <v>160</v>
      </c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inlineStr">
        <is>
          <t>06-004</t>
        </is>
      </c>
      <c r="C28" s="22" t="inlineStr">
        <is>
          <t>الأعمال الكهربائية</t>
        </is>
      </c>
      <c r="D28" s="34" t="inlineStr">
        <is>
          <t>توريد وتركيب وحدات إنارة LED</t>
        </is>
      </c>
      <c r="E28" s="19" t="inlineStr">
        <is>
          <t>عدد</t>
        </is>
      </c>
      <c r="F28" s="35" t="n">
        <v>1400</v>
      </c>
      <c r="G28" s="35" t="n">
        <v>280</v>
      </c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inlineStr">
        <is>
          <t>07-001</t>
        </is>
      </c>
      <c r="C29" s="22" t="inlineStr">
        <is>
          <t>الأعمال الصحية</t>
        </is>
      </c>
      <c r="D29" s="34" t="inlineStr">
        <is>
          <t>تمديدات تغذية مياه بمواسير PPR</t>
        </is>
      </c>
      <c r="E29" s="19" t="inlineStr">
        <is>
          <t>نقطة</t>
        </is>
      </c>
      <c r="F29" s="35" t="n">
        <v>420</v>
      </c>
      <c r="G29" s="35" t="n">
        <v>350</v>
      </c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inlineStr">
        <is>
          <t>07-002</t>
        </is>
      </c>
      <c r="C30" s="22" t="inlineStr">
        <is>
          <t>الأعمال الصحية</t>
        </is>
      </c>
      <c r="D30" s="34" t="inlineStr">
        <is>
          <t>تمديدات صرف صحي بمواسير UPVC</t>
        </is>
      </c>
      <c r="E30" s="19" t="inlineStr">
        <is>
          <t>نقطة</t>
        </is>
      </c>
      <c r="F30" s="35" t="n">
        <v>380</v>
      </c>
      <c r="G30" s="35" t="n">
        <v>300</v>
      </c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inlineStr">
        <is>
          <t>07-003</t>
        </is>
      </c>
      <c r="C31" s="22" t="inlineStr">
        <is>
          <t>الأعمال الصحية</t>
        </is>
      </c>
      <c r="D31" s="34" t="inlineStr">
        <is>
          <t>توريد وتركيب أطقم صحية كاملة</t>
        </is>
      </c>
      <c r="E31" s="19" t="inlineStr">
        <is>
          <t>طقم</t>
        </is>
      </c>
      <c r="F31" s="35" t="n">
        <v>96</v>
      </c>
      <c r="G31" s="35" t="n">
        <v>2800</v>
      </c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inlineStr">
        <is>
          <t>08-001</t>
        </is>
      </c>
      <c r="C32" s="22" t="inlineStr">
        <is>
          <t>أعمال التكييف</t>
        </is>
      </c>
      <c r="D32" s="34" t="inlineStr">
        <is>
          <t>توريد وتركيب وحدات تكييف سبليت</t>
        </is>
      </c>
      <c r="E32" s="19" t="inlineStr">
        <is>
          <t>عدد</t>
        </is>
      </c>
      <c r="F32" s="35" t="n">
        <v>120</v>
      </c>
      <c r="G32" s="35" t="n">
        <v>4200</v>
      </c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inlineStr">
        <is>
          <t>08-002</t>
        </is>
      </c>
      <c r="C33" s="22" t="inlineStr">
        <is>
          <t>أعمال التكييف</t>
        </is>
      </c>
      <c r="D33" s="34" t="inlineStr">
        <is>
          <t>مجاري هواء صاج مجلفن معزولة</t>
        </is>
      </c>
      <c r="E33" s="19" t="inlineStr">
        <is>
          <t>م2</t>
        </is>
      </c>
      <c r="F33" s="35" t="n">
        <v>2600</v>
      </c>
      <c r="G33" s="35" t="n">
        <v>220</v>
      </c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inlineStr">
        <is>
          <t>09-001</t>
        </is>
      </c>
      <c r="C34" s="22" t="inlineStr">
        <is>
          <t>أعمال الموقع العام</t>
        </is>
      </c>
      <c r="D34" s="34" t="inlineStr">
        <is>
          <t>بردورات وأرصفة خرسانية</t>
        </is>
      </c>
      <c r="E34" s="19" t="inlineStr">
        <is>
          <t>م.ط</t>
        </is>
      </c>
      <c r="F34" s="35" t="n">
        <v>1200</v>
      </c>
      <c r="G34" s="35" t="n">
        <v>85</v>
      </c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inlineStr">
        <is>
          <t>09-002</t>
        </is>
      </c>
      <c r="C35" s="22" t="inlineStr">
        <is>
          <t>أعمال الموقع العام</t>
        </is>
      </c>
      <c r="D35" s="34" t="inlineStr">
        <is>
          <t>أعمال بلاط متداخل (إنترلوك) سماكة 8 سم</t>
        </is>
      </c>
      <c r="E35" s="19" t="inlineStr">
        <is>
          <t>م2</t>
        </is>
      </c>
      <c r="F35" s="35" t="n">
        <v>3500</v>
      </c>
      <c r="G35" s="35" t="n">
        <v>70</v>
      </c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inlineStr">
        <is>
          <t>VO-01</t>
        </is>
      </c>
      <c r="C6" s="23" t="n">
        <v>46160</v>
      </c>
      <c r="D6" s="34" t="inlineStr">
        <is>
          <t>إضافة غرفة محولات ولوحة جهد متوسط خارجية</t>
        </is>
      </c>
      <c r="E6" s="19" t="inlineStr">
        <is>
          <t>إضافة</t>
        </is>
      </c>
      <c r="F6" s="42" t="n">
        <v>250000</v>
      </c>
      <c r="G6" s="43">
        <f>IF(E6="خصم",-1,1)*N(F6)</f>
        <v/>
      </c>
      <c r="H6" s="19" t="inlineStr">
        <is>
          <t>معتمد</t>
        </is>
      </c>
      <c r="I6" s="42" t="n">
        <v>250000</v>
      </c>
      <c r="J6" s="43">
        <f>IF(E6="خصم",-1,1)*N(I6)</f>
        <v/>
      </c>
      <c r="K6" s="24" t="n">
        <v>4</v>
      </c>
      <c r="L6" s="44" t="n"/>
    </row>
    <row r="7">
      <c r="A7" s="33">
        <f>IF(B7="","",COUNTA($B$6:B7))</f>
        <v/>
      </c>
      <c r="B7" s="19" t="inlineStr">
        <is>
          <t>VO-02</t>
        </is>
      </c>
      <c r="C7" s="23" t="n">
        <v>46205</v>
      </c>
      <c r="D7" s="34" t="inlineStr">
        <is>
          <t>تعديل مواصفة البورسلين بموافقة المالك</t>
        </is>
      </c>
      <c r="E7" s="19" t="inlineStr">
        <is>
          <t>خصم</t>
        </is>
      </c>
      <c r="F7" s="42" t="n">
        <v>64000</v>
      </c>
      <c r="G7" s="43">
        <f>IF(E7="خصم",-1,1)*N(F7)</f>
        <v/>
      </c>
      <c r="H7" s="19" t="inlineStr">
        <is>
          <t>معتمد</t>
        </is>
      </c>
      <c r="I7" s="42" t="n">
        <v>64000</v>
      </c>
      <c r="J7" s="43">
        <f>IF(E7="خصم",-1,1)*N(I7)</f>
        <v/>
      </c>
      <c r="K7" s="24" t="n">
        <v>5</v>
      </c>
      <c r="L7" s="44" t="n"/>
    </row>
    <row r="8">
      <c r="A8" s="33">
        <f>IF(B8="","",COUNTA($B$6:B8))</f>
        <v/>
      </c>
      <c r="B8" s="19" t="inlineStr">
        <is>
          <t>VO-03</t>
        </is>
      </c>
      <c r="C8" s="23" t="n">
        <v>46259</v>
      </c>
      <c r="D8" s="34" t="inlineStr">
        <is>
          <t>أعمال تنسيق موقع وزراعة إضافية</t>
        </is>
      </c>
      <c r="E8" s="19" t="inlineStr">
        <is>
          <t>إضافة</t>
        </is>
      </c>
      <c r="F8" s="42" t="n">
        <v>180000</v>
      </c>
      <c r="G8" s="43">
        <f>IF(E8="خصم",-1,1)*N(F8)</f>
        <v/>
      </c>
      <c r="H8" s="19" t="inlineStr">
        <is>
          <t>قيد الدراسة</t>
        </is>
      </c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inlineStr">
        <is>
          <t>TD-01</t>
        </is>
      </c>
      <c r="C6" s="23" t="n">
        <v>46145</v>
      </c>
      <c r="D6" s="24" t="n">
        <v>2</v>
      </c>
      <c r="E6" s="19" t="inlineStr">
        <is>
          <t>02-002</t>
        </is>
      </c>
      <c r="F6" s="47">
        <f>IF(E6="","",IFERROR(INDEX('جدول الكميات'!$D$6:$D$105,MATCH(E6,'جدول الكميات'!$B$6:$B$105,0)),"⚠ كود غير موجود"))</f>
        <v/>
      </c>
      <c r="G6" s="34" t="inlineStr">
        <is>
          <t>تعشيش في خرسانة بعض القواعد يلزم معالجته</t>
        </is>
      </c>
      <c r="H6" s="19" t="inlineStr">
        <is>
          <t>أعمال غير مطابقة</t>
        </is>
      </c>
      <c r="I6" s="42" t="n">
        <v>17000</v>
      </c>
      <c r="J6" s="19" t="inlineStr">
        <is>
          <t>نعم</t>
        </is>
      </c>
      <c r="K6" s="24" t="n">
        <v>4</v>
      </c>
      <c r="L6" s="48">
        <f>IF(J6="نعم",0,N(I6))</f>
        <v/>
      </c>
      <c r="M6" s="44" t="n"/>
    </row>
    <row r="7">
      <c r="A7" s="33">
        <f>IF(B7="","",COUNTA($B$6:B7))</f>
        <v/>
      </c>
      <c r="B7" s="19" t="inlineStr">
        <is>
          <t>TD-02</t>
        </is>
      </c>
      <c r="C7" s="23" t="n">
        <v>46177</v>
      </c>
      <c r="D7" s="24" t="n">
        <v>3</v>
      </c>
      <c r="E7" s="19" t="inlineStr">
        <is>
          <t>04-001</t>
        </is>
      </c>
      <c r="F7" s="47">
        <f>IF(E7="","",IFERROR(INDEX('جدول الكميات'!$D$6:$D$105,MATCH(E7,'جدول الكميات'!$B$6:$B$105,0)),"⚠ كود غير موجود"))</f>
        <v/>
      </c>
      <c r="G7" s="34" t="inlineStr">
        <is>
          <t>عدم تقديم نتائج اختبار التصاق العزل</t>
        </is>
      </c>
      <c r="H7" s="19" t="inlineStr">
        <is>
          <t>اختبارات غير مستكملة</t>
        </is>
      </c>
      <c r="I7" s="42" t="n">
        <v>8000</v>
      </c>
      <c r="J7" s="19" t="inlineStr">
        <is>
          <t>لا</t>
        </is>
      </c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inlineStr">
        <is>
          <t>TD-03</t>
        </is>
      </c>
      <c r="C8" s="23" t="n">
        <v>46238</v>
      </c>
      <c r="D8" s="24" t="n">
        <v>5</v>
      </c>
      <c r="E8" s="19" t="inlineStr">
        <is>
          <t>02-004</t>
        </is>
      </c>
      <c r="F8" s="47">
        <f>IF(E8="","",IFERROR(INDEX('جدول الكميات'!$D$6:$D$105,MATCH(E8,'جدول الكميات'!$B$6:$B$105,0)),"⚠ كود غير موجود"))</f>
        <v/>
      </c>
      <c r="G8" s="34" t="inlineStr">
        <is>
          <t>ملاحظات على استواء أسطح بلاطات الدور الأول</t>
        </is>
      </c>
      <c r="H8" s="19" t="inlineStr">
        <is>
          <t>ملاحظات فنية</t>
        </is>
      </c>
      <c r="I8" s="42" t="n">
        <v>24000</v>
      </c>
      <c r="J8" s="19" t="inlineStr">
        <is>
          <t>لا</t>
        </is>
      </c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inlineStr">
        <is>
          <t>TD-04</t>
        </is>
      </c>
      <c r="C9" s="23" t="n">
        <v>46268</v>
      </c>
      <c r="D9" s="24" t="n">
        <v>6</v>
      </c>
      <c r="E9" s="19" t="inlineStr">
        <is>
          <t>03-001</t>
        </is>
      </c>
      <c r="F9" s="47">
        <f>IF(E9="","",IFERROR(INDEX('جدول الكميات'!$D$6:$D$105,MATCH(E9,'جدول الكميات'!$B$6:$B$105,0)),"⚠ كود غير موجود"))</f>
        <v/>
      </c>
      <c r="G9" s="34" t="inlineStr">
        <is>
          <t>مباني بلوك غير مطابقة للمواصفات (عدم ضبط الرأسية)</t>
        </is>
      </c>
      <c r="H9" s="19" t="inlineStr">
        <is>
          <t>أعمال غير مطابقة</t>
        </is>
      </c>
      <c r="I9" s="42" t="n">
        <v>13000</v>
      </c>
      <c r="J9" s="19" t="inlineStr">
        <is>
          <t>لا</t>
        </is>
      </c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01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46082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46112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46117</v>
      </c>
      <c r="K8" s="23" t="n"/>
      <c r="L8" s="75" t="n">
        <v>0.0109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46133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145872.76</v>
      </c>
      <c r="F15" s="42" t="n"/>
      <c r="H15" s="70" t="inlineStr">
        <is>
          <t>تاريخ التحصيل</t>
        </is>
      </c>
      <c r="I15" s="70" t="n"/>
      <c r="J15" s="70" t="n"/>
      <c r="K15" s="23" t="n">
        <v>46165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INV-2026-01001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46133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>
        <v>1500</v>
      </c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>
        <v>733.33</v>
      </c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>
        <v>600</v>
      </c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>
        <v>5.07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>
        <v>12.67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>
        <v>5.6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>
        <v>22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>
        <v>6.4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46113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46142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46147</v>
      </c>
      <c r="K8" s="23" t="n"/>
      <c r="L8" s="75" t="n">
        <v>0.0618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46164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90000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753088.75</v>
      </c>
      <c r="F15" s="42" t="n"/>
      <c r="H15" s="70" t="inlineStr">
        <is>
          <t>تاريخ التحصيل</t>
        </is>
      </c>
      <c r="I15" s="70" t="n"/>
      <c r="J15" s="70" t="n"/>
      <c r="K15" s="23" t="n">
        <v>46203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INV-2026-01002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46164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>
        <v>1500</v>
      </c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>
        <v>733.33</v>
      </c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>
        <v>600</v>
      </c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>
        <v>50.67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>
        <v>126.67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>
        <v>56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>
        <v>220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>
        <v>64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46143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46173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46178</v>
      </c>
      <c r="K8" s="23" t="n"/>
      <c r="L8" s="75" t="n">
        <v>0.1133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46193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180000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771595.01</v>
      </c>
      <c r="F15" s="42" t="n"/>
      <c r="H15" s="70" t="inlineStr">
        <is>
          <t>تاريخ التحصيل</t>
        </is>
      </c>
      <c r="I15" s="70" t="n"/>
      <c r="J15" s="70" t="n"/>
      <c r="K15" s="23" t="n">
        <v>46223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INV-2026-01003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46193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>
        <v>1500</v>
      </c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>
        <v>733.33</v>
      </c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>
        <v>600</v>
      </c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>
        <v>50.67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>
        <v>126.67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>
        <v>56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>
        <v>220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>
        <v>64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>
        <v>72</v>
      </c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>
        <v>57</v>
      </c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46174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46203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46208</v>
      </c>
      <c r="K8" s="23" t="n"/>
      <c r="L8" s="75" t="n">
        <v>0.1613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46224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120000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801710.84</v>
      </c>
      <c r="F15" s="42" t="n"/>
      <c r="H15" s="70" t="inlineStr">
        <is>
          <t>تاريخ التحصيل</t>
        </is>
      </c>
      <c r="I15" s="70" t="n"/>
      <c r="J15" s="70" t="n"/>
      <c r="K15" s="23" t="n">
        <v>46261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INV-2026-01004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46224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>
        <v>0.01</v>
      </c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>
        <v>50.67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>
        <v>126.67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>
        <v>56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>
        <v>220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>
        <v>64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>
        <v>240</v>
      </c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>
        <v>190</v>
      </c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46204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46234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46239</v>
      </c>
      <c r="K8" s="23" t="n"/>
      <c r="L8" s="75" t="n">
        <v>0.2077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46256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220000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>
        <v>5000</v>
      </c>
      <c r="F14" s="42" t="n"/>
      <c r="H14" s="70" t="inlineStr">
        <is>
          <t>سبب الغرامة / الخصم</t>
        </is>
      </c>
      <c r="I14" s="70" t="n"/>
      <c r="J14" s="70" t="n"/>
      <c r="K14" s="19" t="inlineStr">
        <is>
          <t>مخالفة اشتراطات السلامة بالموقع</t>
        </is>
      </c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380000</v>
      </c>
      <c r="F15" s="42" t="n"/>
      <c r="H15" s="70" t="inlineStr">
        <is>
          <t>تاريخ التحصيل</t>
        </is>
      </c>
      <c r="I15" s="70" t="n"/>
      <c r="J15" s="70" t="n"/>
      <c r="K15" s="23" t="n">
        <v>46284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INV-2026-01005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46256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>
        <v>50.67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>
        <v>126.67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>
        <v>56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>
        <v>220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>
        <v>64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>
        <v>240</v>
      </c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>
        <v>190</v>
      </c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46235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46265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46270</v>
      </c>
      <c r="K8" s="23" t="n"/>
      <c r="L8" s="75" t="n">
        <v>0.2597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46285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150000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INV-2026-01006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46285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>
        <v>50.67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>
        <v>126.67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>
        <v>56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>
        <v>220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>
        <v>64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>
        <v>802.29</v>
      </c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>
        <v>370.29</v>
      </c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>
        <v>240</v>
      </c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>
        <v>190</v>
      </c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0.3238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0.3915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0.4897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0.5469000000000001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0.6066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0.6736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0.7341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0.7935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0.8561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0.9216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0.9871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1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2026-10-01T20:31:07Z</dcterms:created>
  <dcterms:modified xsi:type="dcterms:W3CDTF">2026-10-01T20:31:12Z</dcterms:modified>
</cp:coreProperties>
</file>