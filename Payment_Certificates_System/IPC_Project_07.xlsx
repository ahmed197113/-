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01'!$42:$42</definedName>
    <definedName name="_xlnm.Print_Area" localSheetId="6">'مستخلص 01'!$B$1:$M$143</definedName>
    <definedName name="_xlnm.Print_Titles" localSheetId="7">'مستخلص 02'!$42:$42</definedName>
    <definedName name="_xlnm.Print_Area" localSheetId="7">'مستخلص 02'!$B$1:$M$143</definedName>
    <definedName name="_xlnm.Print_Titles" localSheetId="8">'مستخلص 03'!$42:$42</definedName>
    <definedName name="_xlnm.Print_Area" localSheetId="8">'مستخلص 03'!$B$1:$M$143</definedName>
    <definedName name="_xlnm.Print_Titles" localSheetId="9">'مستخلص 04'!$42:$42</definedName>
    <definedName name="_xlnm.Print_Area" localSheetId="9">'مستخلص 04'!$B$1:$M$143</definedName>
    <definedName name="_xlnm.Print_Titles" localSheetId="10">'مستخلص 05'!$42:$42</definedName>
    <definedName name="_xlnm.Print_Area" localSheetId="10">'مستخلص 05'!$B$1:$M$143</definedName>
    <definedName name="_xlnm.Print_Titles" localSheetId="11">'مستخلص 06'!$42:$42</definedName>
    <definedName name="_xlnm.Print_Area" localSheetId="11">'مستخلص 06'!$B$1:$M$143</definedName>
    <definedName name="_xlnm.Print_Titles" localSheetId="12">'مستخلص 07'!$42:$42</definedName>
    <definedName name="_xlnm.Print_Area" localSheetId="12">'مستخلص 07'!$B$1:$M$143</definedName>
    <definedName name="_xlnm.Print_Titles" localSheetId="13">'مستخلص 08'!$42:$42</definedName>
    <definedName name="_xlnm.Print_Area" localSheetId="13">'مستخلص 08'!$B$1:$M$143</definedName>
    <definedName name="_xlnm.Print_Titles" localSheetId="14">'مستخلص 09'!$42:$42</definedName>
    <definedName name="_xlnm.Print_Area" localSheetId="14">'مستخلص 09'!$B$1:$M$143</definedName>
    <definedName name="_xlnm.Print_Titles" localSheetId="15">'مستخلص 10'!$42:$42</definedName>
    <definedName name="_xlnm.Print_Area" localSheetId="15">'مستخلص 10'!$B$1:$M$143</definedName>
    <definedName name="_xlnm.Print_Titles" localSheetId="16">'مستخلص 11'!$42:$42</definedName>
    <definedName name="_xlnm.Print_Area" localSheetId="16">'مستخلص 11'!$B$1:$M$143</definedName>
    <definedName name="_xlnm.Print_Titles" localSheetId="17">'مستخلص 12'!$42:$42</definedName>
    <definedName name="_xlnm.Print_Area" localSheetId="17">'مستخلص 12'!$B$1:$M$143</definedName>
    <definedName name="_xlnm.Print_Titles" localSheetId="18">'مستخلص 13'!$42:$42</definedName>
    <definedName name="_xlnm.Print_Area" localSheetId="18">'مستخلص 13'!$B$1:$M$143</definedName>
    <definedName name="_xlnm.Print_Titles" localSheetId="19">'مستخلص 14'!$42:$42</definedName>
    <definedName name="_xlnm.Print_Area" localSheetId="19">'مستخلص 14'!$B$1:$M$143</definedName>
    <definedName name="_xlnm.Print_Titles" localSheetId="20">'مستخلص 15'!$42:$42</definedName>
    <definedName name="_xlnm.Print_Area" localSheetId="20">'مستخلص 15'!$B$1:$M$143</definedName>
    <definedName name="_xlnm.Print_Titles" localSheetId="21">'مستخلص 16'!$42:$42</definedName>
    <definedName name="_xlnm.Print_Area" localSheetId="21">'مستخلص 16'!$B$1:$M$143</definedName>
    <definedName name="_xlnm.Print_Titles" localSheetId="22">'مستخلص 17'!$42:$42</definedName>
    <definedName name="_xlnm.Print_Area" localSheetId="22">'مستخلص 17'!$B$1:$M$143</definedName>
    <definedName name="_xlnm.Print_Titles" localSheetId="23">'مستخلص 18'!$42:$42</definedName>
    <definedName name="_xlnm.Print_Area" localSheetId="23">'مستخلص 18'!$B$1:$M$143</definedName>
    <definedName name="_xlnm.Print_Titles" localSheetId="24">'مستخلص 19'!$42:$42</definedName>
    <definedName name="_xlnm.Print_Area" localSheetId="24">'مستخلص 19'!$B$1:$M$143</definedName>
    <definedName name="_xlnm.Print_Titles" localSheetId="25">'مستخلص 20'!$42:$42</definedName>
    <definedName name="_xlnm.Print_Area" localSheetId="25">'مستخلص 20'!$B$1:$M$143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0.0%;[Red]-0.0%;;@"/>
    <numFmt numFmtId="171" formatCode="&quot;مستخلص &quot;0"/>
    <numFmt numFmtId="172" formatCode="0;-0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</fonts>
  <fills count="17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29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28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171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2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2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4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5" fillId="0" borderId="2" applyAlignment="1" pivotButton="0" quotePrefix="0" xfId="0">
      <alignment horizontal="center" vertical="center" readingOrder="2"/>
    </xf>
    <xf numFmtId="0" fontId="25" fillId="0" borderId="2" applyAlignment="1" pivotButton="0" quotePrefix="0" xfId="0">
      <alignment horizontal="right" vertical="center" wrapText="1" indent="1" readingOrder="2"/>
    </xf>
    <xf numFmtId="167" fontId="25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6" fillId="0" borderId="2" applyAlignment="1" pivotButton="0" quotePrefix="0" xfId="0">
      <alignment horizontal="center" vertical="center" readingOrder="2"/>
    </xf>
    <xf numFmtId="170" fontId="26" fillId="0" borderId="2" applyAlignment="1" pivotButton="0" quotePrefix="0" xfId="0">
      <alignment horizontal="center" vertical="center" readingOrder="2"/>
    </xf>
    <xf numFmtId="167" fontId="27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22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07 — 20 مستخلص مترابط</t>
        </is>
      </c>
      <c r="C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الربط مع ملف التقارير</t>
        </is>
      </c>
      <c r="C19" s="12" t="n"/>
    </row>
    <row r="20" ht="24" customHeight="1">
      <c r="B20" s="13" t="inlineStr">
        <is>
          <t>•</t>
        </is>
      </c>
      <c r="C20" s="7" t="inlineStr">
        <is>
          <t>اسم هذا الملف يجب أن يبقى «IPC_Project_07.xlsx» وفي نفس فولدر «Projects_Billing_Reports.xlsx».</t>
        </is>
      </c>
    </row>
    <row r="21" ht="24" customHeight="1">
      <c r="B21" s="13" t="inlineStr">
        <is>
          <t>•</t>
        </is>
      </c>
      <c r="C21" s="7" t="inlineStr">
        <is>
          <t>بعد حفظ هذا الملف، افتح ملف التقارير واضغط «تمكين المحتوى / تحديث» ليتم سحب الأرقام الجديدة.</t>
        </is>
      </c>
    </row>
    <row r="22" ht="24" customHeight="1">
      <c r="B22" s="13" t="inlineStr">
        <is>
          <t>•</t>
        </is>
      </c>
      <c r="C22" s="7" t="inlineStr">
        <is>
          <t>لا تحذف صفوفاً أو أعمدة ولا تغيّر أسماء الشيتات حتى لا ينقطع الربط.</t>
        </is>
      </c>
    </row>
  </sheetData>
  <mergeCells count="5">
    <mergeCell ref="B2:C2"/>
    <mergeCell ref="B11:C11"/>
    <mergeCell ref="B19:C19"/>
    <mergeCell ref="B5:C5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33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07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14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5" t="inlineStr">
        <is>
          <t>البيان</t>
        </is>
      </c>
      <c r="C4" s="15" t="inlineStr">
        <is>
          <t>القيمة</t>
        </is>
      </c>
      <c r="D4" s="15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6" t="inlineStr">
        <is>
          <t>اسم المشروع</t>
        </is>
      </c>
      <c r="C5" s="17" t="n"/>
      <c r="D5" s="18" t="inlineStr">
        <is>
          <t>يظهر في جميع الشيتات وفي ملف التقارير المجمع</t>
        </is>
      </c>
      <c r="F5" s="19" t="inlineStr">
        <is>
          <t>أقسام الأعمال</t>
        </is>
      </c>
      <c r="G5" s="19" t="inlineStr">
        <is>
          <t>حالة المستخلص</t>
        </is>
      </c>
      <c r="H5" s="19" t="inlineStr">
        <is>
          <t>حالة الأمر التغييري</t>
        </is>
      </c>
      <c r="I5" s="19" t="inlineStr">
        <is>
          <t>نوع الاستقطاع الفني</t>
        </is>
      </c>
    </row>
    <row r="6">
      <c r="B6" s="16" t="inlineStr">
        <is>
          <t>رقم العقد</t>
        </is>
      </c>
      <c r="C6" s="17" t="n"/>
      <c r="D6" s="18" t="inlineStr"/>
      <c r="F6" s="20" t="inlineStr">
        <is>
          <t>أعمال الحفر والردم</t>
        </is>
      </c>
      <c r="G6" s="20" t="inlineStr">
        <is>
          <t>مسودة</t>
        </is>
      </c>
      <c r="H6" s="20" t="inlineStr">
        <is>
          <t>معتمد</t>
        </is>
      </c>
      <c r="I6" s="20" t="inlineStr">
        <is>
          <t>أعمال غير مطابقة</t>
        </is>
      </c>
    </row>
    <row r="7">
      <c r="B7" s="16" t="inlineStr">
        <is>
          <t>صاحب العمل (المالك)</t>
        </is>
      </c>
      <c r="C7" s="17" t="n"/>
      <c r="D7" s="18" t="inlineStr"/>
      <c r="F7" s="20" t="inlineStr">
        <is>
          <t>الخرسانة العادية والمسلحة</t>
        </is>
      </c>
      <c r="G7" s="20" t="inlineStr">
        <is>
          <t>مقدم للاستشاري</t>
        </is>
      </c>
      <c r="H7" s="20" t="inlineStr">
        <is>
          <t>قيد الدراسة</t>
        </is>
      </c>
      <c r="I7" s="20" t="inlineStr">
        <is>
          <t>أعمال ناقصة</t>
        </is>
      </c>
    </row>
    <row r="8">
      <c r="B8" s="16" t="inlineStr">
        <is>
          <t>الاستشاري / المهندس</t>
        </is>
      </c>
      <c r="C8" s="17" t="n"/>
      <c r="D8" s="18" t="inlineStr"/>
      <c r="F8" s="20" t="inlineStr">
        <is>
          <t>أعمال المباني</t>
        </is>
      </c>
      <c r="G8" s="20" t="inlineStr">
        <is>
          <t>تحت المراجعة</t>
        </is>
      </c>
      <c r="H8" s="20" t="inlineStr">
        <is>
          <t>مرفوض</t>
        </is>
      </c>
      <c r="I8" s="20" t="inlineStr">
        <is>
          <t>ملاحظات فنية</t>
        </is>
      </c>
    </row>
    <row r="9">
      <c r="B9" s="16" t="inlineStr">
        <is>
          <t>المقاول</t>
        </is>
      </c>
      <c r="C9" s="17" t="n"/>
      <c r="D9" s="18" t="inlineStr"/>
      <c r="F9" s="20" t="inlineStr">
        <is>
          <t>أعمال العزل</t>
        </is>
      </c>
      <c r="G9" s="20" t="inlineStr">
        <is>
          <t>معتمد</t>
        </is>
      </c>
      <c r="H9" s="20" t="n"/>
      <c r="I9" s="20" t="inlineStr">
        <is>
          <t>اختبارات غير مستكملة</t>
        </is>
      </c>
    </row>
    <row r="10">
      <c r="B10" s="16" t="inlineStr">
        <is>
          <t>تاريخ توقيع العقد</t>
        </is>
      </c>
      <c r="C10" s="21" t="n"/>
      <c r="D10" s="18" t="inlineStr"/>
      <c r="F10" s="20" t="inlineStr">
        <is>
          <t>أعمال التشطيبات</t>
        </is>
      </c>
      <c r="G10" s="20" t="inlineStr">
        <is>
          <t>مرفوض</t>
        </is>
      </c>
      <c r="H10" s="20" t="n"/>
      <c r="I10" s="20" t="inlineStr">
        <is>
          <t>مستندات غير مستكملة</t>
        </is>
      </c>
    </row>
    <row r="11">
      <c r="B11" s="16" t="inlineStr">
        <is>
          <t>تاريخ بدء الأعمال (أمر المباشرة)</t>
        </is>
      </c>
      <c r="C11" s="21" t="n"/>
      <c r="D11" s="18" t="inlineStr">
        <is>
          <t>بداية احتساب المدة الزمنية</t>
        </is>
      </c>
      <c r="F11" s="20" t="inlineStr">
        <is>
          <t>الأعمال الكهربائية</t>
        </is>
      </c>
      <c r="G11" s="20" t="n"/>
      <c r="H11" s="20" t="n"/>
      <c r="I11" s="20" t="inlineStr">
        <is>
          <t>أخرى</t>
        </is>
      </c>
    </row>
    <row r="12">
      <c r="B12" s="16" t="inlineStr">
        <is>
          <t>مدة العقد (بالشهور)</t>
        </is>
      </c>
      <c r="C12" s="22" t="n"/>
      <c r="D12" s="18" t="inlineStr"/>
      <c r="F12" s="20" t="inlineStr">
        <is>
          <t>الأعمال الصحية</t>
        </is>
      </c>
      <c r="G12" s="20" t="n"/>
      <c r="H12" s="20" t="n"/>
      <c r="I12" s="20" t="n"/>
    </row>
    <row r="13">
      <c r="B13" s="16" t="inlineStr">
        <is>
          <t>تاريخ الانتهاء التعاقدي</t>
        </is>
      </c>
      <c r="C13" s="23">
        <f>IF(OR(C11="",C12=""),"",EDATE(C11,C12)-1)</f>
        <v/>
      </c>
      <c r="D13" s="18" t="inlineStr">
        <is>
          <t>محسوب = البدء + المدة</t>
        </is>
      </c>
      <c r="F13" s="20" t="inlineStr">
        <is>
          <t>أعمال التكييف</t>
        </is>
      </c>
      <c r="G13" s="20" t="n"/>
      <c r="H13" s="20" t="n"/>
      <c r="I13" s="20" t="n"/>
    </row>
    <row r="14">
      <c r="B14" s="16" t="inlineStr">
        <is>
          <t>العملة</t>
        </is>
      </c>
      <c r="C14" s="17" t="inlineStr">
        <is>
          <t>جنيه مصري</t>
        </is>
      </c>
      <c r="D14" s="18" t="inlineStr"/>
      <c r="F14" s="20" t="inlineStr">
        <is>
          <t>أعمال الموقع العام</t>
        </is>
      </c>
      <c r="G14" s="20" t="n"/>
      <c r="H14" s="20" t="n"/>
      <c r="I14" s="20" t="n"/>
    </row>
    <row r="15" ht="22" customHeight="1">
      <c r="B15" s="24" t="inlineStr">
        <is>
          <t>القيم التعاقدية</t>
        </is>
      </c>
      <c r="C15" s="24" t="n"/>
      <c r="D15" s="24" t="n"/>
      <c r="F15" s="20" t="n"/>
      <c r="G15" s="20" t="n"/>
      <c r="H15" s="20" t="n"/>
      <c r="I15" s="20" t="n"/>
    </row>
    <row r="16">
      <c r="B16" s="16" t="inlineStr">
        <is>
          <t>قيمة العقد الأصلية</t>
        </is>
      </c>
      <c r="C16" s="25">
        <f>'جدول الكميات'!H106</f>
        <v/>
      </c>
      <c r="D16" s="18" t="inlineStr">
        <is>
          <t>مرتبطة تلقائياً بإجمالي جدول الكميات</t>
        </is>
      </c>
      <c r="F16" s="20" t="n"/>
      <c r="G16" s="20" t="n"/>
      <c r="H16" s="20" t="n"/>
      <c r="I16" s="20" t="n"/>
    </row>
    <row r="17">
      <c r="B17" s="16" t="inlineStr">
        <is>
          <t>صافي الأوامر التغييرية المعتمدة</t>
        </is>
      </c>
      <c r="C17" s="25">
        <f>SUMIFS('الأوامر التغييرية'!$G$6:$G$55,'الأوامر التغييرية'!$H$6:$H$55,"معتمد")</f>
        <v/>
      </c>
      <c r="D17" s="18" t="inlineStr">
        <is>
          <t>مرتبطة بشيت الأوامر التغييرية (المعتمدة فقط)</t>
        </is>
      </c>
      <c r="F17" s="20" t="n"/>
      <c r="G17" s="20" t="n"/>
      <c r="H17" s="20" t="n"/>
      <c r="I17" s="20" t="n"/>
    </row>
    <row r="18">
      <c r="B18" s="16" t="inlineStr">
        <is>
          <t>قيمة العقد المعدلة</t>
        </is>
      </c>
      <c r="C18" s="26">
        <f>C16+C17</f>
        <v/>
      </c>
      <c r="D18" s="18" t="inlineStr">
        <is>
          <t>الأصلية + صافي التغييرية المعتمدة</t>
        </is>
      </c>
    </row>
    <row r="19" ht="22" customHeight="1">
      <c r="B19" s="24" t="inlineStr">
        <is>
          <t>الدفعة المقدمة واستردادها</t>
        </is>
      </c>
      <c r="C19" s="24" t="n"/>
      <c r="D19" s="24" t="n"/>
    </row>
    <row r="20">
      <c r="B20" s="16" t="inlineStr">
        <is>
          <t>نسبة الدفعة المقدمة</t>
        </is>
      </c>
      <c r="C20" s="27" t="n">
        <v>0.1</v>
      </c>
      <c r="D20" s="18" t="inlineStr">
        <is>
          <t>من قيمة العقد الأصلية</t>
        </is>
      </c>
    </row>
    <row r="21">
      <c r="B21" s="16" t="inlineStr">
        <is>
          <t>قيمة الدفعة المقدمة</t>
        </is>
      </c>
      <c r="C21" s="26">
        <f>C16*C20</f>
        <v/>
      </c>
      <c r="D21" s="18" t="inlineStr">
        <is>
          <t>محسوبة</t>
        </is>
      </c>
    </row>
    <row r="22">
      <c r="B22" s="16" t="inlineStr">
        <is>
          <t>تاريخ صرف الدفعة المقدمة</t>
        </is>
      </c>
      <c r="C22" s="21" t="n"/>
      <c r="D22" s="18" t="inlineStr"/>
    </row>
    <row r="23">
      <c r="B23" s="16" t="inlineStr">
        <is>
          <t>نسبة الاسترداد من قيمة الأعمال</t>
        </is>
      </c>
      <c r="C23" s="27" t="n">
        <v>0.125</v>
      </c>
      <c r="D23" s="18" t="inlineStr">
        <is>
          <t>تُخصم من كل مستخلص كنسبة من (الأعمال المنفذة + التغييرية)</t>
        </is>
      </c>
    </row>
    <row r="24">
      <c r="B24" s="16" t="inlineStr">
        <is>
          <t>بدء الاسترداد عند نسبة إنجاز</t>
        </is>
      </c>
      <c r="C24" s="27" t="n">
        <v>0</v>
      </c>
      <c r="D24" s="18" t="inlineStr">
        <is>
          <t>مثال FIDIC: يبدأ الاسترداد بعد تجاوز 10% من قيمة العقد</t>
        </is>
      </c>
    </row>
    <row r="25">
      <c r="B25" s="16" t="inlineStr">
        <is>
          <t>استرداد كامل الرصيد عند نسبة إنجاز</t>
        </is>
      </c>
      <c r="C25" s="27" t="n">
        <v>0.8</v>
      </c>
      <c r="D25" s="18" t="inlineStr">
        <is>
          <t>عند بلوغ هذه النسبة يُسترد كامل الرصيد المتبقي</t>
        </is>
      </c>
    </row>
    <row r="26" ht="22" customHeight="1">
      <c r="B26" s="24" t="inlineStr">
        <is>
          <t>ضمان الأعمال</t>
        </is>
      </c>
      <c r="C26" s="24" t="n"/>
      <c r="D26" s="24" t="n"/>
    </row>
    <row r="27">
      <c r="B27" s="16" t="inlineStr">
        <is>
          <t>نسبة ضمان الأعمال (المحتجزات)</t>
        </is>
      </c>
      <c r="C27" s="27" t="n">
        <v>0.1</v>
      </c>
      <c r="D27" s="18" t="inlineStr">
        <is>
          <t>تُحتجز من إجمالي قيمة الأعمال التراكمية</t>
        </is>
      </c>
    </row>
    <row r="28">
      <c r="B28" s="16" t="inlineStr">
        <is>
          <t>الحد الأقصى للضمان (% من العقد المعدل)</t>
        </is>
      </c>
      <c r="C28" s="27" t="n">
        <v>0.05</v>
      </c>
      <c r="D28" s="18" t="inlineStr">
        <is>
          <t>يتوقف الاحتجاز عند بلوغ الحد</t>
        </is>
      </c>
    </row>
    <row r="29">
      <c r="B29" s="16" t="inlineStr">
        <is>
          <t>الحد الأقصى للضمان (قيمة)</t>
        </is>
      </c>
      <c r="C29" s="26">
        <f>C18*C28</f>
        <v/>
      </c>
      <c r="D29" s="18" t="inlineStr">
        <is>
          <t>محسوب</t>
        </is>
      </c>
    </row>
    <row r="30" ht="22" customHeight="1">
      <c r="B30" s="24" t="inlineStr">
        <is>
          <t>الضرائب</t>
        </is>
      </c>
      <c r="C30" s="24" t="n"/>
      <c r="D30" s="24" t="n"/>
    </row>
    <row r="31">
      <c r="B31" s="16" t="inlineStr">
        <is>
          <t>نسبة ضريبة القيمة المضافة</t>
        </is>
      </c>
      <c r="C31" s="27" t="n">
        <v>0.14</v>
      </c>
      <c r="D31" s="18" t="inlineStr">
        <is>
          <t>ضع 0% إن لم تكن مطبقة</t>
        </is>
      </c>
    </row>
    <row r="32">
      <c r="B32" s="16" t="inlineStr">
        <is>
          <t>احتساب الضريبة قبل خصم الضمان؟</t>
        </is>
      </c>
      <c r="C32" s="17" t="inlineStr">
        <is>
          <t>نعم</t>
        </is>
      </c>
      <c r="D32" s="18" t="inlineStr">
        <is>
          <t>نعم = وعاء الضريبة يشمل مبلغ الضمان المحتجز</t>
        </is>
      </c>
    </row>
    <row r="33">
      <c r="B33" s="16" t="inlineStr">
        <is>
          <t>نسبة ضريبة الخصم من المنبع</t>
        </is>
      </c>
      <c r="C33" s="27" t="n">
        <v>0.01</v>
      </c>
      <c r="D33" s="18" t="inlineStr">
        <is>
          <t>تُحسب على صافي القيمة قبل خصم الضمان - ضع 0% إن لم تطبق</t>
        </is>
      </c>
    </row>
  </sheetData>
  <mergeCells count="7">
    <mergeCell ref="B19:D19"/>
    <mergeCell ref="B2:I2"/>
    <mergeCell ref="F4:I4"/>
    <mergeCell ref="B26:D26"/>
    <mergeCell ref="B30:D30"/>
    <mergeCell ref="B15:D15"/>
    <mergeCell ref="B1:I1"/>
  </mergeCells>
  <dataValidations count="3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🔁 التغييرية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>
      <c r="A4" s="28" t="inlineStr">
        <is>
          <t>أدخل بنود العقد في الخلايا الصفراء فقط (حتى 100 بند) — الإجمالي يغذي قيمة العقد وكل المستخلصات تلقائياً.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</row>
    <row r="5" ht="40" customHeight="1">
      <c r="A5" s="15" t="inlineStr">
        <is>
          <t>م</t>
        </is>
      </c>
      <c r="B5" s="15" t="inlineStr">
        <is>
          <t>كود البند</t>
        </is>
      </c>
      <c r="C5" s="15" t="inlineStr">
        <is>
          <t>القسم</t>
        </is>
      </c>
      <c r="D5" s="15" t="inlineStr">
        <is>
          <t>وصف البند</t>
        </is>
      </c>
      <c r="E5" s="15" t="inlineStr">
        <is>
          <t>الوحدة</t>
        </is>
      </c>
      <c r="F5" s="15" t="inlineStr">
        <is>
          <t>الكمية التعاقدية</t>
        </is>
      </c>
      <c r="G5" s="15" t="inlineStr">
        <is>
          <t>سعر الوحدة</t>
        </is>
      </c>
      <c r="H5" s="15" t="inlineStr">
        <is>
          <t>الإجمالي</t>
        </is>
      </c>
      <c r="I5" s="15" t="inlineStr">
        <is>
          <t>الوزن النسبي</t>
        </is>
      </c>
    </row>
    <row r="6">
      <c r="A6" s="29">
        <f>IF(B6="","",COUNTA($B$6:B6))</f>
        <v/>
      </c>
      <c r="B6" s="17" t="n"/>
      <c r="C6" s="20" t="n"/>
      <c r="D6" s="30" t="n"/>
      <c r="E6" s="17" t="n"/>
      <c r="F6" s="31" t="n"/>
      <c r="G6" s="31" t="n"/>
      <c r="H6" s="32">
        <f>F6*G6</f>
        <v/>
      </c>
      <c r="I6" s="33">
        <f>IF($H$106&gt;0,H6/$H$106,0)</f>
        <v/>
      </c>
    </row>
    <row r="7">
      <c r="A7" s="29">
        <f>IF(B7="","",COUNTA($B$6:B7))</f>
        <v/>
      </c>
      <c r="B7" s="17" t="n"/>
      <c r="C7" s="20" t="n"/>
      <c r="D7" s="30" t="n"/>
      <c r="E7" s="17" t="n"/>
      <c r="F7" s="31" t="n"/>
      <c r="G7" s="31" t="n"/>
      <c r="H7" s="32">
        <f>F7*G7</f>
        <v/>
      </c>
      <c r="I7" s="33">
        <f>IF($H$106&gt;0,H7/$H$106,0)</f>
        <v/>
      </c>
    </row>
    <row r="8">
      <c r="A8" s="29">
        <f>IF(B8="","",COUNTA($B$6:B8))</f>
        <v/>
      </c>
      <c r="B8" s="17" t="n"/>
      <c r="C8" s="20" t="n"/>
      <c r="D8" s="30" t="n"/>
      <c r="E8" s="17" t="n"/>
      <c r="F8" s="31" t="n"/>
      <c r="G8" s="31" t="n"/>
      <c r="H8" s="32">
        <f>F8*G8</f>
        <v/>
      </c>
      <c r="I8" s="33">
        <f>IF($H$106&gt;0,H8/$H$106,0)</f>
        <v/>
      </c>
    </row>
    <row r="9">
      <c r="A9" s="29">
        <f>IF(B9="","",COUNTA($B$6:B9))</f>
        <v/>
      </c>
      <c r="B9" s="17" t="n"/>
      <c r="C9" s="20" t="n"/>
      <c r="D9" s="30" t="n"/>
      <c r="E9" s="17" t="n"/>
      <c r="F9" s="31" t="n"/>
      <c r="G9" s="31" t="n"/>
      <c r="H9" s="32">
        <f>F9*G9</f>
        <v/>
      </c>
      <c r="I9" s="33">
        <f>IF($H$106&gt;0,H9/$H$106,0)</f>
        <v/>
      </c>
    </row>
    <row r="10">
      <c r="A10" s="29">
        <f>IF(B10="","",COUNTA($B$6:B10))</f>
        <v/>
      </c>
      <c r="B10" s="17" t="n"/>
      <c r="C10" s="20" t="n"/>
      <c r="D10" s="30" t="n"/>
      <c r="E10" s="17" t="n"/>
      <c r="F10" s="31" t="n"/>
      <c r="G10" s="31" t="n"/>
      <c r="H10" s="32">
        <f>F10*G10</f>
        <v/>
      </c>
      <c r="I10" s="33">
        <f>IF($H$106&gt;0,H10/$H$106,0)</f>
        <v/>
      </c>
    </row>
    <row r="11">
      <c r="A11" s="29">
        <f>IF(B11="","",COUNTA($B$6:B11))</f>
        <v/>
      </c>
      <c r="B11" s="17" t="n"/>
      <c r="C11" s="20" t="n"/>
      <c r="D11" s="30" t="n"/>
      <c r="E11" s="17" t="n"/>
      <c r="F11" s="31" t="n"/>
      <c r="G11" s="31" t="n"/>
      <c r="H11" s="32">
        <f>F11*G11</f>
        <v/>
      </c>
      <c r="I11" s="33">
        <f>IF($H$106&gt;0,H11/$H$106,0)</f>
        <v/>
      </c>
    </row>
    <row r="12">
      <c r="A12" s="29">
        <f>IF(B12="","",COUNTA($B$6:B12))</f>
        <v/>
      </c>
      <c r="B12" s="17" t="n"/>
      <c r="C12" s="20" t="n"/>
      <c r="D12" s="30" t="n"/>
      <c r="E12" s="17" t="n"/>
      <c r="F12" s="31" t="n"/>
      <c r="G12" s="31" t="n"/>
      <c r="H12" s="32">
        <f>F12*G12</f>
        <v/>
      </c>
      <c r="I12" s="33">
        <f>IF($H$106&gt;0,H12/$H$106,0)</f>
        <v/>
      </c>
    </row>
    <row r="13">
      <c r="A13" s="29">
        <f>IF(B13="","",COUNTA($B$6:B13))</f>
        <v/>
      </c>
      <c r="B13" s="17" t="n"/>
      <c r="C13" s="20" t="n"/>
      <c r="D13" s="30" t="n"/>
      <c r="E13" s="17" t="n"/>
      <c r="F13" s="31" t="n"/>
      <c r="G13" s="31" t="n"/>
      <c r="H13" s="32">
        <f>F13*G13</f>
        <v/>
      </c>
      <c r="I13" s="33">
        <f>IF($H$106&gt;0,H13/$H$106,0)</f>
        <v/>
      </c>
    </row>
    <row r="14">
      <c r="A14" s="29">
        <f>IF(B14="","",COUNTA($B$6:B14))</f>
        <v/>
      </c>
      <c r="B14" s="17" t="n"/>
      <c r="C14" s="20" t="n"/>
      <c r="D14" s="30" t="n"/>
      <c r="E14" s="17" t="n"/>
      <c r="F14" s="31" t="n"/>
      <c r="G14" s="31" t="n"/>
      <c r="H14" s="32">
        <f>F14*G14</f>
        <v/>
      </c>
      <c r="I14" s="33">
        <f>IF($H$106&gt;0,H14/$H$106,0)</f>
        <v/>
      </c>
    </row>
    <row r="15">
      <c r="A15" s="29">
        <f>IF(B15="","",COUNTA($B$6:B15))</f>
        <v/>
      </c>
      <c r="B15" s="17" t="n"/>
      <c r="C15" s="20" t="n"/>
      <c r="D15" s="30" t="n"/>
      <c r="E15" s="17" t="n"/>
      <c r="F15" s="31" t="n"/>
      <c r="G15" s="31" t="n"/>
      <c r="H15" s="32">
        <f>F15*G15</f>
        <v/>
      </c>
      <c r="I15" s="33">
        <f>IF($H$106&gt;0,H15/$H$106,0)</f>
        <v/>
      </c>
    </row>
    <row r="16">
      <c r="A16" s="29">
        <f>IF(B16="","",COUNTA($B$6:B16))</f>
        <v/>
      </c>
      <c r="B16" s="17" t="n"/>
      <c r="C16" s="20" t="n"/>
      <c r="D16" s="30" t="n"/>
      <c r="E16" s="17" t="n"/>
      <c r="F16" s="31" t="n"/>
      <c r="G16" s="31" t="n"/>
      <c r="H16" s="32">
        <f>F16*G16</f>
        <v/>
      </c>
      <c r="I16" s="33">
        <f>IF($H$106&gt;0,H16/$H$106,0)</f>
        <v/>
      </c>
    </row>
    <row r="17">
      <c r="A17" s="29">
        <f>IF(B17="","",COUNTA($B$6:B17))</f>
        <v/>
      </c>
      <c r="B17" s="17" t="n"/>
      <c r="C17" s="20" t="n"/>
      <c r="D17" s="30" t="n"/>
      <c r="E17" s="17" t="n"/>
      <c r="F17" s="31" t="n"/>
      <c r="G17" s="31" t="n"/>
      <c r="H17" s="32">
        <f>F17*G17</f>
        <v/>
      </c>
      <c r="I17" s="33">
        <f>IF($H$106&gt;0,H17/$H$106,0)</f>
        <v/>
      </c>
    </row>
    <row r="18">
      <c r="A18" s="29">
        <f>IF(B18="","",COUNTA($B$6:B18))</f>
        <v/>
      </c>
      <c r="B18" s="17" t="n"/>
      <c r="C18" s="20" t="n"/>
      <c r="D18" s="30" t="n"/>
      <c r="E18" s="17" t="n"/>
      <c r="F18" s="31" t="n"/>
      <c r="G18" s="31" t="n"/>
      <c r="H18" s="32">
        <f>F18*G18</f>
        <v/>
      </c>
      <c r="I18" s="33">
        <f>IF($H$106&gt;0,H18/$H$106,0)</f>
        <v/>
      </c>
    </row>
    <row r="19">
      <c r="A19" s="29">
        <f>IF(B19="","",COUNTA($B$6:B19))</f>
        <v/>
      </c>
      <c r="B19" s="17" t="n"/>
      <c r="C19" s="20" t="n"/>
      <c r="D19" s="30" t="n"/>
      <c r="E19" s="17" t="n"/>
      <c r="F19" s="31" t="n"/>
      <c r="G19" s="31" t="n"/>
      <c r="H19" s="32">
        <f>F19*G19</f>
        <v/>
      </c>
      <c r="I19" s="33">
        <f>IF($H$106&gt;0,H19/$H$106,0)</f>
        <v/>
      </c>
    </row>
    <row r="20">
      <c r="A20" s="29">
        <f>IF(B20="","",COUNTA($B$6:B20))</f>
        <v/>
      </c>
      <c r="B20" s="17" t="n"/>
      <c r="C20" s="20" t="n"/>
      <c r="D20" s="30" t="n"/>
      <c r="E20" s="17" t="n"/>
      <c r="F20" s="31" t="n"/>
      <c r="G20" s="31" t="n"/>
      <c r="H20" s="32">
        <f>F20*G20</f>
        <v/>
      </c>
      <c r="I20" s="33">
        <f>IF($H$106&gt;0,H20/$H$106,0)</f>
        <v/>
      </c>
    </row>
    <row r="21">
      <c r="A21" s="29">
        <f>IF(B21="","",COUNTA($B$6:B21))</f>
        <v/>
      </c>
      <c r="B21" s="17" t="n"/>
      <c r="C21" s="20" t="n"/>
      <c r="D21" s="30" t="n"/>
      <c r="E21" s="17" t="n"/>
      <c r="F21" s="31" t="n"/>
      <c r="G21" s="31" t="n"/>
      <c r="H21" s="32">
        <f>F21*G21</f>
        <v/>
      </c>
      <c r="I21" s="33">
        <f>IF($H$106&gt;0,H21/$H$106,0)</f>
        <v/>
      </c>
    </row>
    <row r="22">
      <c r="A22" s="29">
        <f>IF(B22="","",COUNTA($B$6:B22))</f>
        <v/>
      </c>
      <c r="B22" s="17" t="n"/>
      <c r="C22" s="20" t="n"/>
      <c r="D22" s="30" t="n"/>
      <c r="E22" s="17" t="n"/>
      <c r="F22" s="31" t="n"/>
      <c r="G22" s="31" t="n"/>
      <c r="H22" s="32">
        <f>F22*G22</f>
        <v/>
      </c>
      <c r="I22" s="33">
        <f>IF($H$106&gt;0,H22/$H$106,0)</f>
        <v/>
      </c>
    </row>
    <row r="23">
      <c r="A23" s="29">
        <f>IF(B23="","",COUNTA($B$6:B23))</f>
        <v/>
      </c>
      <c r="B23" s="17" t="n"/>
      <c r="C23" s="20" t="n"/>
      <c r="D23" s="30" t="n"/>
      <c r="E23" s="17" t="n"/>
      <c r="F23" s="31" t="n"/>
      <c r="G23" s="31" t="n"/>
      <c r="H23" s="32">
        <f>F23*G23</f>
        <v/>
      </c>
      <c r="I23" s="33">
        <f>IF($H$106&gt;0,H23/$H$106,0)</f>
        <v/>
      </c>
    </row>
    <row r="24">
      <c r="A24" s="29">
        <f>IF(B24="","",COUNTA($B$6:B24))</f>
        <v/>
      </c>
      <c r="B24" s="17" t="n"/>
      <c r="C24" s="20" t="n"/>
      <c r="D24" s="30" t="n"/>
      <c r="E24" s="17" t="n"/>
      <c r="F24" s="31" t="n"/>
      <c r="G24" s="31" t="n"/>
      <c r="H24" s="32">
        <f>F24*G24</f>
        <v/>
      </c>
      <c r="I24" s="33">
        <f>IF($H$106&gt;0,H24/$H$106,0)</f>
        <v/>
      </c>
    </row>
    <row r="25">
      <c r="A25" s="29">
        <f>IF(B25="","",COUNTA($B$6:B25))</f>
        <v/>
      </c>
      <c r="B25" s="17" t="n"/>
      <c r="C25" s="20" t="n"/>
      <c r="D25" s="30" t="n"/>
      <c r="E25" s="17" t="n"/>
      <c r="F25" s="31" t="n"/>
      <c r="G25" s="31" t="n"/>
      <c r="H25" s="32">
        <f>F25*G25</f>
        <v/>
      </c>
      <c r="I25" s="33">
        <f>IF($H$106&gt;0,H25/$H$106,0)</f>
        <v/>
      </c>
    </row>
    <row r="26">
      <c r="A26" s="29">
        <f>IF(B26="","",COUNTA($B$6:B26))</f>
        <v/>
      </c>
      <c r="B26" s="17" t="n"/>
      <c r="C26" s="20" t="n"/>
      <c r="D26" s="30" t="n"/>
      <c r="E26" s="17" t="n"/>
      <c r="F26" s="31" t="n"/>
      <c r="G26" s="31" t="n"/>
      <c r="H26" s="32">
        <f>F26*G26</f>
        <v/>
      </c>
      <c r="I26" s="33">
        <f>IF($H$106&gt;0,H26/$H$106,0)</f>
        <v/>
      </c>
    </row>
    <row r="27">
      <c r="A27" s="29">
        <f>IF(B27="","",COUNTA($B$6:B27))</f>
        <v/>
      </c>
      <c r="B27" s="17" t="n"/>
      <c r="C27" s="20" t="n"/>
      <c r="D27" s="30" t="n"/>
      <c r="E27" s="17" t="n"/>
      <c r="F27" s="31" t="n"/>
      <c r="G27" s="31" t="n"/>
      <c r="H27" s="32">
        <f>F27*G27</f>
        <v/>
      </c>
      <c r="I27" s="33">
        <f>IF($H$106&gt;0,H27/$H$106,0)</f>
        <v/>
      </c>
    </row>
    <row r="28">
      <c r="A28" s="29">
        <f>IF(B28="","",COUNTA($B$6:B28))</f>
        <v/>
      </c>
      <c r="B28" s="17" t="n"/>
      <c r="C28" s="20" t="n"/>
      <c r="D28" s="30" t="n"/>
      <c r="E28" s="17" t="n"/>
      <c r="F28" s="31" t="n"/>
      <c r="G28" s="31" t="n"/>
      <c r="H28" s="32">
        <f>F28*G28</f>
        <v/>
      </c>
      <c r="I28" s="33">
        <f>IF($H$106&gt;0,H28/$H$106,0)</f>
        <v/>
      </c>
    </row>
    <row r="29">
      <c r="A29" s="29">
        <f>IF(B29="","",COUNTA($B$6:B29))</f>
        <v/>
      </c>
      <c r="B29" s="17" t="n"/>
      <c r="C29" s="20" t="n"/>
      <c r="D29" s="30" t="n"/>
      <c r="E29" s="17" t="n"/>
      <c r="F29" s="31" t="n"/>
      <c r="G29" s="31" t="n"/>
      <c r="H29" s="32">
        <f>F29*G29</f>
        <v/>
      </c>
      <c r="I29" s="33">
        <f>IF($H$106&gt;0,H29/$H$106,0)</f>
        <v/>
      </c>
    </row>
    <row r="30">
      <c r="A30" s="29">
        <f>IF(B30="","",COUNTA($B$6:B30))</f>
        <v/>
      </c>
      <c r="B30" s="17" t="n"/>
      <c r="C30" s="20" t="n"/>
      <c r="D30" s="30" t="n"/>
      <c r="E30" s="17" t="n"/>
      <c r="F30" s="31" t="n"/>
      <c r="G30" s="31" t="n"/>
      <c r="H30" s="32">
        <f>F30*G30</f>
        <v/>
      </c>
      <c r="I30" s="33">
        <f>IF($H$106&gt;0,H30/$H$106,0)</f>
        <v/>
      </c>
    </row>
    <row r="31">
      <c r="A31" s="29">
        <f>IF(B31="","",COUNTA($B$6:B31))</f>
        <v/>
      </c>
      <c r="B31" s="17" t="n"/>
      <c r="C31" s="20" t="n"/>
      <c r="D31" s="30" t="n"/>
      <c r="E31" s="17" t="n"/>
      <c r="F31" s="31" t="n"/>
      <c r="G31" s="31" t="n"/>
      <c r="H31" s="32">
        <f>F31*G31</f>
        <v/>
      </c>
      <c r="I31" s="33">
        <f>IF($H$106&gt;0,H31/$H$106,0)</f>
        <v/>
      </c>
    </row>
    <row r="32">
      <c r="A32" s="29">
        <f>IF(B32="","",COUNTA($B$6:B32))</f>
        <v/>
      </c>
      <c r="B32" s="17" t="n"/>
      <c r="C32" s="20" t="n"/>
      <c r="D32" s="30" t="n"/>
      <c r="E32" s="17" t="n"/>
      <c r="F32" s="31" t="n"/>
      <c r="G32" s="31" t="n"/>
      <c r="H32" s="32">
        <f>F32*G32</f>
        <v/>
      </c>
      <c r="I32" s="33">
        <f>IF($H$106&gt;0,H32/$H$106,0)</f>
        <v/>
      </c>
    </row>
    <row r="33">
      <c r="A33" s="29">
        <f>IF(B33="","",COUNTA($B$6:B33))</f>
        <v/>
      </c>
      <c r="B33" s="17" t="n"/>
      <c r="C33" s="20" t="n"/>
      <c r="D33" s="30" t="n"/>
      <c r="E33" s="17" t="n"/>
      <c r="F33" s="31" t="n"/>
      <c r="G33" s="31" t="n"/>
      <c r="H33" s="32">
        <f>F33*G33</f>
        <v/>
      </c>
      <c r="I33" s="33">
        <f>IF($H$106&gt;0,H33/$H$106,0)</f>
        <v/>
      </c>
    </row>
    <row r="34">
      <c r="A34" s="29">
        <f>IF(B34="","",COUNTA($B$6:B34))</f>
        <v/>
      </c>
      <c r="B34" s="17" t="n"/>
      <c r="C34" s="20" t="n"/>
      <c r="D34" s="30" t="n"/>
      <c r="E34" s="17" t="n"/>
      <c r="F34" s="31" t="n"/>
      <c r="G34" s="31" t="n"/>
      <c r="H34" s="32">
        <f>F34*G34</f>
        <v/>
      </c>
      <c r="I34" s="33">
        <f>IF($H$106&gt;0,H34/$H$106,0)</f>
        <v/>
      </c>
    </row>
    <row r="35">
      <c r="A35" s="29">
        <f>IF(B35="","",COUNTA($B$6:B35))</f>
        <v/>
      </c>
      <c r="B35" s="17" t="n"/>
      <c r="C35" s="20" t="n"/>
      <c r="D35" s="30" t="n"/>
      <c r="E35" s="17" t="n"/>
      <c r="F35" s="31" t="n"/>
      <c r="G35" s="31" t="n"/>
      <c r="H35" s="32">
        <f>F35*G35</f>
        <v/>
      </c>
      <c r="I35" s="33">
        <f>IF($H$106&gt;0,H35/$H$106,0)</f>
        <v/>
      </c>
    </row>
    <row r="36">
      <c r="A36" s="29">
        <f>IF(B36="","",COUNTA($B$6:B36))</f>
        <v/>
      </c>
      <c r="B36" s="17" t="n"/>
      <c r="C36" s="20" t="n"/>
      <c r="D36" s="30" t="n"/>
      <c r="E36" s="17" t="n"/>
      <c r="F36" s="31" t="n"/>
      <c r="G36" s="31" t="n"/>
      <c r="H36" s="32">
        <f>F36*G36</f>
        <v/>
      </c>
      <c r="I36" s="33">
        <f>IF($H$106&gt;0,H36/$H$106,0)</f>
        <v/>
      </c>
    </row>
    <row r="37">
      <c r="A37" s="29">
        <f>IF(B37="","",COUNTA($B$6:B37))</f>
        <v/>
      </c>
      <c r="B37" s="17" t="n"/>
      <c r="C37" s="20" t="n"/>
      <c r="D37" s="30" t="n"/>
      <c r="E37" s="17" t="n"/>
      <c r="F37" s="31" t="n"/>
      <c r="G37" s="31" t="n"/>
      <c r="H37" s="32">
        <f>F37*G37</f>
        <v/>
      </c>
      <c r="I37" s="33">
        <f>IF($H$106&gt;0,H37/$H$106,0)</f>
        <v/>
      </c>
    </row>
    <row r="38">
      <c r="A38" s="29">
        <f>IF(B38="","",COUNTA($B$6:B38))</f>
        <v/>
      </c>
      <c r="B38" s="17" t="n"/>
      <c r="C38" s="20" t="n"/>
      <c r="D38" s="30" t="n"/>
      <c r="E38" s="17" t="n"/>
      <c r="F38" s="31" t="n"/>
      <c r="G38" s="31" t="n"/>
      <c r="H38" s="32">
        <f>F38*G38</f>
        <v/>
      </c>
      <c r="I38" s="33">
        <f>IF($H$106&gt;0,H38/$H$106,0)</f>
        <v/>
      </c>
    </row>
    <row r="39">
      <c r="A39" s="29">
        <f>IF(B39="","",COUNTA($B$6:B39))</f>
        <v/>
      </c>
      <c r="B39" s="17" t="n"/>
      <c r="C39" s="20" t="n"/>
      <c r="D39" s="30" t="n"/>
      <c r="E39" s="17" t="n"/>
      <c r="F39" s="31" t="n"/>
      <c r="G39" s="31" t="n"/>
      <c r="H39" s="32">
        <f>F39*G39</f>
        <v/>
      </c>
      <c r="I39" s="33">
        <f>IF($H$106&gt;0,H39/$H$106,0)</f>
        <v/>
      </c>
    </row>
    <row r="40">
      <c r="A40" s="29">
        <f>IF(B40="","",COUNTA($B$6:B40))</f>
        <v/>
      </c>
      <c r="B40" s="17" t="n"/>
      <c r="C40" s="20" t="n"/>
      <c r="D40" s="30" t="n"/>
      <c r="E40" s="17" t="n"/>
      <c r="F40" s="31" t="n"/>
      <c r="G40" s="31" t="n"/>
      <c r="H40" s="32">
        <f>F40*G40</f>
        <v/>
      </c>
      <c r="I40" s="33">
        <f>IF($H$106&gt;0,H40/$H$106,0)</f>
        <v/>
      </c>
    </row>
    <row r="41">
      <c r="A41" s="29">
        <f>IF(B41="","",COUNTA($B$6:B41))</f>
        <v/>
      </c>
      <c r="B41" s="17" t="n"/>
      <c r="C41" s="20" t="n"/>
      <c r="D41" s="30" t="n"/>
      <c r="E41" s="17" t="n"/>
      <c r="F41" s="31" t="n"/>
      <c r="G41" s="31" t="n"/>
      <c r="H41" s="32">
        <f>F41*G41</f>
        <v/>
      </c>
      <c r="I41" s="33">
        <f>IF($H$106&gt;0,H41/$H$106,0)</f>
        <v/>
      </c>
    </row>
    <row r="42">
      <c r="A42" s="29">
        <f>IF(B42="","",COUNTA($B$6:B42))</f>
        <v/>
      </c>
      <c r="B42" s="17" t="n"/>
      <c r="C42" s="20" t="n"/>
      <c r="D42" s="30" t="n"/>
      <c r="E42" s="17" t="n"/>
      <c r="F42" s="31" t="n"/>
      <c r="G42" s="31" t="n"/>
      <c r="H42" s="32">
        <f>F42*G42</f>
        <v/>
      </c>
      <c r="I42" s="33">
        <f>IF($H$106&gt;0,H42/$H$106,0)</f>
        <v/>
      </c>
    </row>
    <row r="43">
      <c r="A43" s="29">
        <f>IF(B43="","",COUNTA($B$6:B43))</f>
        <v/>
      </c>
      <c r="B43" s="17" t="n"/>
      <c r="C43" s="20" t="n"/>
      <c r="D43" s="30" t="n"/>
      <c r="E43" s="17" t="n"/>
      <c r="F43" s="31" t="n"/>
      <c r="G43" s="31" t="n"/>
      <c r="H43" s="32">
        <f>F43*G43</f>
        <v/>
      </c>
      <c r="I43" s="33">
        <f>IF($H$106&gt;0,H43/$H$106,0)</f>
        <v/>
      </c>
    </row>
    <row r="44">
      <c r="A44" s="29">
        <f>IF(B44="","",COUNTA($B$6:B44))</f>
        <v/>
      </c>
      <c r="B44" s="17" t="n"/>
      <c r="C44" s="20" t="n"/>
      <c r="D44" s="30" t="n"/>
      <c r="E44" s="17" t="n"/>
      <c r="F44" s="31" t="n"/>
      <c r="G44" s="31" t="n"/>
      <c r="H44" s="32">
        <f>F44*G44</f>
        <v/>
      </c>
      <c r="I44" s="33">
        <f>IF($H$106&gt;0,H44/$H$106,0)</f>
        <v/>
      </c>
    </row>
    <row r="45">
      <c r="A45" s="29">
        <f>IF(B45="","",COUNTA($B$6:B45))</f>
        <v/>
      </c>
      <c r="B45" s="17" t="n"/>
      <c r="C45" s="20" t="n"/>
      <c r="D45" s="30" t="n"/>
      <c r="E45" s="17" t="n"/>
      <c r="F45" s="31" t="n"/>
      <c r="G45" s="31" t="n"/>
      <c r="H45" s="32">
        <f>F45*G45</f>
        <v/>
      </c>
      <c r="I45" s="33">
        <f>IF($H$106&gt;0,H45/$H$106,0)</f>
        <v/>
      </c>
    </row>
    <row r="46">
      <c r="A46" s="29">
        <f>IF(B46="","",COUNTA($B$6:B46))</f>
        <v/>
      </c>
      <c r="B46" s="17" t="n"/>
      <c r="C46" s="20" t="n"/>
      <c r="D46" s="30" t="n"/>
      <c r="E46" s="17" t="n"/>
      <c r="F46" s="31" t="n"/>
      <c r="G46" s="31" t="n"/>
      <c r="H46" s="32">
        <f>F46*G46</f>
        <v/>
      </c>
      <c r="I46" s="33">
        <f>IF($H$106&gt;0,H46/$H$106,0)</f>
        <v/>
      </c>
    </row>
    <row r="47">
      <c r="A47" s="29">
        <f>IF(B47="","",COUNTA($B$6:B47))</f>
        <v/>
      </c>
      <c r="B47" s="17" t="n"/>
      <c r="C47" s="20" t="n"/>
      <c r="D47" s="30" t="n"/>
      <c r="E47" s="17" t="n"/>
      <c r="F47" s="31" t="n"/>
      <c r="G47" s="31" t="n"/>
      <c r="H47" s="32">
        <f>F47*G47</f>
        <v/>
      </c>
      <c r="I47" s="33">
        <f>IF($H$106&gt;0,H47/$H$106,0)</f>
        <v/>
      </c>
    </row>
    <row r="48">
      <c r="A48" s="29">
        <f>IF(B48="","",COUNTA($B$6:B48))</f>
        <v/>
      </c>
      <c r="B48" s="17" t="n"/>
      <c r="C48" s="20" t="n"/>
      <c r="D48" s="30" t="n"/>
      <c r="E48" s="17" t="n"/>
      <c r="F48" s="31" t="n"/>
      <c r="G48" s="31" t="n"/>
      <c r="H48" s="32">
        <f>F48*G48</f>
        <v/>
      </c>
      <c r="I48" s="33">
        <f>IF($H$106&gt;0,H48/$H$106,0)</f>
        <v/>
      </c>
    </row>
    <row r="49">
      <c r="A49" s="29">
        <f>IF(B49="","",COUNTA($B$6:B49))</f>
        <v/>
      </c>
      <c r="B49" s="17" t="n"/>
      <c r="C49" s="20" t="n"/>
      <c r="D49" s="30" t="n"/>
      <c r="E49" s="17" t="n"/>
      <c r="F49" s="31" t="n"/>
      <c r="G49" s="31" t="n"/>
      <c r="H49" s="32">
        <f>F49*G49</f>
        <v/>
      </c>
      <c r="I49" s="33">
        <f>IF($H$106&gt;0,H49/$H$106,0)</f>
        <v/>
      </c>
    </row>
    <row r="50">
      <c r="A50" s="29">
        <f>IF(B50="","",COUNTA($B$6:B50))</f>
        <v/>
      </c>
      <c r="B50" s="17" t="n"/>
      <c r="C50" s="20" t="n"/>
      <c r="D50" s="30" t="n"/>
      <c r="E50" s="17" t="n"/>
      <c r="F50" s="31" t="n"/>
      <c r="G50" s="31" t="n"/>
      <c r="H50" s="32">
        <f>F50*G50</f>
        <v/>
      </c>
      <c r="I50" s="33">
        <f>IF($H$106&gt;0,H50/$H$106,0)</f>
        <v/>
      </c>
    </row>
    <row r="51">
      <c r="A51" s="29">
        <f>IF(B51="","",COUNTA($B$6:B51))</f>
        <v/>
      </c>
      <c r="B51" s="17" t="n"/>
      <c r="C51" s="20" t="n"/>
      <c r="D51" s="30" t="n"/>
      <c r="E51" s="17" t="n"/>
      <c r="F51" s="31" t="n"/>
      <c r="G51" s="31" t="n"/>
      <c r="H51" s="32">
        <f>F51*G51</f>
        <v/>
      </c>
      <c r="I51" s="33">
        <f>IF($H$106&gt;0,H51/$H$106,0)</f>
        <v/>
      </c>
    </row>
    <row r="52">
      <c r="A52" s="29">
        <f>IF(B52="","",COUNTA($B$6:B52))</f>
        <v/>
      </c>
      <c r="B52" s="17" t="n"/>
      <c r="C52" s="20" t="n"/>
      <c r="D52" s="30" t="n"/>
      <c r="E52" s="17" t="n"/>
      <c r="F52" s="31" t="n"/>
      <c r="G52" s="31" t="n"/>
      <c r="H52" s="32">
        <f>F52*G52</f>
        <v/>
      </c>
      <c r="I52" s="33">
        <f>IF($H$106&gt;0,H52/$H$106,0)</f>
        <v/>
      </c>
    </row>
    <row r="53">
      <c r="A53" s="29">
        <f>IF(B53="","",COUNTA($B$6:B53))</f>
        <v/>
      </c>
      <c r="B53" s="17" t="n"/>
      <c r="C53" s="20" t="n"/>
      <c r="D53" s="30" t="n"/>
      <c r="E53" s="17" t="n"/>
      <c r="F53" s="31" t="n"/>
      <c r="G53" s="31" t="n"/>
      <c r="H53" s="32">
        <f>F53*G53</f>
        <v/>
      </c>
      <c r="I53" s="33">
        <f>IF($H$106&gt;0,H53/$H$106,0)</f>
        <v/>
      </c>
    </row>
    <row r="54">
      <c r="A54" s="29">
        <f>IF(B54="","",COUNTA($B$6:B54))</f>
        <v/>
      </c>
      <c r="B54" s="17" t="n"/>
      <c r="C54" s="20" t="n"/>
      <c r="D54" s="30" t="n"/>
      <c r="E54" s="17" t="n"/>
      <c r="F54" s="31" t="n"/>
      <c r="G54" s="31" t="n"/>
      <c r="H54" s="32">
        <f>F54*G54</f>
        <v/>
      </c>
      <c r="I54" s="33">
        <f>IF($H$106&gt;0,H54/$H$106,0)</f>
        <v/>
      </c>
    </row>
    <row r="55">
      <c r="A55" s="29">
        <f>IF(B55="","",COUNTA($B$6:B55))</f>
        <v/>
      </c>
      <c r="B55" s="17" t="n"/>
      <c r="C55" s="20" t="n"/>
      <c r="D55" s="30" t="n"/>
      <c r="E55" s="17" t="n"/>
      <c r="F55" s="31" t="n"/>
      <c r="G55" s="31" t="n"/>
      <c r="H55" s="32">
        <f>F55*G55</f>
        <v/>
      </c>
      <c r="I55" s="33">
        <f>IF($H$106&gt;0,H55/$H$106,0)</f>
        <v/>
      </c>
    </row>
    <row r="56">
      <c r="A56" s="29">
        <f>IF(B56="","",COUNTA($B$6:B56))</f>
        <v/>
      </c>
      <c r="B56" s="17" t="n"/>
      <c r="C56" s="20" t="n"/>
      <c r="D56" s="30" t="n"/>
      <c r="E56" s="17" t="n"/>
      <c r="F56" s="31" t="n"/>
      <c r="G56" s="31" t="n"/>
      <c r="H56" s="32">
        <f>F56*G56</f>
        <v/>
      </c>
      <c r="I56" s="33">
        <f>IF($H$106&gt;0,H56/$H$106,0)</f>
        <v/>
      </c>
    </row>
    <row r="57">
      <c r="A57" s="29">
        <f>IF(B57="","",COUNTA($B$6:B57))</f>
        <v/>
      </c>
      <c r="B57" s="17" t="n"/>
      <c r="C57" s="20" t="n"/>
      <c r="D57" s="30" t="n"/>
      <c r="E57" s="17" t="n"/>
      <c r="F57" s="31" t="n"/>
      <c r="G57" s="31" t="n"/>
      <c r="H57" s="32">
        <f>F57*G57</f>
        <v/>
      </c>
      <c r="I57" s="33">
        <f>IF($H$106&gt;0,H57/$H$106,0)</f>
        <v/>
      </c>
    </row>
    <row r="58">
      <c r="A58" s="29">
        <f>IF(B58="","",COUNTA($B$6:B58))</f>
        <v/>
      </c>
      <c r="B58" s="17" t="n"/>
      <c r="C58" s="20" t="n"/>
      <c r="D58" s="30" t="n"/>
      <c r="E58" s="17" t="n"/>
      <c r="F58" s="31" t="n"/>
      <c r="G58" s="31" t="n"/>
      <c r="H58" s="32">
        <f>F58*G58</f>
        <v/>
      </c>
      <c r="I58" s="33">
        <f>IF($H$106&gt;0,H58/$H$106,0)</f>
        <v/>
      </c>
    </row>
    <row r="59">
      <c r="A59" s="29">
        <f>IF(B59="","",COUNTA($B$6:B59))</f>
        <v/>
      </c>
      <c r="B59" s="17" t="n"/>
      <c r="C59" s="20" t="n"/>
      <c r="D59" s="30" t="n"/>
      <c r="E59" s="17" t="n"/>
      <c r="F59" s="31" t="n"/>
      <c r="G59" s="31" t="n"/>
      <c r="H59" s="32">
        <f>F59*G59</f>
        <v/>
      </c>
      <c r="I59" s="33">
        <f>IF($H$106&gt;0,H59/$H$106,0)</f>
        <v/>
      </c>
    </row>
    <row r="60">
      <c r="A60" s="29">
        <f>IF(B60="","",COUNTA($B$6:B60))</f>
        <v/>
      </c>
      <c r="B60" s="17" t="n"/>
      <c r="C60" s="20" t="n"/>
      <c r="D60" s="30" t="n"/>
      <c r="E60" s="17" t="n"/>
      <c r="F60" s="31" t="n"/>
      <c r="G60" s="31" t="n"/>
      <c r="H60" s="32">
        <f>F60*G60</f>
        <v/>
      </c>
      <c r="I60" s="33">
        <f>IF($H$106&gt;0,H60/$H$106,0)</f>
        <v/>
      </c>
    </row>
    <row r="61">
      <c r="A61" s="29">
        <f>IF(B61="","",COUNTA($B$6:B61))</f>
        <v/>
      </c>
      <c r="B61" s="17" t="n"/>
      <c r="C61" s="20" t="n"/>
      <c r="D61" s="30" t="n"/>
      <c r="E61" s="17" t="n"/>
      <c r="F61" s="31" t="n"/>
      <c r="G61" s="31" t="n"/>
      <c r="H61" s="32">
        <f>F61*G61</f>
        <v/>
      </c>
      <c r="I61" s="33">
        <f>IF($H$106&gt;0,H61/$H$106,0)</f>
        <v/>
      </c>
    </row>
    <row r="62">
      <c r="A62" s="29">
        <f>IF(B62="","",COUNTA($B$6:B62))</f>
        <v/>
      </c>
      <c r="B62" s="17" t="n"/>
      <c r="C62" s="20" t="n"/>
      <c r="D62" s="30" t="n"/>
      <c r="E62" s="17" t="n"/>
      <c r="F62" s="31" t="n"/>
      <c r="G62" s="31" t="n"/>
      <c r="H62" s="32">
        <f>F62*G62</f>
        <v/>
      </c>
      <c r="I62" s="33">
        <f>IF($H$106&gt;0,H62/$H$106,0)</f>
        <v/>
      </c>
    </row>
    <row r="63">
      <c r="A63" s="29">
        <f>IF(B63="","",COUNTA($B$6:B63))</f>
        <v/>
      </c>
      <c r="B63" s="17" t="n"/>
      <c r="C63" s="20" t="n"/>
      <c r="D63" s="30" t="n"/>
      <c r="E63" s="17" t="n"/>
      <c r="F63" s="31" t="n"/>
      <c r="G63" s="31" t="n"/>
      <c r="H63" s="32">
        <f>F63*G63</f>
        <v/>
      </c>
      <c r="I63" s="33">
        <f>IF($H$106&gt;0,H63/$H$106,0)</f>
        <v/>
      </c>
    </row>
    <row r="64">
      <c r="A64" s="29">
        <f>IF(B64="","",COUNTA($B$6:B64))</f>
        <v/>
      </c>
      <c r="B64" s="17" t="n"/>
      <c r="C64" s="20" t="n"/>
      <c r="D64" s="30" t="n"/>
      <c r="E64" s="17" t="n"/>
      <c r="F64" s="31" t="n"/>
      <c r="G64" s="31" t="n"/>
      <c r="H64" s="32">
        <f>F64*G64</f>
        <v/>
      </c>
      <c r="I64" s="33">
        <f>IF($H$106&gt;0,H64/$H$106,0)</f>
        <v/>
      </c>
    </row>
    <row r="65">
      <c r="A65" s="29">
        <f>IF(B65="","",COUNTA($B$6:B65))</f>
        <v/>
      </c>
      <c r="B65" s="17" t="n"/>
      <c r="C65" s="20" t="n"/>
      <c r="D65" s="30" t="n"/>
      <c r="E65" s="17" t="n"/>
      <c r="F65" s="31" t="n"/>
      <c r="G65" s="31" t="n"/>
      <c r="H65" s="32">
        <f>F65*G65</f>
        <v/>
      </c>
      <c r="I65" s="33">
        <f>IF($H$106&gt;0,H65/$H$106,0)</f>
        <v/>
      </c>
    </row>
    <row r="66">
      <c r="A66" s="29">
        <f>IF(B66="","",COUNTA($B$6:B66))</f>
        <v/>
      </c>
      <c r="B66" s="17" t="n"/>
      <c r="C66" s="20" t="n"/>
      <c r="D66" s="30" t="n"/>
      <c r="E66" s="17" t="n"/>
      <c r="F66" s="31" t="n"/>
      <c r="G66" s="31" t="n"/>
      <c r="H66" s="32">
        <f>F66*G66</f>
        <v/>
      </c>
      <c r="I66" s="33">
        <f>IF($H$106&gt;0,H66/$H$106,0)</f>
        <v/>
      </c>
    </row>
    <row r="67">
      <c r="A67" s="29">
        <f>IF(B67="","",COUNTA($B$6:B67))</f>
        <v/>
      </c>
      <c r="B67" s="17" t="n"/>
      <c r="C67" s="20" t="n"/>
      <c r="D67" s="30" t="n"/>
      <c r="E67" s="17" t="n"/>
      <c r="F67" s="31" t="n"/>
      <c r="G67" s="31" t="n"/>
      <c r="H67" s="32">
        <f>F67*G67</f>
        <v/>
      </c>
      <c r="I67" s="33">
        <f>IF($H$106&gt;0,H67/$H$106,0)</f>
        <v/>
      </c>
    </row>
    <row r="68">
      <c r="A68" s="29">
        <f>IF(B68="","",COUNTA($B$6:B68))</f>
        <v/>
      </c>
      <c r="B68" s="17" t="n"/>
      <c r="C68" s="20" t="n"/>
      <c r="D68" s="30" t="n"/>
      <c r="E68" s="17" t="n"/>
      <c r="F68" s="31" t="n"/>
      <c r="G68" s="31" t="n"/>
      <c r="H68" s="32">
        <f>F68*G68</f>
        <v/>
      </c>
      <c r="I68" s="33">
        <f>IF($H$106&gt;0,H68/$H$106,0)</f>
        <v/>
      </c>
    </row>
    <row r="69">
      <c r="A69" s="29">
        <f>IF(B69="","",COUNTA($B$6:B69))</f>
        <v/>
      </c>
      <c r="B69" s="17" t="n"/>
      <c r="C69" s="20" t="n"/>
      <c r="D69" s="30" t="n"/>
      <c r="E69" s="17" t="n"/>
      <c r="F69" s="31" t="n"/>
      <c r="G69" s="31" t="n"/>
      <c r="H69" s="32">
        <f>F69*G69</f>
        <v/>
      </c>
      <c r="I69" s="33">
        <f>IF($H$106&gt;0,H69/$H$106,0)</f>
        <v/>
      </c>
    </row>
    <row r="70">
      <c r="A70" s="29">
        <f>IF(B70="","",COUNTA($B$6:B70))</f>
        <v/>
      </c>
      <c r="B70" s="17" t="n"/>
      <c r="C70" s="20" t="n"/>
      <c r="D70" s="30" t="n"/>
      <c r="E70" s="17" t="n"/>
      <c r="F70" s="31" t="n"/>
      <c r="G70" s="31" t="n"/>
      <c r="H70" s="32">
        <f>F70*G70</f>
        <v/>
      </c>
      <c r="I70" s="33">
        <f>IF($H$106&gt;0,H70/$H$106,0)</f>
        <v/>
      </c>
    </row>
    <row r="71">
      <c r="A71" s="29">
        <f>IF(B71="","",COUNTA($B$6:B71))</f>
        <v/>
      </c>
      <c r="B71" s="17" t="n"/>
      <c r="C71" s="20" t="n"/>
      <c r="D71" s="30" t="n"/>
      <c r="E71" s="17" t="n"/>
      <c r="F71" s="31" t="n"/>
      <c r="G71" s="31" t="n"/>
      <c r="H71" s="32">
        <f>F71*G71</f>
        <v/>
      </c>
      <c r="I71" s="33">
        <f>IF($H$106&gt;0,H71/$H$106,0)</f>
        <v/>
      </c>
    </row>
    <row r="72">
      <c r="A72" s="29">
        <f>IF(B72="","",COUNTA($B$6:B72))</f>
        <v/>
      </c>
      <c r="B72" s="17" t="n"/>
      <c r="C72" s="20" t="n"/>
      <c r="D72" s="30" t="n"/>
      <c r="E72" s="17" t="n"/>
      <c r="F72" s="31" t="n"/>
      <c r="G72" s="31" t="n"/>
      <c r="H72" s="32">
        <f>F72*G72</f>
        <v/>
      </c>
      <c r="I72" s="33">
        <f>IF($H$106&gt;0,H72/$H$106,0)</f>
        <v/>
      </c>
    </row>
    <row r="73">
      <c r="A73" s="29">
        <f>IF(B73="","",COUNTA($B$6:B73))</f>
        <v/>
      </c>
      <c r="B73" s="17" t="n"/>
      <c r="C73" s="20" t="n"/>
      <c r="D73" s="30" t="n"/>
      <c r="E73" s="17" t="n"/>
      <c r="F73" s="31" t="n"/>
      <c r="G73" s="31" t="n"/>
      <c r="H73" s="32">
        <f>F73*G73</f>
        <v/>
      </c>
      <c r="I73" s="33">
        <f>IF($H$106&gt;0,H73/$H$106,0)</f>
        <v/>
      </c>
    </row>
    <row r="74">
      <c r="A74" s="29">
        <f>IF(B74="","",COUNTA($B$6:B74))</f>
        <v/>
      </c>
      <c r="B74" s="17" t="n"/>
      <c r="C74" s="20" t="n"/>
      <c r="D74" s="30" t="n"/>
      <c r="E74" s="17" t="n"/>
      <c r="F74" s="31" t="n"/>
      <c r="G74" s="31" t="n"/>
      <c r="H74" s="32">
        <f>F74*G74</f>
        <v/>
      </c>
      <c r="I74" s="33">
        <f>IF($H$106&gt;0,H74/$H$106,0)</f>
        <v/>
      </c>
    </row>
    <row r="75">
      <c r="A75" s="29">
        <f>IF(B75="","",COUNTA($B$6:B75))</f>
        <v/>
      </c>
      <c r="B75" s="17" t="n"/>
      <c r="C75" s="20" t="n"/>
      <c r="D75" s="30" t="n"/>
      <c r="E75" s="17" t="n"/>
      <c r="F75" s="31" t="n"/>
      <c r="G75" s="31" t="n"/>
      <c r="H75" s="32">
        <f>F75*G75</f>
        <v/>
      </c>
      <c r="I75" s="33">
        <f>IF($H$106&gt;0,H75/$H$106,0)</f>
        <v/>
      </c>
    </row>
    <row r="76">
      <c r="A76" s="29">
        <f>IF(B76="","",COUNTA($B$6:B76))</f>
        <v/>
      </c>
      <c r="B76" s="17" t="n"/>
      <c r="C76" s="20" t="n"/>
      <c r="D76" s="30" t="n"/>
      <c r="E76" s="17" t="n"/>
      <c r="F76" s="31" t="n"/>
      <c r="G76" s="31" t="n"/>
      <c r="H76" s="32">
        <f>F76*G76</f>
        <v/>
      </c>
      <c r="I76" s="33">
        <f>IF($H$106&gt;0,H76/$H$106,0)</f>
        <v/>
      </c>
    </row>
    <row r="77">
      <c r="A77" s="29">
        <f>IF(B77="","",COUNTA($B$6:B77))</f>
        <v/>
      </c>
      <c r="B77" s="17" t="n"/>
      <c r="C77" s="20" t="n"/>
      <c r="D77" s="30" t="n"/>
      <c r="E77" s="17" t="n"/>
      <c r="F77" s="31" t="n"/>
      <c r="G77" s="31" t="n"/>
      <c r="H77" s="32">
        <f>F77*G77</f>
        <v/>
      </c>
      <c r="I77" s="33">
        <f>IF($H$106&gt;0,H77/$H$106,0)</f>
        <v/>
      </c>
    </row>
    <row r="78">
      <c r="A78" s="29">
        <f>IF(B78="","",COUNTA($B$6:B78))</f>
        <v/>
      </c>
      <c r="B78" s="17" t="n"/>
      <c r="C78" s="20" t="n"/>
      <c r="D78" s="30" t="n"/>
      <c r="E78" s="17" t="n"/>
      <c r="F78" s="31" t="n"/>
      <c r="G78" s="31" t="n"/>
      <c r="H78" s="32">
        <f>F78*G78</f>
        <v/>
      </c>
      <c r="I78" s="33">
        <f>IF($H$106&gt;0,H78/$H$106,0)</f>
        <v/>
      </c>
    </row>
    <row r="79">
      <c r="A79" s="29">
        <f>IF(B79="","",COUNTA($B$6:B79))</f>
        <v/>
      </c>
      <c r="B79" s="17" t="n"/>
      <c r="C79" s="20" t="n"/>
      <c r="D79" s="30" t="n"/>
      <c r="E79" s="17" t="n"/>
      <c r="F79" s="31" t="n"/>
      <c r="G79" s="31" t="n"/>
      <c r="H79" s="32">
        <f>F79*G79</f>
        <v/>
      </c>
      <c r="I79" s="33">
        <f>IF($H$106&gt;0,H79/$H$106,0)</f>
        <v/>
      </c>
    </row>
    <row r="80">
      <c r="A80" s="29">
        <f>IF(B80="","",COUNTA($B$6:B80))</f>
        <v/>
      </c>
      <c r="B80" s="17" t="n"/>
      <c r="C80" s="20" t="n"/>
      <c r="D80" s="30" t="n"/>
      <c r="E80" s="17" t="n"/>
      <c r="F80" s="31" t="n"/>
      <c r="G80" s="31" t="n"/>
      <c r="H80" s="32">
        <f>F80*G80</f>
        <v/>
      </c>
      <c r="I80" s="33">
        <f>IF($H$106&gt;0,H80/$H$106,0)</f>
        <v/>
      </c>
    </row>
    <row r="81">
      <c r="A81" s="29">
        <f>IF(B81="","",COUNTA($B$6:B81))</f>
        <v/>
      </c>
      <c r="B81" s="17" t="n"/>
      <c r="C81" s="20" t="n"/>
      <c r="D81" s="30" t="n"/>
      <c r="E81" s="17" t="n"/>
      <c r="F81" s="31" t="n"/>
      <c r="G81" s="31" t="n"/>
      <c r="H81" s="32">
        <f>F81*G81</f>
        <v/>
      </c>
      <c r="I81" s="33">
        <f>IF($H$106&gt;0,H81/$H$106,0)</f>
        <v/>
      </c>
    </row>
    <row r="82">
      <c r="A82" s="29">
        <f>IF(B82="","",COUNTA($B$6:B82))</f>
        <v/>
      </c>
      <c r="B82" s="17" t="n"/>
      <c r="C82" s="20" t="n"/>
      <c r="D82" s="30" t="n"/>
      <c r="E82" s="17" t="n"/>
      <c r="F82" s="31" t="n"/>
      <c r="G82" s="31" t="n"/>
      <c r="H82" s="32">
        <f>F82*G82</f>
        <v/>
      </c>
      <c r="I82" s="33">
        <f>IF($H$106&gt;0,H82/$H$106,0)</f>
        <v/>
      </c>
    </row>
    <row r="83">
      <c r="A83" s="29">
        <f>IF(B83="","",COUNTA($B$6:B83))</f>
        <v/>
      </c>
      <c r="B83" s="17" t="n"/>
      <c r="C83" s="20" t="n"/>
      <c r="D83" s="30" t="n"/>
      <c r="E83" s="17" t="n"/>
      <c r="F83" s="31" t="n"/>
      <c r="G83" s="31" t="n"/>
      <c r="H83" s="32">
        <f>F83*G83</f>
        <v/>
      </c>
      <c r="I83" s="33">
        <f>IF($H$106&gt;0,H83/$H$106,0)</f>
        <v/>
      </c>
    </row>
    <row r="84">
      <c r="A84" s="29">
        <f>IF(B84="","",COUNTA($B$6:B84))</f>
        <v/>
      </c>
      <c r="B84" s="17" t="n"/>
      <c r="C84" s="20" t="n"/>
      <c r="D84" s="30" t="n"/>
      <c r="E84" s="17" t="n"/>
      <c r="F84" s="31" t="n"/>
      <c r="G84" s="31" t="n"/>
      <c r="H84" s="32">
        <f>F84*G84</f>
        <v/>
      </c>
      <c r="I84" s="33">
        <f>IF($H$106&gt;0,H84/$H$106,0)</f>
        <v/>
      </c>
    </row>
    <row r="85">
      <c r="A85" s="29">
        <f>IF(B85="","",COUNTA($B$6:B85))</f>
        <v/>
      </c>
      <c r="B85" s="17" t="n"/>
      <c r="C85" s="20" t="n"/>
      <c r="D85" s="30" t="n"/>
      <c r="E85" s="17" t="n"/>
      <c r="F85" s="31" t="n"/>
      <c r="G85" s="31" t="n"/>
      <c r="H85" s="32">
        <f>F85*G85</f>
        <v/>
      </c>
      <c r="I85" s="33">
        <f>IF($H$106&gt;0,H85/$H$106,0)</f>
        <v/>
      </c>
    </row>
    <row r="86">
      <c r="A86" s="29">
        <f>IF(B86="","",COUNTA($B$6:B86))</f>
        <v/>
      </c>
      <c r="B86" s="17" t="n"/>
      <c r="C86" s="20" t="n"/>
      <c r="D86" s="30" t="n"/>
      <c r="E86" s="17" t="n"/>
      <c r="F86" s="31" t="n"/>
      <c r="G86" s="31" t="n"/>
      <c r="H86" s="32">
        <f>F86*G86</f>
        <v/>
      </c>
      <c r="I86" s="33">
        <f>IF($H$106&gt;0,H86/$H$106,0)</f>
        <v/>
      </c>
    </row>
    <row r="87">
      <c r="A87" s="29">
        <f>IF(B87="","",COUNTA($B$6:B87))</f>
        <v/>
      </c>
      <c r="B87" s="17" t="n"/>
      <c r="C87" s="20" t="n"/>
      <c r="D87" s="30" t="n"/>
      <c r="E87" s="17" t="n"/>
      <c r="F87" s="31" t="n"/>
      <c r="G87" s="31" t="n"/>
      <c r="H87" s="32">
        <f>F87*G87</f>
        <v/>
      </c>
      <c r="I87" s="33">
        <f>IF($H$106&gt;0,H87/$H$106,0)</f>
        <v/>
      </c>
    </row>
    <row r="88">
      <c r="A88" s="29">
        <f>IF(B88="","",COUNTA($B$6:B88))</f>
        <v/>
      </c>
      <c r="B88" s="17" t="n"/>
      <c r="C88" s="20" t="n"/>
      <c r="D88" s="30" t="n"/>
      <c r="E88" s="17" t="n"/>
      <c r="F88" s="31" t="n"/>
      <c r="G88" s="31" t="n"/>
      <c r="H88" s="32">
        <f>F88*G88</f>
        <v/>
      </c>
      <c r="I88" s="33">
        <f>IF($H$106&gt;0,H88/$H$106,0)</f>
        <v/>
      </c>
    </row>
    <row r="89">
      <c r="A89" s="29">
        <f>IF(B89="","",COUNTA($B$6:B89))</f>
        <v/>
      </c>
      <c r="B89" s="17" t="n"/>
      <c r="C89" s="20" t="n"/>
      <c r="D89" s="30" t="n"/>
      <c r="E89" s="17" t="n"/>
      <c r="F89" s="31" t="n"/>
      <c r="G89" s="31" t="n"/>
      <c r="H89" s="32">
        <f>F89*G89</f>
        <v/>
      </c>
      <c r="I89" s="33">
        <f>IF($H$106&gt;0,H89/$H$106,0)</f>
        <v/>
      </c>
    </row>
    <row r="90">
      <c r="A90" s="29">
        <f>IF(B90="","",COUNTA($B$6:B90))</f>
        <v/>
      </c>
      <c r="B90" s="17" t="n"/>
      <c r="C90" s="20" t="n"/>
      <c r="D90" s="30" t="n"/>
      <c r="E90" s="17" t="n"/>
      <c r="F90" s="31" t="n"/>
      <c r="G90" s="31" t="n"/>
      <c r="H90" s="32">
        <f>F90*G90</f>
        <v/>
      </c>
      <c r="I90" s="33">
        <f>IF($H$106&gt;0,H90/$H$106,0)</f>
        <v/>
      </c>
    </row>
    <row r="91">
      <c r="A91" s="29">
        <f>IF(B91="","",COUNTA($B$6:B91))</f>
        <v/>
      </c>
      <c r="B91" s="17" t="n"/>
      <c r="C91" s="20" t="n"/>
      <c r="D91" s="30" t="n"/>
      <c r="E91" s="17" t="n"/>
      <c r="F91" s="31" t="n"/>
      <c r="G91" s="31" t="n"/>
      <c r="H91" s="32">
        <f>F91*G91</f>
        <v/>
      </c>
      <c r="I91" s="33">
        <f>IF($H$106&gt;0,H91/$H$106,0)</f>
        <v/>
      </c>
    </row>
    <row r="92">
      <c r="A92" s="29">
        <f>IF(B92="","",COUNTA($B$6:B92))</f>
        <v/>
      </c>
      <c r="B92" s="17" t="n"/>
      <c r="C92" s="20" t="n"/>
      <c r="D92" s="30" t="n"/>
      <c r="E92" s="17" t="n"/>
      <c r="F92" s="31" t="n"/>
      <c r="G92" s="31" t="n"/>
      <c r="H92" s="32">
        <f>F92*G92</f>
        <v/>
      </c>
      <c r="I92" s="33">
        <f>IF($H$106&gt;0,H92/$H$106,0)</f>
        <v/>
      </c>
    </row>
    <row r="93">
      <c r="A93" s="29">
        <f>IF(B93="","",COUNTA($B$6:B93))</f>
        <v/>
      </c>
      <c r="B93" s="17" t="n"/>
      <c r="C93" s="20" t="n"/>
      <c r="D93" s="30" t="n"/>
      <c r="E93" s="17" t="n"/>
      <c r="F93" s="31" t="n"/>
      <c r="G93" s="31" t="n"/>
      <c r="H93" s="32">
        <f>F93*G93</f>
        <v/>
      </c>
      <c r="I93" s="33">
        <f>IF($H$106&gt;0,H93/$H$106,0)</f>
        <v/>
      </c>
    </row>
    <row r="94">
      <c r="A94" s="29">
        <f>IF(B94="","",COUNTA($B$6:B94))</f>
        <v/>
      </c>
      <c r="B94" s="17" t="n"/>
      <c r="C94" s="20" t="n"/>
      <c r="D94" s="30" t="n"/>
      <c r="E94" s="17" t="n"/>
      <c r="F94" s="31" t="n"/>
      <c r="G94" s="31" t="n"/>
      <c r="H94" s="32">
        <f>F94*G94</f>
        <v/>
      </c>
      <c r="I94" s="33">
        <f>IF($H$106&gt;0,H94/$H$106,0)</f>
        <v/>
      </c>
    </row>
    <row r="95">
      <c r="A95" s="29">
        <f>IF(B95="","",COUNTA($B$6:B95))</f>
        <v/>
      </c>
      <c r="B95" s="17" t="n"/>
      <c r="C95" s="20" t="n"/>
      <c r="D95" s="30" t="n"/>
      <c r="E95" s="17" t="n"/>
      <c r="F95" s="31" t="n"/>
      <c r="G95" s="31" t="n"/>
      <c r="H95" s="32">
        <f>F95*G95</f>
        <v/>
      </c>
      <c r="I95" s="33">
        <f>IF($H$106&gt;0,H95/$H$106,0)</f>
        <v/>
      </c>
    </row>
    <row r="96">
      <c r="A96" s="29">
        <f>IF(B96="","",COUNTA($B$6:B96))</f>
        <v/>
      </c>
      <c r="B96" s="17" t="n"/>
      <c r="C96" s="20" t="n"/>
      <c r="D96" s="30" t="n"/>
      <c r="E96" s="17" t="n"/>
      <c r="F96" s="31" t="n"/>
      <c r="G96" s="31" t="n"/>
      <c r="H96" s="32">
        <f>F96*G96</f>
        <v/>
      </c>
      <c r="I96" s="33">
        <f>IF($H$106&gt;0,H96/$H$106,0)</f>
        <v/>
      </c>
    </row>
    <row r="97">
      <c r="A97" s="29">
        <f>IF(B97="","",COUNTA($B$6:B97))</f>
        <v/>
      </c>
      <c r="B97" s="17" t="n"/>
      <c r="C97" s="20" t="n"/>
      <c r="D97" s="30" t="n"/>
      <c r="E97" s="17" t="n"/>
      <c r="F97" s="31" t="n"/>
      <c r="G97" s="31" t="n"/>
      <c r="H97" s="32">
        <f>F97*G97</f>
        <v/>
      </c>
      <c r="I97" s="33">
        <f>IF($H$106&gt;0,H97/$H$106,0)</f>
        <v/>
      </c>
    </row>
    <row r="98">
      <c r="A98" s="29">
        <f>IF(B98="","",COUNTA($B$6:B98))</f>
        <v/>
      </c>
      <c r="B98" s="17" t="n"/>
      <c r="C98" s="20" t="n"/>
      <c r="D98" s="30" t="n"/>
      <c r="E98" s="17" t="n"/>
      <c r="F98" s="31" t="n"/>
      <c r="G98" s="31" t="n"/>
      <c r="H98" s="32">
        <f>F98*G98</f>
        <v/>
      </c>
      <c r="I98" s="33">
        <f>IF($H$106&gt;0,H98/$H$106,0)</f>
        <v/>
      </c>
    </row>
    <row r="99">
      <c r="A99" s="29">
        <f>IF(B99="","",COUNTA($B$6:B99))</f>
        <v/>
      </c>
      <c r="B99" s="17" t="n"/>
      <c r="C99" s="20" t="n"/>
      <c r="D99" s="30" t="n"/>
      <c r="E99" s="17" t="n"/>
      <c r="F99" s="31" t="n"/>
      <c r="G99" s="31" t="n"/>
      <c r="H99" s="32">
        <f>F99*G99</f>
        <v/>
      </c>
      <c r="I99" s="33">
        <f>IF($H$106&gt;0,H99/$H$106,0)</f>
        <v/>
      </c>
    </row>
    <row r="100">
      <c r="A100" s="29">
        <f>IF(B100="","",COUNTA($B$6:B100))</f>
        <v/>
      </c>
      <c r="B100" s="17" t="n"/>
      <c r="C100" s="20" t="n"/>
      <c r="D100" s="30" t="n"/>
      <c r="E100" s="17" t="n"/>
      <c r="F100" s="31" t="n"/>
      <c r="G100" s="31" t="n"/>
      <c r="H100" s="32">
        <f>F100*G100</f>
        <v/>
      </c>
      <c r="I100" s="33">
        <f>IF($H$106&gt;0,H100/$H$106,0)</f>
        <v/>
      </c>
    </row>
    <row r="101">
      <c r="A101" s="29">
        <f>IF(B101="","",COUNTA($B$6:B101))</f>
        <v/>
      </c>
      <c r="B101" s="17" t="n"/>
      <c r="C101" s="20" t="n"/>
      <c r="D101" s="30" t="n"/>
      <c r="E101" s="17" t="n"/>
      <c r="F101" s="31" t="n"/>
      <c r="G101" s="31" t="n"/>
      <c r="H101" s="32">
        <f>F101*G101</f>
        <v/>
      </c>
      <c r="I101" s="33">
        <f>IF($H$106&gt;0,H101/$H$106,0)</f>
        <v/>
      </c>
    </row>
    <row r="102">
      <c r="A102" s="29">
        <f>IF(B102="","",COUNTA($B$6:B102))</f>
        <v/>
      </c>
      <c r="B102" s="17" t="n"/>
      <c r="C102" s="20" t="n"/>
      <c r="D102" s="30" t="n"/>
      <c r="E102" s="17" t="n"/>
      <c r="F102" s="31" t="n"/>
      <c r="G102" s="31" t="n"/>
      <c r="H102" s="32">
        <f>F102*G102</f>
        <v/>
      </c>
      <c r="I102" s="33">
        <f>IF($H$106&gt;0,H102/$H$106,0)</f>
        <v/>
      </c>
    </row>
    <row r="103">
      <c r="A103" s="29">
        <f>IF(B103="","",COUNTA($B$6:B103))</f>
        <v/>
      </c>
      <c r="B103" s="17" t="n"/>
      <c r="C103" s="20" t="n"/>
      <c r="D103" s="30" t="n"/>
      <c r="E103" s="17" t="n"/>
      <c r="F103" s="31" t="n"/>
      <c r="G103" s="31" t="n"/>
      <c r="H103" s="32">
        <f>F103*G103</f>
        <v/>
      </c>
      <c r="I103" s="33">
        <f>IF($H$106&gt;0,H103/$H$106,0)</f>
        <v/>
      </c>
    </row>
    <row r="104">
      <c r="A104" s="29">
        <f>IF(B104="","",COUNTA($B$6:B104))</f>
        <v/>
      </c>
      <c r="B104" s="17" t="n"/>
      <c r="C104" s="20" t="n"/>
      <c r="D104" s="30" t="n"/>
      <c r="E104" s="17" t="n"/>
      <c r="F104" s="31" t="n"/>
      <c r="G104" s="31" t="n"/>
      <c r="H104" s="32">
        <f>F104*G104</f>
        <v/>
      </c>
      <c r="I104" s="33">
        <f>IF($H$106&gt;0,H104/$H$106,0)</f>
        <v/>
      </c>
    </row>
    <row r="105">
      <c r="A105" s="29">
        <f>IF(B105="","",COUNTA($B$6:B105))</f>
        <v/>
      </c>
      <c r="B105" s="17" t="n"/>
      <c r="C105" s="20" t="n"/>
      <c r="D105" s="30" t="n"/>
      <c r="E105" s="17" t="n"/>
      <c r="F105" s="31" t="n"/>
      <c r="G105" s="31" t="n"/>
      <c r="H105" s="32">
        <f>F105*G105</f>
        <v/>
      </c>
      <c r="I105" s="33">
        <f>IF($H$106&gt;0,H105/$H$106,0)</f>
        <v/>
      </c>
    </row>
    <row r="106">
      <c r="A106" s="34" t="inlineStr">
        <is>
          <t>إجمالي قيمة العقد الأصلية</t>
        </is>
      </c>
      <c r="B106" s="34" t="n"/>
      <c r="C106" s="34" t="n"/>
      <c r="D106" s="34" t="n"/>
      <c r="E106" s="34" t="n"/>
      <c r="F106" s="34" t="n"/>
      <c r="G106" s="34" t="n"/>
      <c r="H106" s="35">
        <f>SUM(H6:H105)</f>
        <v/>
      </c>
      <c r="I106" s="36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37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</row>
    <row r="5" ht="40" customHeight="1">
      <c r="A5" s="15" t="inlineStr">
        <is>
          <t>م</t>
        </is>
      </c>
      <c r="B5" s="15" t="inlineStr">
        <is>
          <t>رقم الأمر</t>
        </is>
      </c>
      <c r="C5" s="15" t="inlineStr">
        <is>
          <t>تاريخ الأمر</t>
        </is>
      </c>
      <c r="D5" s="15" t="inlineStr">
        <is>
          <t>وصف الأمر التغييري</t>
        </is>
      </c>
      <c r="E5" s="15" t="inlineStr">
        <is>
          <t>النوع</t>
        </is>
      </c>
      <c r="F5" s="15" t="inlineStr">
        <is>
          <t>قيمة الأمر</t>
        </is>
      </c>
      <c r="G5" s="15" t="inlineStr">
        <is>
          <t>الأثر على العقد (±)</t>
        </is>
      </c>
      <c r="H5" s="15" t="inlineStr">
        <is>
          <t>الحالة</t>
        </is>
      </c>
      <c r="I5" s="15" t="inlineStr">
        <is>
          <t>القيمة المدرجة بالمستخلص</t>
        </is>
      </c>
      <c r="J5" s="15" t="inlineStr">
        <is>
          <t>الأثر على المستخلص (±)</t>
        </is>
      </c>
      <c r="K5" s="15" t="inlineStr">
        <is>
          <t>رقم المستخلص المدرج به</t>
        </is>
      </c>
      <c r="L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30" t="n"/>
      <c r="E6" s="17" t="n"/>
      <c r="F6" s="38" t="n"/>
      <c r="G6" s="39">
        <f>IF(E6="خصم",-1,1)*N(F6)</f>
        <v/>
      </c>
      <c r="H6" s="17" t="n"/>
      <c r="I6" s="38" t="n"/>
      <c r="J6" s="39">
        <f>IF(E6="خصم",-1,1)*N(I6)</f>
        <v/>
      </c>
      <c r="K6" s="22" t="n"/>
      <c r="L6" s="40" t="n"/>
    </row>
    <row r="7">
      <c r="A7" s="29">
        <f>IF(B7="","",COUNTA($B$6:B7))</f>
        <v/>
      </c>
      <c r="B7" s="17" t="n"/>
      <c r="C7" s="21" t="n"/>
      <c r="D7" s="30" t="n"/>
      <c r="E7" s="17" t="n"/>
      <c r="F7" s="38" t="n"/>
      <c r="G7" s="39">
        <f>IF(E7="خصم",-1,1)*N(F7)</f>
        <v/>
      </c>
      <c r="H7" s="17" t="n"/>
      <c r="I7" s="38" t="n"/>
      <c r="J7" s="39">
        <f>IF(E7="خصم",-1,1)*N(I7)</f>
        <v/>
      </c>
      <c r="K7" s="22" t="n"/>
      <c r="L7" s="40" t="n"/>
    </row>
    <row r="8">
      <c r="A8" s="29">
        <f>IF(B8="","",COUNTA($B$6:B8))</f>
        <v/>
      </c>
      <c r="B8" s="17" t="n"/>
      <c r="C8" s="21" t="n"/>
      <c r="D8" s="30" t="n"/>
      <c r="E8" s="17" t="n"/>
      <c r="F8" s="38" t="n"/>
      <c r="G8" s="39">
        <f>IF(E8="خصم",-1,1)*N(F8)</f>
        <v/>
      </c>
      <c r="H8" s="17" t="n"/>
      <c r="I8" s="38" t="n"/>
      <c r="J8" s="39">
        <f>IF(E8="خصم",-1,1)*N(I8)</f>
        <v/>
      </c>
      <c r="K8" s="22" t="n"/>
      <c r="L8" s="40" t="n"/>
    </row>
    <row r="9">
      <c r="A9" s="29">
        <f>IF(B9="","",COUNTA($B$6:B9))</f>
        <v/>
      </c>
      <c r="B9" s="17" t="n"/>
      <c r="C9" s="21" t="n"/>
      <c r="D9" s="30" t="n"/>
      <c r="E9" s="17" t="n"/>
      <c r="F9" s="38" t="n"/>
      <c r="G9" s="39">
        <f>IF(E9="خصم",-1,1)*N(F9)</f>
        <v/>
      </c>
      <c r="H9" s="17" t="n"/>
      <c r="I9" s="38" t="n"/>
      <c r="J9" s="39">
        <f>IF(E9="خصم",-1,1)*N(I9)</f>
        <v/>
      </c>
      <c r="K9" s="22" t="n"/>
      <c r="L9" s="40" t="n"/>
    </row>
    <row r="10">
      <c r="A10" s="29">
        <f>IF(B10="","",COUNTA($B$6:B10))</f>
        <v/>
      </c>
      <c r="B10" s="17" t="n"/>
      <c r="C10" s="21" t="n"/>
      <c r="D10" s="30" t="n"/>
      <c r="E10" s="17" t="n"/>
      <c r="F10" s="38" t="n"/>
      <c r="G10" s="39">
        <f>IF(E10="خصم",-1,1)*N(F10)</f>
        <v/>
      </c>
      <c r="H10" s="17" t="n"/>
      <c r="I10" s="38" t="n"/>
      <c r="J10" s="39">
        <f>IF(E10="خصم",-1,1)*N(I10)</f>
        <v/>
      </c>
      <c r="K10" s="22" t="n"/>
      <c r="L10" s="40" t="n"/>
    </row>
    <row r="11">
      <c r="A11" s="29">
        <f>IF(B11="","",COUNTA($B$6:B11))</f>
        <v/>
      </c>
      <c r="B11" s="17" t="n"/>
      <c r="C11" s="21" t="n"/>
      <c r="D11" s="30" t="n"/>
      <c r="E11" s="17" t="n"/>
      <c r="F11" s="38" t="n"/>
      <c r="G11" s="39">
        <f>IF(E11="خصم",-1,1)*N(F11)</f>
        <v/>
      </c>
      <c r="H11" s="17" t="n"/>
      <c r="I11" s="38" t="n"/>
      <c r="J11" s="39">
        <f>IF(E11="خصم",-1,1)*N(I11)</f>
        <v/>
      </c>
      <c r="K11" s="22" t="n"/>
      <c r="L11" s="40" t="n"/>
    </row>
    <row r="12">
      <c r="A12" s="29">
        <f>IF(B12="","",COUNTA($B$6:B12))</f>
        <v/>
      </c>
      <c r="B12" s="17" t="n"/>
      <c r="C12" s="21" t="n"/>
      <c r="D12" s="30" t="n"/>
      <c r="E12" s="17" t="n"/>
      <c r="F12" s="38" t="n"/>
      <c r="G12" s="39">
        <f>IF(E12="خصم",-1,1)*N(F12)</f>
        <v/>
      </c>
      <c r="H12" s="17" t="n"/>
      <c r="I12" s="38" t="n"/>
      <c r="J12" s="39">
        <f>IF(E12="خصم",-1,1)*N(I12)</f>
        <v/>
      </c>
      <c r="K12" s="22" t="n"/>
      <c r="L12" s="40" t="n"/>
    </row>
    <row r="13">
      <c r="A13" s="29">
        <f>IF(B13="","",COUNTA($B$6:B13))</f>
        <v/>
      </c>
      <c r="B13" s="17" t="n"/>
      <c r="C13" s="21" t="n"/>
      <c r="D13" s="30" t="n"/>
      <c r="E13" s="17" t="n"/>
      <c r="F13" s="38" t="n"/>
      <c r="G13" s="39">
        <f>IF(E13="خصم",-1,1)*N(F13)</f>
        <v/>
      </c>
      <c r="H13" s="17" t="n"/>
      <c r="I13" s="38" t="n"/>
      <c r="J13" s="39">
        <f>IF(E13="خصم",-1,1)*N(I13)</f>
        <v/>
      </c>
      <c r="K13" s="22" t="n"/>
      <c r="L13" s="40" t="n"/>
    </row>
    <row r="14">
      <c r="A14" s="29">
        <f>IF(B14="","",COUNTA($B$6:B14))</f>
        <v/>
      </c>
      <c r="B14" s="17" t="n"/>
      <c r="C14" s="21" t="n"/>
      <c r="D14" s="30" t="n"/>
      <c r="E14" s="17" t="n"/>
      <c r="F14" s="38" t="n"/>
      <c r="G14" s="39">
        <f>IF(E14="خصم",-1,1)*N(F14)</f>
        <v/>
      </c>
      <c r="H14" s="17" t="n"/>
      <c r="I14" s="38" t="n"/>
      <c r="J14" s="39">
        <f>IF(E14="خصم",-1,1)*N(I14)</f>
        <v/>
      </c>
      <c r="K14" s="22" t="n"/>
      <c r="L14" s="40" t="n"/>
    </row>
    <row r="15">
      <c r="A15" s="29">
        <f>IF(B15="","",COUNTA($B$6:B15))</f>
        <v/>
      </c>
      <c r="B15" s="17" t="n"/>
      <c r="C15" s="21" t="n"/>
      <c r="D15" s="30" t="n"/>
      <c r="E15" s="17" t="n"/>
      <c r="F15" s="38" t="n"/>
      <c r="G15" s="39">
        <f>IF(E15="خصم",-1,1)*N(F15)</f>
        <v/>
      </c>
      <c r="H15" s="17" t="n"/>
      <c r="I15" s="38" t="n"/>
      <c r="J15" s="39">
        <f>IF(E15="خصم",-1,1)*N(I15)</f>
        <v/>
      </c>
      <c r="K15" s="22" t="n"/>
      <c r="L15" s="40" t="n"/>
    </row>
    <row r="16">
      <c r="A16" s="29">
        <f>IF(B16="","",COUNTA($B$6:B16))</f>
        <v/>
      </c>
      <c r="B16" s="17" t="n"/>
      <c r="C16" s="21" t="n"/>
      <c r="D16" s="30" t="n"/>
      <c r="E16" s="17" t="n"/>
      <c r="F16" s="38" t="n"/>
      <c r="G16" s="39">
        <f>IF(E16="خصم",-1,1)*N(F16)</f>
        <v/>
      </c>
      <c r="H16" s="17" t="n"/>
      <c r="I16" s="38" t="n"/>
      <c r="J16" s="39">
        <f>IF(E16="خصم",-1,1)*N(I16)</f>
        <v/>
      </c>
      <c r="K16" s="22" t="n"/>
      <c r="L16" s="40" t="n"/>
    </row>
    <row r="17">
      <c r="A17" s="29">
        <f>IF(B17="","",COUNTA($B$6:B17))</f>
        <v/>
      </c>
      <c r="B17" s="17" t="n"/>
      <c r="C17" s="21" t="n"/>
      <c r="D17" s="30" t="n"/>
      <c r="E17" s="17" t="n"/>
      <c r="F17" s="38" t="n"/>
      <c r="G17" s="39">
        <f>IF(E17="خصم",-1,1)*N(F17)</f>
        <v/>
      </c>
      <c r="H17" s="17" t="n"/>
      <c r="I17" s="38" t="n"/>
      <c r="J17" s="39">
        <f>IF(E17="خصم",-1,1)*N(I17)</f>
        <v/>
      </c>
      <c r="K17" s="22" t="n"/>
      <c r="L17" s="40" t="n"/>
    </row>
    <row r="18">
      <c r="A18" s="29">
        <f>IF(B18="","",COUNTA($B$6:B18))</f>
        <v/>
      </c>
      <c r="B18" s="17" t="n"/>
      <c r="C18" s="21" t="n"/>
      <c r="D18" s="30" t="n"/>
      <c r="E18" s="17" t="n"/>
      <c r="F18" s="38" t="n"/>
      <c r="G18" s="39">
        <f>IF(E18="خصم",-1,1)*N(F18)</f>
        <v/>
      </c>
      <c r="H18" s="17" t="n"/>
      <c r="I18" s="38" t="n"/>
      <c r="J18" s="39">
        <f>IF(E18="خصم",-1,1)*N(I18)</f>
        <v/>
      </c>
      <c r="K18" s="22" t="n"/>
      <c r="L18" s="40" t="n"/>
    </row>
    <row r="19">
      <c r="A19" s="29">
        <f>IF(B19="","",COUNTA($B$6:B19))</f>
        <v/>
      </c>
      <c r="B19" s="17" t="n"/>
      <c r="C19" s="21" t="n"/>
      <c r="D19" s="30" t="n"/>
      <c r="E19" s="17" t="n"/>
      <c r="F19" s="38" t="n"/>
      <c r="G19" s="39">
        <f>IF(E19="خصم",-1,1)*N(F19)</f>
        <v/>
      </c>
      <c r="H19" s="17" t="n"/>
      <c r="I19" s="38" t="n"/>
      <c r="J19" s="39">
        <f>IF(E19="خصم",-1,1)*N(I19)</f>
        <v/>
      </c>
      <c r="K19" s="22" t="n"/>
      <c r="L19" s="40" t="n"/>
    </row>
    <row r="20">
      <c r="A20" s="29">
        <f>IF(B20="","",COUNTA($B$6:B20))</f>
        <v/>
      </c>
      <c r="B20" s="17" t="n"/>
      <c r="C20" s="21" t="n"/>
      <c r="D20" s="30" t="n"/>
      <c r="E20" s="17" t="n"/>
      <c r="F20" s="38" t="n"/>
      <c r="G20" s="39">
        <f>IF(E20="خصم",-1,1)*N(F20)</f>
        <v/>
      </c>
      <c r="H20" s="17" t="n"/>
      <c r="I20" s="38" t="n"/>
      <c r="J20" s="39">
        <f>IF(E20="خصم",-1,1)*N(I20)</f>
        <v/>
      </c>
      <c r="K20" s="22" t="n"/>
      <c r="L20" s="40" t="n"/>
    </row>
    <row r="21">
      <c r="A21" s="29">
        <f>IF(B21="","",COUNTA($B$6:B21))</f>
        <v/>
      </c>
      <c r="B21" s="17" t="n"/>
      <c r="C21" s="21" t="n"/>
      <c r="D21" s="30" t="n"/>
      <c r="E21" s="17" t="n"/>
      <c r="F21" s="38" t="n"/>
      <c r="G21" s="39">
        <f>IF(E21="خصم",-1,1)*N(F21)</f>
        <v/>
      </c>
      <c r="H21" s="17" t="n"/>
      <c r="I21" s="38" t="n"/>
      <c r="J21" s="39">
        <f>IF(E21="خصم",-1,1)*N(I21)</f>
        <v/>
      </c>
      <c r="K21" s="22" t="n"/>
      <c r="L21" s="40" t="n"/>
    </row>
    <row r="22">
      <c r="A22" s="29">
        <f>IF(B22="","",COUNTA($B$6:B22))</f>
        <v/>
      </c>
      <c r="B22" s="17" t="n"/>
      <c r="C22" s="21" t="n"/>
      <c r="D22" s="30" t="n"/>
      <c r="E22" s="17" t="n"/>
      <c r="F22" s="38" t="n"/>
      <c r="G22" s="39">
        <f>IF(E22="خصم",-1,1)*N(F22)</f>
        <v/>
      </c>
      <c r="H22" s="17" t="n"/>
      <c r="I22" s="38" t="n"/>
      <c r="J22" s="39">
        <f>IF(E22="خصم",-1,1)*N(I22)</f>
        <v/>
      </c>
      <c r="K22" s="22" t="n"/>
      <c r="L22" s="40" t="n"/>
    </row>
    <row r="23">
      <c r="A23" s="29">
        <f>IF(B23="","",COUNTA($B$6:B23))</f>
        <v/>
      </c>
      <c r="B23" s="17" t="n"/>
      <c r="C23" s="21" t="n"/>
      <c r="D23" s="30" t="n"/>
      <c r="E23" s="17" t="n"/>
      <c r="F23" s="38" t="n"/>
      <c r="G23" s="39">
        <f>IF(E23="خصم",-1,1)*N(F23)</f>
        <v/>
      </c>
      <c r="H23" s="17" t="n"/>
      <c r="I23" s="38" t="n"/>
      <c r="J23" s="39">
        <f>IF(E23="خصم",-1,1)*N(I23)</f>
        <v/>
      </c>
      <c r="K23" s="22" t="n"/>
      <c r="L23" s="40" t="n"/>
    </row>
    <row r="24">
      <c r="A24" s="29">
        <f>IF(B24="","",COUNTA($B$6:B24))</f>
        <v/>
      </c>
      <c r="B24" s="17" t="n"/>
      <c r="C24" s="21" t="n"/>
      <c r="D24" s="30" t="n"/>
      <c r="E24" s="17" t="n"/>
      <c r="F24" s="38" t="n"/>
      <c r="G24" s="39">
        <f>IF(E24="خصم",-1,1)*N(F24)</f>
        <v/>
      </c>
      <c r="H24" s="17" t="n"/>
      <c r="I24" s="38" t="n"/>
      <c r="J24" s="39">
        <f>IF(E24="خصم",-1,1)*N(I24)</f>
        <v/>
      </c>
      <c r="K24" s="22" t="n"/>
      <c r="L24" s="40" t="n"/>
    </row>
    <row r="25">
      <c r="A25" s="29">
        <f>IF(B25="","",COUNTA($B$6:B25))</f>
        <v/>
      </c>
      <c r="B25" s="17" t="n"/>
      <c r="C25" s="21" t="n"/>
      <c r="D25" s="30" t="n"/>
      <c r="E25" s="17" t="n"/>
      <c r="F25" s="38" t="n"/>
      <c r="G25" s="39">
        <f>IF(E25="خصم",-1,1)*N(F25)</f>
        <v/>
      </c>
      <c r="H25" s="17" t="n"/>
      <c r="I25" s="38" t="n"/>
      <c r="J25" s="39">
        <f>IF(E25="خصم",-1,1)*N(I25)</f>
        <v/>
      </c>
      <c r="K25" s="22" t="n"/>
      <c r="L25" s="40" t="n"/>
    </row>
    <row r="26">
      <c r="A26" s="29">
        <f>IF(B26="","",COUNTA($B$6:B26))</f>
        <v/>
      </c>
      <c r="B26" s="17" t="n"/>
      <c r="C26" s="21" t="n"/>
      <c r="D26" s="30" t="n"/>
      <c r="E26" s="17" t="n"/>
      <c r="F26" s="38" t="n"/>
      <c r="G26" s="39">
        <f>IF(E26="خصم",-1,1)*N(F26)</f>
        <v/>
      </c>
      <c r="H26" s="17" t="n"/>
      <c r="I26" s="38" t="n"/>
      <c r="J26" s="39">
        <f>IF(E26="خصم",-1,1)*N(I26)</f>
        <v/>
      </c>
      <c r="K26" s="22" t="n"/>
      <c r="L26" s="40" t="n"/>
    </row>
    <row r="27">
      <c r="A27" s="29">
        <f>IF(B27="","",COUNTA($B$6:B27))</f>
        <v/>
      </c>
      <c r="B27" s="17" t="n"/>
      <c r="C27" s="21" t="n"/>
      <c r="D27" s="30" t="n"/>
      <c r="E27" s="17" t="n"/>
      <c r="F27" s="38" t="n"/>
      <c r="G27" s="39">
        <f>IF(E27="خصم",-1,1)*N(F27)</f>
        <v/>
      </c>
      <c r="H27" s="17" t="n"/>
      <c r="I27" s="38" t="n"/>
      <c r="J27" s="39">
        <f>IF(E27="خصم",-1,1)*N(I27)</f>
        <v/>
      </c>
      <c r="K27" s="22" t="n"/>
      <c r="L27" s="40" t="n"/>
    </row>
    <row r="28">
      <c r="A28" s="29">
        <f>IF(B28="","",COUNTA($B$6:B28))</f>
        <v/>
      </c>
      <c r="B28" s="17" t="n"/>
      <c r="C28" s="21" t="n"/>
      <c r="D28" s="30" t="n"/>
      <c r="E28" s="17" t="n"/>
      <c r="F28" s="38" t="n"/>
      <c r="G28" s="39">
        <f>IF(E28="خصم",-1,1)*N(F28)</f>
        <v/>
      </c>
      <c r="H28" s="17" t="n"/>
      <c r="I28" s="38" t="n"/>
      <c r="J28" s="39">
        <f>IF(E28="خصم",-1,1)*N(I28)</f>
        <v/>
      </c>
      <c r="K28" s="22" t="n"/>
      <c r="L28" s="40" t="n"/>
    </row>
    <row r="29">
      <c r="A29" s="29">
        <f>IF(B29="","",COUNTA($B$6:B29))</f>
        <v/>
      </c>
      <c r="B29" s="17" t="n"/>
      <c r="C29" s="21" t="n"/>
      <c r="D29" s="30" t="n"/>
      <c r="E29" s="17" t="n"/>
      <c r="F29" s="38" t="n"/>
      <c r="G29" s="39">
        <f>IF(E29="خصم",-1,1)*N(F29)</f>
        <v/>
      </c>
      <c r="H29" s="17" t="n"/>
      <c r="I29" s="38" t="n"/>
      <c r="J29" s="39">
        <f>IF(E29="خصم",-1,1)*N(I29)</f>
        <v/>
      </c>
      <c r="K29" s="22" t="n"/>
      <c r="L29" s="40" t="n"/>
    </row>
    <row r="30">
      <c r="A30" s="29">
        <f>IF(B30="","",COUNTA($B$6:B30))</f>
        <v/>
      </c>
      <c r="B30" s="17" t="n"/>
      <c r="C30" s="21" t="n"/>
      <c r="D30" s="30" t="n"/>
      <c r="E30" s="17" t="n"/>
      <c r="F30" s="38" t="n"/>
      <c r="G30" s="39">
        <f>IF(E30="خصم",-1,1)*N(F30)</f>
        <v/>
      </c>
      <c r="H30" s="17" t="n"/>
      <c r="I30" s="38" t="n"/>
      <c r="J30" s="39">
        <f>IF(E30="خصم",-1,1)*N(I30)</f>
        <v/>
      </c>
      <c r="K30" s="22" t="n"/>
      <c r="L30" s="40" t="n"/>
    </row>
    <row r="31">
      <c r="A31" s="29">
        <f>IF(B31="","",COUNTA($B$6:B31))</f>
        <v/>
      </c>
      <c r="B31" s="17" t="n"/>
      <c r="C31" s="21" t="n"/>
      <c r="D31" s="30" t="n"/>
      <c r="E31" s="17" t="n"/>
      <c r="F31" s="38" t="n"/>
      <c r="G31" s="39">
        <f>IF(E31="خصم",-1,1)*N(F31)</f>
        <v/>
      </c>
      <c r="H31" s="17" t="n"/>
      <c r="I31" s="38" t="n"/>
      <c r="J31" s="39">
        <f>IF(E31="خصم",-1,1)*N(I31)</f>
        <v/>
      </c>
      <c r="K31" s="22" t="n"/>
      <c r="L31" s="40" t="n"/>
    </row>
    <row r="32">
      <c r="A32" s="29">
        <f>IF(B32="","",COUNTA($B$6:B32))</f>
        <v/>
      </c>
      <c r="B32" s="17" t="n"/>
      <c r="C32" s="21" t="n"/>
      <c r="D32" s="30" t="n"/>
      <c r="E32" s="17" t="n"/>
      <c r="F32" s="38" t="n"/>
      <c r="G32" s="39">
        <f>IF(E32="خصم",-1,1)*N(F32)</f>
        <v/>
      </c>
      <c r="H32" s="17" t="n"/>
      <c r="I32" s="38" t="n"/>
      <c r="J32" s="39">
        <f>IF(E32="خصم",-1,1)*N(I32)</f>
        <v/>
      </c>
      <c r="K32" s="22" t="n"/>
      <c r="L32" s="40" t="n"/>
    </row>
    <row r="33">
      <c r="A33" s="29">
        <f>IF(B33="","",COUNTA($B$6:B33))</f>
        <v/>
      </c>
      <c r="B33" s="17" t="n"/>
      <c r="C33" s="21" t="n"/>
      <c r="D33" s="30" t="n"/>
      <c r="E33" s="17" t="n"/>
      <c r="F33" s="38" t="n"/>
      <c r="G33" s="39">
        <f>IF(E33="خصم",-1,1)*N(F33)</f>
        <v/>
      </c>
      <c r="H33" s="17" t="n"/>
      <c r="I33" s="38" t="n"/>
      <c r="J33" s="39">
        <f>IF(E33="خصم",-1,1)*N(I33)</f>
        <v/>
      </c>
      <c r="K33" s="22" t="n"/>
      <c r="L33" s="40" t="n"/>
    </row>
    <row r="34">
      <c r="A34" s="29">
        <f>IF(B34="","",COUNTA($B$6:B34))</f>
        <v/>
      </c>
      <c r="B34" s="17" t="n"/>
      <c r="C34" s="21" t="n"/>
      <c r="D34" s="30" t="n"/>
      <c r="E34" s="17" t="n"/>
      <c r="F34" s="38" t="n"/>
      <c r="G34" s="39">
        <f>IF(E34="خصم",-1,1)*N(F34)</f>
        <v/>
      </c>
      <c r="H34" s="17" t="n"/>
      <c r="I34" s="38" t="n"/>
      <c r="J34" s="39">
        <f>IF(E34="خصم",-1,1)*N(I34)</f>
        <v/>
      </c>
      <c r="K34" s="22" t="n"/>
      <c r="L34" s="40" t="n"/>
    </row>
    <row r="35">
      <c r="A35" s="29">
        <f>IF(B35="","",COUNTA($B$6:B35))</f>
        <v/>
      </c>
      <c r="B35" s="17" t="n"/>
      <c r="C35" s="21" t="n"/>
      <c r="D35" s="30" t="n"/>
      <c r="E35" s="17" t="n"/>
      <c r="F35" s="38" t="n"/>
      <c r="G35" s="39">
        <f>IF(E35="خصم",-1,1)*N(F35)</f>
        <v/>
      </c>
      <c r="H35" s="17" t="n"/>
      <c r="I35" s="38" t="n"/>
      <c r="J35" s="39">
        <f>IF(E35="خصم",-1,1)*N(I35)</f>
        <v/>
      </c>
      <c r="K35" s="22" t="n"/>
      <c r="L35" s="40" t="n"/>
    </row>
    <row r="36">
      <c r="A36" s="29">
        <f>IF(B36="","",COUNTA($B$6:B36))</f>
        <v/>
      </c>
      <c r="B36" s="17" t="n"/>
      <c r="C36" s="21" t="n"/>
      <c r="D36" s="30" t="n"/>
      <c r="E36" s="17" t="n"/>
      <c r="F36" s="38" t="n"/>
      <c r="G36" s="39">
        <f>IF(E36="خصم",-1,1)*N(F36)</f>
        <v/>
      </c>
      <c r="H36" s="17" t="n"/>
      <c r="I36" s="38" t="n"/>
      <c r="J36" s="39">
        <f>IF(E36="خصم",-1,1)*N(I36)</f>
        <v/>
      </c>
      <c r="K36" s="22" t="n"/>
      <c r="L36" s="40" t="n"/>
    </row>
    <row r="37">
      <c r="A37" s="29">
        <f>IF(B37="","",COUNTA($B$6:B37))</f>
        <v/>
      </c>
      <c r="B37" s="17" t="n"/>
      <c r="C37" s="21" t="n"/>
      <c r="D37" s="30" t="n"/>
      <c r="E37" s="17" t="n"/>
      <c r="F37" s="38" t="n"/>
      <c r="G37" s="39">
        <f>IF(E37="خصم",-1,1)*N(F37)</f>
        <v/>
      </c>
      <c r="H37" s="17" t="n"/>
      <c r="I37" s="38" t="n"/>
      <c r="J37" s="39">
        <f>IF(E37="خصم",-1,1)*N(I37)</f>
        <v/>
      </c>
      <c r="K37" s="22" t="n"/>
      <c r="L37" s="40" t="n"/>
    </row>
    <row r="38">
      <c r="A38" s="29">
        <f>IF(B38="","",COUNTA($B$6:B38))</f>
        <v/>
      </c>
      <c r="B38" s="17" t="n"/>
      <c r="C38" s="21" t="n"/>
      <c r="D38" s="30" t="n"/>
      <c r="E38" s="17" t="n"/>
      <c r="F38" s="38" t="n"/>
      <c r="G38" s="39">
        <f>IF(E38="خصم",-1,1)*N(F38)</f>
        <v/>
      </c>
      <c r="H38" s="17" t="n"/>
      <c r="I38" s="38" t="n"/>
      <c r="J38" s="39">
        <f>IF(E38="خصم",-1,1)*N(I38)</f>
        <v/>
      </c>
      <c r="K38" s="22" t="n"/>
      <c r="L38" s="40" t="n"/>
    </row>
    <row r="39">
      <c r="A39" s="29">
        <f>IF(B39="","",COUNTA($B$6:B39))</f>
        <v/>
      </c>
      <c r="B39" s="17" t="n"/>
      <c r="C39" s="21" t="n"/>
      <c r="D39" s="30" t="n"/>
      <c r="E39" s="17" t="n"/>
      <c r="F39" s="38" t="n"/>
      <c r="G39" s="39">
        <f>IF(E39="خصم",-1,1)*N(F39)</f>
        <v/>
      </c>
      <c r="H39" s="17" t="n"/>
      <c r="I39" s="38" t="n"/>
      <c r="J39" s="39">
        <f>IF(E39="خصم",-1,1)*N(I39)</f>
        <v/>
      </c>
      <c r="K39" s="22" t="n"/>
      <c r="L39" s="40" t="n"/>
    </row>
    <row r="40">
      <c r="A40" s="29">
        <f>IF(B40="","",COUNTA($B$6:B40))</f>
        <v/>
      </c>
      <c r="B40" s="17" t="n"/>
      <c r="C40" s="21" t="n"/>
      <c r="D40" s="30" t="n"/>
      <c r="E40" s="17" t="n"/>
      <c r="F40" s="38" t="n"/>
      <c r="G40" s="39">
        <f>IF(E40="خصم",-1,1)*N(F40)</f>
        <v/>
      </c>
      <c r="H40" s="17" t="n"/>
      <c r="I40" s="38" t="n"/>
      <c r="J40" s="39">
        <f>IF(E40="خصم",-1,1)*N(I40)</f>
        <v/>
      </c>
      <c r="K40" s="22" t="n"/>
      <c r="L40" s="40" t="n"/>
    </row>
    <row r="41">
      <c r="A41" s="29">
        <f>IF(B41="","",COUNTA($B$6:B41))</f>
        <v/>
      </c>
      <c r="B41" s="17" t="n"/>
      <c r="C41" s="21" t="n"/>
      <c r="D41" s="30" t="n"/>
      <c r="E41" s="17" t="n"/>
      <c r="F41" s="38" t="n"/>
      <c r="G41" s="39">
        <f>IF(E41="خصم",-1,1)*N(F41)</f>
        <v/>
      </c>
      <c r="H41" s="17" t="n"/>
      <c r="I41" s="38" t="n"/>
      <c r="J41" s="39">
        <f>IF(E41="خصم",-1,1)*N(I41)</f>
        <v/>
      </c>
      <c r="K41" s="22" t="n"/>
      <c r="L41" s="40" t="n"/>
    </row>
    <row r="42">
      <c r="A42" s="29">
        <f>IF(B42="","",COUNTA($B$6:B42))</f>
        <v/>
      </c>
      <c r="B42" s="17" t="n"/>
      <c r="C42" s="21" t="n"/>
      <c r="D42" s="30" t="n"/>
      <c r="E42" s="17" t="n"/>
      <c r="F42" s="38" t="n"/>
      <c r="G42" s="39">
        <f>IF(E42="خصم",-1,1)*N(F42)</f>
        <v/>
      </c>
      <c r="H42" s="17" t="n"/>
      <c r="I42" s="38" t="n"/>
      <c r="J42" s="39">
        <f>IF(E42="خصم",-1,1)*N(I42)</f>
        <v/>
      </c>
      <c r="K42" s="22" t="n"/>
      <c r="L42" s="40" t="n"/>
    </row>
    <row r="43">
      <c r="A43" s="29">
        <f>IF(B43="","",COUNTA($B$6:B43))</f>
        <v/>
      </c>
      <c r="B43" s="17" t="n"/>
      <c r="C43" s="21" t="n"/>
      <c r="D43" s="30" t="n"/>
      <c r="E43" s="17" t="n"/>
      <c r="F43" s="38" t="n"/>
      <c r="G43" s="39">
        <f>IF(E43="خصم",-1,1)*N(F43)</f>
        <v/>
      </c>
      <c r="H43" s="17" t="n"/>
      <c r="I43" s="38" t="n"/>
      <c r="J43" s="39">
        <f>IF(E43="خصم",-1,1)*N(I43)</f>
        <v/>
      </c>
      <c r="K43" s="22" t="n"/>
      <c r="L43" s="40" t="n"/>
    </row>
    <row r="44">
      <c r="A44" s="29">
        <f>IF(B44="","",COUNTA($B$6:B44))</f>
        <v/>
      </c>
      <c r="B44" s="17" t="n"/>
      <c r="C44" s="21" t="n"/>
      <c r="D44" s="30" t="n"/>
      <c r="E44" s="17" t="n"/>
      <c r="F44" s="38" t="n"/>
      <c r="G44" s="39">
        <f>IF(E44="خصم",-1,1)*N(F44)</f>
        <v/>
      </c>
      <c r="H44" s="17" t="n"/>
      <c r="I44" s="38" t="n"/>
      <c r="J44" s="39">
        <f>IF(E44="خصم",-1,1)*N(I44)</f>
        <v/>
      </c>
      <c r="K44" s="22" t="n"/>
      <c r="L44" s="40" t="n"/>
    </row>
    <row r="45">
      <c r="A45" s="29">
        <f>IF(B45="","",COUNTA($B$6:B45))</f>
        <v/>
      </c>
      <c r="B45" s="17" t="n"/>
      <c r="C45" s="21" t="n"/>
      <c r="D45" s="30" t="n"/>
      <c r="E45" s="17" t="n"/>
      <c r="F45" s="38" t="n"/>
      <c r="G45" s="39">
        <f>IF(E45="خصم",-1,1)*N(F45)</f>
        <v/>
      </c>
      <c r="H45" s="17" t="n"/>
      <c r="I45" s="38" t="n"/>
      <c r="J45" s="39">
        <f>IF(E45="خصم",-1,1)*N(I45)</f>
        <v/>
      </c>
      <c r="K45" s="22" t="n"/>
      <c r="L45" s="40" t="n"/>
    </row>
    <row r="46">
      <c r="A46" s="29">
        <f>IF(B46="","",COUNTA($B$6:B46))</f>
        <v/>
      </c>
      <c r="B46" s="17" t="n"/>
      <c r="C46" s="21" t="n"/>
      <c r="D46" s="30" t="n"/>
      <c r="E46" s="17" t="n"/>
      <c r="F46" s="38" t="n"/>
      <c r="G46" s="39">
        <f>IF(E46="خصم",-1,1)*N(F46)</f>
        <v/>
      </c>
      <c r="H46" s="17" t="n"/>
      <c r="I46" s="38" t="n"/>
      <c r="J46" s="39">
        <f>IF(E46="خصم",-1,1)*N(I46)</f>
        <v/>
      </c>
      <c r="K46" s="22" t="n"/>
      <c r="L46" s="40" t="n"/>
    </row>
    <row r="47">
      <c r="A47" s="29">
        <f>IF(B47="","",COUNTA($B$6:B47))</f>
        <v/>
      </c>
      <c r="B47" s="17" t="n"/>
      <c r="C47" s="21" t="n"/>
      <c r="D47" s="30" t="n"/>
      <c r="E47" s="17" t="n"/>
      <c r="F47" s="38" t="n"/>
      <c r="G47" s="39">
        <f>IF(E47="خصم",-1,1)*N(F47)</f>
        <v/>
      </c>
      <c r="H47" s="17" t="n"/>
      <c r="I47" s="38" t="n"/>
      <c r="J47" s="39">
        <f>IF(E47="خصم",-1,1)*N(I47)</f>
        <v/>
      </c>
      <c r="K47" s="22" t="n"/>
      <c r="L47" s="40" t="n"/>
    </row>
    <row r="48">
      <c r="A48" s="29">
        <f>IF(B48="","",COUNTA($B$6:B48))</f>
        <v/>
      </c>
      <c r="B48" s="17" t="n"/>
      <c r="C48" s="21" t="n"/>
      <c r="D48" s="30" t="n"/>
      <c r="E48" s="17" t="n"/>
      <c r="F48" s="38" t="n"/>
      <c r="G48" s="39">
        <f>IF(E48="خصم",-1,1)*N(F48)</f>
        <v/>
      </c>
      <c r="H48" s="17" t="n"/>
      <c r="I48" s="38" t="n"/>
      <c r="J48" s="39">
        <f>IF(E48="خصم",-1,1)*N(I48)</f>
        <v/>
      </c>
      <c r="K48" s="22" t="n"/>
      <c r="L48" s="40" t="n"/>
    </row>
    <row r="49">
      <c r="A49" s="29">
        <f>IF(B49="","",COUNTA($B$6:B49))</f>
        <v/>
      </c>
      <c r="B49" s="17" t="n"/>
      <c r="C49" s="21" t="n"/>
      <c r="D49" s="30" t="n"/>
      <c r="E49" s="17" t="n"/>
      <c r="F49" s="38" t="n"/>
      <c r="G49" s="39">
        <f>IF(E49="خصم",-1,1)*N(F49)</f>
        <v/>
      </c>
      <c r="H49" s="17" t="n"/>
      <c r="I49" s="38" t="n"/>
      <c r="J49" s="39">
        <f>IF(E49="خصم",-1,1)*N(I49)</f>
        <v/>
      </c>
      <c r="K49" s="22" t="n"/>
      <c r="L49" s="40" t="n"/>
    </row>
    <row r="50">
      <c r="A50" s="29">
        <f>IF(B50="","",COUNTA($B$6:B50))</f>
        <v/>
      </c>
      <c r="B50" s="17" t="n"/>
      <c r="C50" s="21" t="n"/>
      <c r="D50" s="30" t="n"/>
      <c r="E50" s="17" t="n"/>
      <c r="F50" s="38" t="n"/>
      <c r="G50" s="39">
        <f>IF(E50="خصم",-1,1)*N(F50)</f>
        <v/>
      </c>
      <c r="H50" s="17" t="n"/>
      <c r="I50" s="38" t="n"/>
      <c r="J50" s="39">
        <f>IF(E50="خصم",-1,1)*N(I50)</f>
        <v/>
      </c>
      <c r="K50" s="22" t="n"/>
      <c r="L50" s="40" t="n"/>
    </row>
    <row r="51">
      <c r="A51" s="29">
        <f>IF(B51="","",COUNTA($B$6:B51))</f>
        <v/>
      </c>
      <c r="B51" s="17" t="n"/>
      <c r="C51" s="21" t="n"/>
      <c r="D51" s="30" t="n"/>
      <c r="E51" s="17" t="n"/>
      <c r="F51" s="38" t="n"/>
      <c r="G51" s="39">
        <f>IF(E51="خصم",-1,1)*N(F51)</f>
        <v/>
      </c>
      <c r="H51" s="17" t="n"/>
      <c r="I51" s="38" t="n"/>
      <c r="J51" s="39">
        <f>IF(E51="خصم",-1,1)*N(I51)</f>
        <v/>
      </c>
      <c r="K51" s="22" t="n"/>
      <c r="L51" s="40" t="n"/>
    </row>
    <row r="52">
      <c r="A52" s="29">
        <f>IF(B52="","",COUNTA($B$6:B52))</f>
        <v/>
      </c>
      <c r="B52" s="17" t="n"/>
      <c r="C52" s="21" t="n"/>
      <c r="D52" s="30" t="n"/>
      <c r="E52" s="17" t="n"/>
      <c r="F52" s="38" t="n"/>
      <c r="G52" s="39">
        <f>IF(E52="خصم",-1,1)*N(F52)</f>
        <v/>
      </c>
      <c r="H52" s="17" t="n"/>
      <c r="I52" s="38" t="n"/>
      <c r="J52" s="39">
        <f>IF(E52="خصم",-1,1)*N(I52)</f>
        <v/>
      </c>
      <c r="K52" s="22" t="n"/>
      <c r="L52" s="40" t="n"/>
    </row>
    <row r="53">
      <c r="A53" s="29">
        <f>IF(B53="","",COUNTA($B$6:B53))</f>
        <v/>
      </c>
      <c r="B53" s="17" t="n"/>
      <c r="C53" s="21" t="n"/>
      <c r="D53" s="30" t="n"/>
      <c r="E53" s="17" t="n"/>
      <c r="F53" s="38" t="n"/>
      <c r="G53" s="39">
        <f>IF(E53="خصم",-1,1)*N(F53)</f>
        <v/>
      </c>
      <c r="H53" s="17" t="n"/>
      <c r="I53" s="38" t="n"/>
      <c r="J53" s="39">
        <f>IF(E53="خصم",-1,1)*N(I53)</f>
        <v/>
      </c>
      <c r="K53" s="22" t="n"/>
      <c r="L53" s="40" t="n"/>
    </row>
    <row r="54">
      <c r="A54" s="29">
        <f>IF(B54="","",COUNTA($B$6:B54))</f>
        <v/>
      </c>
      <c r="B54" s="17" t="n"/>
      <c r="C54" s="21" t="n"/>
      <c r="D54" s="30" t="n"/>
      <c r="E54" s="17" t="n"/>
      <c r="F54" s="38" t="n"/>
      <c r="G54" s="39">
        <f>IF(E54="خصم",-1,1)*N(F54)</f>
        <v/>
      </c>
      <c r="H54" s="17" t="n"/>
      <c r="I54" s="38" t="n"/>
      <c r="J54" s="39">
        <f>IF(E54="خصم",-1,1)*N(I54)</f>
        <v/>
      </c>
      <c r="K54" s="22" t="n"/>
      <c r="L54" s="40" t="n"/>
    </row>
    <row r="55">
      <c r="A55" s="29">
        <f>IF(B55="","",COUNTA($B$6:B55))</f>
        <v/>
      </c>
      <c r="B55" s="17" t="n"/>
      <c r="C55" s="21" t="n"/>
      <c r="D55" s="30" t="n"/>
      <c r="E55" s="17" t="n"/>
      <c r="F55" s="38" t="n"/>
      <c r="G55" s="39">
        <f>IF(E55="خصم",-1,1)*N(F55)</f>
        <v/>
      </c>
      <c r="H55" s="17" t="n"/>
      <c r="I55" s="38" t="n"/>
      <c r="J55" s="39">
        <f>IF(E55="خصم",-1,1)*N(I55)</f>
        <v/>
      </c>
      <c r="K55" s="22" t="n"/>
      <c r="L55" s="40" t="n"/>
    </row>
    <row r="56">
      <c r="A56" s="34" t="inlineStr">
        <is>
          <t>الإجمالي</t>
        </is>
      </c>
      <c r="B56" s="34" t="n"/>
      <c r="C56" s="34" t="n"/>
      <c r="D56" s="34" t="n"/>
      <c r="E56" s="34" t="n"/>
      <c r="F56" s="41">
        <f>SUM(F6:F55)</f>
        <v/>
      </c>
      <c r="G56" s="41">
        <f>SUM(G6:G55)</f>
        <v/>
      </c>
      <c r="H56" s="42">
        <f>"معتمد: "&amp;COUNTIF(H6:H55,"معتمد")</f>
        <v/>
      </c>
      <c r="I56" s="41">
        <f>SUM(I6:I55)</f>
        <v/>
      </c>
      <c r="J56" s="41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1">
      <formula>$H6="معتمد"</formula>
    </cfRule>
    <cfRule type="expression" priority="2" dxfId="2">
      <formula>$H6="قيد الدراسة"</formula>
    </cfRule>
    <cfRule type="expression" priority="3" dxfId="3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4" t="inlineStr">
        <is>
          <t>⚙ بيانات العقد</t>
        </is>
      </c>
      <c r="C3" s="14" t="inlineStr">
        <is>
          <t>📋 جدول الكميات</t>
        </is>
      </c>
      <c r="D3" s="14" t="inlineStr">
        <is>
          <t>🔁 التغييرية</t>
        </is>
      </c>
      <c r="F3" s="4" t="inlineStr">
        <is>
          <t>🧾 مستخلص 01</t>
        </is>
      </c>
    </row>
    <row r="4">
      <c r="A4" s="28" t="inlineStr">
        <is>
          <t>يُخصم المبلغ من المستخلص المحدد ويستمر محتجزاً تراكمياً حتى يتم الإفراج عنه في «مستخلص الإفراج».</t>
        </is>
      </c>
      <c r="B4" s="28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</row>
    <row r="5" ht="40" customHeight="1">
      <c r="A5" s="15" t="inlineStr">
        <is>
          <t>م</t>
        </is>
      </c>
      <c r="B5" s="15" t="inlineStr">
        <is>
          <t>رقم الاستقطاع</t>
        </is>
      </c>
      <c r="C5" s="15" t="inlineStr">
        <is>
          <t>التاريخ</t>
        </is>
      </c>
      <c r="D5" s="15" t="inlineStr">
        <is>
          <t>رقم المستخلص</t>
        </is>
      </c>
      <c r="E5" s="15" t="inlineStr">
        <is>
          <t>كود البند</t>
        </is>
      </c>
      <c r="F5" s="15" t="inlineStr">
        <is>
          <t>وصف البند (آلي)</t>
        </is>
      </c>
      <c r="G5" s="15" t="inlineStr">
        <is>
          <t>سبب الاستقطاع</t>
        </is>
      </c>
      <c r="H5" s="15" t="inlineStr">
        <is>
          <t>نوع الاستقطاع</t>
        </is>
      </c>
      <c r="I5" s="15" t="inlineStr">
        <is>
          <t>المبلغ المستقطع</t>
        </is>
      </c>
      <c r="J5" s="15" t="inlineStr">
        <is>
          <t>تم الإفراج؟</t>
        </is>
      </c>
      <c r="K5" s="15" t="inlineStr">
        <is>
          <t>مستخلص الإفراج</t>
        </is>
      </c>
      <c r="L5" s="15" t="inlineStr">
        <is>
          <t>الرصيد المحتجز</t>
        </is>
      </c>
      <c r="M5" s="15" t="inlineStr">
        <is>
          <t>ملاحظات</t>
        </is>
      </c>
    </row>
    <row r="6">
      <c r="A6" s="29">
        <f>IF(B6="","",COUNTA($B$6:B6))</f>
        <v/>
      </c>
      <c r="B6" s="17" t="n"/>
      <c r="C6" s="21" t="n"/>
      <c r="D6" s="22" t="n"/>
      <c r="E6" s="17" t="n"/>
      <c r="F6" s="43">
        <f>IF(E6="","",IFERROR(INDEX('جدول الكميات'!$D$6:$D$105,MATCH(E6,'جدول الكميات'!$B$6:$B$105,0)),"⚠ كود غير موجود"))</f>
        <v/>
      </c>
      <c r="G6" s="30" t="n"/>
      <c r="H6" s="17" t="n"/>
      <c r="I6" s="38" t="n"/>
      <c r="J6" s="17" t="n"/>
      <c r="K6" s="22" t="n"/>
      <c r="L6" s="44">
        <f>IF(J6="نعم",0,N(I6))</f>
        <v/>
      </c>
      <c r="M6" s="40" t="n"/>
    </row>
    <row r="7">
      <c r="A7" s="29">
        <f>IF(B7="","",COUNTA($B$6:B7))</f>
        <v/>
      </c>
      <c r="B7" s="17" t="n"/>
      <c r="C7" s="21" t="n"/>
      <c r="D7" s="22" t="n"/>
      <c r="E7" s="17" t="n"/>
      <c r="F7" s="43">
        <f>IF(E7="","",IFERROR(INDEX('جدول الكميات'!$D$6:$D$105,MATCH(E7,'جدول الكميات'!$B$6:$B$105,0)),"⚠ كود غير موجود"))</f>
        <v/>
      </c>
      <c r="G7" s="30" t="n"/>
      <c r="H7" s="17" t="n"/>
      <c r="I7" s="38" t="n"/>
      <c r="J7" s="17" t="n"/>
      <c r="K7" s="22" t="n"/>
      <c r="L7" s="44">
        <f>IF(J7="نعم",0,N(I7))</f>
        <v/>
      </c>
      <c r="M7" s="40" t="n"/>
    </row>
    <row r="8">
      <c r="A8" s="29">
        <f>IF(B8="","",COUNTA($B$6:B8))</f>
        <v/>
      </c>
      <c r="B8" s="17" t="n"/>
      <c r="C8" s="21" t="n"/>
      <c r="D8" s="22" t="n"/>
      <c r="E8" s="17" t="n"/>
      <c r="F8" s="43">
        <f>IF(E8="","",IFERROR(INDEX('جدول الكميات'!$D$6:$D$105,MATCH(E8,'جدول الكميات'!$B$6:$B$105,0)),"⚠ كود غير موجود"))</f>
        <v/>
      </c>
      <c r="G8" s="30" t="n"/>
      <c r="H8" s="17" t="n"/>
      <c r="I8" s="38" t="n"/>
      <c r="J8" s="17" t="n"/>
      <c r="K8" s="22" t="n"/>
      <c r="L8" s="44">
        <f>IF(J8="نعم",0,N(I8))</f>
        <v/>
      </c>
      <c r="M8" s="40" t="n"/>
    </row>
    <row r="9">
      <c r="A9" s="29">
        <f>IF(B9="","",COUNTA($B$6:B9))</f>
        <v/>
      </c>
      <c r="B9" s="17" t="n"/>
      <c r="C9" s="21" t="n"/>
      <c r="D9" s="22" t="n"/>
      <c r="E9" s="17" t="n"/>
      <c r="F9" s="43">
        <f>IF(E9="","",IFERROR(INDEX('جدول الكميات'!$D$6:$D$105,MATCH(E9,'جدول الكميات'!$B$6:$B$105,0)),"⚠ كود غير موجود"))</f>
        <v/>
      </c>
      <c r="G9" s="30" t="n"/>
      <c r="H9" s="17" t="n"/>
      <c r="I9" s="38" t="n"/>
      <c r="J9" s="17" t="n"/>
      <c r="K9" s="22" t="n"/>
      <c r="L9" s="44">
        <f>IF(J9="نعم",0,N(I9))</f>
        <v/>
      </c>
      <c r="M9" s="40" t="n"/>
    </row>
    <row r="10">
      <c r="A10" s="29">
        <f>IF(B10="","",COUNTA($B$6:B10))</f>
        <v/>
      </c>
      <c r="B10" s="17" t="n"/>
      <c r="C10" s="21" t="n"/>
      <c r="D10" s="22" t="n"/>
      <c r="E10" s="17" t="n"/>
      <c r="F10" s="43">
        <f>IF(E10="","",IFERROR(INDEX('جدول الكميات'!$D$6:$D$105,MATCH(E10,'جدول الكميات'!$B$6:$B$105,0)),"⚠ كود غير موجود"))</f>
        <v/>
      </c>
      <c r="G10" s="30" t="n"/>
      <c r="H10" s="17" t="n"/>
      <c r="I10" s="38" t="n"/>
      <c r="J10" s="17" t="n"/>
      <c r="K10" s="22" t="n"/>
      <c r="L10" s="44">
        <f>IF(J10="نعم",0,N(I10))</f>
        <v/>
      </c>
      <c r="M10" s="40" t="n"/>
    </row>
    <row r="11">
      <c r="A11" s="29">
        <f>IF(B11="","",COUNTA($B$6:B11))</f>
        <v/>
      </c>
      <c r="B11" s="17" t="n"/>
      <c r="C11" s="21" t="n"/>
      <c r="D11" s="22" t="n"/>
      <c r="E11" s="17" t="n"/>
      <c r="F11" s="43">
        <f>IF(E11="","",IFERROR(INDEX('جدول الكميات'!$D$6:$D$105,MATCH(E11,'جدول الكميات'!$B$6:$B$105,0)),"⚠ كود غير موجود"))</f>
        <v/>
      </c>
      <c r="G11" s="30" t="n"/>
      <c r="H11" s="17" t="n"/>
      <c r="I11" s="38" t="n"/>
      <c r="J11" s="17" t="n"/>
      <c r="K11" s="22" t="n"/>
      <c r="L11" s="44">
        <f>IF(J11="نعم",0,N(I11))</f>
        <v/>
      </c>
      <c r="M11" s="40" t="n"/>
    </row>
    <row r="12">
      <c r="A12" s="29">
        <f>IF(B12="","",COUNTA($B$6:B12))</f>
        <v/>
      </c>
      <c r="B12" s="17" t="n"/>
      <c r="C12" s="21" t="n"/>
      <c r="D12" s="22" t="n"/>
      <c r="E12" s="17" t="n"/>
      <c r="F12" s="43">
        <f>IF(E12="","",IFERROR(INDEX('جدول الكميات'!$D$6:$D$105,MATCH(E12,'جدول الكميات'!$B$6:$B$105,0)),"⚠ كود غير موجود"))</f>
        <v/>
      </c>
      <c r="G12" s="30" t="n"/>
      <c r="H12" s="17" t="n"/>
      <c r="I12" s="38" t="n"/>
      <c r="J12" s="17" t="n"/>
      <c r="K12" s="22" t="n"/>
      <c r="L12" s="44">
        <f>IF(J12="نعم",0,N(I12))</f>
        <v/>
      </c>
      <c r="M12" s="40" t="n"/>
    </row>
    <row r="13">
      <c r="A13" s="29">
        <f>IF(B13="","",COUNTA($B$6:B13))</f>
        <v/>
      </c>
      <c r="B13" s="17" t="n"/>
      <c r="C13" s="21" t="n"/>
      <c r="D13" s="22" t="n"/>
      <c r="E13" s="17" t="n"/>
      <c r="F13" s="43">
        <f>IF(E13="","",IFERROR(INDEX('جدول الكميات'!$D$6:$D$105,MATCH(E13,'جدول الكميات'!$B$6:$B$105,0)),"⚠ كود غير موجود"))</f>
        <v/>
      </c>
      <c r="G13" s="30" t="n"/>
      <c r="H13" s="17" t="n"/>
      <c r="I13" s="38" t="n"/>
      <c r="J13" s="17" t="n"/>
      <c r="K13" s="22" t="n"/>
      <c r="L13" s="44">
        <f>IF(J13="نعم",0,N(I13))</f>
        <v/>
      </c>
      <c r="M13" s="40" t="n"/>
    </row>
    <row r="14">
      <c r="A14" s="29">
        <f>IF(B14="","",COUNTA($B$6:B14))</f>
        <v/>
      </c>
      <c r="B14" s="17" t="n"/>
      <c r="C14" s="21" t="n"/>
      <c r="D14" s="22" t="n"/>
      <c r="E14" s="17" t="n"/>
      <c r="F14" s="43">
        <f>IF(E14="","",IFERROR(INDEX('جدول الكميات'!$D$6:$D$105,MATCH(E14,'جدول الكميات'!$B$6:$B$105,0)),"⚠ كود غير موجود"))</f>
        <v/>
      </c>
      <c r="G14" s="30" t="n"/>
      <c r="H14" s="17" t="n"/>
      <c r="I14" s="38" t="n"/>
      <c r="J14" s="17" t="n"/>
      <c r="K14" s="22" t="n"/>
      <c r="L14" s="44">
        <f>IF(J14="نعم",0,N(I14))</f>
        <v/>
      </c>
      <c r="M14" s="40" t="n"/>
    </row>
    <row r="15">
      <c r="A15" s="29">
        <f>IF(B15="","",COUNTA($B$6:B15))</f>
        <v/>
      </c>
      <c r="B15" s="17" t="n"/>
      <c r="C15" s="21" t="n"/>
      <c r="D15" s="22" t="n"/>
      <c r="E15" s="17" t="n"/>
      <c r="F15" s="43">
        <f>IF(E15="","",IFERROR(INDEX('جدول الكميات'!$D$6:$D$105,MATCH(E15,'جدول الكميات'!$B$6:$B$105,0)),"⚠ كود غير موجود"))</f>
        <v/>
      </c>
      <c r="G15" s="30" t="n"/>
      <c r="H15" s="17" t="n"/>
      <c r="I15" s="38" t="n"/>
      <c r="J15" s="17" t="n"/>
      <c r="K15" s="22" t="n"/>
      <c r="L15" s="44">
        <f>IF(J15="نعم",0,N(I15))</f>
        <v/>
      </c>
      <c r="M15" s="40" t="n"/>
    </row>
    <row r="16">
      <c r="A16" s="29">
        <f>IF(B16="","",COUNTA($B$6:B16))</f>
        <v/>
      </c>
      <c r="B16" s="17" t="n"/>
      <c r="C16" s="21" t="n"/>
      <c r="D16" s="22" t="n"/>
      <c r="E16" s="17" t="n"/>
      <c r="F16" s="43">
        <f>IF(E16="","",IFERROR(INDEX('جدول الكميات'!$D$6:$D$105,MATCH(E16,'جدول الكميات'!$B$6:$B$105,0)),"⚠ كود غير موجود"))</f>
        <v/>
      </c>
      <c r="G16" s="30" t="n"/>
      <c r="H16" s="17" t="n"/>
      <c r="I16" s="38" t="n"/>
      <c r="J16" s="17" t="n"/>
      <c r="K16" s="22" t="n"/>
      <c r="L16" s="44">
        <f>IF(J16="نعم",0,N(I16))</f>
        <v/>
      </c>
      <c r="M16" s="40" t="n"/>
    </row>
    <row r="17">
      <c r="A17" s="29">
        <f>IF(B17="","",COUNTA($B$6:B17))</f>
        <v/>
      </c>
      <c r="B17" s="17" t="n"/>
      <c r="C17" s="21" t="n"/>
      <c r="D17" s="22" t="n"/>
      <c r="E17" s="17" t="n"/>
      <c r="F17" s="43">
        <f>IF(E17="","",IFERROR(INDEX('جدول الكميات'!$D$6:$D$105,MATCH(E17,'جدول الكميات'!$B$6:$B$105,0)),"⚠ كود غير موجود"))</f>
        <v/>
      </c>
      <c r="G17" s="30" t="n"/>
      <c r="H17" s="17" t="n"/>
      <c r="I17" s="38" t="n"/>
      <c r="J17" s="17" t="n"/>
      <c r="K17" s="22" t="n"/>
      <c r="L17" s="44">
        <f>IF(J17="نعم",0,N(I17))</f>
        <v/>
      </c>
      <c r="M17" s="40" t="n"/>
    </row>
    <row r="18">
      <c r="A18" s="29">
        <f>IF(B18="","",COUNTA($B$6:B18))</f>
        <v/>
      </c>
      <c r="B18" s="17" t="n"/>
      <c r="C18" s="21" t="n"/>
      <c r="D18" s="22" t="n"/>
      <c r="E18" s="17" t="n"/>
      <c r="F18" s="43">
        <f>IF(E18="","",IFERROR(INDEX('جدول الكميات'!$D$6:$D$105,MATCH(E18,'جدول الكميات'!$B$6:$B$105,0)),"⚠ كود غير موجود"))</f>
        <v/>
      </c>
      <c r="G18" s="30" t="n"/>
      <c r="H18" s="17" t="n"/>
      <c r="I18" s="38" t="n"/>
      <c r="J18" s="17" t="n"/>
      <c r="K18" s="22" t="n"/>
      <c r="L18" s="44">
        <f>IF(J18="نعم",0,N(I18))</f>
        <v/>
      </c>
      <c r="M18" s="40" t="n"/>
    </row>
    <row r="19">
      <c r="A19" s="29">
        <f>IF(B19="","",COUNTA($B$6:B19))</f>
        <v/>
      </c>
      <c r="B19" s="17" t="n"/>
      <c r="C19" s="21" t="n"/>
      <c r="D19" s="22" t="n"/>
      <c r="E19" s="17" t="n"/>
      <c r="F19" s="43">
        <f>IF(E19="","",IFERROR(INDEX('جدول الكميات'!$D$6:$D$105,MATCH(E19,'جدول الكميات'!$B$6:$B$105,0)),"⚠ كود غير موجود"))</f>
        <v/>
      </c>
      <c r="G19" s="30" t="n"/>
      <c r="H19" s="17" t="n"/>
      <c r="I19" s="38" t="n"/>
      <c r="J19" s="17" t="n"/>
      <c r="K19" s="22" t="n"/>
      <c r="L19" s="44">
        <f>IF(J19="نعم",0,N(I19))</f>
        <v/>
      </c>
      <c r="M19" s="40" t="n"/>
    </row>
    <row r="20">
      <c r="A20" s="29">
        <f>IF(B20="","",COUNTA($B$6:B20))</f>
        <v/>
      </c>
      <c r="B20" s="17" t="n"/>
      <c r="C20" s="21" t="n"/>
      <c r="D20" s="22" t="n"/>
      <c r="E20" s="17" t="n"/>
      <c r="F20" s="43">
        <f>IF(E20="","",IFERROR(INDEX('جدول الكميات'!$D$6:$D$105,MATCH(E20,'جدول الكميات'!$B$6:$B$105,0)),"⚠ كود غير موجود"))</f>
        <v/>
      </c>
      <c r="G20" s="30" t="n"/>
      <c r="H20" s="17" t="n"/>
      <c r="I20" s="38" t="n"/>
      <c r="J20" s="17" t="n"/>
      <c r="K20" s="22" t="n"/>
      <c r="L20" s="44">
        <f>IF(J20="نعم",0,N(I20))</f>
        <v/>
      </c>
      <c r="M20" s="40" t="n"/>
    </row>
    <row r="21">
      <c r="A21" s="29">
        <f>IF(B21="","",COUNTA($B$6:B21))</f>
        <v/>
      </c>
      <c r="B21" s="17" t="n"/>
      <c r="C21" s="21" t="n"/>
      <c r="D21" s="22" t="n"/>
      <c r="E21" s="17" t="n"/>
      <c r="F21" s="43">
        <f>IF(E21="","",IFERROR(INDEX('جدول الكميات'!$D$6:$D$105,MATCH(E21,'جدول الكميات'!$B$6:$B$105,0)),"⚠ كود غير موجود"))</f>
        <v/>
      </c>
      <c r="G21" s="30" t="n"/>
      <c r="H21" s="17" t="n"/>
      <c r="I21" s="38" t="n"/>
      <c r="J21" s="17" t="n"/>
      <c r="K21" s="22" t="n"/>
      <c r="L21" s="44">
        <f>IF(J21="نعم",0,N(I21))</f>
        <v/>
      </c>
      <c r="M21" s="40" t="n"/>
    </row>
    <row r="22">
      <c r="A22" s="29">
        <f>IF(B22="","",COUNTA($B$6:B22))</f>
        <v/>
      </c>
      <c r="B22" s="17" t="n"/>
      <c r="C22" s="21" t="n"/>
      <c r="D22" s="22" t="n"/>
      <c r="E22" s="17" t="n"/>
      <c r="F22" s="43">
        <f>IF(E22="","",IFERROR(INDEX('جدول الكميات'!$D$6:$D$105,MATCH(E22,'جدول الكميات'!$B$6:$B$105,0)),"⚠ كود غير موجود"))</f>
        <v/>
      </c>
      <c r="G22" s="30" t="n"/>
      <c r="H22" s="17" t="n"/>
      <c r="I22" s="38" t="n"/>
      <c r="J22" s="17" t="n"/>
      <c r="K22" s="22" t="n"/>
      <c r="L22" s="44">
        <f>IF(J22="نعم",0,N(I22))</f>
        <v/>
      </c>
      <c r="M22" s="40" t="n"/>
    </row>
    <row r="23">
      <c r="A23" s="29">
        <f>IF(B23="","",COUNTA($B$6:B23))</f>
        <v/>
      </c>
      <c r="B23" s="17" t="n"/>
      <c r="C23" s="21" t="n"/>
      <c r="D23" s="22" t="n"/>
      <c r="E23" s="17" t="n"/>
      <c r="F23" s="43">
        <f>IF(E23="","",IFERROR(INDEX('جدول الكميات'!$D$6:$D$105,MATCH(E23,'جدول الكميات'!$B$6:$B$105,0)),"⚠ كود غير موجود"))</f>
        <v/>
      </c>
      <c r="G23" s="30" t="n"/>
      <c r="H23" s="17" t="n"/>
      <c r="I23" s="38" t="n"/>
      <c r="J23" s="17" t="n"/>
      <c r="K23" s="22" t="n"/>
      <c r="L23" s="44">
        <f>IF(J23="نعم",0,N(I23))</f>
        <v/>
      </c>
      <c r="M23" s="40" t="n"/>
    </row>
    <row r="24">
      <c r="A24" s="29">
        <f>IF(B24="","",COUNTA($B$6:B24))</f>
        <v/>
      </c>
      <c r="B24" s="17" t="n"/>
      <c r="C24" s="21" t="n"/>
      <c r="D24" s="22" t="n"/>
      <c r="E24" s="17" t="n"/>
      <c r="F24" s="43">
        <f>IF(E24="","",IFERROR(INDEX('جدول الكميات'!$D$6:$D$105,MATCH(E24,'جدول الكميات'!$B$6:$B$105,0)),"⚠ كود غير موجود"))</f>
        <v/>
      </c>
      <c r="G24" s="30" t="n"/>
      <c r="H24" s="17" t="n"/>
      <c r="I24" s="38" t="n"/>
      <c r="J24" s="17" t="n"/>
      <c r="K24" s="22" t="n"/>
      <c r="L24" s="44">
        <f>IF(J24="نعم",0,N(I24))</f>
        <v/>
      </c>
      <c r="M24" s="40" t="n"/>
    </row>
    <row r="25">
      <c r="A25" s="29">
        <f>IF(B25="","",COUNTA($B$6:B25))</f>
        <v/>
      </c>
      <c r="B25" s="17" t="n"/>
      <c r="C25" s="21" t="n"/>
      <c r="D25" s="22" t="n"/>
      <c r="E25" s="17" t="n"/>
      <c r="F25" s="43">
        <f>IF(E25="","",IFERROR(INDEX('جدول الكميات'!$D$6:$D$105,MATCH(E25,'جدول الكميات'!$B$6:$B$105,0)),"⚠ كود غير موجود"))</f>
        <v/>
      </c>
      <c r="G25" s="30" t="n"/>
      <c r="H25" s="17" t="n"/>
      <c r="I25" s="38" t="n"/>
      <c r="J25" s="17" t="n"/>
      <c r="K25" s="22" t="n"/>
      <c r="L25" s="44">
        <f>IF(J25="نعم",0,N(I25))</f>
        <v/>
      </c>
      <c r="M25" s="40" t="n"/>
    </row>
    <row r="26">
      <c r="A26" s="29">
        <f>IF(B26="","",COUNTA($B$6:B26))</f>
        <v/>
      </c>
      <c r="B26" s="17" t="n"/>
      <c r="C26" s="21" t="n"/>
      <c r="D26" s="22" t="n"/>
      <c r="E26" s="17" t="n"/>
      <c r="F26" s="43">
        <f>IF(E26="","",IFERROR(INDEX('جدول الكميات'!$D$6:$D$105,MATCH(E26,'جدول الكميات'!$B$6:$B$105,0)),"⚠ كود غير موجود"))</f>
        <v/>
      </c>
      <c r="G26" s="30" t="n"/>
      <c r="H26" s="17" t="n"/>
      <c r="I26" s="38" t="n"/>
      <c r="J26" s="17" t="n"/>
      <c r="K26" s="22" t="n"/>
      <c r="L26" s="44">
        <f>IF(J26="نعم",0,N(I26))</f>
        <v/>
      </c>
      <c r="M26" s="40" t="n"/>
    </row>
    <row r="27">
      <c r="A27" s="29">
        <f>IF(B27="","",COUNTA($B$6:B27))</f>
        <v/>
      </c>
      <c r="B27" s="17" t="n"/>
      <c r="C27" s="21" t="n"/>
      <c r="D27" s="22" t="n"/>
      <c r="E27" s="17" t="n"/>
      <c r="F27" s="43">
        <f>IF(E27="","",IFERROR(INDEX('جدول الكميات'!$D$6:$D$105,MATCH(E27,'جدول الكميات'!$B$6:$B$105,0)),"⚠ كود غير موجود"))</f>
        <v/>
      </c>
      <c r="G27" s="30" t="n"/>
      <c r="H27" s="17" t="n"/>
      <c r="I27" s="38" t="n"/>
      <c r="J27" s="17" t="n"/>
      <c r="K27" s="22" t="n"/>
      <c r="L27" s="44">
        <f>IF(J27="نعم",0,N(I27))</f>
        <v/>
      </c>
      <c r="M27" s="40" t="n"/>
    </row>
    <row r="28">
      <c r="A28" s="29">
        <f>IF(B28="","",COUNTA($B$6:B28))</f>
        <v/>
      </c>
      <c r="B28" s="17" t="n"/>
      <c r="C28" s="21" t="n"/>
      <c r="D28" s="22" t="n"/>
      <c r="E28" s="17" t="n"/>
      <c r="F28" s="43">
        <f>IF(E28="","",IFERROR(INDEX('جدول الكميات'!$D$6:$D$105,MATCH(E28,'جدول الكميات'!$B$6:$B$105,0)),"⚠ كود غير موجود"))</f>
        <v/>
      </c>
      <c r="G28" s="30" t="n"/>
      <c r="H28" s="17" t="n"/>
      <c r="I28" s="38" t="n"/>
      <c r="J28" s="17" t="n"/>
      <c r="K28" s="22" t="n"/>
      <c r="L28" s="44">
        <f>IF(J28="نعم",0,N(I28))</f>
        <v/>
      </c>
      <c r="M28" s="40" t="n"/>
    </row>
    <row r="29">
      <c r="A29" s="29">
        <f>IF(B29="","",COUNTA($B$6:B29))</f>
        <v/>
      </c>
      <c r="B29" s="17" t="n"/>
      <c r="C29" s="21" t="n"/>
      <c r="D29" s="22" t="n"/>
      <c r="E29" s="17" t="n"/>
      <c r="F29" s="43">
        <f>IF(E29="","",IFERROR(INDEX('جدول الكميات'!$D$6:$D$105,MATCH(E29,'جدول الكميات'!$B$6:$B$105,0)),"⚠ كود غير موجود"))</f>
        <v/>
      </c>
      <c r="G29" s="30" t="n"/>
      <c r="H29" s="17" t="n"/>
      <c r="I29" s="38" t="n"/>
      <c r="J29" s="17" t="n"/>
      <c r="K29" s="22" t="n"/>
      <c r="L29" s="44">
        <f>IF(J29="نعم",0,N(I29))</f>
        <v/>
      </c>
      <c r="M29" s="40" t="n"/>
    </row>
    <row r="30">
      <c r="A30" s="29">
        <f>IF(B30="","",COUNTA($B$6:B30))</f>
        <v/>
      </c>
      <c r="B30" s="17" t="n"/>
      <c r="C30" s="21" t="n"/>
      <c r="D30" s="22" t="n"/>
      <c r="E30" s="17" t="n"/>
      <c r="F30" s="43">
        <f>IF(E30="","",IFERROR(INDEX('جدول الكميات'!$D$6:$D$105,MATCH(E30,'جدول الكميات'!$B$6:$B$105,0)),"⚠ كود غير موجود"))</f>
        <v/>
      </c>
      <c r="G30" s="30" t="n"/>
      <c r="H30" s="17" t="n"/>
      <c r="I30" s="38" t="n"/>
      <c r="J30" s="17" t="n"/>
      <c r="K30" s="22" t="n"/>
      <c r="L30" s="44">
        <f>IF(J30="نعم",0,N(I30))</f>
        <v/>
      </c>
      <c r="M30" s="40" t="n"/>
    </row>
    <row r="31">
      <c r="A31" s="29">
        <f>IF(B31="","",COUNTA($B$6:B31))</f>
        <v/>
      </c>
      <c r="B31" s="17" t="n"/>
      <c r="C31" s="21" t="n"/>
      <c r="D31" s="22" t="n"/>
      <c r="E31" s="17" t="n"/>
      <c r="F31" s="43">
        <f>IF(E31="","",IFERROR(INDEX('جدول الكميات'!$D$6:$D$105,MATCH(E31,'جدول الكميات'!$B$6:$B$105,0)),"⚠ كود غير موجود"))</f>
        <v/>
      </c>
      <c r="G31" s="30" t="n"/>
      <c r="H31" s="17" t="n"/>
      <c r="I31" s="38" t="n"/>
      <c r="J31" s="17" t="n"/>
      <c r="K31" s="22" t="n"/>
      <c r="L31" s="44">
        <f>IF(J31="نعم",0,N(I31))</f>
        <v/>
      </c>
      <c r="M31" s="40" t="n"/>
    </row>
    <row r="32">
      <c r="A32" s="29">
        <f>IF(B32="","",COUNTA($B$6:B32))</f>
        <v/>
      </c>
      <c r="B32" s="17" t="n"/>
      <c r="C32" s="21" t="n"/>
      <c r="D32" s="22" t="n"/>
      <c r="E32" s="17" t="n"/>
      <c r="F32" s="43">
        <f>IF(E32="","",IFERROR(INDEX('جدول الكميات'!$D$6:$D$105,MATCH(E32,'جدول الكميات'!$B$6:$B$105,0)),"⚠ كود غير موجود"))</f>
        <v/>
      </c>
      <c r="G32" s="30" t="n"/>
      <c r="H32" s="17" t="n"/>
      <c r="I32" s="38" t="n"/>
      <c r="J32" s="17" t="n"/>
      <c r="K32" s="22" t="n"/>
      <c r="L32" s="44">
        <f>IF(J32="نعم",0,N(I32))</f>
        <v/>
      </c>
      <c r="M32" s="40" t="n"/>
    </row>
    <row r="33">
      <c r="A33" s="29">
        <f>IF(B33="","",COUNTA($B$6:B33))</f>
        <v/>
      </c>
      <c r="B33" s="17" t="n"/>
      <c r="C33" s="21" t="n"/>
      <c r="D33" s="22" t="n"/>
      <c r="E33" s="17" t="n"/>
      <c r="F33" s="43">
        <f>IF(E33="","",IFERROR(INDEX('جدول الكميات'!$D$6:$D$105,MATCH(E33,'جدول الكميات'!$B$6:$B$105,0)),"⚠ كود غير موجود"))</f>
        <v/>
      </c>
      <c r="G33" s="30" t="n"/>
      <c r="H33" s="17" t="n"/>
      <c r="I33" s="38" t="n"/>
      <c r="J33" s="17" t="n"/>
      <c r="K33" s="22" t="n"/>
      <c r="L33" s="44">
        <f>IF(J33="نعم",0,N(I33))</f>
        <v/>
      </c>
      <c r="M33" s="40" t="n"/>
    </row>
    <row r="34">
      <c r="A34" s="29">
        <f>IF(B34="","",COUNTA($B$6:B34))</f>
        <v/>
      </c>
      <c r="B34" s="17" t="n"/>
      <c r="C34" s="21" t="n"/>
      <c r="D34" s="22" t="n"/>
      <c r="E34" s="17" t="n"/>
      <c r="F34" s="43">
        <f>IF(E34="","",IFERROR(INDEX('جدول الكميات'!$D$6:$D$105,MATCH(E34,'جدول الكميات'!$B$6:$B$105,0)),"⚠ كود غير موجود"))</f>
        <v/>
      </c>
      <c r="G34" s="30" t="n"/>
      <c r="H34" s="17" t="n"/>
      <c r="I34" s="38" t="n"/>
      <c r="J34" s="17" t="n"/>
      <c r="K34" s="22" t="n"/>
      <c r="L34" s="44">
        <f>IF(J34="نعم",0,N(I34))</f>
        <v/>
      </c>
      <c r="M34" s="40" t="n"/>
    </row>
    <row r="35">
      <c r="A35" s="29">
        <f>IF(B35="","",COUNTA($B$6:B35))</f>
        <v/>
      </c>
      <c r="B35" s="17" t="n"/>
      <c r="C35" s="21" t="n"/>
      <c r="D35" s="22" t="n"/>
      <c r="E35" s="17" t="n"/>
      <c r="F35" s="43">
        <f>IF(E35="","",IFERROR(INDEX('جدول الكميات'!$D$6:$D$105,MATCH(E35,'جدول الكميات'!$B$6:$B$105,0)),"⚠ كود غير موجود"))</f>
        <v/>
      </c>
      <c r="G35" s="30" t="n"/>
      <c r="H35" s="17" t="n"/>
      <c r="I35" s="38" t="n"/>
      <c r="J35" s="17" t="n"/>
      <c r="K35" s="22" t="n"/>
      <c r="L35" s="44">
        <f>IF(J35="نعم",0,N(I35))</f>
        <v/>
      </c>
      <c r="M35" s="40" t="n"/>
    </row>
    <row r="36">
      <c r="A36" s="29">
        <f>IF(B36="","",COUNTA($B$6:B36))</f>
        <v/>
      </c>
      <c r="B36" s="17" t="n"/>
      <c r="C36" s="21" t="n"/>
      <c r="D36" s="22" t="n"/>
      <c r="E36" s="17" t="n"/>
      <c r="F36" s="43">
        <f>IF(E36="","",IFERROR(INDEX('جدول الكميات'!$D$6:$D$105,MATCH(E36,'جدول الكميات'!$B$6:$B$105,0)),"⚠ كود غير موجود"))</f>
        <v/>
      </c>
      <c r="G36" s="30" t="n"/>
      <c r="H36" s="17" t="n"/>
      <c r="I36" s="38" t="n"/>
      <c r="J36" s="17" t="n"/>
      <c r="K36" s="22" t="n"/>
      <c r="L36" s="44">
        <f>IF(J36="نعم",0,N(I36))</f>
        <v/>
      </c>
      <c r="M36" s="40" t="n"/>
    </row>
    <row r="37">
      <c r="A37" s="29">
        <f>IF(B37="","",COUNTA($B$6:B37))</f>
        <v/>
      </c>
      <c r="B37" s="17" t="n"/>
      <c r="C37" s="21" t="n"/>
      <c r="D37" s="22" t="n"/>
      <c r="E37" s="17" t="n"/>
      <c r="F37" s="43">
        <f>IF(E37="","",IFERROR(INDEX('جدول الكميات'!$D$6:$D$105,MATCH(E37,'جدول الكميات'!$B$6:$B$105,0)),"⚠ كود غير موجود"))</f>
        <v/>
      </c>
      <c r="G37" s="30" t="n"/>
      <c r="H37" s="17" t="n"/>
      <c r="I37" s="38" t="n"/>
      <c r="J37" s="17" t="n"/>
      <c r="K37" s="22" t="n"/>
      <c r="L37" s="44">
        <f>IF(J37="نعم",0,N(I37))</f>
        <v/>
      </c>
      <c r="M37" s="40" t="n"/>
    </row>
    <row r="38">
      <c r="A38" s="29">
        <f>IF(B38="","",COUNTA($B$6:B38))</f>
        <v/>
      </c>
      <c r="B38" s="17" t="n"/>
      <c r="C38" s="21" t="n"/>
      <c r="D38" s="22" t="n"/>
      <c r="E38" s="17" t="n"/>
      <c r="F38" s="43">
        <f>IF(E38="","",IFERROR(INDEX('جدول الكميات'!$D$6:$D$105,MATCH(E38,'جدول الكميات'!$B$6:$B$105,0)),"⚠ كود غير موجود"))</f>
        <v/>
      </c>
      <c r="G38" s="30" t="n"/>
      <c r="H38" s="17" t="n"/>
      <c r="I38" s="38" t="n"/>
      <c r="J38" s="17" t="n"/>
      <c r="K38" s="22" t="n"/>
      <c r="L38" s="44">
        <f>IF(J38="نعم",0,N(I38))</f>
        <v/>
      </c>
      <c r="M38" s="40" t="n"/>
    </row>
    <row r="39">
      <c r="A39" s="29">
        <f>IF(B39="","",COUNTA($B$6:B39))</f>
        <v/>
      </c>
      <c r="B39" s="17" t="n"/>
      <c r="C39" s="21" t="n"/>
      <c r="D39" s="22" t="n"/>
      <c r="E39" s="17" t="n"/>
      <c r="F39" s="43">
        <f>IF(E39="","",IFERROR(INDEX('جدول الكميات'!$D$6:$D$105,MATCH(E39,'جدول الكميات'!$B$6:$B$105,0)),"⚠ كود غير موجود"))</f>
        <v/>
      </c>
      <c r="G39" s="30" t="n"/>
      <c r="H39" s="17" t="n"/>
      <c r="I39" s="38" t="n"/>
      <c r="J39" s="17" t="n"/>
      <c r="K39" s="22" t="n"/>
      <c r="L39" s="44">
        <f>IF(J39="نعم",0,N(I39))</f>
        <v/>
      </c>
      <c r="M39" s="40" t="n"/>
    </row>
    <row r="40">
      <c r="A40" s="29">
        <f>IF(B40="","",COUNTA($B$6:B40))</f>
        <v/>
      </c>
      <c r="B40" s="17" t="n"/>
      <c r="C40" s="21" t="n"/>
      <c r="D40" s="22" t="n"/>
      <c r="E40" s="17" t="n"/>
      <c r="F40" s="43">
        <f>IF(E40="","",IFERROR(INDEX('جدول الكميات'!$D$6:$D$105,MATCH(E40,'جدول الكميات'!$B$6:$B$105,0)),"⚠ كود غير موجود"))</f>
        <v/>
      </c>
      <c r="G40" s="30" t="n"/>
      <c r="H40" s="17" t="n"/>
      <c r="I40" s="38" t="n"/>
      <c r="J40" s="17" t="n"/>
      <c r="K40" s="22" t="n"/>
      <c r="L40" s="44">
        <f>IF(J40="نعم",0,N(I40))</f>
        <v/>
      </c>
      <c r="M40" s="40" t="n"/>
    </row>
    <row r="41">
      <c r="A41" s="29">
        <f>IF(B41="","",COUNTA($B$6:B41))</f>
        <v/>
      </c>
      <c r="B41" s="17" t="n"/>
      <c r="C41" s="21" t="n"/>
      <c r="D41" s="22" t="n"/>
      <c r="E41" s="17" t="n"/>
      <c r="F41" s="43">
        <f>IF(E41="","",IFERROR(INDEX('جدول الكميات'!$D$6:$D$105,MATCH(E41,'جدول الكميات'!$B$6:$B$105,0)),"⚠ كود غير موجود"))</f>
        <v/>
      </c>
      <c r="G41" s="30" t="n"/>
      <c r="H41" s="17" t="n"/>
      <c r="I41" s="38" t="n"/>
      <c r="J41" s="17" t="n"/>
      <c r="K41" s="22" t="n"/>
      <c r="L41" s="44">
        <f>IF(J41="نعم",0,N(I41))</f>
        <v/>
      </c>
      <c r="M41" s="40" t="n"/>
    </row>
    <row r="42">
      <c r="A42" s="29">
        <f>IF(B42="","",COUNTA($B$6:B42))</f>
        <v/>
      </c>
      <c r="B42" s="17" t="n"/>
      <c r="C42" s="21" t="n"/>
      <c r="D42" s="22" t="n"/>
      <c r="E42" s="17" t="n"/>
      <c r="F42" s="43">
        <f>IF(E42="","",IFERROR(INDEX('جدول الكميات'!$D$6:$D$105,MATCH(E42,'جدول الكميات'!$B$6:$B$105,0)),"⚠ كود غير موجود"))</f>
        <v/>
      </c>
      <c r="G42" s="30" t="n"/>
      <c r="H42" s="17" t="n"/>
      <c r="I42" s="38" t="n"/>
      <c r="J42" s="17" t="n"/>
      <c r="K42" s="22" t="n"/>
      <c r="L42" s="44">
        <f>IF(J42="نعم",0,N(I42))</f>
        <v/>
      </c>
      <c r="M42" s="40" t="n"/>
    </row>
    <row r="43">
      <c r="A43" s="29">
        <f>IF(B43="","",COUNTA($B$6:B43))</f>
        <v/>
      </c>
      <c r="B43" s="17" t="n"/>
      <c r="C43" s="21" t="n"/>
      <c r="D43" s="22" t="n"/>
      <c r="E43" s="17" t="n"/>
      <c r="F43" s="43">
        <f>IF(E43="","",IFERROR(INDEX('جدول الكميات'!$D$6:$D$105,MATCH(E43,'جدول الكميات'!$B$6:$B$105,0)),"⚠ كود غير موجود"))</f>
        <v/>
      </c>
      <c r="G43" s="30" t="n"/>
      <c r="H43" s="17" t="n"/>
      <c r="I43" s="38" t="n"/>
      <c r="J43" s="17" t="n"/>
      <c r="K43" s="22" t="n"/>
      <c r="L43" s="44">
        <f>IF(J43="نعم",0,N(I43))</f>
        <v/>
      </c>
      <c r="M43" s="40" t="n"/>
    </row>
    <row r="44">
      <c r="A44" s="29">
        <f>IF(B44="","",COUNTA($B$6:B44))</f>
        <v/>
      </c>
      <c r="B44" s="17" t="n"/>
      <c r="C44" s="21" t="n"/>
      <c r="D44" s="22" t="n"/>
      <c r="E44" s="17" t="n"/>
      <c r="F44" s="43">
        <f>IF(E44="","",IFERROR(INDEX('جدول الكميات'!$D$6:$D$105,MATCH(E44,'جدول الكميات'!$B$6:$B$105,0)),"⚠ كود غير موجود"))</f>
        <v/>
      </c>
      <c r="G44" s="30" t="n"/>
      <c r="H44" s="17" t="n"/>
      <c r="I44" s="38" t="n"/>
      <c r="J44" s="17" t="n"/>
      <c r="K44" s="22" t="n"/>
      <c r="L44" s="44">
        <f>IF(J44="نعم",0,N(I44))</f>
        <v/>
      </c>
      <c r="M44" s="40" t="n"/>
    </row>
    <row r="45">
      <c r="A45" s="29">
        <f>IF(B45="","",COUNTA($B$6:B45))</f>
        <v/>
      </c>
      <c r="B45" s="17" t="n"/>
      <c r="C45" s="21" t="n"/>
      <c r="D45" s="22" t="n"/>
      <c r="E45" s="17" t="n"/>
      <c r="F45" s="43">
        <f>IF(E45="","",IFERROR(INDEX('جدول الكميات'!$D$6:$D$105,MATCH(E45,'جدول الكميات'!$B$6:$B$105,0)),"⚠ كود غير موجود"))</f>
        <v/>
      </c>
      <c r="G45" s="30" t="n"/>
      <c r="H45" s="17" t="n"/>
      <c r="I45" s="38" t="n"/>
      <c r="J45" s="17" t="n"/>
      <c r="K45" s="22" t="n"/>
      <c r="L45" s="44">
        <f>IF(J45="نعم",0,N(I45))</f>
        <v/>
      </c>
      <c r="M45" s="40" t="n"/>
    </row>
    <row r="46">
      <c r="A46" s="29">
        <f>IF(B46="","",COUNTA($B$6:B46))</f>
        <v/>
      </c>
      <c r="B46" s="17" t="n"/>
      <c r="C46" s="21" t="n"/>
      <c r="D46" s="22" t="n"/>
      <c r="E46" s="17" t="n"/>
      <c r="F46" s="43">
        <f>IF(E46="","",IFERROR(INDEX('جدول الكميات'!$D$6:$D$105,MATCH(E46,'جدول الكميات'!$B$6:$B$105,0)),"⚠ كود غير موجود"))</f>
        <v/>
      </c>
      <c r="G46" s="30" t="n"/>
      <c r="H46" s="17" t="n"/>
      <c r="I46" s="38" t="n"/>
      <c r="J46" s="17" t="n"/>
      <c r="K46" s="22" t="n"/>
      <c r="L46" s="44">
        <f>IF(J46="نعم",0,N(I46))</f>
        <v/>
      </c>
      <c r="M46" s="40" t="n"/>
    </row>
    <row r="47">
      <c r="A47" s="29">
        <f>IF(B47="","",COUNTA($B$6:B47))</f>
        <v/>
      </c>
      <c r="B47" s="17" t="n"/>
      <c r="C47" s="21" t="n"/>
      <c r="D47" s="22" t="n"/>
      <c r="E47" s="17" t="n"/>
      <c r="F47" s="43">
        <f>IF(E47="","",IFERROR(INDEX('جدول الكميات'!$D$6:$D$105,MATCH(E47,'جدول الكميات'!$B$6:$B$105,0)),"⚠ كود غير موجود"))</f>
        <v/>
      </c>
      <c r="G47" s="30" t="n"/>
      <c r="H47" s="17" t="n"/>
      <c r="I47" s="38" t="n"/>
      <c r="J47" s="17" t="n"/>
      <c r="K47" s="22" t="n"/>
      <c r="L47" s="44">
        <f>IF(J47="نعم",0,N(I47))</f>
        <v/>
      </c>
      <c r="M47" s="40" t="n"/>
    </row>
    <row r="48">
      <c r="A48" s="29">
        <f>IF(B48="","",COUNTA($B$6:B48))</f>
        <v/>
      </c>
      <c r="B48" s="17" t="n"/>
      <c r="C48" s="21" t="n"/>
      <c r="D48" s="22" t="n"/>
      <c r="E48" s="17" t="n"/>
      <c r="F48" s="43">
        <f>IF(E48="","",IFERROR(INDEX('جدول الكميات'!$D$6:$D$105,MATCH(E48,'جدول الكميات'!$B$6:$B$105,0)),"⚠ كود غير موجود"))</f>
        <v/>
      </c>
      <c r="G48" s="30" t="n"/>
      <c r="H48" s="17" t="n"/>
      <c r="I48" s="38" t="n"/>
      <c r="J48" s="17" t="n"/>
      <c r="K48" s="22" t="n"/>
      <c r="L48" s="44">
        <f>IF(J48="نعم",0,N(I48))</f>
        <v/>
      </c>
      <c r="M48" s="40" t="n"/>
    </row>
    <row r="49">
      <c r="A49" s="29">
        <f>IF(B49="","",COUNTA($B$6:B49))</f>
        <v/>
      </c>
      <c r="B49" s="17" t="n"/>
      <c r="C49" s="21" t="n"/>
      <c r="D49" s="22" t="n"/>
      <c r="E49" s="17" t="n"/>
      <c r="F49" s="43">
        <f>IF(E49="","",IFERROR(INDEX('جدول الكميات'!$D$6:$D$105,MATCH(E49,'جدول الكميات'!$B$6:$B$105,0)),"⚠ كود غير موجود"))</f>
        <v/>
      </c>
      <c r="G49" s="30" t="n"/>
      <c r="H49" s="17" t="n"/>
      <c r="I49" s="38" t="n"/>
      <c r="J49" s="17" t="n"/>
      <c r="K49" s="22" t="n"/>
      <c r="L49" s="44">
        <f>IF(J49="نعم",0,N(I49))</f>
        <v/>
      </c>
      <c r="M49" s="40" t="n"/>
    </row>
    <row r="50">
      <c r="A50" s="29">
        <f>IF(B50="","",COUNTA($B$6:B50))</f>
        <v/>
      </c>
      <c r="B50" s="17" t="n"/>
      <c r="C50" s="21" t="n"/>
      <c r="D50" s="22" t="n"/>
      <c r="E50" s="17" t="n"/>
      <c r="F50" s="43">
        <f>IF(E50="","",IFERROR(INDEX('جدول الكميات'!$D$6:$D$105,MATCH(E50,'جدول الكميات'!$B$6:$B$105,0)),"⚠ كود غير موجود"))</f>
        <v/>
      </c>
      <c r="G50" s="30" t="n"/>
      <c r="H50" s="17" t="n"/>
      <c r="I50" s="38" t="n"/>
      <c r="J50" s="17" t="n"/>
      <c r="K50" s="22" t="n"/>
      <c r="L50" s="44">
        <f>IF(J50="نعم",0,N(I50))</f>
        <v/>
      </c>
      <c r="M50" s="40" t="n"/>
    </row>
    <row r="51">
      <c r="A51" s="29">
        <f>IF(B51="","",COUNTA($B$6:B51))</f>
        <v/>
      </c>
      <c r="B51" s="17" t="n"/>
      <c r="C51" s="21" t="n"/>
      <c r="D51" s="22" t="n"/>
      <c r="E51" s="17" t="n"/>
      <c r="F51" s="43">
        <f>IF(E51="","",IFERROR(INDEX('جدول الكميات'!$D$6:$D$105,MATCH(E51,'جدول الكميات'!$B$6:$B$105,0)),"⚠ كود غير موجود"))</f>
        <v/>
      </c>
      <c r="G51" s="30" t="n"/>
      <c r="H51" s="17" t="n"/>
      <c r="I51" s="38" t="n"/>
      <c r="J51" s="17" t="n"/>
      <c r="K51" s="22" t="n"/>
      <c r="L51" s="44">
        <f>IF(J51="نعم",0,N(I51))</f>
        <v/>
      </c>
      <c r="M51" s="40" t="n"/>
    </row>
    <row r="52">
      <c r="A52" s="29">
        <f>IF(B52="","",COUNTA($B$6:B52))</f>
        <v/>
      </c>
      <c r="B52" s="17" t="n"/>
      <c r="C52" s="21" t="n"/>
      <c r="D52" s="22" t="n"/>
      <c r="E52" s="17" t="n"/>
      <c r="F52" s="43">
        <f>IF(E52="","",IFERROR(INDEX('جدول الكميات'!$D$6:$D$105,MATCH(E52,'جدول الكميات'!$B$6:$B$105,0)),"⚠ كود غير موجود"))</f>
        <v/>
      </c>
      <c r="G52" s="30" t="n"/>
      <c r="H52" s="17" t="n"/>
      <c r="I52" s="38" t="n"/>
      <c r="J52" s="17" t="n"/>
      <c r="K52" s="22" t="n"/>
      <c r="L52" s="44">
        <f>IF(J52="نعم",0,N(I52))</f>
        <v/>
      </c>
      <c r="M52" s="40" t="n"/>
    </row>
    <row r="53">
      <c r="A53" s="29">
        <f>IF(B53="","",COUNTA($B$6:B53))</f>
        <v/>
      </c>
      <c r="B53" s="17" t="n"/>
      <c r="C53" s="21" t="n"/>
      <c r="D53" s="22" t="n"/>
      <c r="E53" s="17" t="n"/>
      <c r="F53" s="43">
        <f>IF(E53="","",IFERROR(INDEX('جدول الكميات'!$D$6:$D$105,MATCH(E53,'جدول الكميات'!$B$6:$B$105,0)),"⚠ كود غير موجود"))</f>
        <v/>
      </c>
      <c r="G53" s="30" t="n"/>
      <c r="H53" s="17" t="n"/>
      <c r="I53" s="38" t="n"/>
      <c r="J53" s="17" t="n"/>
      <c r="K53" s="22" t="n"/>
      <c r="L53" s="44">
        <f>IF(J53="نعم",0,N(I53))</f>
        <v/>
      </c>
      <c r="M53" s="40" t="n"/>
    </row>
    <row r="54">
      <c r="A54" s="29">
        <f>IF(B54="","",COUNTA($B$6:B54))</f>
        <v/>
      </c>
      <c r="B54" s="17" t="n"/>
      <c r="C54" s="21" t="n"/>
      <c r="D54" s="22" t="n"/>
      <c r="E54" s="17" t="n"/>
      <c r="F54" s="43">
        <f>IF(E54="","",IFERROR(INDEX('جدول الكميات'!$D$6:$D$105,MATCH(E54,'جدول الكميات'!$B$6:$B$105,0)),"⚠ كود غير موجود"))</f>
        <v/>
      </c>
      <c r="G54" s="30" t="n"/>
      <c r="H54" s="17" t="n"/>
      <c r="I54" s="38" t="n"/>
      <c r="J54" s="17" t="n"/>
      <c r="K54" s="22" t="n"/>
      <c r="L54" s="44">
        <f>IF(J54="نعم",0,N(I54))</f>
        <v/>
      </c>
      <c r="M54" s="40" t="n"/>
    </row>
    <row r="55">
      <c r="A55" s="29">
        <f>IF(B55="","",COUNTA($B$6:B55))</f>
        <v/>
      </c>
      <c r="B55" s="17" t="n"/>
      <c r="C55" s="21" t="n"/>
      <c r="D55" s="22" t="n"/>
      <c r="E55" s="17" t="n"/>
      <c r="F55" s="43">
        <f>IF(E55="","",IFERROR(INDEX('جدول الكميات'!$D$6:$D$105,MATCH(E55,'جدول الكميات'!$B$6:$B$105,0)),"⚠ كود غير موجود"))</f>
        <v/>
      </c>
      <c r="G55" s="30" t="n"/>
      <c r="H55" s="17" t="n"/>
      <c r="I55" s="38" t="n"/>
      <c r="J55" s="17" t="n"/>
      <c r="K55" s="22" t="n"/>
      <c r="L55" s="44">
        <f>IF(J55="نعم",0,N(I55))</f>
        <v/>
      </c>
      <c r="M55" s="40" t="n"/>
    </row>
    <row r="56">
      <c r="A56" s="29">
        <f>IF(B56="","",COUNTA($B$6:B56))</f>
        <v/>
      </c>
      <c r="B56" s="17" t="n"/>
      <c r="C56" s="21" t="n"/>
      <c r="D56" s="22" t="n"/>
      <c r="E56" s="17" t="n"/>
      <c r="F56" s="43">
        <f>IF(E56="","",IFERROR(INDEX('جدول الكميات'!$D$6:$D$105,MATCH(E56,'جدول الكميات'!$B$6:$B$105,0)),"⚠ كود غير موجود"))</f>
        <v/>
      </c>
      <c r="G56" s="30" t="n"/>
      <c r="H56" s="17" t="n"/>
      <c r="I56" s="38" t="n"/>
      <c r="J56" s="17" t="n"/>
      <c r="K56" s="22" t="n"/>
      <c r="L56" s="44">
        <f>IF(J56="نعم",0,N(I56))</f>
        <v/>
      </c>
      <c r="M56" s="40" t="n"/>
    </row>
    <row r="57">
      <c r="A57" s="29">
        <f>IF(B57="","",COUNTA($B$6:B57))</f>
        <v/>
      </c>
      <c r="B57" s="17" t="n"/>
      <c r="C57" s="21" t="n"/>
      <c r="D57" s="22" t="n"/>
      <c r="E57" s="17" t="n"/>
      <c r="F57" s="43">
        <f>IF(E57="","",IFERROR(INDEX('جدول الكميات'!$D$6:$D$105,MATCH(E57,'جدول الكميات'!$B$6:$B$105,0)),"⚠ كود غير موجود"))</f>
        <v/>
      </c>
      <c r="G57" s="30" t="n"/>
      <c r="H57" s="17" t="n"/>
      <c r="I57" s="38" t="n"/>
      <c r="J57" s="17" t="n"/>
      <c r="K57" s="22" t="n"/>
      <c r="L57" s="44">
        <f>IF(J57="نعم",0,N(I57))</f>
        <v/>
      </c>
      <c r="M57" s="40" t="n"/>
    </row>
    <row r="58">
      <c r="A58" s="29">
        <f>IF(B58="","",COUNTA($B$6:B58))</f>
        <v/>
      </c>
      <c r="B58" s="17" t="n"/>
      <c r="C58" s="21" t="n"/>
      <c r="D58" s="22" t="n"/>
      <c r="E58" s="17" t="n"/>
      <c r="F58" s="43">
        <f>IF(E58="","",IFERROR(INDEX('جدول الكميات'!$D$6:$D$105,MATCH(E58,'جدول الكميات'!$B$6:$B$105,0)),"⚠ كود غير موجود"))</f>
        <v/>
      </c>
      <c r="G58" s="30" t="n"/>
      <c r="H58" s="17" t="n"/>
      <c r="I58" s="38" t="n"/>
      <c r="J58" s="17" t="n"/>
      <c r="K58" s="22" t="n"/>
      <c r="L58" s="44">
        <f>IF(J58="نعم",0,N(I58))</f>
        <v/>
      </c>
      <c r="M58" s="40" t="n"/>
    </row>
    <row r="59">
      <c r="A59" s="29">
        <f>IF(B59="","",COUNTA($B$6:B59))</f>
        <v/>
      </c>
      <c r="B59" s="17" t="n"/>
      <c r="C59" s="21" t="n"/>
      <c r="D59" s="22" t="n"/>
      <c r="E59" s="17" t="n"/>
      <c r="F59" s="43">
        <f>IF(E59="","",IFERROR(INDEX('جدول الكميات'!$D$6:$D$105,MATCH(E59,'جدول الكميات'!$B$6:$B$105,0)),"⚠ كود غير موجود"))</f>
        <v/>
      </c>
      <c r="G59" s="30" t="n"/>
      <c r="H59" s="17" t="n"/>
      <c r="I59" s="38" t="n"/>
      <c r="J59" s="17" t="n"/>
      <c r="K59" s="22" t="n"/>
      <c r="L59" s="44">
        <f>IF(J59="نعم",0,N(I59))</f>
        <v/>
      </c>
      <c r="M59" s="40" t="n"/>
    </row>
    <row r="60">
      <c r="A60" s="29">
        <f>IF(B60="","",COUNTA($B$6:B60))</f>
        <v/>
      </c>
      <c r="B60" s="17" t="n"/>
      <c r="C60" s="21" t="n"/>
      <c r="D60" s="22" t="n"/>
      <c r="E60" s="17" t="n"/>
      <c r="F60" s="43">
        <f>IF(E60="","",IFERROR(INDEX('جدول الكميات'!$D$6:$D$105,MATCH(E60,'جدول الكميات'!$B$6:$B$105,0)),"⚠ كود غير موجود"))</f>
        <v/>
      </c>
      <c r="G60" s="30" t="n"/>
      <c r="H60" s="17" t="n"/>
      <c r="I60" s="38" t="n"/>
      <c r="J60" s="17" t="n"/>
      <c r="K60" s="22" t="n"/>
      <c r="L60" s="44">
        <f>IF(J60="نعم",0,N(I60))</f>
        <v/>
      </c>
      <c r="M60" s="40" t="n"/>
    </row>
    <row r="61">
      <c r="A61" s="29">
        <f>IF(B61="","",COUNTA($B$6:B61))</f>
        <v/>
      </c>
      <c r="B61" s="17" t="n"/>
      <c r="C61" s="21" t="n"/>
      <c r="D61" s="22" t="n"/>
      <c r="E61" s="17" t="n"/>
      <c r="F61" s="43">
        <f>IF(E61="","",IFERROR(INDEX('جدول الكميات'!$D$6:$D$105,MATCH(E61,'جدول الكميات'!$B$6:$B$105,0)),"⚠ كود غير موجود"))</f>
        <v/>
      </c>
      <c r="G61" s="30" t="n"/>
      <c r="H61" s="17" t="n"/>
      <c r="I61" s="38" t="n"/>
      <c r="J61" s="17" t="n"/>
      <c r="K61" s="22" t="n"/>
      <c r="L61" s="44">
        <f>IF(J61="نعم",0,N(I61))</f>
        <v/>
      </c>
      <c r="M61" s="40" t="n"/>
    </row>
    <row r="62">
      <c r="A62" s="29">
        <f>IF(B62="","",COUNTA($B$6:B62))</f>
        <v/>
      </c>
      <c r="B62" s="17" t="n"/>
      <c r="C62" s="21" t="n"/>
      <c r="D62" s="22" t="n"/>
      <c r="E62" s="17" t="n"/>
      <c r="F62" s="43">
        <f>IF(E62="","",IFERROR(INDEX('جدول الكميات'!$D$6:$D$105,MATCH(E62,'جدول الكميات'!$B$6:$B$105,0)),"⚠ كود غير موجود"))</f>
        <v/>
      </c>
      <c r="G62" s="30" t="n"/>
      <c r="H62" s="17" t="n"/>
      <c r="I62" s="38" t="n"/>
      <c r="J62" s="17" t="n"/>
      <c r="K62" s="22" t="n"/>
      <c r="L62" s="44">
        <f>IF(J62="نعم",0,N(I62))</f>
        <v/>
      </c>
      <c r="M62" s="40" t="n"/>
    </row>
    <row r="63">
      <c r="A63" s="29">
        <f>IF(B63="","",COUNTA($B$6:B63))</f>
        <v/>
      </c>
      <c r="B63" s="17" t="n"/>
      <c r="C63" s="21" t="n"/>
      <c r="D63" s="22" t="n"/>
      <c r="E63" s="17" t="n"/>
      <c r="F63" s="43">
        <f>IF(E63="","",IFERROR(INDEX('جدول الكميات'!$D$6:$D$105,MATCH(E63,'جدول الكميات'!$B$6:$B$105,0)),"⚠ كود غير موجود"))</f>
        <v/>
      </c>
      <c r="G63" s="30" t="n"/>
      <c r="H63" s="17" t="n"/>
      <c r="I63" s="38" t="n"/>
      <c r="J63" s="17" t="n"/>
      <c r="K63" s="22" t="n"/>
      <c r="L63" s="44">
        <f>IF(J63="نعم",0,N(I63))</f>
        <v/>
      </c>
      <c r="M63" s="40" t="n"/>
    </row>
    <row r="64">
      <c r="A64" s="29">
        <f>IF(B64="","",COUNTA($B$6:B64))</f>
        <v/>
      </c>
      <c r="B64" s="17" t="n"/>
      <c r="C64" s="21" t="n"/>
      <c r="D64" s="22" t="n"/>
      <c r="E64" s="17" t="n"/>
      <c r="F64" s="43">
        <f>IF(E64="","",IFERROR(INDEX('جدول الكميات'!$D$6:$D$105,MATCH(E64,'جدول الكميات'!$B$6:$B$105,0)),"⚠ كود غير موجود"))</f>
        <v/>
      </c>
      <c r="G64" s="30" t="n"/>
      <c r="H64" s="17" t="n"/>
      <c r="I64" s="38" t="n"/>
      <c r="J64" s="17" t="n"/>
      <c r="K64" s="22" t="n"/>
      <c r="L64" s="44">
        <f>IF(J64="نعم",0,N(I64))</f>
        <v/>
      </c>
      <c r="M64" s="40" t="n"/>
    </row>
    <row r="65">
      <c r="A65" s="29">
        <f>IF(B65="","",COUNTA($B$6:B65))</f>
        <v/>
      </c>
      <c r="B65" s="17" t="n"/>
      <c r="C65" s="21" t="n"/>
      <c r="D65" s="22" t="n"/>
      <c r="E65" s="17" t="n"/>
      <c r="F65" s="43">
        <f>IF(E65="","",IFERROR(INDEX('جدول الكميات'!$D$6:$D$105,MATCH(E65,'جدول الكميات'!$B$6:$B$105,0)),"⚠ كود غير موجود"))</f>
        <v/>
      </c>
      <c r="G65" s="30" t="n"/>
      <c r="H65" s="17" t="n"/>
      <c r="I65" s="38" t="n"/>
      <c r="J65" s="17" t="n"/>
      <c r="K65" s="22" t="n"/>
      <c r="L65" s="44">
        <f>IF(J65="نعم",0,N(I65))</f>
        <v/>
      </c>
      <c r="M65" s="40" t="n"/>
    </row>
    <row r="66">
      <c r="A66" s="29">
        <f>IF(B66="","",COUNTA($B$6:B66))</f>
        <v/>
      </c>
      <c r="B66" s="17" t="n"/>
      <c r="C66" s="21" t="n"/>
      <c r="D66" s="22" t="n"/>
      <c r="E66" s="17" t="n"/>
      <c r="F66" s="43">
        <f>IF(E66="","",IFERROR(INDEX('جدول الكميات'!$D$6:$D$105,MATCH(E66,'جدول الكميات'!$B$6:$B$105,0)),"⚠ كود غير موجود"))</f>
        <v/>
      </c>
      <c r="G66" s="30" t="n"/>
      <c r="H66" s="17" t="n"/>
      <c r="I66" s="38" t="n"/>
      <c r="J66" s="17" t="n"/>
      <c r="K66" s="22" t="n"/>
      <c r="L66" s="44">
        <f>IF(J66="نعم",0,N(I66))</f>
        <v/>
      </c>
      <c r="M66" s="40" t="n"/>
    </row>
    <row r="67">
      <c r="A67" s="29">
        <f>IF(B67="","",COUNTA($B$6:B67))</f>
        <v/>
      </c>
      <c r="B67" s="17" t="n"/>
      <c r="C67" s="21" t="n"/>
      <c r="D67" s="22" t="n"/>
      <c r="E67" s="17" t="n"/>
      <c r="F67" s="43">
        <f>IF(E67="","",IFERROR(INDEX('جدول الكميات'!$D$6:$D$105,MATCH(E67,'جدول الكميات'!$B$6:$B$105,0)),"⚠ كود غير موجود"))</f>
        <v/>
      </c>
      <c r="G67" s="30" t="n"/>
      <c r="H67" s="17" t="n"/>
      <c r="I67" s="38" t="n"/>
      <c r="J67" s="17" t="n"/>
      <c r="K67" s="22" t="n"/>
      <c r="L67" s="44">
        <f>IF(J67="نعم",0,N(I67))</f>
        <v/>
      </c>
      <c r="M67" s="40" t="n"/>
    </row>
    <row r="68">
      <c r="A68" s="29">
        <f>IF(B68="","",COUNTA($B$6:B68))</f>
        <v/>
      </c>
      <c r="B68" s="17" t="n"/>
      <c r="C68" s="21" t="n"/>
      <c r="D68" s="22" t="n"/>
      <c r="E68" s="17" t="n"/>
      <c r="F68" s="43">
        <f>IF(E68="","",IFERROR(INDEX('جدول الكميات'!$D$6:$D$105,MATCH(E68,'جدول الكميات'!$B$6:$B$105,0)),"⚠ كود غير موجود"))</f>
        <v/>
      </c>
      <c r="G68" s="30" t="n"/>
      <c r="H68" s="17" t="n"/>
      <c r="I68" s="38" t="n"/>
      <c r="J68" s="17" t="n"/>
      <c r="K68" s="22" t="n"/>
      <c r="L68" s="44">
        <f>IF(J68="نعم",0,N(I68))</f>
        <v/>
      </c>
      <c r="M68" s="40" t="n"/>
    </row>
    <row r="69">
      <c r="A69" s="29">
        <f>IF(B69="","",COUNTA($B$6:B69))</f>
        <v/>
      </c>
      <c r="B69" s="17" t="n"/>
      <c r="C69" s="21" t="n"/>
      <c r="D69" s="22" t="n"/>
      <c r="E69" s="17" t="n"/>
      <c r="F69" s="43">
        <f>IF(E69="","",IFERROR(INDEX('جدول الكميات'!$D$6:$D$105,MATCH(E69,'جدول الكميات'!$B$6:$B$105,0)),"⚠ كود غير موجود"))</f>
        <v/>
      </c>
      <c r="G69" s="30" t="n"/>
      <c r="H69" s="17" t="n"/>
      <c r="I69" s="38" t="n"/>
      <c r="J69" s="17" t="n"/>
      <c r="K69" s="22" t="n"/>
      <c r="L69" s="44">
        <f>IF(J69="نعم",0,N(I69))</f>
        <v/>
      </c>
      <c r="M69" s="40" t="n"/>
    </row>
    <row r="70">
      <c r="A70" s="29">
        <f>IF(B70="","",COUNTA($B$6:B70))</f>
        <v/>
      </c>
      <c r="B70" s="17" t="n"/>
      <c r="C70" s="21" t="n"/>
      <c r="D70" s="22" t="n"/>
      <c r="E70" s="17" t="n"/>
      <c r="F70" s="43">
        <f>IF(E70="","",IFERROR(INDEX('جدول الكميات'!$D$6:$D$105,MATCH(E70,'جدول الكميات'!$B$6:$B$105,0)),"⚠ كود غير موجود"))</f>
        <v/>
      </c>
      <c r="G70" s="30" t="n"/>
      <c r="H70" s="17" t="n"/>
      <c r="I70" s="38" t="n"/>
      <c r="J70" s="17" t="n"/>
      <c r="K70" s="22" t="n"/>
      <c r="L70" s="44">
        <f>IF(J70="نعم",0,N(I70))</f>
        <v/>
      </c>
      <c r="M70" s="40" t="n"/>
    </row>
    <row r="71">
      <c r="A71" s="29">
        <f>IF(B71="","",COUNTA($B$6:B71))</f>
        <v/>
      </c>
      <c r="B71" s="17" t="n"/>
      <c r="C71" s="21" t="n"/>
      <c r="D71" s="22" t="n"/>
      <c r="E71" s="17" t="n"/>
      <c r="F71" s="43">
        <f>IF(E71="","",IFERROR(INDEX('جدول الكميات'!$D$6:$D$105,MATCH(E71,'جدول الكميات'!$B$6:$B$105,0)),"⚠ كود غير موجود"))</f>
        <v/>
      </c>
      <c r="G71" s="30" t="n"/>
      <c r="H71" s="17" t="n"/>
      <c r="I71" s="38" t="n"/>
      <c r="J71" s="17" t="n"/>
      <c r="K71" s="22" t="n"/>
      <c r="L71" s="44">
        <f>IF(J71="نعم",0,N(I71))</f>
        <v/>
      </c>
      <c r="M71" s="40" t="n"/>
    </row>
    <row r="72">
      <c r="A72" s="29">
        <f>IF(B72="","",COUNTA($B$6:B72))</f>
        <v/>
      </c>
      <c r="B72" s="17" t="n"/>
      <c r="C72" s="21" t="n"/>
      <c r="D72" s="22" t="n"/>
      <c r="E72" s="17" t="n"/>
      <c r="F72" s="43">
        <f>IF(E72="","",IFERROR(INDEX('جدول الكميات'!$D$6:$D$105,MATCH(E72,'جدول الكميات'!$B$6:$B$105,0)),"⚠ كود غير موجود"))</f>
        <v/>
      </c>
      <c r="G72" s="30" t="n"/>
      <c r="H72" s="17" t="n"/>
      <c r="I72" s="38" t="n"/>
      <c r="J72" s="17" t="n"/>
      <c r="K72" s="22" t="n"/>
      <c r="L72" s="44">
        <f>IF(J72="نعم",0,N(I72))</f>
        <v/>
      </c>
      <c r="M72" s="40" t="n"/>
    </row>
    <row r="73">
      <c r="A73" s="29">
        <f>IF(B73="","",COUNTA($B$6:B73))</f>
        <v/>
      </c>
      <c r="B73" s="17" t="n"/>
      <c r="C73" s="21" t="n"/>
      <c r="D73" s="22" t="n"/>
      <c r="E73" s="17" t="n"/>
      <c r="F73" s="43">
        <f>IF(E73="","",IFERROR(INDEX('جدول الكميات'!$D$6:$D$105,MATCH(E73,'جدول الكميات'!$B$6:$B$105,0)),"⚠ كود غير موجود"))</f>
        <v/>
      </c>
      <c r="G73" s="30" t="n"/>
      <c r="H73" s="17" t="n"/>
      <c r="I73" s="38" t="n"/>
      <c r="J73" s="17" t="n"/>
      <c r="K73" s="22" t="n"/>
      <c r="L73" s="44">
        <f>IF(J73="نعم",0,N(I73))</f>
        <v/>
      </c>
      <c r="M73" s="40" t="n"/>
    </row>
    <row r="74">
      <c r="A74" s="29">
        <f>IF(B74="","",COUNTA($B$6:B74))</f>
        <v/>
      </c>
      <c r="B74" s="17" t="n"/>
      <c r="C74" s="21" t="n"/>
      <c r="D74" s="22" t="n"/>
      <c r="E74" s="17" t="n"/>
      <c r="F74" s="43">
        <f>IF(E74="","",IFERROR(INDEX('جدول الكميات'!$D$6:$D$105,MATCH(E74,'جدول الكميات'!$B$6:$B$105,0)),"⚠ كود غير موجود"))</f>
        <v/>
      </c>
      <c r="G74" s="30" t="n"/>
      <c r="H74" s="17" t="n"/>
      <c r="I74" s="38" t="n"/>
      <c r="J74" s="17" t="n"/>
      <c r="K74" s="22" t="n"/>
      <c r="L74" s="44">
        <f>IF(J74="نعم",0,N(I74))</f>
        <v/>
      </c>
      <c r="M74" s="40" t="n"/>
    </row>
    <row r="75">
      <c r="A75" s="29">
        <f>IF(B75="","",COUNTA($B$6:B75))</f>
        <v/>
      </c>
      <c r="B75" s="17" t="n"/>
      <c r="C75" s="21" t="n"/>
      <c r="D75" s="22" t="n"/>
      <c r="E75" s="17" t="n"/>
      <c r="F75" s="43">
        <f>IF(E75="","",IFERROR(INDEX('جدول الكميات'!$D$6:$D$105,MATCH(E75,'جدول الكميات'!$B$6:$B$105,0)),"⚠ كود غير موجود"))</f>
        <v/>
      </c>
      <c r="G75" s="30" t="n"/>
      <c r="H75" s="17" t="n"/>
      <c r="I75" s="38" t="n"/>
      <c r="J75" s="17" t="n"/>
      <c r="K75" s="22" t="n"/>
      <c r="L75" s="44">
        <f>IF(J75="نعم",0,N(I75))</f>
        <v/>
      </c>
      <c r="M75" s="40" t="n"/>
    </row>
    <row r="76">
      <c r="A76" s="29">
        <f>IF(B76="","",COUNTA($B$6:B76))</f>
        <v/>
      </c>
      <c r="B76" s="17" t="n"/>
      <c r="C76" s="21" t="n"/>
      <c r="D76" s="22" t="n"/>
      <c r="E76" s="17" t="n"/>
      <c r="F76" s="43">
        <f>IF(E76="","",IFERROR(INDEX('جدول الكميات'!$D$6:$D$105,MATCH(E76,'جدول الكميات'!$B$6:$B$105,0)),"⚠ كود غير موجود"))</f>
        <v/>
      </c>
      <c r="G76" s="30" t="n"/>
      <c r="H76" s="17" t="n"/>
      <c r="I76" s="38" t="n"/>
      <c r="J76" s="17" t="n"/>
      <c r="K76" s="22" t="n"/>
      <c r="L76" s="44">
        <f>IF(J76="نعم",0,N(I76))</f>
        <v/>
      </c>
      <c r="M76" s="40" t="n"/>
    </row>
    <row r="77">
      <c r="A77" s="29">
        <f>IF(B77="","",COUNTA($B$6:B77))</f>
        <v/>
      </c>
      <c r="B77" s="17" t="n"/>
      <c r="C77" s="21" t="n"/>
      <c r="D77" s="22" t="n"/>
      <c r="E77" s="17" t="n"/>
      <c r="F77" s="43">
        <f>IF(E77="","",IFERROR(INDEX('جدول الكميات'!$D$6:$D$105,MATCH(E77,'جدول الكميات'!$B$6:$B$105,0)),"⚠ كود غير موجود"))</f>
        <v/>
      </c>
      <c r="G77" s="30" t="n"/>
      <c r="H77" s="17" t="n"/>
      <c r="I77" s="38" t="n"/>
      <c r="J77" s="17" t="n"/>
      <c r="K77" s="22" t="n"/>
      <c r="L77" s="44">
        <f>IF(J77="نعم",0,N(I77))</f>
        <v/>
      </c>
      <c r="M77" s="40" t="n"/>
    </row>
    <row r="78">
      <c r="A78" s="29">
        <f>IF(B78="","",COUNTA($B$6:B78))</f>
        <v/>
      </c>
      <c r="B78" s="17" t="n"/>
      <c r="C78" s="21" t="n"/>
      <c r="D78" s="22" t="n"/>
      <c r="E78" s="17" t="n"/>
      <c r="F78" s="43">
        <f>IF(E78="","",IFERROR(INDEX('جدول الكميات'!$D$6:$D$105,MATCH(E78,'جدول الكميات'!$B$6:$B$105,0)),"⚠ كود غير موجود"))</f>
        <v/>
      </c>
      <c r="G78" s="30" t="n"/>
      <c r="H78" s="17" t="n"/>
      <c r="I78" s="38" t="n"/>
      <c r="J78" s="17" t="n"/>
      <c r="K78" s="22" t="n"/>
      <c r="L78" s="44">
        <f>IF(J78="نعم",0,N(I78))</f>
        <v/>
      </c>
      <c r="M78" s="40" t="n"/>
    </row>
    <row r="79">
      <c r="A79" s="29">
        <f>IF(B79="","",COUNTA($B$6:B79))</f>
        <v/>
      </c>
      <c r="B79" s="17" t="n"/>
      <c r="C79" s="21" t="n"/>
      <c r="D79" s="22" t="n"/>
      <c r="E79" s="17" t="n"/>
      <c r="F79" s="43">
        <f>IF(E79="","",IFERROR(INDEX('جدول الكميات'!$D$6:$D$105,MATCH(E79,'جدول الكميات'!$B$6:$B$105,0)),"⚠ كود غير موجود"))</f>
        <v/>
      </c>
      <c r="G79" s="30" t="n"/>
      <c r="H79" s="17" t="n"/>
      <c r="I79" s="38" t="n"/>
      <c r="J79" s="17" t="n"/>
      <c r="K79" s="22" t="n"/>
      <c r="L79" s="44">
        <f>IF(J79="نعم",0,N(I79))</f>
        <v/>
      </c>
      <c r="M79" s="40" t="n"/>
    </row>
    <row r="80">
      <c r="A80" s="29">
        <f>IF(B80="","",COUNTA($B$6:B80))</f>
        <v/>
      </c>
      <c r="B80" s="17" t="n"/>
      <c r="C80" s="21" t="n"/>
      <c r="D80" s="22" t="n"/>
      <c r="E80" s="17" t="n"/>
      <c r="F80" s="43">
        <f>IF(E80="","",IFERROR(INDEX('جدول الكميات'!$D$6:$D$105,MATCH(E80,'جدول الكميات'!$B$6:$B$105,0)),"⚠ كود غير موجود"))</f>
        <v/>
      </c>
      <c r="G80" s="30" t="n"/>
      <c r="H80" s="17" t="n"/>
      <c r="I80" s="38" t="n"/>
      <c r="J80" s="17" t="n"/>
      <c r="K80" s="22" t="n"/>
      <c r="L80" s="44">
        <f>IF(J80="نعم",0,N(I80))</f>
        <v/>
      </c>
      <c r="M80" s="40" t="n"/>
    </row>
    <row r="81">
      <c r="A81" s="29">
        <f>IF(B81="","",COUNTA($B$6:B81))</f>
        <v/>
      </c>
      <c r="B81" s="17" t="n"/>
      <c r="C81" s="21" t="n"/>
      <c r="D81" s="22" t="n"/>
      <c r="E81" s="17" t="n"/>
      <c r="F81" s="43">
        <f>IF(E81="","",IFERROR(INDEX('جدول الكميات'!$D$6:$D$105,MATCH(E81,'جدول الكميات'!$B$6:$B$105,0)),"⚠ كود غير موجود"))</f>
        <v/>
      </c>
      <c r="G81" s="30" t="n"/>
      <c r="H81" s="17" t="n"/>
      <c r="I81" s="38" t="n"/>
      <c r="J81" s="17" t="n"/>
      <c r="K81" s="22" t="n"/>
      <c r="L81" s="44">
        <f>IF(J81="نعم",0,N(I81))</f>
        <v/>
      </c>
      <c r="M81" s="40" t="n"/>
    </row>
    <row r="82">
      <c r="A82" s="29">
        <f>IF(B82="","",COUNTA($B$6:B82))</f>
        <v/>
      </c>
      <c r="B82" s="17" t="n"/>
      <c r="C82" s="21" t="n"/>
      <c r="D82" s="22" t="n"/>
      <c r="E82" s="17" t="n"/>
      <c r="F82" s="43">
        <f>IF(E82="","",IFERROR(INDEX('جدول الكميات'!$D$6:$D$105,MATCH(E82,'جدول الكميات'!$B$6:$B$105,0)),"⚠ كود غير موجود"))</f>
        <v/>
      </c>
      <c r="G82" s="30" t="n"/>
      <c r="H82" s="17" t="n"/>
      <c r="I82" s="38" t="n"/>
      <c r="J82" s="17" t="n"/>
      <c r="K82" s="22" t="n"/>
      <c r="L82" s="44">
        <f>IF(J82="نعم",0,N(I82))</f>
        <v/>
      </c>
      <c r="M82" s="40" t="n"/>
    </row>
    <row r="83">
      <c r="A83" s="29">
        <f>IF(B83="","",COUNTA($B$6:B83))</f>
        <v/>
      </c>
      <c r="B83" s="17" t="n"/>
      <c r="C83" s="21" t="n"/>
      <c r="D83" s="22" t="n"/>
      <c r="E83" s="17" t="n"/>
      <c r="F83" s="43">
        <f>IF(E83="","",IFERROR(INDEX('جدول الكميات'!$D$6:$D$105,MATCH(E83,'جدول الكميات'!$B$6:$B$105,0)),"⚠ كود غير موجود"))</f>
        <v/>
      </c>
      <c r="G83" s="30" t="n"/>
      <c r="H83" s="17" t="n"/>
      <c r="I83" s="38" t="n"/>
      <c r="J83" s="17" t="n"/>
      <c r="K83" s="22" t="n"/>
      <c r="L83" s="44">
        <f>IF(J83="نعم",0,N(I83))</f>
        <v/>
      </c>
      <c r="M83" s="40" t="n"/>
    </row>
    <row r="84">
      <c r="A84" s="29">
        <f>IF(B84="","",COUNTA($B$6:B84))</f>
        <v/>
      </c>
      <c r="B84" s="17" t="n"/>
      <c r="C84" s="21" t="n"/>
      <c r="D84" s="22" t="n"/>
      <c r="E84" s="17" t="n"/>
      <c r="F84" s="43">
        <f>IF(E84="","",IFERROR(INDEX('جدول الكميات'!$D$6:$D$105,MATCH(E84,'جدول الكميات'!$B$6:$B$105,0)),"⚠ كود غير موجود"))</f>
        <v/>
      </c>
      <c r="G84" s="30" t="n"/>
      <c r="H84" s="17" t="n"/>
      <c r="I84" s="38" t="n"/>
      <c r="J84" s="17" t="n"/>
      <c r="K84" s="22" t="n"/>
      <c r="L84" s="44">
        <f>IF(J84="نعم",0,N(I84))</f>
        <v/>
      </c>
      <c r="M84" s="40" t="n"/>
    </row>
    <row r="85">
      <c r="A85" s="29">
        <f>IF(B85="","",COUNTA($B$6:B85))</f>
        <v/>
      </c>
      <c r="B85" s="17" t="n"/>
      <c r="C85" s="21" t="n"/>
      <c r="D85" s="22" t="n"/>
      <c r="E85" s="17" t="n"/>
      <c r="F85" s="43">
        <f>IF(E85="","",IFERROR(INDEX('جدول الكميات'!$D$6:$D$105,MATCH(E85,'جدول الكميات'!$B$6:$B$105,0)),"⚠ كود غير موجود"))</f>
        <v/>
      </c>
      <c r="G85" s="30" t="n"/>
      <c r="H85" s="17" t="n"/>
      <c r="I85" s="38" t="n"/>
      <c r="J85" s="17" t="n"/>
      <c r="K85" s="22" t="n"/>
      <c r="L85" s="44">
        <f>IF(J85="نعم",0,N(I85))</f>
        <v/>
      </c>
      <c r="M85" s="40" t="n"/>
    </row>
    <row r="86">
      <c r="A86" s="29">
        <f>IF(B86="","",COUNTA($B$6:B86))</f>
        <v/>
      </c>
      <c r="B86" s="17" t="n"/>
      <c r="C86" s="21" t="n"/>
      <c r="D86" s="22" t="n"/>
      <c r="E86" s="17" t="n"/>
      <c r="F86" s="43">
        <f>IF(E86="","",IFERROR(INDEX('جدول الكميات'!$D$6:$D$105,MATCH(E86,'جدول الكميات'!$B$6:$B$105,0)),"⚠ كود غير موجود"))</f>
        <v/>
      </c>
      <c r="G86" s="30" t="n"/>
      <c r="H86" s="17" t="n"/>
      <c r="I86" s="38" t="n"/>
      <c r="J86" s="17" t="n"/>
      <c r="K86" s="22" t="n"/>
      <c r="L86" s="44">
        <f>IF(J86="نعم",0,N(I86))</f>
        <v/>
      </c>
      <c r="M86" s="40" t="n"/>
    </row>
    <row r="87">
      <c r="A87" s="29">
        <f>IF(B87="","",COUNTA($B$6:B87))</f>
        <v/>
      </c>
      <c r="B87" s="17" t="n"/>
      <c r="C87" s="21" t="n"/>
      <c r="D87" s="22" t="n"/>
      <c r="E87" s="17" t="n"/>
      <c r="F87" s="43">
        <f>IF(E87="","",IFERROR(INDEX('جدول الكميات'!$D$6:$D$105,MATCH(E87,'جدول الكميات'!$B$6:$B$105,0)),"⚠ كود غير موجود"))</f>
        <v/>
      </c>
      <c r="G87" s="30" t="n"/>
      <c r="H87" s="17" t="n"/>
      <c r="I87" s="38" t="n"/>
      <c r="J87" s="17" t="n"/>
      <c r="K87" s="22" t="n"/>
      <c r="L87" s="44">
        <f>IF(J87="نعم",0,N(I87))</f>
        <v/>
      </c>
      <c r="M87" s="40" t="n"/>
    </row>
    <row r="88">
      <c r="A88" s="29">
        <f>IF(B88="","",COUNTA($B$6:B88))</f>
        <v/>
      </c>
      <c r="B88" s="17" t="n"/>
      <c r="C88" s="21" t="n"/>
      <c r="D88" s="22" t="n"/>
      <c r="E88" s="17" t="n"/>
      <c r="F88" s="43">
        <f>IF(E88="","",IFERROR(INDEX('جدول الكميات'!$D$6:$D$105,MATCH(E88,'جدول الكميات'!$B$6:$B$105,0)),"⚠ كود غير موجود"))</f>
        <v/>
      </c>
      <c r="G88" s="30" t="n"/>
      <c r="H88" s="17" t="n"/>
      <c r="I88" s="38" t="n"/>
      <c r="J88" s="17" t="n"/>
      <c r="K88" s="22" t="n"/>
      <c r="L88" s="44">
        <f>IF(J88="نعم",0,N(I88))</f>
        <v/>
      </c>
      <c r="M88" s="40" t="n"/>
    </row>
    <row r="89">
      <c r="A89" s="29">
        <f>IF(B89="","",COUNTA($B$6:B89))</f>
        <v/>
      </c>
      <c r="B89" s="17" t="n"/>
      <c r="C89" s="21" t="n"/>
      <c r="D89" s="22" t="n"/>
      <c r="E89" s="17" t="n"/>
      <c r="F89" s="43">
        <f>IF(E89="","",IFERROR(INDEX('جدول الكميات'!$D$6:$D$105,MATCH(E89,'جدول الكميات'!$B$6:$B$105,0)),"⚠ كود غير موجود"))</f>
        <v/>
      </c>
      <c r="G89" s="30" t="n"/>
      <c r="H89" s="17" t="n"/>
      <c r="I89" s="38" t="n"/>
      <c r="J89" s="17" t="n"/>
      <c r="K89" s="22" t="n"/>
      <c r="L89" s="44">
        <f>IF(J89="نعم",0,N(I89))</f>
        <v/>
      </c>
      <c r="M89" s="40" t="n"/>
    </row>
    <row r="90">
      <c r="A90" s="29">
        <f>IF(B90="","",COUNTA($B$6:B90))</f>
        <v/>
      </c>
      <c r="B90" s="17" t="n"/>
      <c r="C90" s="21" t="n"/>
      <c r="D90" s="22" t="n"/>
      <c r="E90" s="17" t="n"/>
      <c r="F90" s="43">
        <f>IF(E90="","",IFERROR(INDEX('جدول الكميات'!$D$6:$D$105,MATCH(E90,'جدول الكميات'!$B$6:$B$105,0)),"⚠ كود غير موجود"))</f>
        <v/>
      </c>
      <c r="G90" s="30" t="n"/>
      <c r="H90" s="17" t="n"/>
      <c r="I90" s="38" t="n"/>
      <c r="J90" s="17" t="n"/>
      <c r="K90" s="22" t="n"/>
      <c r="L90" s="44">
        <f>IF(J90="نعم",0,N(I90))</f>
        <v/>
      </c>
      <c r="M90" s="40" t="n"/>
    </row>
    <row r="91">
      <c r="A91" s="29">
        <f>IF(B91="","",COUNTA($B$6:B91))</f>
        <v/>
      </c>
      <c r="B91" s="17" t="n"/>
      <c r="C91" s="21" t="n"/>
      <c r="D91" s="22" t="n"/>
      <c r="E91" s="17" t="n"/>
      <c r="F91" s="43">
        <f>IF(E91="","",IFERROR(INDEX('جدول الكميات'!$D$6:$D$105,MATCH(E91,'جدول الكميات'!$B$6:$B$105,0)),"⚠ كود غير موجود"))</f>
        <v/>
      </c>
      <c r="G91" s="30" t="n"/>
      <c r="H91" s="17" t="n"/>
      <c r="I91" s="38" t="n"/>
      <c r="J91" s="17" t="n"/>
      <c r="K91" s="22" t="n"/>
      <c r="L91" s="44">
        <f>IF(J91="نعم",0,N(I91))</f>
        <v/>
      </c>
      <c r="M91" s="40" t="n"/>
    </row>
    <row r="92">
      <c r="A92" s="29">
        <f>IF(B92="","",COUNTA($B$6:B92))</f>
        <v/>
      </c>
      <c r="B92" s="17" t="n"/>
      <c r="C92" s="21" t="n"/>
      <c r="D92" s="22" t="n"/>
      <c r="E92" s="17" t="n"/>
      <c r="F92" s="43">
        <f>IF(E92="","",IFERROR(INDEX('جدول الكميات'!$D$6:$D$105,MATCH(E92,'جدول الكميات'!$B$6:$B$105,0)),"⚠ كود غير موجود"))</f>
        <v/>
      </c>
      <c r="G92" s="30" t="n"/>
      <c r="H92" s="17" t="n"/>
      <c r="I92" s="38" t="n"/>
      <c r="J92" s="17" t="n"/>
      <c r="K92" s="22" t="n"/>
      <c r="L92" s="44">
        <f>IF(J92="نعم",0,N(I92))</f>
        <v/>
      </c>
      <c r="M92" s="40" t="n"/>
    </row>
    <row r="93">
      <c r="A93" s="29">
        <f>IF(B93="","",COUNTA($B$6:B93))</f>
        <v/>
      </c>
      <c r="B93" s="17" t="n"/>
      <c r="C93" s="21" t="n"/>
      <c r="D93" s="22" t="n"/>
      <c r="E93" s="17" t="n"/>
      <c r="F93" s="43">
        <f>IF(E93="","",IFERROR(INDEX('جدول الكميات'!$D$6:$D$105,MATCH(E93,'جدول الكميات'!$B$6:$B$105,0)),"⚠ كود غير موجود"))</f>
        <v/>
      </c>
      <c r="G93" s="30" t="n"/>
      <c r="H93" s="17" t="n"/>
      <c r="I93" s="38" t="n"/>
      <c r="J93" s="17" t="n"/>
      <c r="K93" s="22" t="n"/>
      <c r="L93" s="44">
        <f>IF(J93="نعم",0,N(I93))</f>
        <v/>
      </c>
      <c r="M93" s="40" t="n"/>
    </row>
    <row r="94">
      <c r="A94" s="29">
        <f>IF(B94="","",COUNTA($B$6:B94))</f>
        <v/>
      </c>
      <c r="B94" s="17" t="n"/>
      <c r="C94" s="21" t="n"/>
      <c r="D94" s="22" t="n"/>
      <c r="E94" s="17" t="n"/>
      <c r="F94" s="43">
        <f>IF(E94="","",IFERROR(INDEX('جدول الكميات'!$D$6:$D$105,MATCH(E94,'جدول الكميات'!$B$6:$B$105,0)),"⚠ كود غير موجود"))</f>
        <v/>
      </c>
      <c r="G94" s="30" t="n"/>
      <c r="H94" s="17" t="n"/>
      <c r="I94" s="38" t="n"/>
      <c r="J94" s="17" t="n"/>
      <c r="K94" s="22" t="n"/>
      <c r="L94" s="44">
        <f>IF(J94="نعم",0,N(I94))</f>
        <v/>
      </c>
      <c r="M94" s="40" t="n"/>
    </row>
    <row r="95">
      <c r="A95" s="29">
        <f>IF(B95="","",COUNTA($B$6:B95))</f>
        <v/>
      </c>
      <c r="B95" s="17" t="n"/>
      <c r="C95" s="21" t="n"/>
      <c r="D95" s="22" t="n"/>
      <c r="E95" s="17" t="n"/>
      <c r="F95" s="43">
        <f>IF(E95="","",IFERROR(INDEX('جدول الكميات'!$D$6:$D$105,MATCH(E95,'جدول الكميات'!$B$6:$B$105,0)),"⚠ كود غير موجود"))</f>
        <v/>
      </c>
      <c r="G95" s="30" t="n"/>
      <c r="H95" s="17" t="n"/>
      <c r="I95" s="38" t="n"/>
      <c r="J95" s="17" t="n"/>
      <c r="K95" s="22" t="n"/>
      <c r="L95" s="44">
        <f>IF(J95="نعم",0,N(I95))</f>
        <v/>
      </c>
      <c r="M95" s="40" t="n"/>
    </row>
    <row r="96">
      <c r="A96" s="29">
        <f>IF(B96="","",COUNTA($B$6:B96))</f>
        <v/>
      </c>
      <c r="B96" s="17" t="n"/>
      <c r="C96" s="21" t="n"/>
      <c r="D96" s="22" t="n"/>
      <c r="E96" s="17" t="n"/>
      <c r="F96" s="43">
        <f>IF(E96="","",IFERROR(INDEX('جدول الكميات'!$D$6:$D$105,MATCH(E96,'جدول الكميات'!$B$6:$B$105,0)),"⚠ كود غير موجود"))</f>
        <v/>
      </c>
      <c r="G96" s="30" t="n"/>
      <c r="H96" s="17" t="n"/>
      <c r="I96" s="38" t="n"/>
      <c r="J96" s="17" t="n"/>
      <c r="K96" s="22" t="n"/>
      <c r="L96" s="44">
        <f>IF(J96="نعم",0,N(I96))</f>
        <v/>
      </c>
      <c r="M96" s="40" t="n"/>
    </row>
    <row r="97">
      <c r="A97" s="29">
        <f>IF(B97="","",COUNTA($B$6:B97))</f>
        <v/>
      </c>
      <c r="B97" s="17" t="n"/>
      <c r="C97" s="21" t="n"/>
      <c r="D97" s="22" t="n"/>
      <c r="E97" s="17" t="n"/>
      <c r="F97" s="43">
        <f>IF(E97="","",IFERROR(INDEX('جدول الكميات'!$D$6:$D$105,MATCH(E97,'جدول الكميات'!$B$6:$B$105,0)),"⚠ كود غير موجود"))</f>
        <v/>
      </c>
      <c r="G97" s="30" t="n"/>
      <c r="H97" s="17" t="n"/>
      <c r="I97" s="38" t="n"/>
      <c r="J97" s="17" t="n"/>
      <c r="K97" s="22" t="n"/>
      <c r="L97" s="44">
        <f>IF(J97="نعم",0,N(I97))</f>
        <v/>
      </c>
      <c r="M97" s="40" t="n"/>
    </row>
    <row r="98">
      <c r="A98" s="29">
        <f>IF(B98="","",COUNTA($B$6:B98))</f>
        <v/>
      </c>
      <c r="B98" s="17" t="n"/>
      <c r="C98" s="21" t="n"/>
      <c r="D98" s="22" t="n"/>
      <c r="E98" s="17" t="n"/>
      <c r="F98" s="43">
        <f>IF(E98="","",IFERROR(INDEX('جدول الكميات'!$D$6:$D$105,MATCH(E98,'جدول الكميات'!$B$6:$B$105,0)),"⚠ كود غير موجود"))</f>
        <v/>
      </c>
      <c r="G98" s="30" t="n"/>
      <c r="H98" s="17" t="n"/>
      <c r="I98" s="38" t="n"/>
      <c r="J98" s="17" t="n"/>
      <c r="K98" s="22" t="n"/>
      <c r="L98" s="44">
        <f>IF(J98="نعم",0,N(I98))</f>
        <v/>
      </c>
      <c r="M98" s="40" t="n"/>
    </row>
    <row r="99">
      <c r="A99" s="29">
        <f>IF(B99="","",COUNTA($B$6:B99))</f>
        <v/>
      </c>
      <c r="B99" s="17" t="n"/>
      <c r="C99" s="21" t="n"/>
      <c r="D99" s="22" t="n"/>
      <c r="E99" s="17" t="n"/>
      <c r="F99" s="43">
        <f>IF(E99="","",IFERROR(INDEX('جدول الكميات'!$D$6:$D$105,MATCH(E99,'جدول الكميات'!$B$6:$B$105,0)),"⚠ كود غير موجود"))</f>
        <v/>
      </c>
      <c r="G99" s="30" t="n"/>
      <c r="H99" s="17" t="n"/>
      <c r="I99" s="38" t="n"/>
      <c r="J99" s="17" t="n"/>
      <c r="K99" s="22" t="n"/>
      <c r="L99" s="44">
        <f>IF(J99="نعم",0,N(I99))</f>
        <v/>
      </c>
      <c r="M99" s="40" t="n"/>
    </row>
    <row r="100">
      <c r="A100" s="29">
        <f>IF(B100="","",COUNTA($B$6:B100))</f>
        <v/>
      </c>
      <c r="B100" s="17" t="n"/>
      <c r="C100" s="21" t="n"/>
      <c r="D100" s="22" t="n"/>
      <c r="E100" s="17" t="n"/>
      <c r="F100" s="43">
        <f>IF(E100="","",IFERROR(INDEX('جدول الكميات'!$D$6:$D$105,MATCH(E100,'جدول الكميات'!$B$6:$B$105,0)),"⚠ كود غير موجود"))</f>
        <v/>
      </c>
      <c r="G100" s="30" t="n"/>
      <c r="H100" s="17" t="n"/>
      <c r="I100" s="38" t="n"/>
      <c r="J100" s="17" t="n"/>
      <c r="K100" s="22" t="n"/>
      <c r="L100" s="44">
        <f>IF(J100="نعم",0,N(I100))</f>
        <v/>
      </c>
      <c r="M100" s="40" t="n"/>
    </row>
    <row r="101">
      <c r="A101" s="29">
        <f>IF(B101="","",COUNTA($B$6:B101))</f>
        <v/>
      </c>
      <c r="B101" s="17" t="n"/>
      <c r="C101" s="21" t="n"/>
      <c r="D101" s="22" t="n"/>
      <c r="E101" s="17" t="n"/>
      <c r="F101" s="43">
        <f>IF(E101="","",IFERROR(INDEX('جدول الكميات'!$D$6:$D$105,MATCH(E101,'جدول الكميات'!$B$6:$B$105,0)),"⚠ كود غير موجود"))</f>
        <v/>
      </c>
      <c r="G101" s="30" t="n"/>
      <c r="H101" s="17" t="n"/>
      <c r="I101" s="38" t="n"/>
      <c r="J101" s="17" t="n"/>
      <c r="K101" s="22" t="n"/>
      <c r="L101" s="44">
        <f>IF(J101="نعم",0,N(I101))</f>
        <v/>
      </c>
      <c r="M101" s="40" t="n"/>
    </row>
    <row r="102">
      <c r="A102" s="29">
        <f>IF(B102="","",COUNTA($B$6:B102))</f>
        <v/>
      </c>
      <c r="B102" s="17" t="n"/>
      <c r="C102" s="21" t="n"/>
      <c r="D102" s="22" t="n"/>
      <c r="E102" s="17" t="n"/>
      <c r="F102" s="43">
        <f>IF(E102="","",IFERROR(INDEX('جدول الكميات'!$D$6:$D$105,MATCH(E102,'جدول الكميات'!$B$6:$B$105,0)),"⚠ كود غير موجود"))</f>
        <v/>
      </c>
      <c r="G102" s="30" t="n"/>
      <c r="H102" s="17" t="n"/>
      <c r="I102" s="38" t="n"/>
      <c r="J102" s="17" t="n"/>
      <c r="K102" s="22" t="n"/>
      <c r="L102" s="44">
        <f>IF(J102="نعم",0,N(I102))</f>
        <v/>
      </c>
      <c r="M102" s="40" t="n"/>
    </row>
    <row r="103">
      <c r="A103" s="29">
        <f>IF(B103="","",COUNTA($B$6:B103))</f>
        <v/>
      </c>
      <c r="B103" s="17" t="n"/>
      <c r="C103" s="21" t="n"/>
      <c r="D103" s="22" t="n"/>
      <c r="E103" s="17" t="n"/>
      <c r="F103" s="43">
        <f>IF(E103="","",IFERROR(INDEX('جدول الكميات'!$D$6:$D$105,MATCH(E103,'جدول الكميات'!$B$6:$B$105,0)),"⚠ كود غير موجود"))</f>
        <v/>
      </c>
      <c r="G103" s="30" t="n"/>
      <c r="H103" s="17" t="n"/>
      <c r="I103" s="38" t="n"/>
      <c r="J103" s="17" t="n"/>
      <c r="K103" s="22" t="n"/>
      <c r="L103" s="44">
        <f>IF(J103="نعم",0,N(I103))</f>
        <v/>
      </c>
      <c r="M103" s="40" t="n"/>
    </row>
    <row r="104">
      <c r="A104" s="29">
        <f>IF(B104="","",COUNTA($B$6:B104))</f>
        <v/>
      </c>
      <c r="B104" s="17" t="n"/>
      <c r="C104" s="21" t="n"/>
      <c r="D104" s="22" t="n"/>
      <c r="E104" s="17" t="n"/>
      <c r="F104" s="43">
        <f>IF(E104="","",IFERROR(INDEX('جدول الكميات'!$D$6:$D$105,MATCH(E104,'جدول الكميات'!$B$6:$B$105,0)),"⚠ كود غير موجود"))</f>
        <v/>
      </c>
      <c r="G104" s="30" t="n"/>
      <c r="H104" s="17" t="n"/>
      <c r="I104" s="38" t="n"/>
      <c r="J104" s="17" t="n"/>
      <c r="K104" s="22" t="n"/>
      <c r="L104" s="44">
        <f>IF(J104="نعم",0,N(I104))</f>
        <v/>
      </c>
      <c r="M104" s="40" t="n"/>
    </row>
    <row r="105">
      <c r="A105" s="29">
        <f>IF(B105="","",COUNTA($B$6:B105))</f>
        <v/>
      </c>
      <c r="B105" s="17" t="n"/>
      <c r="C105" s="21" t="n"/>
      <c r="D105" s="22" t="n"/>
      <c r="E105" s="17" t="n"/>
      <c r="F105" s="43">
        <f>IF(E105="","",IFERROR(INDEX('جدول الكميات'!$D$6:$D$105,MATCH(E105,'جدول الكميات'!$B$6:$B$105,0)),"⚠ كود غير موجود"))</f>
        <v/>
      </c>
      <c r="G105" s="30" t="n"/>
      <c r="H105" s="17" t="n"/>
      <c r="I105" s="38" t="n"/>
      <c r="J105" s="17" t="n"/>
      <c r="K105" s="22" t="n"/>
      <c r="L105" s="44">
        <f>IF(J105="نعم",0,N(I105))</f>
        <v/>
      </c>
      <c r="M105" s="40" t="n"/>
    </row>
    <row r="106">
      <c r="A106" s="34" t="inlineStr">
        <is>
          <t>الإجمالي</t>
        </is>
      </c>
      <c r="B106" s="34" t="n"/>
      <c r="C106" s="34" t="n"/>
      <c r="D106" s="34" t="n"/>
      <c r="E106" s="34" t="n"/>
      <c r="F106" s="34" t="n"/>
      <c r="G106" s="34" t="n"/>
      <c r="H106" s="34" t="n"/>
      <c r="I106" s="41">
        <f>SUM(I6:I105)</f>
        <v/>
      </c>
      <c r="J106" s="45">
        <f>I106-L106</f>
        <v/>
      </c>
      <c r="K106" s="45" t="n"/>
      <c r="L106" s="41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1">
      <formula>$J6="نعم"</formula>
    </cfRule>
    <cfRule type="expression" priority="2" dxfId="4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G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3" customWidth="1" min="32" max="32"/>
    <col width="8" customWidth="1" min="33" max="33"/>
  </cols>
  <sheetData>
    <row r="1" ht="38" customHeight="1">
      <c r="A1" s="1" t="inlineStr">
        <is>
          <t>🗂 سجل المستخلصات — مشروع رقم 07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4" t="inlineStr">
        <is>
          <t>⚙ بيانات العقد</t>
        </is>
      </c>
      <c r="D3" s="14" t="inlineStr">
        <is>
          <t>📋 جدول الكميات</t>
        </is>
      </c>
      <c r="F3" s="14" t="inlineStr">
        <is>
          <t>🔁 التغييرية</t>
        </is>
      </c>
      <c r="H3" s="14" t="inlineStr">
        <is>
          <t>✂ الاستقطاعات</t>
        </is>
      </c>
      <c r="J3" s="4" t="inlineStr">
        <is>
          <t>🧾 مستخلص 01</t>
        </is>
      </c>
      <c r="AF3" s="46" t="inlineStr">
        <is>
          <t>آخر مستخلص:</t>
        </is>
      </c>
      <c r="AG3" s="47">
        <f>SUMPRODUCT(MAX((C6:C25&lt;&gt;"")*A6:A25))</f>
        <v/>
      </c>
    </row>
    <row r="4">
      <c r="A4" s="48" t="inlineStr">
        <is>
          <t>بيانات المستخلص</t>
        </is>
      </c>
      <c r="B4" s="48" t="n"/>
      <c r="C4" s="48" t="n"/>
      <c r="D4" s="48" t="n"/>
      <c r="E4" s="48" t="n"/>
      <c r="F4" s="48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49" t="inlineStr">
        <is>
          <t>الاستقطاعات (تراكمي)</t>
        </is>
      </c>
      <c r="P4" s="49" t="n"/>
      <c r="Q4" s="49" t="n"/>
      <c r="R4" s="49" t="n"/>
      <c r="S4" s="49" t="n"/>
      <c r="T4" s="49" t="n"/>
      <c r="U4" s="50" t="inlineStr">
        <is>
          <t>صافي المستحق والضرائب</t>
        </is>
      </c>
      <c r="V4" s="50" t="n"/>
      <c r="W4" s="50" t="n"/>
      <c r="X4" s="50" t="n"/>
      <c r="Y4" s="50" t="n"/>
      <c r="Z4" s="50" t="n"/>
      <c r="AA4" s="51" t="inlineStr">
        <is>
          <t>التحصيل</t>
        </is>
      </c>
      <c r="AB4" s="51" t="n"/>
      <c r="AC4" s="51" t="n"/>
      <c r="AD4" s="51" t="n"/>
      <c r="AE4" s="51" t="n"/>
    </row>
    <row r="5" ht="58" customHeight="1">
      <c r="A5" s="15" t="inlineStr">
        <is>
          <t>رقم المستخلص</t>
        </is>
      </c>
      <c r="B5" s="15" t="inlineStr">
        <is>
          <t>الفترة من</t>
        </is>
      </c>
      <c r="C5" s="15" t="inlineStr">
        <is>
          <t>الفترة إلى</t>
        </is>
      </c>
      <c r="D5" s="15" t="inlineStr">
        <is>
          <t>تاريخ التقديم</t>
        </is>
      </c>
      <c r="E5" s="15" t="inlineStr">
        <is>
          <t>تاريخ الاعتماد</t>
        </is>
      </c>
      <c r="F5" s="15" t="inlineStr">
        <is>
          <t>حالة المستخلص</t>
        </is>
      </c>
      <c r="G5" s="15" t="inlineStr">
        <is>
          <t>قيمة الأعمال المنفذة التراكمية</t>
        </is>
      </c>
      <c r="H5" s="15" t="inlineStr">
        <is>
          <t>أعمال الفترة</t>
        </is>
      </c>
      <c r="I5" s="15" t="inlineStr">
        <is>
          <t>الأوامر التغييرية التراكمية</t>
        </is>
      </c>
      <c r="J5" s="15" t="inlineStr">
        <is>
          <t>رصيد المواد بالموقع</t>
        </is>
      </c>
      <c r="K5" s="15" t="inlineStr">
        <is>
          <t>إجمالي القيمة التراكمية</t>
        </is>
      </c>
      <c r="L5" s="15" t="inlineStr">
        <is>
          <t>نسبة الإنجاز الفعلية</t>
        </is>
      </c>
      <c r="M5" s="15" t="inlineStr">
        <is>
          <t>نسبة الإنجاز المخططة</t>
        </is>
      </c>
      <c r="N5" s="15" t="inlineStr">
        <is>
          <t>الانحراف عن المخطط</t>
        </is>
      </c>
      <c r="O5" s="15" t="inlineStr">
        <is>
          <t>استرداد الدفعة المقدمة التراكمي</t>
        </is>
      </c>
      <c r="P5" s="15" t="inlineStr">
        <is>
          <t>ضمان الأعمال المحتسب</t>
        </is>
      </c>
      <c r="Q5" s="15" t="inlineStr">
        <is>
          <t>المفرج عنه من الضمان</t>
        </is>
      </c>
      <c r="R5" s="15" t="inlineStr">
        <is>
          <t>صافي الضمان المحتجز</t>
        </is>
      </c>
      <c r="S5" s="15" t="inlineStr">
        <is>
          <t>الاستقطاعات الفنية المحتجزة</t>
        </is>
      </c>
      <c r="T5" s="15" t="inlineStr">
        <is>
          <t>الغرامات والخصومات التراكمية</t>
        </is>
      </c>
      <c r="U5" s="15" t="inlineStr">
        <is>
          <t>الصافي التراكمي قبل الضرائب</t>
        </is>
      </c>
      <c r="V5" s="15" t="inlineStr">
        <is>
          <t>ضريبة القيمة المضافة</t>
        </is>
      </c>
      <c r="W5" s="15" t="inlineStr">
        <is>
          <t>ضريبة الخصم من المنبع</t>
        </is>
      </c>
      <c r="X5" s="15" t="inlineStr">
        <is>
          <t>صافي المستحق التراكمي</t>
        </is>
      </c>
      <c r="Y5" s="15" t="inlineStr">
        <is>
          <t>المعتمد في المستخلصات السابقة</t>
        </is>
      </c>
      <c r="Z5" s="15" t="inlineStr">
        <is>
          <t>صافي المستحق للمستخلص الحالي</t>
        </is>
      </c>
      <c r="AA5" s="15" t="inlineStr">
        <is>
          <t>المبلغ المحصل</t>
        </is>
      </c>
      <c r="AB5" s="15" t="inlineStr">
        <is>
          <t>تاريخ التحصيل</t>
        </is>
      </c>
      <c r="AC5" s="15" t="inlineStr">
        <is>
          <t>المتبقي غير المحصل</t>
        </is>
      </c>
      <c r="AD5" s="15" t="inlineStr">
        <is>
          <t>مدة التحصيل (يوم)</t>
        </is>
      </c>
      <c r="AE5" s="15" t="inlineStr">
        <is>
          <t>حالة التحصيل</t>
        </is>
      </c>
    </row>
    <row r="6">
      <c r="A6" s="52" t="n">
        <v>1</v>
      </c>
      <c r="B6" s="53">
        <f>IF(OR('مستخلص 01'!$J$7="",'مستخلص 01'!$J$6=""),"",'مستخلص 01'!$J$6)</f>
        <v/>
      </c>
      <c r="C6" s="53">
        <f>IF('مستخلص 01'!$J$7="","",'مستخلص 01'!$J$7)</f>
        <v/>
      </c>
      <c r="D6" s="53">
        <f>IF(OR('مستخلص 01'!$J$7="",'مستخلص 01'!$J$8=""),"",'مستخلص 01'!$J$8)</f>
        <v/>
      </c>
      <c r="E6" s="53">
        <f>IF(OR('مستخلص 01'!$J$7="",'مستخلص 01'!$J$9=""),"",'مستخلص 01'!$J$9)</f>
        <v/>
      </c>
      <c r="F6" s="54">
        <f>IF(OR('مستخلص 01'!$J$7="",'مستخلص 01'!$J$5=""),"",'مستخلص 01'!$J$5)</f>
        <v/>
      </c>
      <c r="G6" s="39">
        <f>IF('مستخلص 01'!$J$7="","",'مستخلص 01'!$L$19)</f>
        <v/>
      </c>
      <c r="H6" s="39">
        <f>IF('مستخلص 01'!$J$7="","",'مستخلص 01'!$J$19)</f>
        <v/>
      </c>
      <c r="I6" s="39">
        <f>IF('مستخلص 01'!$J$7="","",'مستخلص 01'!$L$20)</f>
        <v/>
      </c>
      <c r="J6" s="39">
        <f>IF('مستخلص 01'!$J$7="","",'مستخلص 01'!$L$21)</f>
        <v/>
      </c>
      <c r="K6" s="39">
        <f>IF('مستخلص 01'!$J$7="","",'مستخلص 01'!$L$22)</f>
        <v/>
      </c>
      <c r="L6" s="55">
        <f>IF('مستخلص 01'!$J$7="","",'مستخلص 01'!$L$6)</f>
        <v/>
      </c>
      <c r="M6" s="55">
        <f>IF(OR('مستخلص 01'!$J$7="",'مستخلص 01'!$L$8=""),"",'مستخلص 01'!$L$8)</f>
        <v/>
      </c>
      <c r="N6" s="55">
        <f>IF(OR('مستخلص 01'!$J$7="",M6=""),"",L6-M6)</f>
        <v/>
      </c>
      <c r="O6" s="39">
        <f>IF('مستخلص 01'!$J$7="","",-'مستخلص 01'!$L$23)</f>
        <v/>
      </c>
      <c r="P6" s="39">
        <f>IF('مستخلص 01'!$J$7="","",-'مستخلص 01'!$L$24)</f>
        <v/>
      </c>
      <c r="Q6" s="39">
        <f>IF('مستخلص 01'!$J$7="","",'مستخلص 01'!$L$25)</f>
        <v/>
      </c>
      <c r="R6" s="39">
        <f>IF('مستخلص 01'!$J$7="","",P6-Q6)</f>
        <v/>
      </c>
      <c r="S6" s="39">
        <f>IF('مستخلص 01'!$J$7="","",-'مستخلص 01'!$L$26)</f>
        <v/>
      </c>
      <c r="T6" s="39">
        <f>IF('مستخلص 01'!$J$7="","",-'مستخلص 01'!$L$27)</f>
        <v/>
      </c>
      <c r="U6" s="39">
        <f>IF('مستخلص 01'!$J$7="","",'مستخلص 01'!$L$28)</f>
        <v/>
      </c>
      <c r="V6" s="39">
        <f>IF('مستخلص 01'!$J$7="","",'مستخلص 01'!$L$29)</f>
        <v/>
      </c>
      <c r="W6" s="39">
        <f>IF('مستخلص 01'!$J$7="","",-'مستخلص 01'!$L$30)</f>
        <v/>
      </c>
      <c r="X6" s="56">
        <f>IF('مستخلص 01'!$J$7="","",'مستخلص 01'!$L$31)</f>
        <v/>
      </c>
      <c r="Y6" s="39">
        <f>IF('مستخلص 01'!$J$7="","",'مستخلص 01'!$H$31)</f>
        <v/>
      </c>
      <c r="Z6" s="56">
        <f>IF('مستخلص 01'!$J$7="","",'مستخلص 01'!$J$31)</f>
        <v/>
      </c>
      <c r="AA6" s="39">
        <f>IF('مستخلص 01'!$J$7="","",N('مستخلص 01'!$E$15))</f>
        <v/>
      </c>
      <c r="AB6" s="53">
        <f>IF(OR('مستخلص 01'!$J$7="",'مستخلص 01'!$K$15=""),"",'مستخلص 01'!$K$15)</f>
        <v/>
      </c>
      <c r="AC6" s="39">
        <f>IF('مستخلص 01'!$J$7="","",Z6-AA6)</f>
        <v/>
      </c>
      <c r="AD6" s="57">
        <f>IF(OR(AB6="",E6=""),"",AB6-E6)</f>
        <v/>
      </c>
      <c r="AE6" s="54">
        <f>IF('مستخلص 01'!$J$7="","",IF(N(AA6)=0,IF(E6="","⏳ بانتظار الاعتماد","✖ غير محصل"),IF(AC6&lt;=1,"✔ محصل بالكامل","⚠ محصل جزئياً")))</f>
        <v/>
      </c>
    </row>
    <row r="7">
      <c r="A7" s="52" t="n">
        <v>2</v>
      </c>
      <c r="B7" s="53">
        <f>IF(OR('مستخلص 02'!$J$7="",'مستخلص 02'!$J$6=""),"",'مستخلص 02'!$J$6)</f>
        <v/>
      </c>
      <c r="C7" s="53">
        <f>IF('مستخلص 02'!$J$7="","",'مستخلص 02'!$J$7)</f>
        <v/>
      </c>
      <c r="D7" s="53">
        <f>IF(OR('مستخلص 02'!$J$7="",'مستخلص 02'!$J$8=""),"",'مستخلص 02'!$J$8)</f>
        <v/>
      </c>
      <c r="E7" s="53">
        <f>IF(OR('مستخلص 02'!$J$7="",'مستخلص 02'!$J$9=""),"",'مستخلص 02'!$J$9)</f>
        <v/>
      </c>
      <c r="F7" s="54">
        <f>IF(OR('مستخلص 02'!$J$7="",'مستخلص 02'!$J$5=""),"",'مستخلص 02'!$J$5)</f>
        <v/>
      </c>
      <c r="G7" s="39">
        <f>IF('مستخلص 02'!$J$7="","",'مستخلص 02'!$L$19)</f>
        <v/>
      </c>
      <c r="H7" s="39">
        <f>IF('مستخلص 02'!$J$7="","",'مستخلص 02'!$J$19)</f>
        <v/>
      </c>
      <c r="I7" s="39">
        <f>IF('مستخلص 02'!$J$7="","",'مستخلص 02'!$L$20)</f>
        <v/>
      </c>
      <c r="J7" s="39">
        <f>IF('مستخلص 02'!$J$7="","",'مستخلص 02'!$L$21)</f>
        <v/>
      </c>
      <c r="K7" s="39">
        <f>IF('مستخلص 02'!$J$7="","",'مستخلص 02'!$L$22)</f>
        <v/>
      </c>
      <c r="L7" s="55">
        <f>IF('مستخلص 02'!$J$7="","",'مستخلص 02'!$L$6)</f>
        <v/>
      </c>
      <c r="M7" s="55">
        <f>IF(OR('مستخلص 02'!$J$7="",'مستخلص 02'!$L$8=""),"",'مستخلص 02'!$L$8)</f>
        <v/>
      </c>
      <c r="N7" s="55">
        <f>IF(OR('مستخلص 02'!$J$7="",M7=""),"",L7-M7)</f>
        <v/>
      </c>
      <c r="O7" s="39">
        <f>IF('مستخلص 02'!$J$7="","",-'مستخلص 02'!$L$23)</f>
        <v/>
      </c>
      <c r="P7" s="39">
        <f>IF('مستخلص 02'!$J$7="","",-'مستخلص 02'!$L$24)</f>
        <v/>
      </c>
      <c r="Q7" s="39">
        <f>IF('مستخلص 02'!$J$7="","",'مستخلص 02'!$L$25)</f>
        <v/>
      </c>
      <c r="R7" s="39">
        <f>IF('مستخلص 02'!$J$7="","",P7-Q7)</f>
        <v/>
      </c>
      <c r="S7" s="39">
        <f>IF('مستخلص 02'!$J$7="","",-'مستخلص 02'!$L$26)</f>
        <v/>
      </c>
      <c r="T7" s="39">
        <f>IF('مستخلص 02'!$J$7="","",-'مستخلص 02'!$L$27)</f>
        <v/>
      </c>
      <c r="U7" s="39">
        <f>IF('مستخلص 02'!$J$7="","",'مستخلص 02'!$L$28)</f>
        <v/>
      </c>
      <c r="V7" s="39">
        <f>IF('مستخلص 02'!$J$7="","",'مستخلص 02'!$L$29)</f>
        <v/>
      </c>
      <c r="W7" s="39">
        <f>IF('مستخلص 02'!$J$7="","",-'مستخلص 02'!$L$30)</f>
        <v/>
      </c>
      <c r="X7" s="56">
        <f>IF('مستخلص 02'!$J$7="","",'مستخلص 02'!$L$31)</f>
        <v/>
      </c>
      <c r="Y7" s="39">
        <f>IF('مستخلص 02'!$J$7="","",'مستخلص 02'!$H$31)</f>
        <v/>
      </c>
      <c r="Z7" s="56">
        <f>IF('مستخلص 02'!$J$7="","",'مستخلص 02'!$J$31)</f>
        <v/>
      </c>
      <c r="AA7" s="39">
        <f>IF('مستخلص 02'!$J$7="","",N('مستخلص 02'!$E$15))</f>
        <v/>
      </c>
      <c r="AB7" s="53">
        <f>IF(OR('مستخلص 02'!$J$7="",'مستخلص 02'!$K$15=""),"",'مستخلص 02'!$K$15)</f>
        <v/>
      </c>
      <c r="AC7" s="39">
        <f>IF('مستخلص 02'!$J$7="","",Z7-AA7)</f>
        <v/>
      </c>
      <c r="AD7" s="57">
        <f>IF(OR(AB7="",E7=""),"",AB7-E7)</f>
        <v/>
      </c>
      <c r="AE7" s="54">
        <f>IF('مستخلص 02'!$J$7="","",IF(N(AA7)=0,IF(E7="","⏳ بانتظار الاعتماد","✖ غير محصل"),IF(AC7&lt;=1,"✔ محصل بالكامل","⚠ محصل جزئياً")))</f>
        <v/>
      </c>
    </row>
    <row r="8">
      <c r="A8" s="52" t="n">
        <v>3</v>
      </c>
      <c r="B8" s="53">
        <f>IF(OR('مستخلص 03'!$J$7="",'مستخلص 03'!$J$6=""),"",'مستخلص 03'!$J$6)</f>
        <v/>
      </c>
      <c r="C8" s="53">
        <f>IF('مستخلص 03'!$J$7="","",'مستخلص 03'!$J$7)</f>
        <v/>
      </c>
      <c r="D8" s="53">
        <f>IF(OR('مستخلص 03'!$J$7="",'مستخلص 03'!$J$8=""),"",'مستخلص 03'!$J$8)</f>
        <v/>
      </c>
      <c r="E8" s="53">
        <f>IF(OR('مستخلص 03'!$J$7="",'مستخلص 03'!$J$9=""),"",'مستخلص 03'!$J$9)</f>
        <v/>
      </c>
      <c r="F8" s="54">
        <f>IF(OR('مستخلص 03'!$J$7="",'مستخلص 03'!$J$5=""),"",'مستخلص 03'!$J$5)</f>
        <v/>
      </c>
      <c r="G8" s="39">
        <f>IF('مستخلص 03'!$J$7="","",'مستخلص 03'!$L$19)</f>
        <v/>
      </c>
      <c r="H8" s="39">
        <f>IF('مستخلص 03'!$J$7="","",'مستخلص 03'!$J$19)</f>
        <v/>
      </c>
      <c r="I8" s="39">
        <f>IF('مستخلص 03'!$J$7="","",'مستخلص 03'!$L$20)</f>
        <v/>
      </c>
      <c r="J8" s="39">
        <f>IF('مستخلص 03'!$J$7="","",'مستخلص 03'!$L$21)</f>
        <v/>
      </c>
      <c r="K8" s="39">
        <f>IF('مستخلص 03'!$J$7="","",'مستخلص 03'!$L$22)</f>
        <v/>
      </c>
      <c r="L8" s="55">
        <f>IF('مستخلص 03'!$J$7="","",'مستخلص 03'!$L$6)</f>
        <v/>
      </c>
      <c r="M8" s="55">
        <f>IF(OR('مستخلص 03'!$J$7="",'مستخلص 03'!$L$8=""),"",'مستخلص 03'!$L$8)</f>
        <v/>
      </c>
      <c r="N8" s="55">
        <f>IF(OR('مستخلص 03'!$J$7="",M8=""),"",L8-M8)</f>
        <v/>
      </c>
      <c r="O8" s="39">
        <f>IF('مستخلص 03'!$J$7="","",-'مستخلص 03'!$L$23)</f>
        <v/>
      </c>
      <c r="P8" s="39">
        <f>IF('مستخلص 03'!$J$7="","",-'مستخلص 03'!$L$24)</f>
        <v/>
      </c>
      <c r="Q8" s="39">
        <f>IF('مستخلص 03'!$J$7="","",'مستخلص 03'!$L$25)</f>
        <v/>
      </c>
      <c r="R8" s="39">
        <f>IF('مستخلص 03'!$J$7="","",P8-Q8)</f>
        <v/>
      </c>
      <c r="S8" s="39">
        <f>IF('مستخلص 03'!$J$7="","",-'مستخلص 03'!$L$26)</f>
        <v/>
      </c>
      <c r="T8" s="39">
        <f>IF('مستخلص 03'!$J$7="","",-'مستخلص 03'!$L$27)</f>
        <v/>
      </c>
      <c r="U8" s="39">
        <f>IF('مستخلص 03'!$J$7="","",'مستخلص 03'!$L$28)</f>
        <v/>
      </c>
      <c r="V8" s="39">
        <f>IF('مستخلص 03'!$J$7="","",'مستخلص 03'!$L$29)</f>
        <v/>
      </c>
      <c r="W8" s="39">
        <f>IF('مستخلص 03'!$J$7="","",-'مستخلص 03'!$L$30)</f>
        <v/>
      </c>
      <c r="X8" s="56">
        <f>IF('مستخلص 03'!$J$7="","",'مستخلص 03'!$L$31)</f>
        <v/>
      </c>
      <c r="Y8" s="39">
        <f>IF('مستخلص 03'!$J$7="","",'مستخلص 03'!$H$31)</f>
        <v/>
      </c>
      <c r="Z8" s="56">
        <f>IF('مستخلص 03'!$J$7="","",'مستخلص 03'!$J$31)</f>
        <v/>
      </c>
      <c r="AA8" s="39">
        <f>IF('مستخلص 03'!$J$7="","",N('مستخلص 03'!$E$15))</f>
        <v/>
      </c>
      <c r="AB8" s="53">
        <f>IF(OR('مستخلص 03'!$J$7="",'مستخلص 03'!$K$15=""),"",'مستخلص 03'!$K$15)</f>
        <v/>
      </c>
      <c r="AC8" s="39">
        <f>IF('مستخلص 03'!$J$7="","",Z8-AA8)</f>
        <v/>
      </c>
      <c r="AD8" s="57">
        <f>IF(OR(AB8="",E8=""),"",AB8-E8)</f>
        <v/>
      </c>
      <c r="AE8" s="54">
        <f>IF('مستخلص 03'!$J$7="","",IF(N(AA8)=0,IF(E8="","⏳ بانتظار الاعتماد","✖ غير محصل"),IF(AC8&lt;=1,"✔ محصل بالكامل","⚠ محصل جزئياً")))</f>
        <v/>
      </c>
    </row>
    <row r="9">
      <c r="A9" s="52" t="n">
        <v>4</v>
      </c>
      <c r="B9" s="53">
        <f>IF(OR('مستخلص 04'!$J$7="",'مستخلص 04'!$J$6=""),"",'مستخلص 04'!$J$6)</f>
        <v/>
      </c>
      <c r="C9" s="53">
        <f>IF('مستخلص 04'!$J$7="","",'مستخلص 04'!$J$7)</f>
        <v/>
      </c>
      <c r="D9" s="53">
        <f>IF(OR('مستخلص 04'!$J$7="",'مستخلص 04'!$J$8=""),"",'مستخلص 04'!$J$8)</f>
        <v/>
      </c>
      <c r="E9" s="53">
        <f>IF(OR('مستخلص 04'!$J$7="",'مستخلص 04'!$J$9=""),"",'مستخلص 04'!$J$9)</f>
        <v/>
      </c>
      <c r="F9" s="54">
        <f>IF(OR('مستخلص 04'!$J$7="",'مستخلص 04'!$J$5=""),"",'مستخلص 04'!$J$5)</f>
        <v/>
      </c>
      <c r="G9" s="39">
        <f>IF('مستخلص 04'!$J$7="","",'مستخلص 04'!$L$19)</f>
        <v/>
      </c>
      <c r="H9" s="39">
        <f>IF('مستخلص 04'!$J$7="","",'مستخلص 04'!$J$19)</f>
        <v/>
      </c>
      <c r="I9" s="39">
        <f>IF('مستخلص 04'!$J$7="","",'مستخلص 04'!$L$20)</f>
        <v/>
      </c>
      <c r="J9" s="39">
        <f>IF('مستخلص 04'!$J$7="","",'مستخلص 04'!$L$21)</f>
        <v/>
      </c>
      <c r="K9" s="39">
        <f>IF('مستخلص 04'!$J$7="","",'مستخلص 04'!$L$22)</f>
        <v/>
      </c>
      <c r="L9" s="55">
        <f>IF('مستخلص 04'!$J$7="","",'مستخلص 04'!$L$6)</f>
        <v/>
      </c>
      <c r="M9" s="55">
        <f>IF(OR('مستخلص 04'!$J$7="",'مستخلص 04'!$L$8=""),"",'مستخلص 04'!$L$8)</f>
        <v/>
      </c>
      <c r="N9" s="55">
        <f>IF(OR('مستخلص 04'!$J$7="",M9=""),"",L9-M9)</f>
        <v/>
      </c>
      <c r="O9" s="39">
        <f>IF('مستخلص 04'!$J$7="","",-'مستخلص 04'!$L$23)</f>
        <v/>
      </c>
      <c r="P9" s="39">
        <f>IF('مستخلص 04'!$J$7="","",-'مستخلص 04'!$L$24)</f>
        <v/>
      </c>
      <c r="Q9" s="39">
        <f>IF('مستخلص 04'!$J$7="","",'مستخلص 04'!$L$25)</f>
        <v/>
      </c>
      <c r="R9" s="39">
        <f>IF('مستخلص 04'!$J$7="","",P9-Q9)</f>
        <v/>
      </c>
      <c r="S9" s="39">
        <f>IF('مستخلص 04'!$J$7="","",-'مستخلص 04'!$L$26)</f>
        <v/>
      </c>
      <c r="T9" s="39">
        <f>IF('مستخلص 04'!$J$7="","",-'مستخلص 04'!$L$27)</f>
        <v/>
      </c>
      <c r="U9" s="39">
        <f>IF('مستخلص 04'!$J$7="","",'مستخلص 04'!$L$28)</f>
        <v/>
      </c>
      <c r="V9" s="39">
        <f>IF('مستخلص 04'!$J$7="","",'مستخلص 04'!$L$29)</f>
        <v/>
      </c>
      <c r="W9" s="39">
        <f>IF('مستخلص 04'!$J$7="","",-'مستخلص 04'!$L$30)</f>
        <v/>
      </c>
      <c r="X9" s="56">
        <f>IF('مستخلص 04'!$J$7="","",'مستخلص 04'!$L$31)</f>
        <v/>
      </c>
      <c r="Y9" s="39">
        <f>IF('مستخلص 04'!$J$7="","",'مستخلص 04'!$H$31)</f>
        <v/>
      </c>
      <c r="Z9" s="56">
        <f>IF('مستخلص 04'!$J$7="","",'مستخلص 04'!$J$31)</f>
        <v/>
      </c>
      <c r="AA9" s="39">
        <f>IF('مستخلص 04'!$J$7="","",N('مستخلص 04'!$E$15))</f>
        <v/>
      </c>
      <c r="AB9" s="53">
        <f>IF(OR('مستخلص 04'!$J$7="",'مستخلص 04'!$K$15=""),"",'مستخلص 04'!$K$15)</f>
        <v/>
      </c>
      <c r="AC9" s="39">
        <f>IF('مستخلص 04'!$J$7="","",Z9-AA9)</f>
        <v/>
      </c>
      <c r="AD9" s="57">
        <f>IF(OR(AB9="",E9=""),"",AB9-E9)</f>
        <v/>
      </c>
      <c r="AE9" s="54">
        <f>IF('مستخلص 04'!$J$7="","",IF(N(AA9)=0,IF(E9="","⏳ بانتظار الاعتماد","✖ غير محصل"),IF(AC9&lt;=1,"✔ محصل بالكامل","⚠ محصل جزئياً")))</f>
        <v/>
      </c>
    </row>
    <row r="10">
      <c r="A10" s="52" t="n">
        <v>5</v>
      </c>
      <c r="B10" s="53">
        <f>IF(OR('مستخلص 05'!$J$7="",'مستخلص 05'!$J$6=""),"",'مستخلص 05'!$J$6)</f>
        <v/>
      </c>
      <c r="C10" s="53">
        <f>IF('مستخلص 05'!$J$7="","",'مستخلص 05'!$J$7)</f>
        <v/>
      </c>
      <c r="D10" s="53">
        <f>IF(OR('مستخلص 05'!$J$7="",'مستخلص 05'!$J$8=""),"",'مستخلص 05'!$J$8)</f>
        <v/>
      </c>
      <c r="E10" s="53">
        <f>IF(OR('مستخلص 05'!$J$7="",'مستخلص 05'!$J$9=""),"",'مستخلص 05'!$J$9)</f>
        <v/>
      </c>
      <c r="F10" s="54">
        <f>IF(OR('مستخلص 05'!$J$7="",'مستخلص 05'!$J$5=""),"",'مستخلص 05'!$J$5)</f>
        <v/>
      </c>
      <c r="G10" s="39">
        <f>IF('مستخلص 05'!$J$7="","",'مستخلص 05'!$L$19)</f>
        <v/>
      </c>
      <c r="H10" s="39">
        <f>IF('مستخلص 05'!$J$7="","",'مستخلص 05'!$J$19)</f>
        <v/>
      </c>
      <c r="I10" s="39">
        <f>IF('مستخلص 05'!$J$7="","",'مستخلص 05'!$L$20)</f>
        <v/>
      </c>
      <c r="J10" s="39">
        <f>IF('مستخلص 05'!$J$7="","",'مستخلص 05'!$L$21)</f>
        <v/>
      </c>
      <c r="K10" s="39">
        <f>IF('مستخلص 05'!$J$7="","",'مستخلص 05'!$L$22)</f>
        <v/>
      </c>
      <c r="L10" s="55">
        <f>IF('مستخلص 05'!$J$7="","",'مستخلص 05'!$L$6)</f>
        <v/>
      </c>
      <c r="M10" s="55">
        <f>IF(OR('مستخلص 05'!$J$7="",'مستخلص 05'!$L$8=""),"",'مستخلص 05'!$L$8)</f>
        <v/>
      </c>
      <c r="N10" s="55">
        <f>IF(OR('مستخلص 05'!$J$7="",M10=""),"",L10-M10)</f>
        <v/>
      </c>
      <c r="O10" s="39">
        <f>IF('مستخلص 05'!$J$7="","",-'مستخلص 05'!$L$23)</f>
        <v/>
      </c>
      <c r="P10" s="39">
        <f>IF('مستخلص 05'!$J$7="","",-'مستخلص 05'!$L$24)</f>
        <v/>
      </c>
      <c r="Q10" s="39">
        <f>IF('مستخلص 05'!$J$7="","",'مستخلص 05'!$L$25)</f>
        <v/>
      </c>
      <c r="R10" s="39">
        <f>IF('مستخلص 05'!$J$7="","",P10-Q10)</f>
        <v/>
      </c>
      <c r="S10" s="39">
        <f>IF('مستخلص 05'!$J$7="","",-'مستخلص 05'!$L$26)</f>
        <v/>
      </c>
      <c r="T10" s="39">
        <f>IF('مستخلص 05'!$J$7="","",-'مستخلص 05'!$L$27)</f>
        <v/>
      </c>
      <c r="U10" s="39">
        <f>IF('مستخلص 05'!$J$7="","",'مستخلص 05'!$L$28)</f>
        <v/>
      </c>
      <c r="V10" s="39">
        <f>IF('مستخلص 05'!$J$7="","",'مستخلص 05'!$L$29)</f>
        <v/>
      </c>
      <c r="W10" s="39">
        <f>IF('مستخلص 05'!$J$7="","",-'مستخلص 05'!$L$30)</f>
        <v/>
      </c>
      <c r="X10" s="56">
        <f>IF('مستخلص 05'!$J$7="","",'مستخلص 05'!$L$31)</f>
        <v/>
      </c>
      <c r="Y10" s="39">
        <f>IF('مستخلص 05'!$J$7="","",'مستخلص 05'!$H$31)</f>
        <v/>
      </c>
      <c r="Z10" s="56">
        <f>IF('مستخلص 05'!$J$7="","",'مستخلص 05'!$J$31)</f>
        <v/>
      </c>
      <c r="AA10" s="39">
        <f>IF('مستخلص 05'!$J$7="","",N('مستخلص 05'!$E$15))</f>
        <v/>
      </c>
      <c r="AB10" s="53">
        <f>IF(OR('مستخلص 05'!$J$7="",'مستخلص 05'!$K$15=""),"",'مستخلص 05'!$K$15)</f>
        <v/>
      </c>
      <c r="AC10" s="39">
        <f>IF('مستخلص 05'!$J$7="","",Z10-AA10)</f>
        <v/>
      </c>
      <c r="AD10" s="57">
        <f>IF(OR(AB10="",E10=""),"",AB10-E10)</f>
        <v/>
      </c>
      <c r="AE10" s="54">
        <f>IF('مستخلص 05'!$J$7="","",IF(N(AA10)=0,IF(E10="","⏳ بانتظار الاعتماد","✖ غير محصل"),IF(AC10&lt;=1,"✔ محصل بالكامل","⚠ محصل جزئياً")))</f>
        <v/>
      </c>
    </row>
    <row r="11">
      <c r="A11" s="52" t="n">
        <v>6</v>
      </c>
      <c r="B11" s="53">
        <f>IF(OR('مستخلص 06'!$J$7="",'مستخلص 06'!$J$6=""),"",'مستخلص 06'!$J$6)</f>
        <v/>
      </c>
      <c r="C11" s="53">
        <f>IF('مستخلص 06'!$J$7="","",'مستخلص 06'!$J$7)</f>
        <v/>
      </c>
      <c r="D11" s="53">
        <f>IF(OR('مستخلص 06'!$J$7="",'مستخلص 06'!$J$8=""),"",'مستخلص 06'!$J$8)</f>
        <v/>
      </c>
      <c r="E11" s="53">
        <f>IF(OR('مستخلص 06'!$J$7="",'مستخلص 06'!$J$9=""),"",'مستخلص 06'!$J$9)</f>
        <v/>
      </c>
      <c r="F11" s="54">
        <f>IF(OR('مستخلص 06'!$J$7="",'مستخلص 06'!$J$5=""),"",'مستخلص 06'!$J$5)</f>
        <v/>
      </c>
      <c r="G11" s="39">
        <f>IF('مستخلص 06'!$J$7="","",'مستخلص 06'!$L$19)</f>
        <v/>
      </c>
      <c r="H11" s="39">
        <f>IF('مستخلص 06'!$J$7="","",'مستخلص 06'!$J$19)</f>
        <v/>
      </c>
      <c r="I11" s="39">
        <f>IF('مستخلص 06'!$J$7="","",'مستخلص 06'!$L$20)</f>
        <v/>
      </c>
      <c r="J11" s="39">
        <f>IF('مستخلص 06'!$J$7="","",'مستخلص 06'!$L$21)</f>
        <v/>
      </c>
      <c r="K11" s="39">
        <f>IF('مستخلص 06'!$J$7="","",'مستخلص 06'!$L$22)</f>
        <v/>
      </c>
      <c r="L11" s="55">
        <f>IF('مستخلص 06'!$J$7="","",'مستخلص 06'!$L$6)</f>
        <v/>
      </c>
      <c r="M11" s="55">
        <f>IF(OR('مستخلص 06'!$J$7="",'مستخلص 06'!$L$8=""),"",'مستخلص 06'!$L$8)</f>
        <v/>
      </c>
      <c r="N11" s="55">
        <f>IF(OR('مستخلص 06'!$J$7="",M11=""),"",L11-M11)</f>
        <v/>
      </c>
      <c r="O11" s="39">
        <f>IF('مستخلص 06'!$J$7="","",-'مستخلص 06'!$L$23)</f>
        <v/>
      </c>
      <c r="P11" s="39">
        <f>IF('مستخلص 06'!$J$7="","",-'مستخلص 06'!$L$24)</f>
        <v/>
      </c>
      <c r="Q11" s="39">
        <f>IF('مستخلص 06'!$J$7="","",'مستخلص 06'!$L$25)</f>
        <v/>
      </c>
      <c r="R11" s="39">
        <f>IF('مستخلص 06'!$J$7="","",P11-Q11)</f>
        <v/>
      </c>
      <c r="S11" s="39">
        <f>IF('مستخلص 06'!$J$7="","",-'مستخلص 06'!$L$26)</f>
        <v/>
      </c>
      <c r="T11" s="39">
        <f>IF('مستخلص 06'!$J$7="","",-'مستخلص 06'!$L$27)</f>
        <v/>
      </c>
      <c r="U11" s="39">
        <f>IF('مستخلص 06'!$J$7="","",'مستخلص 06'!$L$28)</f>
        <v/>
      </c>
      <c r="V11" s="39">
        <f>IF('مستخلص 06'!$J$7="","",'مستخلص 06'!$L$29)</f>
        <v/>
      </c>
      <c r="W11" s="39">
        <f>IF('مستخلص 06'!$J$7="","",-'مستخلص 06'!$L$30)</f>
        <v/>
      </c>
      <c r="X11" s="56">
        <f>IF('مستخلص 06'!$J$7="","",'مستخلص 06'!$L$31)</f>
        <v/>
      </c>
      <c r="Y11" s="39">
        <f>IF('مستخلص 06'!$J$7="","",'مستخلص 06'!$H$31)</f>
        <v/>
      </c>
      <c r="Z11" s="56">
        <f>IF('مستخلص 06'!$J$7="","",'مستخلص 06'!$J$31)</f>
        <v/>
      </c>
      <c r="AA11" s="39">
        <f>IF('مستخلص 06'!$J$7="","",N('مستخلص 06'!$E$15))</f>
        <v/>
      </c>
      <c r="AB11" s="53">
        <f>IF(OR('مستخلص 06'!$J$7="",'مستخلص 06'!$K$15=""),"",'مستخلص 06'!$K$15)</f>
        <v/>
      </c>
      <c r="AC11" s="39">
        <f>IF('مستخلص 06'!$J$7="","",Z11-AA11)</f>
        <v/>
      </c>
      <c r="AD11" s="57">
        <f>IF(OR(AB11="",E11=""),"",AB11-E11)</f>
        <v/>
      </c>
      <c r="AE11" s="54">
        <f>IF('مستخلص 06'!$J$7="","",IF(N(AA11)=0,IF(E11="","⏳ بانتظار الاعتماد","✖ غير محصل"),IF(AC11&lt;=1,"✔ محصل بالكامل","⚠ محصل جزئياً")))</f>
        <v/>
      </c>
    </row>
    <row r="12">
      <c r="A12" s="52" t="n">
        <v>7</v>
      </c>
      <c r="B12" s="53">
        <f>IF(OR('مستخلص 07'!$J$7="",'مستخلص 07'!$J$6=""),"",'مستخلص 07'!$J$6)</f>
        <v/>
      </c>
      <c r="C12" s="53">
        <f>IF('مستخلص 07'!$J$7="","",'مستخلص 07'!$J$7)</f>
        <v/>
      </c>
      <c r="D12" s="53">
        <f>IF(OR('مستخلص 07'!$J$7="",'مستخلص 07'!$J$8=""),"",'مستخلص 07'!$J$8)</f>
        <v/>
      </c>
      <c r="E12" s="53">
        <f>IF(OR('مستخلص 07'!$J$7="",'مستخلص 07'!$J$9=""),"",'مستخلص 07'!$J$9)</f>
        <v/>
      </c>
      <c r="F12" s="54">
        <f>IF(OR('مستخلص 07'!$J$7="",'مستخلص 07'!$J$5=""),"",'مستخلص 07'!$J$5)</f>
        <v/>
      </c>
      <c r="G12" s="39">
        <f>IF('مستخلص 07'!$J$7="","",'مستخلص 07'!$L$19)</f>
        <v/>
      </c>
      <c r="H12" s="39">
        <f>IF('مستخلص 07'!$J$7="","",'مستخلص 07'!$J$19)</f>
        <v/>
      </c>
      <c r="I12" s="39">
        <f>IF('مستخلص 07'!$J$7="","",'مستخلص 07'!$L$20)</f>
        <v/>
      </c>
      <c r="J12" s="39">
        <f>IF('مستخلص 07'!$J$7="","",'مستخلص 07'!$L$21)</f>
        <v/>
      </c>
      <c r="K12" s="39">
        <f>IF('مستخلص 07'!$J$7="","",'مستخلص 07'!$L$22)</f>
        <v/>
      </c>
      <c r="L12" s="55">
        <f>IF('مستخلص 07'!$J$7="","",'مستخلص 07'!$L$6)</f>
        <v/>
      </c>
      <c r="M12" s="55">
        <f>IF(OR('مستخلص 07'!$J$7="",'مستخلص 07'!$L$8=""),"",'مستخلص 07'!$L$8)</f>
        <v/>
      </c>
      <c r="N12" s="55">
        <f>IF(OR('مستخلص 07'!$J$7="",M12=""),"",L12-M12)</f>
        <v/>
      </c>
      <c r="O12" s="39">
        <f>IF('مستخلص 07'!$J$7="","",-'مستخلص 07'!$L$23)</f>
        <v/>
      </c>
      <c r="P12" s="39">
        <f>IF('مستخلص 07'!$J$7="","",-'مستخلص 07'!$L$24)</f>
        <v/>
      </c>
      <c r="Q12" s="39">
        <f>IF('مستخلص 07'!$J$7="","",'مستخلص 07'!$L$25)</f>
        <v/>
      </c>
      <c r="R12" s="39">
        <f>IF('مستخلص 07'!$J$7="","",P12-Q12)</f>
        <v/>
      </c>
      <c r="S12" s="39">
        <f>IF('مستخلص 07'!$J$7="","",-'مستخلص 07'!$L$26)</f>
        <v/>
      </c>
      <c r="T12" s="39">
        <f>IF('مستخلص 07'!$J$7="","",-'مستخلص 07'!$L$27)</f>
        <v/>
      </c>
      <c r="U12" s="39">
        <f>IF('مستخلص 07'!$J$7="","",'مستخلص 07'!$L$28)</f>
        <v/>
      </c>
      <c r="V12" s="39">
        <f>IF('مستخلص 07'!$J$7="","",'مستخلص 07'!$L$29)</f>
        <v/>
      </c>
      <c r="W12" s="39">
        <f>IF('مستخلص 07'!$J$7="","",-'مستخلص 07'!$L$30)</f>
        <v/>
      </c>
      <c r="X12" s="56">
        <f>IF('مستخلص 07'!$J$7="","",'مستخلص 07'!$L$31)</f>
        <v/>
      </c>
      <c r="Y12" s="39">
        <f>IF('مستخلص 07'!$J$7="","",'مستخلص 07'!$H$31)</f>
        <v/>
      </c>
      <c r="Z12" s="56">
        <f>IF('مستخلص 07'!$J$7="","",'مستخلص 07'!$J$31)</f>
        <v/>
      </c>
      <c r="AA12" s="39">
        <f>IF('مستخلص 07'!$J$7="","",N('مستخلص 07'!$E$15))</f>
        <v/>
      </c>
      <c r="AB12" s="53">
        <f>IF(OR('مستخلص 07'!$J$7="",'مستخلص 07'!$K$15=""),"",'مستخلص 07'!$K$15)</f>
        <v/>
      </c>
      <c r="AC12" s="39">
        <f>IF('مستخلص 07'!$J$7="","",Z12-AA12)</f>
        <v/>
      </c>
      <c r="AD12" s="57">
        <f>IF(OR(AB12="",E12=""),"",AB12-E12)</f>
        <v/>
      </c>
      <c r="AE12" s="54">
        <f>IF('مستخلص 07'!$J$7="","",IF(N(AA12)=0,IF(E12="","⏳ بانتظار الاعتماد","✖ غير محصل"),IF(AC12&lt;=1,"✔ محصل بالكامل","⚠ محصل جزئياً")))</f>
        <v/>
      </c>
    </row>
    <row r="13">
      <c r="A13" s="52" t="n">
        <v>8</v>
      </c>
      <c r="B13" s="53">
        <f>IF(OR('مستخلص 08'!$J$7="",'مستخلص 08'!$J$6=""),"",'مستخلص 08'!$J$6)</f>
        <v/>
      </c>
      <c r="C13" s="53">
        <f>IF('مستخلص 08'!$J$7="","",'مستخلص 08'!$J$7)</f>
        <v/>
      </c>
      <c r="D13" s="53">
        <f>IF(OR('مستخلص 08'!$J$7="",'مستخلص 08'!$J$8=""),"",'مستخلص 08'!$J$8)</f>
        <v/>
      </c>
      <c r="E13" s="53">
        <f>IF(OR('مستخلص 08'!$J$7="",'مستخلص 08'!$J$9=""),"",'مستخلص 08'!$J$9)</f>
        <v/>
      </c>
      <c r="F13" s="54">
        <f>IF(OR('مستخلص 08'!$J$7="",'مستخلص 08'!$J$5=""),"",'مستخلص 08'!$J$5)</f>
        <v/>
      </c>
      <c r="G13" s="39">
        <f>IF('مستخلص 08'!$J$7="","",'مستخلص 08'!$L$19)</f>
        <v/>
      </c>
      <c r="H13" s="39">
        <f>IF('مستخلص 08'!$J$7="","",'مستخلص 08'!$J$19)</f>
        <v/>
      </c>
      <c r="I13" s="39">
        <f>IF('مستخلص 08'!$J$7="","",'مستخلص 08'!$L$20)</f>
        <v/>
      </c>
      <c r="J13" s="39">
        <f>IF('مستخلص 08'!$J$7="","",'مستخلص 08'!$L$21)</f>
        <v/>
      </c>
      <c r="K13" s="39">
        <f>IF('مستخلص 08'!$J$7="","",'مستخلص 08'!$L$22)</f>
        <v/>
      </c>
      <c r="L13" s="55">
        <f>IF('مستخلص 08'!$J$7="","",'مستخلص 08'!$L$6)</f>
        <v/>
      </c>
      <c r="M13" s="55">
        <f>IF(OR('مستخلص 08'!$J$7="",'مستخلص 08'!$L$8=""),"",'مستخلص 08'!$L$8)</f>
        <v/>
      </c>
      <c r="N13" s="55">
        <f>IF(OR('مستخلص 08'!$J$7="",M13=""),"",L13-M13)</f>
        <v/>
      </c>
      <c r="O13" s="39">
        <f>IF('مستخلص 08'!$J$7="","",-'مستخلص 08'!$L$23)</f>
        <v/>
      </c>
      <c r="P13" s="39">
        <f>IF('مستخلص 08'!$J$7="","",-'مستخلص 08'!$L$24)</f>
        <v/>
      </c>
      <c r="Q13" s="39">
        <f>IF('مستخلص 08'!$J$7="","",'مستخلص 08'!$L$25)</f>
        <v/>
      </c>
      <c r="R13" s="39">
        <f>IF('مستخلص 08'!$J$7="","",P13-Q13)</f>
        <v/>
      </c>
      <c r="S13" s="39">
        <f>IF('مستخلص 08'!$J$7="","",-'مستخلص 08'!$L$26)</f>
        <v/>
      </c>
      <c r="T13" s="39">
        <f>IF('مستخلص 08'!$J$7="","",-'مستخلص 08'!$L$27)</f>
        <v/>
      </c>
      <c r="U13" s="39">
        <f>IF('مستخلص 08'!$J$7="","",'مستخلص 08'!$L$28)</f>
        <v/>
      </c>
      <c r="V13" s="39">
        <f>IF('مستخلص 08'!$J$7="","",'مستخلص 08'!$L$29)</f>
        <v/>
      </c>
      <c r="W13" s="39">
        <f>IF('مستخلص 08'!$J$7="","",-'مستخلص 08'!$L$30)</f>
        <v/>
      </c>
      <c r="X13" s="56">
        <f>IF('مستخلص 08'!$J$7="","",'مستخلص 08'!$L$31)</f>
        <v/>
      </c>
      <c r="Y13" s="39">
        <f>IF('مستخلص 08'!$J$7="","",'مستخلص 08'!$H$31)</f>
        <v/>
      </c>
      <c r="Z13" s="56">
        <f>IF('مستخلص 08'!$J$7="","",'مستخلص 08'!$J$31)</f>
        <v/>
      </c>
      <c r="AA13" s="39">
        <f>IF('مستخلص 08'!$J$7="","",N('مستخلص 08'!$E$15))</f>
        <v/>
      </c>
      <c r="AB13" s="53">
        <f>IF(OR('مستخلص 08'!$J$7="",'مستخلص 08'!$K$15=""),"",'مستخلص 08'!$K$15)</f>
        <v/>
      </c>
      <c r="AC13" s="39">
        <f>IF('مستخلص 08'!$J$7="","",Z13-AA13)</f>
        <v/>
      </c>
      <c r="AD13" s="57">
        <f>IF(OR(AB13="",E13=""),"",AB13-E13)</f>
        <v/>
      </c>
      <c r="AE13" s="54">
        <f>IF('مستخلص 08'!$J$7="","",IF(N(AA13)=0,IF(E13="","⏳ بانتظار الاعتماد","✖ غير محصل"),IF(AC13&lt;=1,"✔ محصل بالكامل","⚠ محصل جزئياً")))</f>
        <v/>
      </c>
    </row>
    <row r="14">
      <c r="A14" s="52" t="n">
        <v>9</v>
      </c>
      <c r="B14" s="53">
        <f>IF(OR('مستخلص 09'!$J$7="",'مستخلص 09'!$J$6=""),"",'مستخلص 09'!$J$6)</f>
        <v/>
      </c>
      <c r="C14" s="53">
        <f>IF('مستخلص 09'!$J$7="","",'مستخلص 09'!$J$7)</f>
        <v/>
      </c>
      <c r="D14" s="53">
        <f>IF(OR('مستخلص 09'!$J$7="",'مستخلص 09'!$J$8=""),"",'مستخلص 09'!$J$8)</f>
        <v/>
      </c>
      <c r="E14" s="53">
        <f>IF(OR('مستخلص 09'!$J$7="",'مستخلص 09'!$J$9=""),"",'مستخلص 09'!$J$9)</f>
        <v/>
      </c>
      <c r="F14" s="54">
        <f>IF(OR('مستخلص 09'!$J$7="",'مستخلص 09'!$J$5=""),"",'مستخلص 09'!$J$5)</f>
        <v/>
      </c>
      <c r="G14" s="39">
        <f>IF('مستخلص 09'!$J$7="","",'مستخلص 09'!$L$19)</f>
        <v/>
      </c>
      <c r="H14" s="39">
        <f>IF('مستخلص 09'!$J$7="","",'مستخلص 09'!$J$19)</f>
        <v/>
      </c>
      <c r="I14" s="39">
        <f>IF('مستخلص 09'!$J$7="","",'مستخلص 09'!$L$20)</f>
        <v/>
      </c>
      <c r="J14" s="39">
        <f>IF('مستخلص 09'!$J$7="","",'مستخلص 09'!$L$21)</f>
        <v/>
      </c>
      <c r="K14" s="39">
        <f>IF('مستخلص 09'!$J$7="","",'مستخلص 09'!$L$22)</f>
        <v/>
      </c>
      <c r="L14" s="55">
        <f>IF('مستخلص 09'!$J$7="","",'مستخلص 09'!$L$6)</f>
        <v/>
      </c>
      <c r="M14" s="55">
        <f>IF(OR('مستخلص 09'!$J$7="",'مستخلص 09'!$L$8=""),"",'مستخلص 09'!$L$8)</f>
        <v/>
      </c>
      <c r="N14" s="55">
        <f>IF(OR('مستخلص 09'!$J$7="",M14=""),"",L14-M14)</f>
        <v/>
      </c>
      <c r="O14" s="39">
        <f>IF('مستخلص 09'!$J$7="","",-'مستخلص 09'!$L$23)</f>
        <v/>
      </c>
      <c r="P14" s="39">
        <f>IF('مستخلص 09'!$J$7="","",-'مستخلص 09'!$L$24)</f>
        <v/>
      </c>
      <c r="Q14" s="39">
        <f>IF('مستخلص 09'!$J$7="","",'مستخلص 09'!$L$25)</f>
        <v/>
      </c>
      <c r="R14" s="39">
        <f>IF('مستخلص 09'!$J$7="","",P14-Q14)</f>
        <v/>
      </c>
      <c r="S14" s="39">
        <f>IF('مستخلص 09'!$J$7="","",-'مستخلص 09'!$L$26)</f>
        <v/>
      </c>
      <c r="T14" s="39">
        <f>IF('مستخلص 09'!$J$7="","",-'مستخلص 09'!$L$27)</f>
        <v/>
      </c>
      <c r="U14" s="39">
        <f>IF('مستخلص 09'!$J$7="","",'مستخلص 09'!$L$28)</f>
        <v/>
      </c>
      <c r="V14" s="39">
        <f>IF('مستخلص 09'!$J$7="","",'مستخلص 09'!$L$29)</f>
        <v/>
      </c>
      <c r="W14" s="39">
        <f>IF('مستخلص 09'!$J$7="","",-'مستخلص 09'!$L$30)</f>
        <v/>
      </c>
      <c r="X14" s="56">
        <f>IF('مستخلص 09'!$J$7="","",'مستخلص 09'!$L$31)</f>
        <v/>
      </c>
      <c r="Y14" s="39">
        <f>IF('مستخلص 09'!$J$7="","",'مستخلص 09'!$H$31)</f>
        <v/>
      </c>
      <c r="Z14" s="56">
        <f>IF('مستخلص 09'!$J$7="","",'مستخلص 09'!$J$31)</f>
        <v/>
      </c>
      <c r="AA14" s="39">
        <f>IF('مستخلص 09'!$J$7="","",N('مستخلص 09'!$E$15))</f>
        <v/>
      </c>
      <c r="AB14" s="53">
        <f>IF(OR('مستخلص 09'!$J$7="",'مستخلص 09'!$K$15=""),"",'مستخلص 09'!$K$15)</f>
        <v/>
      </c>
      <c r="AC14" s="39">
        <f>IF('مستخلص 09'!$J$7="","",Z14-AA14)</f>
        <v/>
      </c>
      <c r="AD14" s="57">
        <f>IF(OR(AB14="",E14=""),"",AB14-E14)</f>
        <v/>
      </c>
      <c r="AE14" s="54">
        <f>IF('مستخلص 09'!$J$7="","",IF(N(AA14)=0,IF(E14="","⏳ بانتظار الاعتماد","✖ غير محصل"),IF(AC14&lt;=1,"✔ محصل بالكامل","⚠ محصل جزئياً")))</f>
        <v/>
      </c>
    </row>
    <row r="15">
      <c r="A15" s="52" t="n">
        <v>10</v>
      </c>
      <c r="B15" s="53">
        <f>IF(OR('مستخلص 10'!$J$7="",'مستخلص 10'!$J$6=""),"",'مستخلص 10'!$J$6)</f>
        <v/>
      </c>
      <c r="C15" s="53">
        <f>IF('مستخلص 10'!$J$7="","",'مستخلص 10'!$J$7)</f>
        <v/>
      </c>
      <c r="D15" s="53">
        <f>IF(OR('مستخلص 10'!$J$7="",'مستخلص 10'!$J$8=""),"",'مستخلص 10'!$J$8)</f>
        <v/>
      </c>
      <c r="E15" s="53">
        <f>IF(OR('مستخلص 10'!$J$7="",'مستخلص 10'!$J$9=""),"",'مستخلص 10'!$J$9)</f>
        <v/>
      </c>
      <c r="F15" s="54">
        <f>IF(OR('مستخلص 10'!$J$7="",'مستخلص 10'!$J$5=""),"",'مستخلص 10'!$J$5)</f>
        <v/>
      </c>
      <c r="G15" s="39">
        <f>IF('مستخلص 10'!$J$7="","",'مستخلص 10'!$L$19)</f>
        <v/>
      </c>
      <c r="H15" s="39">
        <f>IF('مستخلص 10'!$J$7="","",'مستخلص 10'!$J$19)</f>
        <v/>
      </c>
      <c r="I15" s="39">
        <f>IF('مستخلص 10'!$J$7="","",'مستخلص 10'!$L$20)</f>
        <v/>
      </c>
      <c r="J15" s="39">
        <f>IF('مستخلص 10'!$J$7="","",'مستخلص 10'!$L$21)</f>
        <v/>
      </c>
      <c r="K15" s="39">
        <f>IF('مستخلص 10'!$J$7="","",'مستخلص 10'!$L$22)</f>
        <v/>
      </c>
      <c r="L15" s="55">
        <f>IF('مستخلص 10'!$J$7="","",'مستخلص 10'!$L$6)</f>
        <v/>
      </c>
      <c r="M15" s="55">
        <f>IF(OR('مستخلص 10'!$J$7="",'مستخلص 10'!$L$8=""),"",'مستخلص 10'!$L$8)</f>
        <v/>
      </c>
      <c r="N15" s="55">
        <f>IF(OR('مستخلص 10'!$J$7="",M15=""),"",L15-M15)</f>
        <v/>
      </c>
      <c r="O15" s="39">
        <f>IF('مستخلص 10'!$J$7="","",-'مستخلص 10'!$L$23)</f>
        <v/>
      </c>
      <c r="P15" s="39">
        <f>IF('مستخلص 10'!$J$7="","",-'مستخلص 10'!$L$24)</f>
        <v/>
      </c>
      <c r="Q15" s="39">
        <f>IF('مستخلص 10'!$J$7="","",'مستخلص 10'!$L$25)</f>
        <v/>
      </c>
      <c r="R15" s="39">
        <f>IF('مستخلص 10'!$J$7="","",P15-Q15)</f>
        <v/>
      </c>
      <c r="S15" s="39">
        <f>IF('مستخلص 10'!$J$7="","",-'مستخلص 10'!$L$26)</f>
        <v/>
      </c>
      <c r="T15" s="39">
        <f>IF('مستخلص 10'!$J$7="","",-'مستخلص 10'!$L$27)</f>
        <v/>
      </c>
      <c r="U15" s="39">
        <f>IF('مستخلص 10'!$J$7="","",'مستخلص 10'!$L$28)</f>
        <v/>
      </c>
      <c r="V15" s="39">
        <f>IF('مستخلص 10'!$J$7="","",'مستخلص 10'!$L$29)</f>
        <v/>
      </c>
      <c r="W15" s="39">
        <f>IF('مستخلص 10'!$J$7="","",-'مستخلص 10'!$L$30)</f>
        <v/>
      </c>
      <c r="X15" s="56">
        <f>IF('مستخلص 10'!$J$7="","",'مستخلص 10'!$L$31)</f>
        <v/>
      </c>
      <c r="Y15" s="39">
        <f>IF('مستخلص 10'!$J$7="","",'مستخلص 10'!$H$31)</f>
        <v/>
      </c>
      <c r="Z15" s="56">
        <f>IF('مستخلص 10'!$J$7="","",'مستخلص 10'!$J$31)</f>
        <v/>
      </c>
      <c r="AA15" s="39">
        <f>IF('مستخلص 10'!$J$7="","",N('مستخلص 10'!$E$15))</f>
        <v/>
      </c>
      <c r="AB15" s="53">
        <f>IF(OR('مستخلص 10'!$J$7="",'مستخلص 10'!$K$15=""),"",'مستخلص 10'!$K$15)</f>
        <v/>
      </c>
      <c r="AC15" s="39">
        <f>IF('مستخلص 10'!$J$7="","",Z15-AA15)</f>
        <v/>
      </c>
      <c r="AD15" s="57">
        <f>IF(OR(AB15="",E15=""),"",AB15-E15)</f>
        <v/>
      </c>
      <c r="AE15" s="54">
        <f>IF('مستخلص 10'!$J$7="","",IF(N(AA15)=0,IF(E15="","⏳ بانتظار الاعتماد","✖ غير محصل"),IF(AC15&lt;=1,"✔ محصل بالكامل","⚠ محصل جزئياً")))</f>
        <v/>
      </c>
    </row>
    <row r="16">
      <c r="A16" s="52" t="n">
        <v>11</v>
      </c>
      <c r="B16" s="53">
        <f>IF(OR('مستخلص 11'!$J$7="",'مستخلص 11'!$J$6=""),"",'مستخلص 11'!$J$6)</f>
        <v/>
      </c>
      <c r="C16" s="53">
        <f>IF('مستخلص 11'!$J$7="","",'مستخلص 11'!$J$7)</f>
        <v/>
      </c>
      <c r="D16" s="53">
        <f>IF(OR('مستخلص 11'!$J$7="",'مستخلص 11'!$J$8=""),"",'مستخلص 11'!$J$8)</f>
        <v/>
      </c>
      <c r="E16" s="53">
        <f>IF(OR('مستخلص 11'!$J$7="",'مستخلص 11'!$J$9=""),"",'مستخلص 11'!$J$9)</f>
        <v/>
      </c>
      <c r="F16" s="54">
        <f>IF(OR('مستخلص 11'!$J$7="",'مستخلص 11'!$J$5=""),"",'مستخلص 11'!$J$5)</f>
        <v/>
      </c>
      <c r="G16" s="39">
        <f>IF('مستخلص 11'!$J$7="","",'مستخلص 11'!$L$19)</f>
        <v/>
      </c>
      <c r="H16" s="39">
        <f>IF('مستخلص 11'!$J$7="","",'مستخلص 11'!$J$19)</f>
        <v/>
      </c>
      <c r="I16" s="39">
        <f>IF('مستخلص 11'!$J$7="","",'مستخلص 11'!$L$20)</f>
        <v/>
      </c>
      <c r="J16" s="39">
        <f>IF('مستخلص 11'!$J$7="","",'مستخلص 11'!$L$21)</f>
        <v/>
      </c>
      <c r="K16" s="39">
        <f>IF('مستخلص 11'!$J$7="","",'مستخلص 11'!$L$22)</f>
        <v/>
      </c>
      <c r="L16" s="55">
        <f>IF('مستخلص 11'!$J$7="","",'مستخلص 11'!$L$6)</f>
        <v/>
      </c>
      <c r="M16" s="55">
        <f>IF(OR('مستخلص 11'!$J$7="",'مستخلص 11'!$L$8=""),"",'مستخلص 11'!$L$8)</f>
        <v/>
      </c>
      <c r="N16" s="55">
        <f>IF(OR('مستخلص 11'!$J$7="",M16=""),"",L16-M16)</f>
        <v/>
      </c>
      <c r="O16" s="39">
        <f>IF('مستخلص 11'!$J$7="","",-'مستخلص 11'!$L$23)</f>
        <v/>
      </c>
      <c r="P16" s="39">
        <f>IF('مستخلص 11'!$J$7="","",-'مستخلص 11'!$L$24)</f>
        <v/>
      </c>
      <c r="Q16" s="39">
        <f>IF('مستخلص 11'!$J$7="","",'مستخلص 11'!$L$25)</f>
        <v/>
      </c>
      <c r="R16" s="39">
        <f>IF('مستخلص 11'!$J$7="","",P16-Q16)</f>
        <v/>
      </c>
      <c r="S16" s="39">
        <f>IF('مستخلص 11'!$J$7="","",-'مستخلص 11'!$L$26)</f>
        <v/>
      </c>
      <c r="T16" s="39">
        <f>IF('مستخلص 11'!$J$7="","",-'مستخلص 11'!$L$27)</f>
        <v/>
      </c>
      <c r="U16" s="39">
        <f>IF('مستخلص 11'!$J$7="","",'مستخلص 11'!$L$28)</f>
        <v/>
      </c>
      <c r="V16" s="39">
        <f>IF('مستخلص 11'!$J$7="","",'مستخلص 11'!$L$29)</f>
        <v/>
      </c>
      <c r="W16" s="39">
        <f>IF('مستخلص 11'!$J$7="","",-'مستخلص 11'!$L$30)</f>
        <v/>
      </c>
      <c r="X16" s="56">
        <f>IF('مستخلص 11'!$J$7="","",'مستخلص 11'!$L$31)</f>
        <v/>
      </c>
      <c r="Y16" s="39">
        <f>IF('مستخلص 11'!$J$7="","",'مستخلص 11'!$H$31)</f>
        <v/>
      </c>
      <c r="Z16" s="56">
        <f>IF('مستخلص 11'!$J$7="","",'مستخلص 11'!$J$31)</f>
        <v/>
      </c>
      <c r="AA16" s="39">
        <f>IF('مستخلص 11'!$J$7="","",N('مستخلص 11'!$E$15))</f>
        <v/>
      </c>
      <c r="AB16" s="53">
        <f>IF(OR('مستخلص 11'!$J$7="",'مستخلص 11'!$K$15=""),"",'مستخلص 11'!$K$15)</f>
        <v/>
      </c>
      <c r="AC16" s="39">
        <f>IF('مستخلص 11'!$J$7="","",Z16-AA16)</f>
        <v/>
      </c>
      <c r="AD16" s="57">
        <f>IF(OR(AB16="",E16=""),"",AB16-E16)</f>
        <v/>
      </c>
      <c r="AE16" s="54">
        <f>IF('مستخلص 11'!$J$7="","",IF(N(AA16)=0,IF(E16="","⏳ بانتظار الاعتماد","✖ غير محصل"),IF(AC16&lt;=1,"✔ محصل بالكامل","⚠ محصل جزئياً")))</f>
        <v/>
      </c>
    </row>
    <row r="17">
      <c r="A17" s="52" t="n">
        <v>12</v>
      </c>
      <c r="B17" s="53">
        <f>IF(OR('مستخلص 12'!$J$7="",'مستخلص 12'!$J$6=""),"",'مستخلص 12'!$J$6)</f>
        <v/>
      </c>
      <c r="C17" s="53">
        <f>IF('مستخلص 12'!$J$7="","",'مستخلص 12'!$J$7)</f>
        <v/>
      </c>
      <c r="D17" s="53">
        <f>IF(OR('مستخلص 12'!$J$7="",'مستخلص 12'!$J$8=""),"",'مستخلص 12'!$J$8)</f>
        <v/>
      </c>
      <c r="E17" s="53">
        <f>IF(OR('مستخلص 12'!$J$7="",'مستخلص 12'!$J$9=""),"",'مستخلص 12'!$J$9)</f>
        <v/>
      </c>
      <c r="F17" s="54">
        <f>IF(OR('مستخلص 12'!$J$7="",'مستخلص 12'!$J$5=""),"",'مستخلص 12'!$J$5)</f>
        <v/>
      </c>
      <c r="G17" s="39">
        <f>IF('مستخلص 12'!$J$7="","",'مستخلص 12'!$L$19)</f>
        <v/>
      </c>
      <c r="H17" s="39">
        <f>IF('مستخلص 12'!$J$7="","",'مستخلص 12'!$J$19)</f>
        <v/>
      </c>
      <c r="I17" s="39">
        <f>IF('مستخلص 12'!$J$7="","",'مستخلص 12'!$L$20)</f>
        <v/>
      </c>
      <c r="J17" s="39">
        <f>IF('مستخلص 12'!$J$7="","",'مستخلص 12'!$L$21)</f>
        <v/>
      </c>
      <c r="K17" s="39">
        <f>IF('مستخلص 12'!$J$7="","",'مستخلص 12'!$L$22)</f>
        <v/>
      </c>
      <c r="L17" s="55">
        <f>IF('مستخلص 12'!$J$7="","",'مستخلص 12'!$L$6)</f>
        <v/>
      </c>
      <c r="M17" s="55">
        <f>IF(OR('مستخلص 12'!$J$7="",'مستخلص 12'!$L$8=""),"",'مستخلص 12'!$L$8)</f>
        <v/>
      </c>
      <c r="N17" s="55">
        <f>IF(OR('مستخلص 12'!$J$7="",M17=""),"",L17-M17)</f>
        <v/>
      </c>
      <c r="O17" s="39">
        <f>IF('مستخلص 12'!$J$7="","",-'مستخلص 12'!$L$23)</f>
        <v/>
      </c>
      <c r="P17" s="39">
        <f>IF('مستخلص 12'!$J$7="","",-'مستخلص 12'!$L$24)</f>
        <v/>
      </c>
      <c r="Q17" s="39">
        <f>IF('مستخلص 12'!$J$7="","",'مستخلص 12'!$L$25)</f>
        <v/>
      </c>
      <c r="R17" s="39">
        <f>IF('مستخلص 12'!$J$7="","",P17-Q17)</f>
        <v/>
      </c>
      <c r="S17" s="39">
        <f>IF('مستخلص 12'!$J$7="","",-'مستخلص 12'!$L$26)</f>
        <v/>
      </c>
      <c r="T17" s="39">
        <f>IF('مستخلص 12'!$J$7="","",-'مستخلص 12'!$L$27)</f>
        <v/>
      </c>
      <c r="U17" s="39">
        <f>IF('مستخلص 12'!$J$7="","",'مستخلص 12'!$L$28)</f>
        <v/>
      </c>
      <c r="V17" s="39">
        <f>IF('مستخلص 12'!$J$7="","",'مستخلص 12'!$L$29)</f>
        <v/>
      </c>
      <c r="W17" s="39">
        <f>IF('مستخلص 12'!$J$7="","",-'مستخلص 12'!$L$30)</f>
        <v/>
      </c>
      <c r="X17" s="56">
        <f>IF('مستخلص 12'!$J$7="","",'مستخلص 12'!$L$31)</f>
        <v/>
      </c>
      <c r="Y17" s="39">
        <f>IF('مستخلص 12'!$J$7="","",'مستخلص 12'!$H$31)</f>
        <v/>
      </c>
      <c r="Z17" s="56">
        <f>IF('مستخلص 12'!$J$7="","",'مستخلص 12'!$J$31)</f>
        <v/>
      </c>
      <c r="AA17" s="39">
        <f>IF('مستخلص 12'!$J$7="","",N('مستخلص 12'!$E$15))</f>
        <v/>
      </c>
      <c r="AB17" s="53">
        <f>IF(OR('مستخلص 12'!$J$7="",'مستخلص 12'!$K$15=""),"",'مستخلص 12'!$K$15)</f>
        <v/>
      </c>
      <c r="AC17" s="39">
        <f>IF('مستخلص 12'!$J$7="","",Z17-AA17)</f>
        <v/>
      </c>
      <c r="AD17" s="57">
        <f>IF(OR(AB17="",E17=""),"",AB17-E17)</f>
        <v/>
      </c>
      <c r="AE17" s="54">
        <f>IF('مستخلص 12'!$J$7="","",IF(N(AA17)=0,IF(E17="","⏳ بانتظار الاعتماد","✖ غير محصل"),IF(AC17&lt;=1,"✔ محصل بالكامل","⚠ محصل جزئياً")))</f>
        <v/>
      </c>
    </row>
    <row r="18">
      <c r="A18" s="52" t="n">
        <v>13</v>
      </c>
      <c r="B18" s="53">
        <f>IF(OR('مستخلص 13'!$J$7="",'مستخلص 13'!$J$6=""),"",'مستخلص 13'!$J$6)</f>
        <v/>
      </c>
      <c r="C18" s="53">
        <f>IF('مستخلص 13'!$J$7="","",'مستخلص 13'!$J$7)</f>
        <v/>
      </c>
      <c r="D18" s="53">
        <f>IF(OR('مستخلص 13'!$J$7="",'مستخلص 13'!$J$8=""),"",'مستخلص 13'!$J$8)</f>
        <v/>
      </c>
      <c r="E18" s="53">
        <f>IF(OR('مستخلص 13'!$J$7="",'مستخلص 13'!$J$9=""),"",'مستخلص 13'!$J$9)</f>
        <v/>
      </c>
      <c r="F18" s="54">
        <f>IF(OR('مستخلص 13'!$J$7="",'مستخلص 13'!$J$5=""),"",'مستخلص 13'!$J$5)</f>
        <v/>
      </c>
      <c r="G18" s="39">
        <f>IF('مستخلص 13'!$J$7="","",'مستخلص 13'!$L$19)</f>
        <v/>
      </c>
      <c r="H18" s="39">
        <f>IF('مستخلص 13'!$J$7="","",'مستخلص 13'!$J$19)</f>
        <v/>
      </c>
      <c r="I18" s="39">
        <f>IF('مستخلص 13'!$J$7="","",'مستخلص 13'!$L$20)</f>
        <v/>
      </c>
      <c r="J18" s="39">
        <f>IF('مستخلص 13'!$J$7="","",'مستخلص 13'!$L$21)</f>
        <v/>
      </c>
      <c r="K18" s="39">
        <f>IF('مستخلص 13'!$J$7="","",'مستخلص 13'!$L$22)</f>
        <v/>
      </c>
      <c r="L18" s="55">
        <f>IF('مستخلص 13'!$J$7="","",'مستخلص 13'!$L$6)</f>
        <v/>
      </c>
      <c r="M18" s="55">
        <f>IF(OR('مستخلص 13'!$J$7="",'مستخلص 13'!$L$8=""),"",'مستخلص 13'!$L$8)</f>
        <v/>
      </c>
      <c r="N18" s="55">
        <f>IF(OR('مستخلص 13'!$J$7="",M18=""),"",L18-M18)</f>
        <v/>
      </c>
      <c r="O18" s="39">
        <f>IF('مستخلص 13'!$J$7="","",-'مستخلص 13'!$L$23)</f>
        <v/>
      </c>
      <c r="P18" s="39">
        <f>IF('مستخلص 13'!$J$7="","",-'مستخلص 13'!$L$24)</f>
        <v/>
      </c>
      <c r="Q18" s="39">
        <f>IF('مستخلص 13'!$J$7="","",'مستخلص 13'!$L$25)</f>
        <v/>
      </c>
      <c r="R18" s="39">
        <f>IF('مستخلص 13'!$J$7="","",P18-Q18)</f>
        <v/>
      </c>
      <c r="S18" s="39">
        <f>IF('مستخلص 13'!$J$7="","",-'مستخلص 13'!$L$26)</f>
        <v/>
      </c>
      <c r="T18" s="39">
        <f>IF('مستخلص 13'!$J$7="","",-'مستخلص 13'!$L$27)</f>
        <v/>
      </c>
      <c r="U18" s="39">
        <f>IF('مستخلص 13'!$J$7="","",'مستخلص 13'!$L$28)</f>
        <v/>
      </c>
      <c r="V18" s="39">
        <f>IF('مستخلص 13'!$J$7="","",'مستخلص 13'!$L$29)</f>
        <v/>
      </c>
      <c r="W18" s="39">
        <f>IF('مستخلص 13'!$J$7="","",-'مستخلص 13'!$L$30)</f>
        <v/>
      </c>
      <c r="X18" s="56">
        <f>IF('مستخلص 13'!$J$7="","",'مستخلص 13'!$L$31)</f>
        <v/>
      </c>
      <c r="Y18" s="39">
        <f>IF('مستخلص 13'!$J$7="","",'مستخلص 13'!$H$31)</f>
        <v/>
      </c>
      <c r="Z18" s="56">
        <f>IF('مستخلص 13'!$J$7="","",'مستخلص 13'!$J$31)</f>
        <v/>
      </c>
      <c r="AA18" s="39">
        <f>IF('مستخلص 13'!$J$7="","",N('مستخلص 13'!$E$15))</f>
        <v/>
      </c>
      <c r="AB18" s="53">
        <f>IF(OR('مستخلص 13'!$J$7="",'مستخلص 13'!$K$15=""),"",'مستخلص 13'!$K$15)</f>
        <v/>
      </c>
      <c r="AC18" s="39">
        <f>IF('مستخلص 13'!$J$7="","",Z18-AA18)</f>
        <v/>
      </c>
      <c r="AD18" s="57">
        <f>IF(OR(AB18="",E18=""),"",AB18-E18)</f>
        <v/>
      </c>
      <c r="AE18" s="54">
        <f>IF('مستخلص 13'!$J$7="","",IF(N(AA18)=0,IF(E18="","⏳ بانتظار الاعتماد","✖ غير محصل"),IF(AC18&lt;=1,"✔ محصل بالكامل","⚠ محصل جزئياً")))</f>
        <v/>
      </c>
    </row>
    <row r="19">
      <c r="A19" s="52" t="n">
        <v>14</v>
      </c>
      <c r="B19" s="53">
        <f>IF(OR('مستخلص 14'!$J$7="",'مستخلص 14'!$J$6=""),"",'مستخلص 14'!$J$6)</f>
        <v/>
      </c>
      <c r="C19" s="53">
        <f>IF('مستخلص 14'!$J$7="","",'مستخلص 14'!$J$7)</f>
        <v/>
      </c>
      <c r="D19" s="53">
        <f>IF(OR('مستخلص 14'!$J$7="",'مستخلص 14'!$J$8=""),"",'مستخلص 14'!$J$8)</f>
        <v/>
      </c>
      <c r="E19" s="53">
        <f>IF(OR('مستخلص 14'!$J$7="",'مستخلص 14'!$J$9=""),"",'مستخلص 14'!$J$9)</f>
        <v/>
      </c>
      <c r="F19" s="54">
        <f>IF(OR('مستخلص 14'!$J$7="",'مستخلص 14'!$J$5=""),"",'مستخلص 14'!$J$5)</f>
        <v/>
      </c>
      <c r="G19" s="39">
        <f>IF('مستخلص 14'!$J$7="","",'مستخلص 14'!$L$19)</f>
        <v/>
      </c>
      <c r="H19" s="39">
        <f>IF('مستخلص 14'!$J$7="","",'مستخلص 14'!$J$19)</f>
        <v/>
      </c>
      <c r="I19" s="39">
        <f>IF('مستخلص 14'!$J$7="","",'مستخلص 14'!$L$20)</f>
        <v/>
      </c>
      <c r="J19" s="39">
        <f>IF('مستخلص 14'!$J$7="","",'مستخلص 14'!$L$21)</f>
        <v/>
      </c>
      <c r="K19" s="39">
        <f>IF('مستخلص 14'!$J$7="","",'مستخلص 14'!$L$22)</f>
        <v/>
      </c>
      <c r="L19" s="55">
        <f>IF('مستخلص 14'!$J$7="","",'مستخلص 14'!$L$6)</f>
        <v/>
      </c>
      <c r="M19" s="55">
        <f>IF(OR('مستخلص 14'!$J$7="",'مستخلص 14'!$L$8=""),"",'مستخلص 14'!$L$8)</f>
        <v/>
      </c>
      <c r="N19" s="55">
        <f>IF(OR('مستخلص 14'!$J$7="",M19=""),"",L19-M19)</f>
        <v/>
      </c>
      <c r="O19" s="39">
        <f>IF('مستخلص 14'!$J$7="","",-'مستخلص 14'!$L$23)</f>
        <v/>
      </c>
      <c r="P19" s="39">
        <f>IF('مستخلص 14'!$J$7="","",-'مستخلص 14'!$L$24)</f>
        <v/>
      </c>
      <c r="Q19" s="39">
        <f>IF('مستخلص 14'!$J$7="","",'مستخلص 14'!$L$25)</f>
        <v/>
      </c>
      <c r="R19" s="39">
        <f>IF('مستخلص 14'!$J$7="","",P19-Q19)</f>
        <v/>
      </c>
      <c r="S19" s="39">
        <f>IF('مستخلص 14'!$J$7="","",-'مستخلص 14'!$L$26)</f>
        <v/>
      </c>
      <c r="T19" s="39">
        <f>IF('مستخلص 14'!$J$7="","",-'مستخلص 14'!$L$27)</f>
        <v/>
      </c>
      <c r="U19" s="39">
        <f>IF('مستخلص 14'!$J$7="","",'مستخلص 14'!$L$28)</f>
        <v/>
      </c>
      <c r="V19" s="39">
        <f>IF('مستخلص 14'!$J$7="","",'مستخلص 14'!$L$29)</f>
        <v/>
      </c>
      <c r="W19" s="39">
        <f>IF('مستخلص 14'!$J$7="","",-'مستخلص 14'!$L$30)</f>
        <v/>
      </c>
      <c r="X19" s="56">
        <f>IF('مستخلص 14'!$J$7="","",'مستخلص 14'!$L$31)</f>
        <v/>
      </c>
      <c r="Y19" s="39">
        <f>IF('مستخلص 14'!$J$7="","",'مستخلص 14'!$H$31)</f>
        <v/>
      </c>
      <c r="Z19" s="56">
        <f>IF('مستخلص 14'!$J$7="","",'مستخلص 14'!$J$31)</f>
        <v/>
      </c>
      <c r="AA19" s="39">
        <f>IF('مستخلص 14'!$J$7="","",N('مستخلص 14'!$E$15))</f>
        <v/>
      </c>
      <c r="AB19" s="53">
        <f>IF(OR('مستخلص 14'!$J$7="",'مستخلص 14'!$K$15=""),"",'مستخلص 14'!$K$15)</f>
        <v/>
      </c>
      <c r="AC19" s="39">
        <f>IF('مستخلص 14'!$J$7="","",Z19-AA19)</f>
        <v/>
      </c>
      <c r="AD19" s="57">
        <f>IF(OR(AB19="",E19=""),"",AB19-E19)</f>
        <v/>
      </c>
      <c r="AE19" s="54">
        <f>IF('مستخلص 14'!$J$7="","",IF(N(AA19)=0,IF(E19="","⏳ بانتظار الاعتماد","✖ غير محصل"),IF(AC19&lt;=1,"✔ محصل بالكامل","⚠ محصل جزئياً")))</f>
        <v/>
      </c>
    </row>
    <row r="20">
      <c r="A20" s="52" t="n">
        <v>15</v>
      </c>
      <c r="B20" s="53">
        <f>IF(OR('مستخلص 15'!$J$7="",'مستخلص 15'!$J$6=""),"",'مستخلص 15'!$J$6)</f>
        <v/>
      </c>
      <c r="C20" s="53">
        <f>IF('مستخلص 15'!$J$7="","",'مستخلص 15'!$J$7)</f>
        <v/>
      </c>
      <c r="D20" s="53">
        <f>IF(OR('مستخلص 15'!$J$7="",'مستخلص 15'!$J$8=""),"",'مستخلص 15'!$J$8)</f>
        <v/>
      </c>
      <c r="E20" s="53">
        <f>IF(OR('مستخلص 15'!$J$7="",'مستخلص 15'!$J$9=""),"",'مستخلص 15'!$J$9)</f>
        <v/>
      </c>
      <c r="F20" s="54">
        <f>IF(OR('مستخلص 15'!$J$7="",'مستخلص 15'!$J$5=""),"",'مستخلص 15'!$J$5)</f>
        <v/>
      </c>
      <c r="G20" s="39">
        <f>IF('مستخلص 15'!$J$7="","",'مستخلص 15'!$L$19)</f>
        <v/>
      </c>
      <c r="H20" s="39">
        <f>IF('مستخلص 15'!$J$7="","",'مستخلص 15'!$J$19)</f>
        <v/>
      </c>
      <c r="I20" s="39">
        <f>IF('مستخلص 15'!$J$7="","",'مستخلص 15'!$L$20)</f>
        <v/>
      </c>
      <c r="J20" s="39">
        <f>IF('مستخلص 15'!$J$7="","",'مستخلص 15'!$L$21)</f>
        <v/>
      </c>
      <c r="K20" s="39">
        <f>IF('مستخلص 15'!$J$7="","",'مستخلص 15'!$L$22)</f>
        <v/>
      </c>
      <c r="L20" s="55">
        <f>IF('مستخلص 15'!$J$7="","",'مستخلص 15'!$L$6)</f>
        <v/>
      </c>
      <c r="M20" s="55">
        <f>IF(OR('مستخلص 15'!$J$7="",'مستخلص 15'!$L$8=""),"",'مستخلص 15'!$L$8)</f>
        <v/>
      </c>
      <c r="N20" s="55">
        <f>IF(OR('مستخلص 15'!$J$7="",M20=""),"",L20-M20)</f>
        <v/>
      </c>
      <c r="O20" s="39">
        <f>IF('مستخلص 15'!$J$7="","",-'مستخلص 15'!$L$23)</f>
        <v/>
      </c>
      <c r="P20" s="39">
        <f>IF('مستخلص 15'!$J$7="","",-'مستخلص 15'!$L$24)</f>
        <v/>
      </c>
      <c r="Q20" s="39">
        <f>IF('مستخلص 15'!$J$7="","",'مستخلص 15'!$L$25)</f>
        <v/>
      </c>
      <c r="R20" s="39">
        <f>IF('مستخلص 15'!$J$7="","",P20-Q20)</f>
        <v/>
      </c>
      <c r="S20" s="39">
        <f>IF('مستخلص 15'!$J$7="","",-'مستخلص 15'!$L$26)</f>
        <v/>
      </c>
      <c r="T20" s="39">
        <f>IF('مستخلص 15'!$J$7="","",-'مستخلص 15'!$L$27)</f>
        <v/>
      </c>
      <c r="U20" s="39">
        <f>IF('مستخلص 15'!$J$7="","",'مستخلص 15'!$L$28)</f>
        <v/>
      </c>
      <c r="V20" s="39">
        <f>IF('مستخلص 15'!$J$7="","",'مستخلص 15'!$L$29)</f>
        <v/>
      </c>
      <c r="W20" s="39">
        <f>IF('مستخلص 15'!$J$7="","",-'مستخلص 15'!$L$30)</f>
        <v/>
      </c>
      <c r="X20" s="56">
        <f>IF('مستخلص 15'!$J$7="","",'مستخلص 15'!$L$31)</f>
        <v/>
      </c>
      <c r="Y20" s="39">
        <f>IF('مستخلص 15'!$J$7="","",'مستخلص 15'!$H$31)</f>
        <v/>
      </c>
      <c r="Z20" s="56">
        <f>IF('مستخلص 15'!$J$7="","",'مستخلص 15'!$J$31)</f>
        <v/>
      </c>
      <c r="AA20" s="39">
        <f>IF('مستخلص 15'!$J$7="","",N('مستخلص 15'!$E$15))</f>
        <v/>
      </c>
      <c r="AB20" s="53">
        <f>IF(OR('مستخلص 15'!$J$7="",'مستخلص 15'!$K$15=""),"",'مستخلص 15'!$K$15)</f>
        <v/>
      </c>
      <c r="AC20" s="39">
        <f>IF('مستخلص 15'!$J$7="","",Z20-AA20)</f>
        <v/>
      </c>
      <c r="AD20" s="57">
        <f>IF(OR(AB20="",E20=""),"",AB20-E20)</f>
        <v/>
      </c>
      <c r="AE20" s="54">
        <f>IF('مستخلص 15'!$J$7="","",IF(N(AA20)=0,IF(E20="","⏳ بانتظار الاعتماد","✖ غير محصل"),IF(AC20&lt;=1,"✔ محصل بالكامل","⚠ محصل جزئياً")))</f>
        <v/>
      </c>
    </row>
    <row r="21">
      <c r="A21" s="52" t="n">
        <v>16</v>
      </c>
      <c r="B21" s="53">
        <f>IF(OR('مستخلص 16'!$J$7="",'مستخلص 16'!$J$6=""),"",'مستخلص 16'!$J$6)</f>
        <v/>
      </c>
      <c r="C21" s="53">
        <f>IF('مستخلص 16'!$J$7="","",'مستخلص 16'!$J$7)</f>
        <v/>
      </c>
      <c r="D21" s="53">
        <f>IF(OR('مستخلص 16'!$J$7="",'مستخلص 16'!$J$8=""),"",'مستخلص 16'!$J$8)</f>
        <v/>
      </c>
      <c r="E21" s="53">
        <f>IF(OR('مستخلص 16'!$J$7="",'مستخلص 16'!$J$9=""),"",'مستخلص 16'!$J$9)</f>
        <v/>
      </c>
      <c r="F21" s="54">
        <f>IF(OR('مستخلص 16'!$J$7="",'مستخلص 16'!$J$5=""),"",'مستخلص 16'!$J$5)</f>
        <v/>
      </c>
      <c r="G21" s="39">
        <f>IF('مستخلص 16'!$J$7="","",'مستخلص 16'!$L$19)</f>
        <v/>
      </c>
      <c r="H21" s="39">
        <f>IF('مستخلص 16'!$J$7="","",'مستخلص 16'!$J$19)</f>
        <v/>
      </c>
      <c r="I21" s="39">
        <f>IF('مستخلص 16'!$J$7="","",'مستخلص 16'!$L$20)</f>
        <v/>
      </c>
      <c r="J21" s="39">
        <f>IF('مستخلص 16'!$J$7="","",'مستخلص 16'!$L$21)</f>
        <v/>
      </c>
      <c r="K21" s="39">
        <f>IF('مستخلص 16'!$J$7="","",'مستخلص 16'!$L$22)</f>
        <v/>
      </c>
      <c r="L21" s="55">
        <f>IF('مستخلص 16'!$J$7="","",'مستخلص 16'!$L$6)</f>
        <v/>
      </c>
      <c r="M21" s="55">
        <f>IF(OR('مستخلص 16'!$J$7="",'مستخلص 16'!$L$8=""),"",'مستخلص 16'!$L$8)</f>
        <v/>
      </c>
      <c r="N21" s="55">
        <f>IF(OR('مستخلص 16'!$J$7="",M21=""),"",L21-M21)</f>
        <v/>
      </c>
      <c r="O21" s="39">
        <f>IF('مستخلص 16'!$J$7="","",-'مستخلص 16'!$L$23)</f>
        <v/>
      </c>
      <c r="P21" s="39">
        <f>IF('مستخلص 16'!$J$7="","",-'مستخلص 16'!$L$24)</f>
        <v/>
      </c>
      <c r="Q21" s="39">
        <f>IF('مستخلص 16'!$J$7="","",'مستخلص 16'!$L$25)</f>
        <v/>
      </c>
      <c r="R21" s="39">
        <f>IF('مستخلص 16'!$J$7="","",P21-Q21)</f>
        <v/>
      </c>
      <c r="S21" s="39">
        <f>IF('مستخلص 16'!$J$7="","",-'مستخلص 16'!$L$26)</f>
        <v/>
      </c>
      <c r="T21" s="39">
        <f>IF('مستخلص 16'!$J$7="","",-'مستخلص 16'!$L$27)</f>
        <v/>
      </c>
      <c r="U21" s="39">
        <f>IF('مستخلص 16'!$J$7="","",'مستخلص 16'!$L$28)</f>
        <v/>
      </c>
      <c r="V21" s="39">
        <f>IF('مستخلص 16'!$J$7="","",'مستخلص 16'!$L$29)</f>
        <v/>
      </c>
      <c r="W21" s="39">
        <f>IF('مستخلص 16'!$J$7="","",-'مستخلص 16'!$L$30)</f>
        <v/>
      </c>
      <c r="X21" s="56">
        <f>IF('مستخلص 16'!$J$7="","",'مستخلص 16'!$L$31)</f>
        <v/>
      </c>
      <c r="Y21" s="39">
        <f>IF('مستخلص 16'!$J$7="","",'مستخلص 16'!$H$31)</f>
        <v/>
      </c>
      <c r="Z21" s="56">
        <f>IF('مستخلص 16'!$J$7="","",'مستخلص 16'!$J$31)</f>
        <v/>
      </c>
      <c r="AA21" s="39">
        <f>IF('مستخلص 16'!$J$7="","",N('مستخلص 16'!$E$15))</f>
        <v/>
      </c>
      <c r="AB21" s="53">
        <f>IF(OR('مستخلص 16'!$J$7="",'مستخلص 16'!$K$15=""),"",'مستخلص 16'!$K$15)</f>
        <v/>
      </c>
      <c r="AC21" s="39">
        <f>IF('مستخلص 16'!$J$7="","",Z21-AA21)</f>
        <v/>
      </c>
      <c r="AD21" s="57">
        <f>IF(OR(AB21="",E21=""),"",AB21-E21)</f>
        <v/>
      </c>
      <c r="AE21" s="54">
        <f>IF('مستخلص 16'!$J$7="","",IF(N(AA21)=0,IF(E21="","⏳ بانتظار الاعتماد","✖ غير محصل"),IF(AC21&lt;=1,"✔ محصل بالكامل","⚠ محصل جزئياً")))</f>
        <v/>
      </c>
    </row>
    <row r="22">
      <c r="A22" s="52" t="n">
        <v>17</v>
      </c>
      <c r="B22" s="53">
        <f>IF(OR('مستخلص 17'!$J$7="",'مستخلص 17'!$J$6=""),"",'مستخلص 17'!$J$6)</f>
        <v/>
      </c>
      <c r="C22" s="53">
        <f>IF('مستخلص 17'!$J$7="","",'مستخلص 17'!$J$7)</f>
        <v/>
      </c>
      <c r="D22" s="53">
        <f>IF(OR('مستخلص 17'!$J$7="",'مستخلص 17'!$J$8=""),"",'مستخلص 17'!$J$8)</f>
        <v/>
      </c>
      <c r="E22" s="53">
        <f>IF(OR('مستخلص 17'!$J$7="",'مستخلص 17'!$J$9=""),"",'مستخلص 17'!$J$9)</f>
        <v/>
      </c>
      <c r="F22" s="54">
        <f>IF(OR('مستخلص 17'!$J$7="",'مستخلص 17'!$J$5=""),"",'مستخلص 17'!$J$5)</f>
        <v/>
      </c>
      <c r="G22" s="39">
        <f>IF('مستخلص 17'!$J$7="","",'مستخلص 17'!$L$19)</f>
        <v/>
      </c>
      <c r="H22" s="39">
        <f>IF('مستخلص 17'!$J$7="","",'مستخلص 17'!$J$19)</f>
        <v/>
      </c>
      <c r="I22" s="39">
        <f>IF('مستخلص 17'!$J$7="","",'مستخلص 17'!$L$20)</f>
        <v/>
      </c>
      <c r="J22" s="39">
        <f>IF('مستخلص 17'!$J$7="","",'مستخلص 17'!$L$21)</f>
        <v/>
      </c>
      <c r="K22" s="39">
        <f>IF('مستخلص 17'!$J$7="","",'مستخلص 17'!$L$22)</f>
        <v/>
      </c>
      <c r="L22" s="55">
        <f>IF('مستخلص 17'!$J$7="","",'مستخلص 17'!$L$6)</f>
        <v/>
      </c>
      <c r="M22" s="55">
        <f>IF(OR('مستخلص 17'!$J$7="",'مستخلص 17'!$L$8=""),"",'مستخلص 17'!$L$8)</f>
        <v/>
      </c>
      <c r="N22" s="55">
        <f>IF(OR('مستخلص 17'!$J$7="",M22=""),"",L22-M22)</f>
        <v/>
      </c>
      <c r="O22" s="39">
        <f>IF('مستخلص 17'!$J$7="","",-'مستخلص 17'!$L$23)</f>
        <v/>
      </c>
      <c r="P22" s="39">
        <f>IF('مستخلص 17'!$J$7="","",-'مستخلص 17'!$L$24)</f>
        <v/>
      </c>
      <c r="Q22" s="39">
        <f>IF('مستخلص 17'!$J$7="","",'مستخلص 17'!$L$25)</f>
        <v/>
      </c>
      <c r="R22" s="39">
        <f>IF('مستخلص 17'!$J$7="","",P22-Q22)</f>
        <v/>
      </c>
      <c r="S22" s="39">
        <f>IF('مستخلص 17'!$J$7="","",-'مستخلص 17'!$L$26)</f>
        <v/>
      </c>
      <c r="T22" s="39">
        <f>IF('مستخلص 17'!$J$7="","",-'مستخلص 17'!$L$27)</f>
        <v/>
      </c>
      <c r="U22" s="39">
        <f>IF('مستخلص 17'!$J$7="","",'مستخلص 17'!$L$28)</f>
        <v/>
      </c>
      <c r="V22" s="39">
        <f>IF('مستخلص 17'!$J$7="","",'مستخلص 17'!$L$29)</f>
        <v/>
      </c>
      <c r="W22" s="39">
        <f>IF('مستخلص 17'!$J$7="","",-'مستخلص 17'!$L$30)</f>
        <v/>
      </c>
      <c r="X22" s="56">
        <f>IF('مستخلص 17'!$J$7="","",'مستخلص 17'!$L$31)</f>
        <v/>
      </c>
      <c r="Y22" s="39">
        <f>IF('مستخلص 17'!$J$7="","",'مستخلص 17'!$H$31)</f>
        <v/>
      </c>
      <c r="Z22" s="56">
        <f>IF('مستخلص 17'!$J$7="","",'مستخلص 17'!$J$31)</f>
        <v/>
      </c>
      <c r="AA22" s="39">
        <f>IF('مستخلص 17'!$J$7="","",N('مستخلص 17'!$E$15))</f>
        <v/>
      </c>
      <c r="AB22" s="53">
        <f>IF(OR('مستخلص 17'!$J$7="",'مستخلص 17'!$K$15=""),"",'مستخلص 17'!$K$15)</f>
        <v/>
      </c>
      <c r="AC22" s="39">
        <f>IF('مستخلص 17'!$J$7="","",Z22-AA22)</f>
        <v/>
      </c>
      <c r="AD22" s="57">
        <f>IF(OR(AB22="",E22=""),"",AB22-E22)</f>
        <v/>
      </c>
      <c r="AE22" s="54">
        <f>IF('مستخلص 17'!$J$7="","",IF(N(AA22)=0,IF(E22="","⏳ بانتظار الاعتماد","✖ غير محصل"),IF(AC22&lt;=1,"✔ محصل بالكامل","⚠ محصل جزئياً")))</f>
        <v/>
      </c>
    </row>
    <row r="23">
      <c r="A23" s="52" t="n">
        <v>18</v>
      </c>
      <c r="B23" s="53">
        <f>IF(OR('مستخلص 18'!$J$7="",'مستخلص 18'!$J$6=""),"",'مستخلص 18'!$J$6)</f>
        <v/>
      </c>
      <c r="C23" s="53">
        <f>IF('مستخلص 18'!$J$7="","",'مستخلص 18'!$J$7)</f>
        <v/>
      </c>
      <c r="D23" s="53">
        <f>IF(OR('مستخلص 18'!$J$7="",'مستخلص 18'!$J$8=""),"",'مستخلص 18'!$J$8)</f>
        <v/>
      </c>
      <c r="E23" s="53">
        <f>IF(OR('مستخلص 18'!$J$7="",'مستخلص 18'!$J$9=""),"",'مستخلص 18'!$J$9)</f>
        <v/>
      </c>
      <c r="F23" s="54">
        <f>IF(OR('مستخلص 18'!$J$7="",'مستخلص 18'!$J$5=""),"",'مستخلص 18'!$J$5)</f>
        <v/>
      </c>
      <c r="G23" s="39">
        <f>IF('مستخلص 18'!$J$7="","",'مستخلص 18'!$L$19)</f>
        <v/>
      </c>
      <c r="H23" s="39">
        <f>IF('مستخلص 18'!$J$7="","",'مستخلص 18'!$J$19)</f>
        <v/>
      </c>
      <c r="I23" s="39">
        <f>IF('مستخلص 18'!$J$7="","",'مستخلص 18'!$L$20)</f>
        <v/>
      </c>
      <c r="J23" s="39">
        <f>IF('مستخلص 18'!$J$7="","",'مستخلص 18'!$L$21)</f>
        <v/>
      </c>
      <c r="K23" s="39">
        <f>IF('مستخلص 18'!$J$7="","",'مستخلص 18'!$L$22)</f>
        <v/>
      </c>
      <c r="L23" s="55">
        <f>IF('مستخلص 18'!$J$7="","",'مستخلص 18'!$L$6)</f>
        <v/>
      </c>
      <c r="M23" s="55">
        <f>IF(OR('مستخلص 18'!$J$7="",'مستخلص 18'!$L$8=""),"",'مستخلص 18'!$L$8)</f>
        <v/>
      </c>
      <c r="N23" s="55">
        <f>IF(OR('مستخلص 18'!$J$7="",M23=""),"",L23-M23)</f>
        <v/>
      </c>
      <c r="O23" s="39">
        <f>IF('مستخلص 18'!$J$7="","",-'مستخلص 18'!$L$23)</f>
        <v/>
      </c>
      <c r="P23" s="39">
        <f>IF('مستخلص 18'!$J$7="","",-'مستخلص 18'!$L$24)</f>
        <v/>
      </c>
      <c r="Q23" s="39">
        <f>IF('مستخلص 18'!$J$7="","",'مستخلص 18'!$L$25)</f>
        <v/>
      </c>
      <c r="R23" s="39">
        <f>IF('مستخلص 18'!$J$7="","",P23-Q23)</f>
        <v/>
      </c>
      <c r="S23" s="39">
        <f>IF('مستخلص 18'!$J$7="","",-'مستخلص 18'!$L$26)</f>
        <v/>
      </c>
      <c r="T23" s="39">
        <f>IF('مستخلص 18'!$J$7="","",-'مستخلص 18'!$L$27)</f>
        <v/>
      </c>
      <c r="U23" s="39">
        <f>IF('مستخلص 18'!$J$7="","",'مستخلص 18'!$L$28)</f>
        <v/>
      </c>
      <c r="V23" s="39">
        <f>IF('مستخلص 18'!$J$7="","",'مستخلص 18'!$L$29)</f>
        <v/>
      </c>
      <c r="W23" s="39">
        <f>IF('مستخلص 18'!$J$7="","",-'مستخلص 18'!$L$30)</f>
        <v/>
      </c>
      <c r="X23" s="56">
        <f>IF('مستخلص 18'!$J$7="","",'مستخلص 18'!$L$31)</f>
        <v/>
      </c>
      <c r="Y23" s="39">
        <f>IF('مستخلص 18'!$J$7="","",'مستخلص 18'!$H$31)</f>
        <v/>
      </c>
      <c r="Z23" s="56">
        <f>IF('مستخلص 18'!$J$7="","",'مستخلص 18'!$J$31)</f>
        <v/>
      </c>
      <c r="AA23" s="39">
        <f>IF('مستخلص 18'!$J$7="","",N('مستخلص 18'!$E$15))</f>
        <v/>
      </c>
      <c r="AB23" s="53">
        <f>IF(OR('مستخلص 18'!$J$7="",'مستخلص 18'!$K$15=""),"",'مستخلص 18'!$K$15)</f>
        <v/>
      </c>
      <c r="AC23" s="39">
        <f>IF('مستخلص 18'!$J$7="","",Z23-AA23)</f>
        <v/>
      </c>
      <c r="AD23" s="57">
        <f>IF(OR(AB23="",E23=""),"",AB23-E23)</f>
        <v/>
      </c>
      <c r="AE23" s="54">
        <f>IF('مستخلص 18'!$J$7="","",IF(N(AA23)=0,IF(E23="","⏳ بانتظار الاعتماد","✖ غير محصل"),IF(AC23&lt;=1,"✔ محصل بالكامل","⚠ محصل جزئياً")))</f>
        <v/>
      </c>
    </row>
    <row r="24">
      <c r="A24" s="52" t="n">
        <v>19</v>
      </c>
      <c r="B24" s="53">
        <f>IF(OR('مستخلص 19'!$J$7="",'مستخلص 19'!$J$6=""),"",'مستخلص 19'!$J$6)</f>
        <v/>
      </c>
      <c r="C24" s="53">
        <f>IF('مستخلص 19'!$J$7="","",'مستخلص 19'!$J$7)</f>
        <v/>
      </c>
      <c r="D24" s="53">
        <f>IF(OR('مستخلص 19'!$J$7="",'مستخلص 19'!$J$8=""),"",'مستخلص 19'!$J$8)</f>
        <v/>
      </c>
      <c r="E24" s="53">
        <f>IF(OR('مستخلص 19'!$J$7="",'مستخلص 19'!$J$9=""),"",'مستخلص 19'!$J$9)</f>
        <v/>
      </c>
      <c r="F24" s="54">
        <f>IF(OR('مستخلص 19'!$J$7="",'مستخلص 19'!$J$5=""),"",'مستخلص 19'!$J$5)</f>
        <v/>
      </c>
      <c r="G24" s="39">
        <f>IF('مستخلص 19'!$J$7="","",'مستخلص 19'!$L$19)</f>
        <v/>
      </c>
      <c r="H24" s="39">
        <f>IF('مستخلص 19'!$J$7="","",'مستخلص 19'!$J$19)</f>
        <v/>
      </c>
      <c r="I24" s="39">
        <f>IF('مستخلص 19'!$J$7="","",'مستخلص 19'!$L$20)</f>
        <v/>
      </c>
      <c r="J24" s="39">
        <f>IF('مستخلص 19'!$J$7="","",'مستخلص 19'!$L$21)</f>
        <v/>
      </c>
      <c r="K24" s="39">
        <f>IF('مستخلص 19'!$J$7="","",'مستخلص 19'!$L$22)</f>
        <v/>
      </c>
      <c r="L24" s="55">
        <f>IF('مستخلص 19'!$J$7="","",'مستخلص 19'!$L$6)</f>
        <v/>
      </c>
      <c r="M24" s="55">
        <f>IF(OR('مستخلص 19'!$J$7="",'مستخلص 19'!$L$8=""),"",'مستخلص 19'!$L$8)</f>
        <v/>
      </c>
      <c r="N24" s="55">
        <f>IF(OR('مستخلص 19'!$J$7="",M24=""),"",L24-M24)</f>
        <v/>
      </c>
      <c r="O24" s="39">
        <f>IF('مستخلص 19'!$J$7="","",-'مستخلص 19'!$L$23)</f>
        <v/>
      </c>
      <c r="P24" s="39">
        <f>IF('مستخلص 19'!$J$7="","",-'مستخلص 19'!$L$24)</f>
        <v/>
      </c>
      <c r="Q24" s="39">
        <f>IF('مستخلص 19'!$J$7="","",'مستخلص 19'!$L$25)</f>
        <v/>
      </c>
      <c r="R24" s="39">
        <f>IF('مستخلص 19'!$J$7="","",P24-Q24)</f>
        <v/>
      </c>
      <c r="S24" s="39">
        <f>IF('مستخلص 19'!$J$7="","",-'مستخلص 19'!$L$26)</f>
        <v/>
      </c>
      <c r="T24" s="39">
        <f>IF('مستخلص 19'!$J$7="","",-'مستخلص 19'!$L$27)</f>
        <v/>
      </c>
      <c r="U24" s="39">
        <f>IF('مستخلص 19'!$J$7="","",'مستخلص 19'!$L$28)</f>
        <v/>
      </c>
      <c r="V24" s="39">
        <f>IF('مستخلص 19'!$J$7="","",'مستخلص 19'!$L$29)</f>
        <v/>
      </c>
      <c r="W24" s="39">
        <f>IF('مستخلص 19'!$J$7="","",-'مستخلص 19'!$L$30)</f>
        <v/>
      </c>
      <c r="X24" s="56">
        <f>IF('مستخلص 19'!$J$7="","",'مستخلص 19'!$L$31)</f>
        <v/>
      </c>
      <c r="Y24" s="39">
        <f>IF('مستخلص 19'!$J$7="","",'مستخلص 19'!$H$31)</f>
        <v/>
      </c>
      <c r="Z24" s="56">
        <f>IF('مستخلص 19'!$J$7="","",'مستخلص 19'!$J$31)</f>
        <v/>
      </c>
      <c r="AA24" s="39">
        <f>IF('مستخلص 19'!$J$7="","",N('مستخلص 19'!$E$15))</f>
        <v/>
      </c>
      <c r="AB24" s="53">
        <f>IF(OR('مستخلص 19'!$J$7="",'مستخلص 19'!$K$15=""),"",'مستخلص 19'!$K$15)</f>
        <v/>
      </c>
      <c r="AC24" s="39">
        <f>IF('مستخلص 19'!$J$7="","",Z24-AA24)</f>
        <v/>
      </c>
      <c r="AD24" s="57">
        <f>IF(OR(AB24="",E24=""),"",AB24-E24)</f>
        <v/>
      </c>
      <c r="AE24" s="54">
        <f>IF('مستخلص 19'!$J$7="","",IF(N(AA24)=0,IF(E24="","⏳ بانتظار الاعتماد","✖ غير محصل"),IF(AC24&lt;=1,"✔ محصل بالكامل","⚠ محصل جزئياً")))</f>
        <v/>
      </c>
    </row>
    <row r="25">
      <c r="A25" s="52" t="n">
        <v>20</v>
      </c>
      <c r="B25" s="53">
        <f>IF(OR('مستخلص 20'!$J$7="",'مستخلص 20'!$J$6=""),"",'مستخلص 20'!$J$6)</f>
        <v/>
      </c>
      <c r="C25" s="53">
        <f>IF('مستخلص 20'!$J$7="","",'مستخلص 20'!$J$7)</f>
        <v/>
      </c>
      <c r="D25" s="53">
        <f>IF(OR('مستخلص 20'!$J$7="",'مستخلص 20'!$J$8=""),"",'مستخلص 20'!$J$8)</f>
        <v/>
      </c>
      <c r="E25" s="53">
        <f>IF(OR('مستخلص 20'!$J$7="",'مستخلص 20'!$J$9=""),"",'مستخلص 20'!$J$9)</f>
        <v/>
      </c>
      <c r="F25" s="54">
        <f>IF(OR('مستخلص 20'!$J$7="",'مستخلص 20'!$J$5=""),"",'مستخلص 20'!$J$5)</f>
        <v/>
      </c>
      <c r="G25" s="39">
        <f>IF('مستخلص 20'!$J$7="","",'مستخلص 20'!$L$19)</f>
        <v/>
      </c>
      <c r="H25" s="39">
        <f>IF('مستخلص 20'!$J$7="","",'مستخلص 20'!$J$19)</f>
        <v/>
      </c>
      <c r="I25" s="39">
        <f>IF('مستخلص 20'!$J$7="","",'مستخلص 20'!$L$20)</f>
        <v/>
      </c>
      <c r="J25" s="39">
        <f>IF('مستخلص 20'!$J$7="","",'مستخلص 20'!$L$21)</f>
        <v/>
      </c>
      <c r="K25" s="39">
        <f>IF('مستخلص 20'!$J$7="","",'مستخلص 20'!$L$22)</f>
        <v/>
      </c>
      <c r="L25" s="55">
        <f>IF('مستخلص 20'!$J$7="","",'مستخلص 20'!$L$6)</f>
        <v/>
      </c>
      <c r="M25" s="55">
        <f>IF(OR('مستخلص 20'!$J$7="",'مستخلص 20'!$L$8=""),"",'مستخلص 20'!$L$8)</f>
        <v/>
      </c>
      <c r="N25" s="55">
        <f>IF(OR('مستخلص 20'!$J$7="",M25=""),"",L25-M25)</f>
        <v/>
      </c>
      <c r="O25" s="39">
        <f>IF('مستخلص 20'!$J$7="","",-'مستخلص 20'!$L$23)</f>
        <v/>
      </c>
      <c r="P25" s="39">
        <f>IF('مستخلص 20'!$J$7="","",-'مستخلص 20'!$L$24)</f>
        <v/>
      </c>
      <c r="Q25" s="39">
        <f>IF('مستخلص 20'!$J$7="","",'مستخلص 20'!$L$25)</f>
        <v/>
      </c>
      <c r="R25" s="39">
        <f>IF('مستخلص 20'!$J$7="","",P25-Q25)</f>
        <v/>
      </c>
      <c r="S25" s="39">
        <f>IF('مستخلص 20'!$J$7="","",-'مستخلص 20'!$L$26)</f>
        <v/>
      </c>
      <c r="T25" s="39">
        <f>IF('مستخلص 20'!$J$7="","",-'مستخلص 20'!$L$27)</f>
        <v/>
      </c>
      <c r="U25" s="39">
        <f>IF('مستخلص 20'!$J$7="","",'مستخلص 20'!$L$28)</f>
        <v/>
      </c>
      <c r="V25" s="39">
        <f>IF('مستخلص 20'!$J$7="","",'مستخلص 20'!$L$29)</f>
        <v/>
      </c>
      <c r="W25" s="39">
        <f>IF('مستخلص 20'!$J$7="","",-'مستخلص 20'!$L$30)</f>
        <v/>
      </c>
      <c r="X25" s="56">
        <f>IF('مستخلص 20'!$J$7="","",'مستخلص 20'!$L$31)</f>
        <v/>
      </c>
      <c r="Y25" s="39">
        <f>IF('مستخلص 20'!$J$7="","",'مستخلص 20'!$H$31)</f>
        <v/>
      </c>
      <c r="Z25" s="56">
        <f>IF('مستخلص 20'!$J$7="","",'مستخلص 20'!$J$31)</f>
        <v/>
      </c>
      <c r="AA25" s="39">
        <f>IF('مستخلص 20'!$J$7="","",N('مستخلص 20'!$E$15))</f>
        <v/>
      </c>
      <c r="AB25" s="53">
        <f>IF(OR('مستخلص 20'!$J$7="",'مستخلص 20'!$K$15=""),"",'مستخلص 20'!$K$15)</f>
        <v/>
      </c>
      <c r="AC25" s="39">
        <f>IF('مستخلص 20'!$J$7="","",Z25-AA25)</f>
        <v/>
      </c>
      <c r="AD25" s="57">
        <f>IF(OR(AB25="",E25=""),"",AB25-E25)</f>
        <v/>
      </c>
      <c r="AE25" s="54">
        <f>IF('مستخلص 20'!$J$7="","",IF(N(AA25)=0,IF(E25="","⏳ بانتظار الاعتماد","✖ غير محصل"),IF(AC25&lt;=1,"✔ محصل بالكامل","⚠ محصل جزئياً")))</f>
        <v/>
      </c>
    </row>
    <row r="26">
      <c r="A26" s="42" t="inlineStr">
        <is>
          <t>الإجمالي / آخر رصيد</t>
        </is>
      </c>
      <c r="B26" s="42" t="n"/>
      <c r="C26" s="42" t="n"/>
      <c r="D26" s="42" t="n"/>
      <c r="E26" s="42" t="n"/>
      <c r="F26" s="42" t="n"/>
      <c r="G26" s="58">
        <f>IF($AG$3=0,0,INDEX(G6:G25,$AG$3))</f>
        <v/>
      </c>
      <c r="H26" s="58">
        <f>SUM(H6:H25)</f>
        <v/>
      </c>
      <c r="I26" s="58">
        <f>IF($AG$3=0,0,INDEX(I6:I25,$AG$3))</f>
        <v/>
      </c>
      <c r="J26" s="58">
        <f>IF($AG$3=0,0,INDEX(J6:J25,$AG$3))</f>
        <v/>
      </c>
      <c r="K26" s="58">
        <f>IF($AG$3=0,0,INDEX(K6:K25,$AG$3))</f>
        <v/>
      </c>
      <c r="L26" s="59">
        <f>IF($AG$3=0,0,INDEX(L6:L25,$AG$3))</f>
        <v/>
      </c>
      <c r="M26" s="59" t="n"/>
      <c r="N26" s="59" t="n"/>
      <c r="O26" s="58">
        <f>IF($AG$3=0,0,INDEX(O6:O25,$AG$3))</f>
        <v/>
      </c>
      <c r="P26" s="58">
        <f>IF($AG$3=0,0,INDEX(P6:P25,$AG$3))</f>
        <v/>
      </c>
      <c r="Q26" s="58">
        <f>IF($AG$3=0,0,INDEX(Q6:Q25,$AG$3))</f>
        <v/>
      </c>
      <c r="R26" s="58">
        <f>IF($AG$3=0,0,INDEX(R6:R25,$AG$3))</f>
        <v/>
      </c>
      <c r="S26" s="58">
        <f>IF($AG$3=0,0,INDEX(S6:S25,$AG$3))</f>
        <v/>
      </c>
      <c r="T26" s="58">
        <f>IF($AG$3=0,0,INDEX(T6:T25,$AG$3))</f>
        <v/>
      </c>
      <c r="U26" s="58">
        <f>IF($AG$3=0,0,INDEX(U6:U25,$AG$3))</f>
        <v/>
      </c>
      <c r="V26" s="58">
        <f>IF($AG$3=0,0,INDEX(V6:V25,$AG$3))</f>
        <v/>
      </c>
      <c r="W26" s="58">
        <f>IF($AG$3=0,0,INDEX(W6:W25,$AG$3))</f>
        <v/>
      </c>
      <c r="X26" s="58">
        <f>IF($AG$3=0,0,INDEX(X6:X25,$AG$3))</f>
        <v/>
      </c>
      <c r="Y26" s="58" t="n"/>
      <c r="Z26" s="58">
        <f>SUM(Z6:Z25)</f>
        <v/>
      </c>
      <c r="AA26" s="58">
        <f>SUM(AA6:AA25)</f>
        <v/>
      </c>
      <c r="AB26" s="60" t="n"/>
      <c r="AC26" s="58">
        <f>SUM(AC6:AC25)</f>
        <v/>
      </c>
      <c r="AD26" s="61">
        <f>IFERROR(AVERAGE(AD6:AD25),0)</f>
        <v/>
      </c>
      <c r="AE26" s="50" t="n"/>
    </row>
    <row r="28">
      <c r="A28" s="37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  <c r="O28" s="37" t="n"/>
      <c r="P28" s="37" t="n"/>
      <c r="Q28" s="37" t="n"/>
      <c r="R28" s="37" t="n"/>
      <c r="S28" s="37" t="n"/>
      <c r="T28" s="37" t="n"/>
      <c r="U28" s="37" t="n"/>
      <c r="V28" s="37" t="n"/>
      <c r="W28" s="37" t="n"/>
      <c r="X28" s="37" t="n"/>
      <c r="Y28" s="37" t="n"/>
      <c r="Z28" s="37" t="n"/>
      <c r="AA28" s="37" t="n"/>
      <c r="AB28" s="37" t="n"/>
      <c r="AC28" s="37" t="n"/>
      <c r="AD28" s="37" t="n"/>
      <c r="AE28" s="37" t="n"/>
    </row>
    <row r="30" ht="22" customHeight="1">
      <c r="B30" s="24" t="inlineStr">
        <is>
          <t>الإنجاز حسب أقسام الأعمال</t>
        </is>
      </c>
      <c r="C30" s="24" t="n"/>
      <c r="D30" s="24" t="n"/>
      <c r="E30" s="24" t="n"/>
      <c r="F30" s="24" t="n"/>
      <c r="G30" s="24" t="n"/>
      <c r="H30" s="24" t="n"/>
    </row>
    <row r="31" ht="30" customHeight="1">
      <c r="B31" s="15" t="inlineStr">
        <is>
          <t>القسم</t>
        </is>
      </c>
      <c r="C31" s="15" t="n"/>
      <c r="D31" s="15" t="n"/>
      <c r="E31" s="15" t="inlineStr">
        <is>
          <t>القيمة التعاقدية</t>
        </is>
      </c>
      <c r="F31" s="15" t="inlineStr">
        <is>
          <t>القيمة المنفذة التراكمية</t>
        </is>
      </c>
      <c r="G31" s="15" t="inlineStr">
        <is>
          <t>نسبة الإنجاز</t>
        </is>
      </c>
      <c r="H31" s="15" t="inlineStr">
        <is>
          <t>الوزن من العقد</t>
        </is>
      </c>
    </row>
    <row r="32">
      <c r="B32" s="16">
        <f>IF('بيانات العقد'!F6="","",'بيانات العقد'!F6)</f>
        <v/>
      </c>
      <c r="C32" s="16" t="n"/>
      <c r="D32" s="16" t="n"/>
      <c r="E32" s="39">
        <f>IF(B32="",0,SUMIF('جدول الكميات'!$C$6:$C$105,B32,'جدول الكميات'!$H$6:$H$105))</f>
        <v/>
      </c>
      <c r="F32" s="39">
        <f>IF(B32="",0,SUMIF('جدول الكميات'!$C$6:$C$105,B32,'مستخلص 20'!$M$43:$M$142))</f>
        <v/>
      </c>
      <c r="G32" s="62">
        <f>IF(E32&gt;0,F32/E32,0)</f>
        <v/>
      </c>
      <c r="H32" s="55">
        <f>IF(ContractValue&gt;0,E32/ContractValue,0)</f>
        <v/>
      </c>
    </row>
    <row r="33">
      <c r="B33" s="16">
        <f>IF('بيانات العقد'!F7="","",'بيانات العقد'!F7)</f>
        <v/>
      </c>
      <c r="C33" s="16" t="n"/>
      <c r="D33" s="16" t="n"/>
      <c r="E33" s="39">
        <f>IF(B33="",0,SUMIF('جدول الكميات'!$C$6:$C$105,B33,'جدول الكميات'!$H$6:$H$105))</f>
        <v/>
      </c>
      <c r="F33" s="39">
        <f>IF(B33="",0,SUMIF('جدول الكميات'!$C$6:$C$105,B33,'مستخلص 20'!$M$43:$M$142))</f>
        <v/>
      </c>
      <c r="G33" s="62">
        <f>IF(E33&gt;0,F33/E33,0)</f>
        <v/>
      </c>
      <c r="H33" s="55">
        <f>IF(ContractValue&gt;0,E33/ContractValue,0)</f>
        <v/>
      </c>
    </row>
    <row r="34">
      <c r="B34" s="16">
        <f>IF('بيانات العقد'!F8="","",'بيانات العقد'!F8)</f>
        <v/>
      </c>
      <c r="C34" s="16" t="n"/>
      <c r="D34" s="16" t="n"/>
      <c r="E34" s="39">
        <f>IF(B34="",0,SUMIF('جدول الكميات'!$C$6:$C$105,B34,'جدول الكميات'!$H$6:$H$105))</f>
        <v/>
      </c>
      <c r="F34" s="39">
        <f>IF(B34="",0,SUMIF('جدول الكميات'!$C$6:$C$105,B34,'مستخلص 20'!$M$43:$M$142))</f>
        <v/>
      </c>
      <c r="G34" s="62">
        <f>IF(E34&gt;0,F34/E34,0)</f>
        <v/>
      </c>
      <c r="H34" s="55">
        <f>IF(ContractValue&gt;0,E34/ContractValue,0)</f>
        <v/>
      </c>
    </row>
    <row r="35">
      <c r="B35" s="16">
        <f>IF('بيانات العقد'!F9="","",'بيانات العقد'!F9)</f>
        <v/>
      </c>
      <c r="C35" s="16" t="n"/>
      <c r="D35" s="16" t="n"/>
      <c r="E35" s="39">
        <f>IF(B35="",0,SUMIF('جدول الكميات'!$C$6:$C$105,B35,'جدول الكميات'!$H$6:$H$105))</f>
        <v/>
      </c>
      <c r="F35" s="39">
        <f>IF(B35="",0,SUMIF('جدول الكميات'!$C$6:$C$105,B35,'مستخلص 20'!$M$43:$M$142))</f>
        <v/>
      </c>
      <c r="G35" s="62">
        <f>IF(E35&gt;0,F35/E35,0)</f>
        <v/>
      </c>
      <c r="H35" s="55">
        <f>IF(ContractValue&gt;0,E35/ContractValue,0)</f>
        <v/>
      </c>
    </row>
    <row r="36">
      <c r="B36" s="16">
        <f>IF('بيانات العقد'!F10="","",'بيانات العقد'!F10)</f>
        <v/>
      </c>
      <c r="C36" s="16" t="n"/>
      <c r="D36" s="16" t="n"/>
      <c r="E36" s="39">
        <f>IF(B36="",0,SUMIF('جدول الكميات'!$C$6:$C$105,B36,'جدول الكميات'!$H$6:$H$105))</f>
        <v/>
      </c>
      <c r="F36" s="39">
        <f>IF(B36="",0,SUMIF('جدول الكميات'!$C$6:$C$105,B36,'مستخلص 20'!$M$43:$M$142))</f>
        <v/>
      </c>
      <c r="G36" s="62">
        <f>IF(E36&gt;0,F36/E36,0)</f>
        <v/>
      </c>
      <c r="H36" s="55">
        <f>IF(ContractValue&gt;0,E36/ContractValue,0)</f>
        <v/>
      </c>
    </row>
    <row r="37">
      <c r="B37" s="16">
        <f>IF('بيانات العقد'!F11="","",'بيانات العقد'!F11)</f>
        <v/>
      </c>
      <c r="C37" s="16" t="n"/>
      <c r="D37" s="16" t="n"/>
      <c r="E37" s="39">
        <f>IF(B37="",0,SUMIF('جدول الكميات'!$C$6:$C$105,B37,'جدول الكميات'!$H$6:$H$105))</f>
        <v/>
      </c>
      <c r="F37" s="39">
        <f>IF(B37="",0,SUMIF('جدول الكميات'!$C$6:$C$105,B37,'مستخلص 20'!$M$43:$M$142))</f>
        <v/>
      </c>
      <c r="G37" s="62">
        <f>IF(E37&gt;0,F37/E37,0)</f>
        <v/>
      </c>
      <c r="H37" s="55">
        <f>IF(ContractValue&gt;0,E37/ContractValue,0)</f>
        <v/>
      </c>
    </row>
    <row r="38">
      <c r="B38" s="16">
        <f>IF('بيانات العقد'!F12="","",'بيانات العقد'!F12)</f>
        <v/>
      </c>
      <c r="C38" s="16" t="n"/>
      <c r="D38" s="16" t="n"/>
      <c r="E38" s="39">
        <f>IF(B38="",0,SUMIF('جدول الكميات'!$C$6:$C$105,B38,'جدول الكميات'!$H$6:$H$105))</f>
        <v/>
      </c>
      <c r="F38" s="39">
        <f>IF(B38="",0,SUMIF('جدول الكميات'!$C$6:$C$105,B38,'مستخلص 20'!$M$43:$M$142))</f>
        <v/>
      </c>
      <c r="G38" s="62">
        <f>IF(E38&gt;0,F38/E38,0)</f>
        <v/>
      </c>
      <c r="H38" s="55">
        <f>IF(ContractValue&gt;0,E38/ContractValue,0)</f>
        <v/>
      </c>
    </row>
    <row r="39">
      <c r="B39" s="16">
        <f>IF('بيانات العقد'!F13="","",'بيانات العقد'!F13)</f>
        <v/>
      </c>
      <c r="C39" s="16" t="n"/>
      <c r="D39" s="16" t="n"/>
      <c r="E39" s="39">
        <f>IF(B39="",0,SUMIF('جدول الكميات'!$C$6:$C$105,B39,'جدول الكميات'!$H$6:$H$105))</f>
        <v/>
      </c>
      <c r="F39" s="39">
        <f>IF(B39="",0,SUMIF('جدول الكميات'!$C$6:$C$105,B39,'مستخلص 20'!$M$43:$M$142))</f>
        <v/>
      </c>
      <c r="G39" s="62">
        <f>IF(E39&gt;0,F39/E39,0)</f>
        <v/>
      </c>
      <c r="H39" s="55">
        <f>IF(ContractValue&gt;0,E39/ContractValue,0)</f>
        <v/>
      </c>
    </row>
    <row r="40">
      <c r="B40" s="16">
        <f>IF('بيانات العقد'!F14="","",'بيانات العقد'!F14)</f>
        <v/>
      </c>
      <c r="C40" s="16" t="n"/>
      <c r="D40" s="16" t="n"/>
      <c r="E40" s="39">
        <f>IF(B40="",0,SUMIF('جدول الكميات'!$C$6:$C$105,B40,'جدول الكميات'!$H$6:$H$105))</f>
        <v/>
      </c>
      <c r="F40" s="39">
        <f>IF(B40="",0,SUMIF('جدول الكميات'!$C$6:$C$105,B40,'مستخلص 20'!$M$43:$M$142))</f>
        <v/>
      </c>
      <c r="G40" s="62">
        <f>IF(E40&gt;0,F40/E40,0)</f>
        <v/>
      </c>
      <c r="H40" s="55">
        <f>IF(ContractValue&gt;0,E40/ContractValue,0)</f>
        <v/>
      </c>
    </row>
    <row r="41">
      <c r="B41" s="16">
        <f>IF('بيانات العقد'!F15="","",'بيانات العقد'!F15)</f>
        <v/>
      </c>
      <c r="C41" s="16" t="n"/>
      <c r="D41" s="16" t="n"/>
      <c r="E41" s="39">
        <f>IF(B41="",0,SUMIF('جدول الكميات'!$C$6:$C$105,B41,'جدول الكميات'!$H$6:$H$105))</f>
        <v/>
      </c>
      <c r="F41" s="39">
        <f>IF(B41="",0,SUMIF('جدول الكميات'!$C$6:$C$105,B41,'مستخلص 20'!$M$43:$M$142))</f>
        <v/>
      </c>
      <c r="G41" s="62">
        <f>IF(E41&gt;0,F41/E41,0)</f>
        <v/>
      </c>
      <c r="H41" s="55">
        <f>IF(ContractValue&gt;0,E41/ContractValue,0)</f>
        <v/>
      </c>
    </row>
    <row r="42">
      <c r="B42" s="16">
        <f>IF('بيانات العقد'!F16="","",'بيانات العقد'!F16)</f>
        <v/>
      </c>
      <c r="C42" s="16" t="n"/>
      <c r="D42" s="16" t="n"/>
      <c r="E42" s="39">
        <f>IF(B42="",0,SUMIF('جدول الكميات'!$C$6:$C$105,B42,'جدول الكميات'!$H$6:$H$105))</f>
        <v/>
      </c>
      <c r="F42" s="39">
        <f>IF(B42="",0,SUMIF('جدول الكميات'!$C$6:$C$105,B42,'مستخلص 20'!$M$43:$M$142))</f>
        <v/>
      </c>
      <c r="G42" s="62">
        <f>IF(E42&gt;0,F42/E42,0)</f>
        <v/>
      </c>
      <c r="H42" s="55">
        <f>IF(ContractValue&gt;0,E42/ContractValue,0)</f>
        <v/>
      </c>
    </row>
    <row r="43">
      <c r="B43" s="16">
        <f>IF('بيانات العقد'!F17="","",'بيانات العقد'!F17)</f>
        <v/>
      </c>
      <c r="C43" s="16" t="n"/>
      <c r="D43" s="16" t="n"/>
      <c r="E43" s="39">
        <f>IF(B43="",0,SUMIF('جدول الكميات'!$C$6:$C$105,B43,'جدول الكميات'!$H$6:$H$105))</f>
        <v/>
      </c>
      <c r="F43" s="39">
        <f>IF(B43="",0,SUMIF('جدول الكميات'!$C$6:$C$105,B43,'مستخلص 20'!$M$43:$M$142))</f>
        <v/>
      </c>
      <c r="G43" s="62">
        <f>IF(E43&gt;0,F43/E43,0)</f>
        <v/>
      </c>
      <c r="H43" s="55">
        <f>IF(ContractValue&gt;0,E43/ContractValue,0)</f>
        <v/>
      </c>
    </row>
  </sheetData>
  <mergeCells count="23">
    <mergeCell ref="B42:D42"/>
    <mergeCell ref="A2:AE2"/>
    <mergeCell ref="O4:T4"/>
    <mergeCell ref="B30:H30"/>
    <mergeCell ref="A26:F26"/>
    <mergeCell ref="B38:D38"/>
    <mergeCell ref="B34:D3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5">
      <formula>$A6=$AG$3</formula>
    </cfRule>
  </conditionalFormatting>
  <conditionalFormatting sqref="N6:N25">
    <cfRule type="cellIs" priority="2" operator="lessThan" dxfId="0">
      <formula>-0.0001</formula>
    </cfRule>
    <cfRule type="cellIs" priority="3" operator="between" dxfId="6">
      <formula>0</formula>
      <formula>10</formula>
    </cfRule>
  </conditionalFormatting>
  <conditionalFormatting sqref="AE6:AE25">
    <cfRule type="expression" priority="4" dxfId="6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39" t="n">
        <v>0</v>
      </c>
      <c r="I19" s="39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39" t="n">
        <v>0</v>
      </c>
      <c r="I20" s="39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39" t="n">
        <v>0</v>
      </c>
      <c r="I21" s="39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73" t="n">
        <v>0</v>
      </c>
      <c r="I22" s="73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76" t="n">
        <v>0</v>
      </c>
      <c r="I23" s="76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76" t="n">
        <v>0</v>
      </c>
      <c r="I24" s="76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39" t="n">
        <v>0</v>
      </c>
      <c r="I25" s="39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76" t="n">
        <v>0</v>
      </c>
      <c r="I26" s="76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76" t="n">
        <v>0</v>
      </c>
      <c r="I27" s="76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73" t="n">
        <v>0</v>
      </c>
      <c r="I28" s="73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39" t="n">
        <v>0</v>
      </c>
      <c r="I29" s="39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76" t="n">
        <v>0</v>
      </c>
      <c r="I30" s="76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 t="n">
        <v>0</v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 t="n">
        <v>0</v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 t="n">
        <v>0</v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 t="n">
        <v>0</v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 t="n">
        <v>0</v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 t="n">
        <v>0</v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 t="n">
        <v>0</v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 t="n">
        <v>0</v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 t="n">
        <v>0</v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 t="n">
        <v>0</v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 t="n">
        <v>0</v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 t="n">
        <v>0</v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 t="n">
        <v>0</v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 t="n">
        <v>0</v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 t="n">
        <v>0</v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 t="n">
        <v>0</v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 t="n">
        <v>0</v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 t="n">
        <v>0</v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 t="n">
        <v>0</v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 t="n">
        <v>0</v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 t="n">
        <v>0</v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 t="n">
        <v>0</v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 t="n">
        <v>0</v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 t="n">
        <v>0</v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 t="n">
        <v>0</v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 t="n">
        <v>0</v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 t="n">
        <v>0</v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 t="n">
        <v>0</v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 t="n">
        <v>0</v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 t="n">
        <v>0</v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 t="n">
        <v>0</v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 t="n">
        <v>0</v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 t="n">
        <v>0</v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 t="n">
        <v>0</v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 t="n">
        <v>0</v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 t="n">
        <v>0</v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 t="n">
        <v>0</v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 t="n">
        <v>0</v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 t="n">
        <v>0</v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 t="n">
        <v>0</v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 t="n">
        <v>0</v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 t="n">
        <v>0</v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 t="n">
        <v>0</v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 t="n">
        <v>0</v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 t="n">
        <v>0</v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 t="n">
        <v>0</v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 t="n">
        <v>0</v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 t="n">
        <v>0</v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 t="n">
        <v>0</v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 t="n">
        <v>0</v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 t="n">
        <v>0</v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 t="n">
        <v>0</v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 t="n">
        <v>0</v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 t="n">
        <v>0</v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 t="n">
        <v>0</v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 t="n">
        <v>0</v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 t="n">
        <v>0</v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 t="n">
        <v>0</v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 t="n">
        <v>0</v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 t="n">
        <v>0</v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 t="n">
        <v>0</v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 t="n">
        <v>0</v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 t="n">
        <v>0</v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 t="n">
        <v>0</v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 t="n">
        <v>0</v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 t="n">
        <v>0</v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 t="n">
        <v>0</v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 t="n">
        <v>0</v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 t="n">
        <v>0</v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 t="n">
        <v>0</v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 t="n">
        <v>0</v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 t="n">
        <v>0</v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 t="n">
        <v>0</v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 t="n">
        <v>0</v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 t="n">
        <v>0</v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 t="n">
        <v>0</v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 t="n">
        <v>0</v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 t="n">
        <v>0</v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 t="n">
        <v>0</v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 t="n">
        <v>0</v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 t="n">
        <v>0</v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 t="n">
        <v>0</v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 t="n">
        <v>0</v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 t="n">
        <v>0</v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 t="n">
        <v>0</v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 t="n">
        <v>0</v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 t="n">
        <v>0</v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 t="n">
        <v>0</v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 t="n">
        <v>0</v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 t="n">
        <v>0</v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 t="n">
        <v>0</v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 t="n">
        <v>0</v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 t="n">
        <v>0</v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 t="n">
        <v>0</v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 t="n">
        <v>0</v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 t="n">
        <v>0</v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 t="n">
        <v>0</v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 t="n">
        <v>0</v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 t="n">
        <v>0</v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 t="n">
        <v>0</v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 t="n">
        <v>0</v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09'!L19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09'!L20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09'!L21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09'!L22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09'!L23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09'!L24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09'!L25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09'!L26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09'!L27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09'!L28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09'!L29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09'!L30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09'!L31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09'!I43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09'!I44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09'!I45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09'!I46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09'!I47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09'!I48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09'!I49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09'!I50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09'!I51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09'!I52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09'!I53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09'!I54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09'!I55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09'!I56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09'!I57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09'!I58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09'!I59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09'!I60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09'!I61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09'!I62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09'!I63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09'!I64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09'!I65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09'!I66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09'!I67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09'!I68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09'!I69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09'!I70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09'!I71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09'!I72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09'!I73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09'!I74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09'!I75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09'!I76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09'!I77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09'!I78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09'!I79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09'!I80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09'!I81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09'!I82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09'!I83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09'!I84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09'!I85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09'!I86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09'!I87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09'!I88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09'!I89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09'!I90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09'!I91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09'!I92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09'!I93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09'!I94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09'!I95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09'!I96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09'!I97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09'!I98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09'!I99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09'!I100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09'!I101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09'!I102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09'!I103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09'!I104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09'!I105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09'!I106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09'!I107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09'!I108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09'!I109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09'!I110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09'!I111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09'!I112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09'!I113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09'!I114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09'!I115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09'!I116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09'!I117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09'!I118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09'!I119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09'!I120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09'!I121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09'!I122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09'!I123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09'!I124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09'!I125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09'!I126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09'!I127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09'!I128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09'!I129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09'!I130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09'!I131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09'!I132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09'!I133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09'!I134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09'!I135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09'!I136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09'!I137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09'!I138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09'!I139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09'!I140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09'!I141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09'!I142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11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10'!L19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10'!L20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10'!L21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10'!L22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10'!L23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10'!L24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10'!L25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10'!L26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10'!L27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10'!L28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10'!L29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10'!L30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10'!L31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10'!I43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10'!I44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10'!I45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10'!I46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10'!I47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10'!I48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10'!I49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10'!I50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10'!I51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10'!I52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10'!I53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10'!I54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10'!I55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10'!I56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10'!I57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10'!I58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10'!I59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10'!I60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10'!I61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10'!I62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10'!I63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10'!I64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10'!I65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10'!I66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10'!I67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10'!I68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10'!I69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10'!I70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10'!I71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10'!I72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10'!I73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10'!I74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10'!I75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10'!I76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10'!I77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10'!I78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10'!I79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10'!I80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10'!I81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10'!I82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10'!I83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10'!I84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10'!I85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10'!I86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10'!I87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10'!I88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10'!I89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10'!I90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10'!I91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10'!I92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10'!I93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10'!I94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10'!I95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10'!I96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10'!I97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10'!I98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10'!I99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10'!I100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10'!I101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10'!I102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10'!I103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10'!I104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10'!I105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10'!I106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10'!I107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10'!I108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10'!I109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10'!I110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10'!I111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10'!I112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10'!I113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10'!I114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10'!I115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10'!I116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10'!I117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10'!I118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10'!I119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10'!I120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10'!I121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10'!I122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10'!I123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10'!I124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10'!I125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10'!I126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10'!I127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10'!I128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10'!I129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10'!I130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10'!I131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10'!I132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10'!I133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10'!I134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10'!I135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10'!I136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10'!I137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10'!I138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10'!I139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10'!I140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10'!I141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10'!I142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12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11'!L19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11'!L20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11'!L21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11'!L22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11'!L23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11'!L24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11'!L25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11'!L26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11'!L27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11'!L28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11'!L29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11'!L30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11'!L31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11'!I43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11'!I44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11'!I45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11'!I46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11'!I47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11'!I48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11'!I49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11'!I50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11'!I51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11'!I52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11'!I53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11'!I54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11'!I55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11'!I56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11'!I57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11'!I58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11'!I59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11'!I60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11'!I61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11'!I62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11'!I63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11'!I64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11'!I65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11'!I66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11'!I67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11'!I68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11'!I69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11'!I70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11'!I71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11'!I72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11'!I73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11'!I74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11'!I75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11'!I76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11'!I77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11'!I78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11'!I79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11'!I80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11'!I81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11'!I82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11'!I83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11'!I84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11'!I85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11'!I86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11'!I87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11'!I88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11'!I89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11'!I90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11'!I91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11'!I92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11'!I93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11'!I94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11'!I95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11'!I96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11'!I97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11'!I98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11'!I99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11'!I100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11'!I101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11'!I102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11'!I103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11'!I104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11'!I105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11'!I106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11'!I107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11'!I108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11'!I109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11'!I110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11'!I111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11'!I112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11'!I113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11'!I114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11'!I115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11'!I116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11'!I117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11'!I118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11'!I119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11'!I120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11'!I121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11'!I122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11'!I123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11'!I124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11'!I125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11'!I126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11'!I127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11'!I128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11'!I129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11'!I130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11'!I131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11'!I132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11'!I133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11'!I134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11'!I135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11'!I136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11'!I137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11'!I138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11'!I139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11'!I140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11'!I141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11'!I142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13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12'!L19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12'!L20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12'!L21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12'!L22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12'!L23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12'!L24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12'!L25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12'!L26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12'!L27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12'!L28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12'!L29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12'!L30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12'!L31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12'!I43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12'!I44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12'!I45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12'!I46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12'!I47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12'!I48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12'!I49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12'!I50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12'!I51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12'!I52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12'!I53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12'!I54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12'!I55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12'!I56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12'!I57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12'!I58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12'!I59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12'!I60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12'!I61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12'!I62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12'!I63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12'!I64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12'!I65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12'!I66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12'!I67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12'!I68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12'!I69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12'!I70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12'!I71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12'!I72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12'!I73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12'!I74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12'!I75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12'!I76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12'!I77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12'!I78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12'!I79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12'!I80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12'!I81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12'!I82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12'!I83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12'!I84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12'!I85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12'!I86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12'!I87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12'!I88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12'!I89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12'!I90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12'!I91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12'!I92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12'!I93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12'!I94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12'!I95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12'!I96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12'!I97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12'!I98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12'!I99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12'!I100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12'!I101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12'!I102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12'!I103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12'!I104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12'!I105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12'!I106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12'!I107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12'!I108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12'!I109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12'!I110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12'!I111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12'!I112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12'!I113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12'!I114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12'!I115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12'!I116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12'!I117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12'!I118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12'!I119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12'!I120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12'!I121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12'!I122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12'!I123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12'!I124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12'!I125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12'!I126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12'!I127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12'!I128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12'!I129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12'!I130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12'!I131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12'!I132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12'!I133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12'!I134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12'!I135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12'!I136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12'!I137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12'!I138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12'!I139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12'!I140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12'!I141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12'!I142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14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13'!L19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13'!L20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13'!L21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13'!L22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13'!L23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13'!L24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13'!L25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13'!L26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13'!L27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13'!L28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13'!L29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13'!L30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13'!L31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13'!I43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13'!I44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13'!I45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13'!I46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13'!I47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13'!I48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13'!I49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13'!I50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13'!I51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13'!I52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13'!I53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13'!I54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13'!I55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13'!I56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13'!I57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13'!I58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13'!I59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13'!I60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13'!I61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13'!I62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13'!I63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13'!I64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13'!I65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13'!I66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13'!I67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13'!I68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13'!I69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13'!I70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13'!I71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13'!I72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13'!I73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13'!I74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13'!I75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13'!I76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13'!I77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13'!I78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13'!I79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13'!I80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13'!I81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13'!I82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13'!I83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13'!I84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13'!I85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13'!I86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13'!I87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13'!I88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13'!I89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13'!I90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13'!I91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13'!I92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13'!I93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13'!I94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13'!I95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13'!I96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13'!I97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13'!I98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13'!I99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13'!I100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13'!I101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13'!I102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13'!I103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13'!I104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13'!I105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13'!I106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13'!I107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13'!I108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13'!I109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13'!I110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13'!I111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13'!I112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13'!I113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13'!I114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13'!I115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13'!I116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13'!I117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13'!I118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13'!I119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13'!I120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13'!I121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13'!I122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13'!I123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13'!I124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13'!I125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13'!I126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13'!I127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13'!I128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13'!I129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13'!I130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13'!I131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13'!I132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13'!I133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13'!I134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13'!I135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13'!I136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13'!I137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13'!I138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13'!I139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13'!I140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13'!I141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13'!I142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15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14'!L19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14'!L20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14'!L21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14'!L22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14'!L23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14'!L24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14'!L25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14'!L26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14'!L27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14'!L28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14'!L29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14'!L30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14'!L31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14'!I43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14'!I44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14'!I45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14'!I46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14'!I47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14'!I48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14'!I49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14'!I50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14'!I51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14'!I52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14'!I53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14'!I54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14'!I55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14'!I56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14'!I57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14'!I58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14'!I59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14'!I60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14'!I61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14'!I62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14'!I63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14'!I64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14'!I65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14'!I66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14'!I67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14'!I68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14'!I69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14'!I70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14'!I71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14'!I72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14'!I73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14'!I74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14'!I75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14'!I76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14'!I77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14'!I78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14'!I79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14'!I80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14'!I81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14'!I82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14'!I83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14'!I84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14'!I85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14'!I86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14'!I87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14'!I88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14'!I89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14'!I90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14'!I91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14'!I92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14'!I93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14'!I94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14'!I95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14'!I96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14'!I97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14'!I98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14'!I99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14'!I100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14'!I101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14'!I102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14'!I103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14'!I104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14'!I105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14'!I106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14'!I107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14'!I108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14'!I109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14'!I110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14'!I111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14'!I112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14'!I113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14'!I114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14'!I115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14'!I116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14'!I117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14'!I118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14'!I119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14'!I120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14'!I121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14'!I122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14'!I123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14'!I124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14'!I125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14'!I126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14'!I127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14'!I128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14'!I129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14'!I130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14'!I131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14'!I132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14'!I133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14'!I134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14'!I135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14'!I136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14'!I137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14'!I138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14'!I139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14'!I140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14'!I141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14'!I142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16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15'!L19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15'!L20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15'!L21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15'!L22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15'!L23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15'!L24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15'!L25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15'!L26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15'!L27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15'!L28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15'!L29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15'!L30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15'!L31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15'!I43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15'!I44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15'!I45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15'!I46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15'!I47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15'!I48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15'!I49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15'!I50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15'!I51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15'!I52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15'!I53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15'!I54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15'!I55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15'!I56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15'!I57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15'!I58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15'!I59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15'!I60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15'!I61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15'!I62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15'!I63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15'!I64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15'!I65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15'!I66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15'!I67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15'!I68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15'!I69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15'!I70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15'!I71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15'!I72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15'!I73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15'!I74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15'!I75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15'!I76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15'!I77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15'!I78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15'!I79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15'!I80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15'!I81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15'!I82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15'!I83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15'!I84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15'!I85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15'!I86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15'!I87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15'!I88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15'!I89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15'!I90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15'!I91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15'!I92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15'!I93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15'!I94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15'!I95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15'!I96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15'!I97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15'!I98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15'!I99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15'!I100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15'!I101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15'!I102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15'!I103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15'!I104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15'!I105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15'!I106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15'!I107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15'!I108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15'!I109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15'!I110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15'!I111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15'!I112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15'!I113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15'!I114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15'!I115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15'!I116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15'!I117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15'!I118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15'!I119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15'!I120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15'!I121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15'!I122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15'!I123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15'!I124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15'!I125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15'!I126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15'!I127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15'!I128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15'!I129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15'!I130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15'!I131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15'!I132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15'!I133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15'!I134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15'!I135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15'!I136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15'!I137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15'!I138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15'!I139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15'!I140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15'!I141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15'!I142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17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16'!L19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16'!L20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16'!L21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16'!L22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16'!L23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16'!L24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16'!L25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16'!L26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16'!L27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16'!L28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16'!L29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16'!L30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16'!L31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16'!I43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16'!I44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16'!I45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16'!I46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16'!I47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16'!I48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16'!I49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16'!I50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16'!I51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16'!I52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16'!I53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16'!I54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16'!I55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16'!I56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16'!I57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16'!I58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16'!I59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16'!I60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16'!I61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16'!I62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16'!I63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16'!I64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16'!I65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16'!I66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16'!I67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16'!I68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16'!I69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16'!I70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16'!I71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16'!I72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16'!I73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16'!I74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16'!I75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16'!I76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16'!I77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16'!I78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16'!I79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16'!I80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16'!I81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16'!I82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16'!I83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16'!I84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16'!I85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16'!I86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16'!I87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16'!I88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16'!I89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16'!I90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16'!I91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16'!I92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16'!I93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16'!I94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16'!I95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16'!I96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16'!I97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16'!I98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16'!I99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16'!I100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16'!I101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16'!I102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16'!I103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16'!I104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16'!I105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16'!I106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16'!I107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16'!I108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16'!I109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16'!I110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16'!I111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16'!I112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16'!I113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16'!I114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16'!I115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16'!I116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16'!I117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16'!I118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16'!I119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16'!I120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16'!I121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16'!I122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16'!I123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16'!I124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16'!I125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16'!I126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16'!I127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16'!I128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16'!I129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16'!I130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16'!I131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16'!I132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16'!I133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16'!I134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16'!I135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16'!I136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16'!I137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16'!I138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16'!I139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16'!I140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16'!I141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16'!I142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18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17'!L19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17'!L20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17'!L21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17'!L22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17'!L23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17'!L24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17'!L25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17'!L26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17'!L27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17'!L28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17'!L29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17'!L30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17'!L31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17'!I43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17'!I44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17'!I45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17'!I46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17'!I47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17'!I48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17'!I49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17'!I50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17'!I51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17'!I52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17'!I53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17'!I54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17'!I55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17'!I56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17'!I57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17'!I58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17'!I59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17'!I60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17'!I61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17'!I62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17'!I63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17'!I64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17'!I65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17'!I66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17'!I67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17'!I68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17'!I69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17'!I70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17'!I71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17'!I72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17'!I73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17'!I74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17'!I75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17'!I76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17'!I77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17'!I78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17'!I79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17'!I80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17'!I81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17'!I82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17'!I83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17'!I84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17'!I85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17'!I86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17'!I87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17'!I88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17'!I89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17'!I90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17'!I91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17'!I92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17'!I93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17'!I94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17'!I95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17'!I96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17'!I97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17'!I98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17'!I99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17'!I100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17'!I101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17'!I102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17'!I103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17'!I104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17'!I105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17'!I106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17'!I107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17'!I108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17'!I109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17'!I110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17'!I111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17'!I112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17'!I113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17'!I114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17'!I115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17'!I116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17'!I117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17'!I118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17'!I119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17'!I120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17'!I121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17'!I122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17'!I123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17'!I124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17'!I125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17'!I126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17'!I127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17'!I128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17'!I129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17'!I130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17'!I131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17'!I132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17'!I133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17'!I134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17'!I135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17'!I136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17'!I137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17'!I138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17'!I139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17'!I140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17'!I141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17'!I142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63" t="inlineStr">
        <is>
          <t>رقم المستخلص</t>
        </is>
      </c>
      <c r="C5" s="64" t="n">
        <v>19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18'!L19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18'!L20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18'!L21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18'!L22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18'!L23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18'!L24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18'!L25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18'!L26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18'!L27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18'!L28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18'!L29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18'!L30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18'!L31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18'!I43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18'!I44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18'!I45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18'!I46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18'!I47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18'!I48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18'!I49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18'!I50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18'!I51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18'!I52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18'!I53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18'!I54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18'!I55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18'!I56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18'!I57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18'!I58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18'!I59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18'!I60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18'!I61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18'!I62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18'!I63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18'!I64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18'!I65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18'!I66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18'!I67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18'!I68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18'!I69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18'!I70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18'!I71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18'!I72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18'!I73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18'!I74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18'!I75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18'!I76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18'!I77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18'!I78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18'!I79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18'!I80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18'!I81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18'!I82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18'!I83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18'!I84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18'!I85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18'!I86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18'!I87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18'!I88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18'!I89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18'!I90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18'!I91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18'!I92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18'!I93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18'!I94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18'!I95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18'!I96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18'!I97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18'!I98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18'!I99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18'!I100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18'!I101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18'!I102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18'!I103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18'!I104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18'!I105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18'!I106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18'!I107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18'!I108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18'!I109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18'!I110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18'!I111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18'!I112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18'!I113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18'!I114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18'!I115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18'!I116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18'!I117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18'!I118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18'!I119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18'!I120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18'!I121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18'!I122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18'!I123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18'!I124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18'!I125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18'!I126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18'!I127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18'!I128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18'!I129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18'!I130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18'!I131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18'!I132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18'!I133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18'!I134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18'!I135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18'!I136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18'!I137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18'!I138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18'!I139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18'!I140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18'!I141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18'!I142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43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07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4" t="inlineStr">
        <is>
          <t>⚙ بيانات العقد</t>
        </is>
      </c>
      <c r="E3" s="14" t="inlineStr">
        <is>
          <t>📋 جدول الكميات</t>
        </is>
      </c>
      <c r="G3" s="14" t="inlineStr">
        <is>
          <t>🔁 التغييرية</t>
        </is>
      </c>
      <c r="I3" s="14" t="inlineStr">
        <is>
          <t>✂ الاستقطاعات</t>
        </is>
      </c>
      <c r="K3" s="4" t="inlineStr">
        <is>
          <t>◄ المستخلص السابق</t>
        </is>
      </c>
    </row>
    <row r="5">
      <c r="B5" s="63" t="inlineStr">
        <is>
          <t>رقم المستخلص</t>
        </is>
      </c>
      <c r="C5" s="64" t="n">
        <v>20</v>
      </c>
      <c r="D5" s="64" t="n"/>
      <c r="E5" s="64" t="n"/>
      <c r="F5" s="64" t="n"/>
      <c r="G5" s="64" t="n"/>
      <c r="H5" s="63" t="inlineStr">
        <is>
          <t>حالة المستخلص</t>
        </is>
      </c>
      <c r="I5" s="63" t="n"/>
      <c r="J5" s="17" t="n"/>
      <c r="K5" s="17" t="n"/>
      <c r="L5" s="65" t="inlineStr">
        <is>
          <t>نسبة الإنجاز الفعلية</t>
        </is>
      </c>
      <c r="M5" s="65" t="n"/>
    </row>
    <row r="6">
      <c r="B6" s="63" t="inlineStr">
        <is>
          <t>المشروع</t>
        </is>
      </c>
      <c r="C6" s="66">
        <f>'بيانات العقد'!C5</f>
        <v/>
      </c>
      <c r="D6" s="66" t="n"/>
      <c r="E6" s="66" t="n"/>
      <c r="F6" s="66" t="n"/>
      <c r="G6" s="66" t="n"/>
      <c r="H6" s="63" t="inlineStr">
        <is>
          <t>الفترة من</t>
        </is>
      </c>
      <c r="I6" s="63" t="n"/>
      <c r="J6" s="21" t="n"/>
      <c r="K6" s="21" t="n"/>
      <c r="L6" s="67">
        <f>IF(ContractValue+L20&gt;0,(L19+L20)/(ContractValue+L20),0)</f>
        <v/>
      </c>
      <c r="M6" s="67" t="n"/>
    </row>
    <row r="7">
      <c r="B7" s="63" t="inlineStr">
        <is>
          <t>رقم العقد</t>
        </is>
      </c>
      <c r="C7" s="66">
        <f>'بيانات العقد'!C6</f>
        <v/>
      </c>
      <c r="D7" s="66" t="n"/>
      <c r="E7" s="66" t="n"/>
      <c r="F7" s="66" t="n"/>
      <c r="G7" s="66" t="n"/>
      <c r="H7" s="63" t="inlineStr">
        <is>
          <t>الفترة إلى</t>
        </is>
      </c>
      <c r="I7" s="63" t="n"/>
      <c r="J7" s="21" t="n"/>
      <c r="K7" s="21" t="n"/>
      <c r="L7" s="65" t="inlineStr">
        <is>
          <t>نسبة الإنجاز المخططة (من البرنامج)</t>
        </is>
      </c>
      <c r="M7" s="65" t="n"/>
    </row>
    <row r="8">
      <c r="B8" s="63" t="inlineStr">
        <is>
          <t>صاحب العمل</t>
        </is>
      </c>
      <c r="C8" s="66">
        <f>'بيانات العقد'!C7</f>
        <v/>
      </c>
      <c r="D8" s="66" t="n"/>
      <c r="E8" s="66" t="n"/>
      <c r="F8" s="66" t="n"/>
      <c r="G8" s="66" t="n"/>
      <c r="H8" s="63" t="inlineStr">
        <is>
          <t>تاريخ التقديم</t>
        </is>
      </c>
      <c r="I8" s="63" t="n"/>
      <c r="J8" s="21" t="n"/>
      <c r="K8" s="21" t="n"/>
      <c r="L8" s="68" t="n"/>
      <c r="M8" s="27" t="n"/>
    </row>
    <row r="9">
      <c r="B9" s="63" t="inlineStr">
        <is>
          <t>الاستشاري</t>
        </is>
      </c>
      <c r="C9" s="66">
        <f>'بيانات العقد'!C8</f>
        <v/>
      </c>
      <c r="D9" s="66" t="n"/>
      <c r="E9" s="66" t="n"/>
      <c r="F9" s="66" t="n"/>
      <c r="G9" s="66" t="n"/>
      <c r="H9" s="63" t="inlineStr">
        <is>
          <t>تاريخ الاعتماد</t>
        </is>
      </c>
      <c r="I9" s="63" t="n"/>
      <c r="J9" s="21" t="n"/>
      <c r="K9" s="21" t="n"/>
      <c r="L9" s="65" t="inlineStr">
        <is>
          <t>الانحراف عن المخطط</t>
        </is>
      </c>
      <c r="M9" s="65" t="n"/>
    </row>
    <row r="10">
      <c r="B10" s="63" t="inlineStr">
        <is>
          <t>المقاول</t>
        </is>
      </c>
      <c r="C10" s="66">
        <f>'بيانات العقد'!C9</f>
        <v/>
      </c>
      <c r="D10" s="66" t="n"/>
      <c r="E10" s="66" t="n"/>
      <c r="F10" s="66" t="n"/>
      <c r="G10" s="66" t="n"/>
      <c r="H10" s="63" t="inlineStr">
        <is>
          <t>قيمة العقد المعدلة</t>
        </is>
      </c>
      <c r="I10" s="63" t="n"/>
      <c r="J10" s="69">
        <f>RevisedContract</f>
        <v/>
      </c>
      <c r="K10" s="69" t="n"/>
      <c r="L10" s="67">
        <f>IF(L8="","",L6-L8)</f>
        <v/>
      </c>
      <c r="M10" s="67" t="n"/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63" t="inlineStr">
        <is>
          <t>رصيد المواد الموردة بالموقع (نهاية الفترة)</t>
        </is>
      </c>
      <c r="C13" s="63" t="n"/>
      <c r="D13" s="63" t="n"/>
      <c r="E13" s="38" t="n"/>
      <c r="F13" s="38" t="n"/>
      <c r="H13" s="63" t="inlineStr">
        <is>
          <t>إفراج عن ضمان الأعمال خلال الفترة</t>
        </is>
      </c>
      <c r="I13" s="63" t="n"/>
      <c r="J13" s="63" t="n"/>
      <c r="K13" s="38" t="n"/>
      <c r="L13" s="38" t="n"/>
      <c r="M13" s="38" t="n"/>
    </row>
    <row r="14" ht="20" customHeight="1">
      <c r="B14" s="63" t="inlineStr">
        <is>
          <t>غرامات تأخير / خصومات أخرى خلال الفترة</t>
        </is>
      </c>
      <c r="C14" s="63" t="n"/>
      <c r="D14" s="63" t="n"/>
      <c r="E14" s="38" t="n"/>
      <c r="F14" s="38" t="n"/>
      <c r="H14" s="63" t="inlineStr">
        <is>
          <t>سبب الغرامة / الخصم</t>
        </is>
      </c>
      <c r="I14" s="63" t="n"/>
      <c r="J14" s="63" t="n"/>
      <c r="K14" s="17" t="n"/>
      <c r="L14" s="17" t="n"/>
      <c r="M14" s="17" t="n"/>
    </row>
    <row r="15" ht="20" customHeight="1">
      <c r="B15" s="63" t="inlineStr">
        <is>
          <t>المبلغ المحصل من هذا المستخلص</t>
        </is>
      </c>
      <c r="C15" s="63" t="n"/>
      <c r="D15" s="63" t="n"/>
      <c r="E15" s="38" t="n"/>
      <c r="F15" s="38" t="n"/>
      <c r="H15" s="63" t="inlineStr">
        <is>
          <t>تاريخ التحصيل</t>
        </is>
      </c>
      <c r="I15" s="63" t="n"/>
      <c r="J15" s="63" t="n"/>
      <c r="K15" s="21" t="n"/>
      <c r="L15" s="21" t="n"/>
      <c r="M15" s="21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0" t="inlineStr">
        <is>
          <t>م</t>
        </is>
      </c>
      <c r="C18" s="50" t="inlineStr">
        <is>
          <t>البيان</t>
        </is>
      </c>
      <c r="D18" s="50" t="n"/>
      <c r="E18" s="50" t="n"/>
      <c r="F18" s="50" t="n"/>
      <c r="G18" s="50" t="n"/>
      <c r="H18" s="50" t="inlineStr">
        <is>
          <t>السابق</t>
        </is>
      </c>
      <c r="I18" s="50" t="n"/>
      <c r="J18" s="50" t="inlineStr">
        <is>
          <t>الحالي</t>
        </is>
      </c>
      <c r="K18" s="50" t="n"/>
      <c r="L18" s="50" t="inlineStr">
        <is>
          <t>الإجمالي التراكمي</t>
        </is>
      </c>
      <c r="M18" s="50" t="n"/>
    </row>
    <row r="19" ht="20" customHeight="1">
      <c r="B19" s="54" t="n">
        <v>1</v>
      </c>
      <c r="C19" s="70" t="inlineStr">
        <is>
          <t>قيمة الأعمال المنفذة طبقاً لحصر البنود</t>
        </is>
      </c>
      <c r="D19" s="70" t="n"/>
      <c r="E19" s="70" t="n"/>
      <c r="F19" s="70" t="n"/>
      <c r="G19" s="70" t="n"/>
      <c r="H19" s="95">
        <f>'مستخلص 19'!L19</f>
        <v/>
      </c>
      <c r="I19" s="95" t="n"/>
      <c r="J19" s="56">
        <f>L19-H19</f>
        <v/>
      </c>
      <c r="K19" s="56" t="n"/>
      <c r="L19" s="39">
        <f>M143</f>
        <v/>
      </c>
      <c r="M19" s="39" t="n"/>
    </row>
    <row r="20" ht="20" customHeight="1">
      <c r="B20" s="54" t="n">
        <v>2</v>
      </c>
      <c r="C20" s="70" t="inlineStr">
        <is>
          <t>قيمة الأوامر التغييرية المعتمدة</t>
        </is>
      </c>
      <c r="D20" s="70" t="n"/>
      <c r="E20" s="70" t="n"/>
      <c r="F20" s="70" t="n"/>
      <c r="G20" s="70" t="n"/>
      <c r="H20" s="95">
        <f>'مستخلص 19'!L20</f>
        <v/>
      </c>
      <c r="I20" s="95" t="n"/>
      <c r="J20" s="56">
        <f>L20-H20</f>
        <v/>
      </c>
      <c r="K20" s="56" t="n"/>
      <c r="L20" s="39">
        <f>SUMIFS('الأوامر التغييرية'!$J$6:$J$55,'الأوامر التغييرية'!$H$6:$H$55,"معتمد",'الأوامر التغييرية'!$K$6:$K$55,"&lt;="&amp;$C$5)</f>
        <v/>
      </c>
      <c r="M20" s="39" t="n"/>
    </row>
    <row r="21" ht="20" customHeight="1">
      <c r="B21" s="54" t="n">
        <v>3</v>
      </c>
      <c r="C21" s="70" t="inlineStr">
        <is>
          <t>المواد الموردة بالموقع (رصيد)</t>
        </is>
      </c>
      <c r="D21" s="70" t="n"/>
      <c r="E21" s="70" t="n"/>
      <c r="F21" s="70" t="n"/>
      <c r="G21" s="70" t="n"/>
      <c r="H21" s="95">
        <f>'مستخلص 19'!L21</f>
        <v/>
      </c>
      <c r="I21" s="95" t="n"/>
      <c r="J21" s="56">
        <f>L21-H21</f>
        <v/>
      </c>
      <c r="K21" s="56" t="n"/>
      <c r="L21" s="39">
        <f>N(E13)</f>
        <v/>
      </c>
      <c r="M21" s="39" t="n"/>
    </row>
    <row r="22" ht="20" customHeight="1">
      <c r="B22" s="71" t="n">
        <v>4</v>
      </c>
      <c r="C22" s="72" t="inlineStr">
        <is>
          <t>إجمالي قيمة الأعمال</t>
        </is>
      </c>
      <c r="D22" s="72" t="n"/>
      <c r="E22" s="72" t="n"/>
      <c r="F22" s="72" t="n"/>
      <c r="G22" s="72" t="n"/>
      <c r="H22" s="96">
        <f>'مستخلص 19'!L22</f>
        <v/>
      </c>
      <c r="I22" s="96" t="n"/>
      <c r="J22" s="73">
        <f>L22-H22</f>
        <v/>
      </c>
      <c r="K22" s="73" t="n"/>
      <c r="L22" s="73">
        <f>SUM(L19:L21)</f>
        <v/>
      </c>
      <c r="M22" s="73" t="n"/>
    </row>
    <row r="23" ht="20" customHeight="1">
      <c r="B23" s="74" t="n">
        <v>5</v>
      </c>
      <c r="C23" s="75" t="inlineStr">
        <is>
          <t>يُخصم: استرداد الدفعة المقدمة</t>
        </is>
      </c>
      <c r="D23" s="75" t="n"/>
      <c r="E23" s="75" t="n"/>
      <c r="F23" s="75" t="n"/>
      <c r="G23" s="75" t="n"/>
      <c r="H23" s="95">
        <f>'مستخلص 19'!L23</f>
        <v/>
      </c>
      <c r="I23" s="95" t="n"/>
      <c r="J23" s="77">
        <f>L23-H23</f>
        <v/>
      </c>
      <c r="K23" s="77" t="n"/>
      <c r="L23" s="76">
        <f>-ROUND(IF(L6&gt;=RecFull,AdvAmount,MIN(AdvAmount,MAX(0,L19+L20-RecStart*ContractValue)*RecRate)),2)</f>
        <v/>
      </c>
      <c r="M23" s="76" t="n"/>
    </row>
    <row r="24" ht="20" customHeight="1">
      <c r="B24" s="74" t="n">
        <v>6</v>
      </c>
      <c r="C24" s="75" t="inlineStr">
        <is>
          <t>يُخصم: ضمان الأعمال المحتسب</t>
        </is>
      </c>
      <c r="D24" s="75" t="n"/>
      <c r="E24" s="75" t="n"/>
      <c r="F24" s="75" t="n"/>
      <c r="G24" s="75" t="n"/>
      <c r="H24" s="95">
        <f>'مستخلص 19'!L24</f>
        <v/>
      </c>
      <c r="I24" s="95" t="n"/>
      <c r="J24" s="77">
        <f>L24-H24</f>
        <v/>
      </c>
      <c r="K24" s="77" t="n"/>
      <c r="L24" s="76">
        <f>-ROUND(MIN(L22*RetPct,RetCap),2)</f>
        <v/>
      </c>
      <c r="M24" s="76" t="n"/>
    </row>
    <row r="25" ht="20" customHeight="1">
      <c r="B25" s="54" t="n">
        <v>7</v>
      </c>
      <c r="C25" s="70" t="inlineStr">
        <is>
          <t>يُضاف: المفرج عنه من ضمان الأعمال</t>
        </is>
      </c>
      <c r="D25" s="70" t="n"/>
      <c r="E25" s="70" t="n"/>
      <c r="F25" s="70" t="n"/>
      <c r="G25" s="70" t="n"/>
      <c r="H25" s="95">
        <f>'مستخلص 19'!L25</f>
        <v/>
      </c>
      <c r="I25" s="95" t="n"/>
      <c r="J25" s="56">
        <f>L25-H25</f>
        <v/>
      </c>
      <c r="K25" s="56" t="n"/>
      <c r="L25" s="39">
        <f>H25+N(K13)</f>
        <v/>
      </c>
      <c r="M25" s="39" t="n"/>
    </row>
    <row r="26" ht="20" customHeight="1">
      <c r="B26" s="74" t="n">
        <v>8</v>
      </c>
      <c r="C26" s="75" t="inlineStr">
        <is>
          <t>يُخصم: الاستقطاعات الفنية المحتجزة</t>
        </is>
      </c>
      <c r="D26" s="75" t="n"/>
      <c r="E26" s="75" t="n"/>
      <c r="F26" s="75" t="n"/>
      <c r="G26" s="75" t="n"/>
      <c r="H26" s="95">
        <f>'مستخلص 19'!L26</f>
        <v/>
      </c>
      <c r="I26" s="95" t="n"/>
      <c r="J26" s="77">
        <f>L26-H26</f>
        <v/>
      </c>
      <c r="K26" s="77" t="n"/>
      <c r="L26" s="76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76" t="n"/>
    </row>
    <row r="27" ht="20" customHeight="1">
      <c r="B27" s="74" t="n">
        <v>9</v>
      </c>
      <c r="C27" s="75" t="inlineStr">
        <is>
          <t>يُخصم: الغرامات والخصومات الأخرى</t>
        </is>
      </c>
      <c r="D27" s="75" t="n"/>
      <c r="E27" s="75" t="n"/>
      <c r="F27" s="75" t="n"/>
      <c r="G27" s="75" t="n"/>
      <c r="H27" s="95">
        <f>'مستخلص 19'!L27</f>
        <v/>
      </c>
      <c r="I27" s="95" t="n"/>
      <c r="J27" s="77">
        <f>L27-H27</f>
        <v/>
      </c>
      <c r="K27" s="77" t="n"/>
      <c r="L27" s="76">
        <f>H27-N(E14)</f>
        <v/>
      </c>
      <c r="M27" s="76" t="n"/>
    </row>
    <row r="28" ht="20" customHeight="1">
      <c r="B28" s="71" t="n">
        <v>10</v>
      </c>
      <c r="C28" s="72" t="inlineStr">
        <is>
          <t>صافي القيمة قبل الضرائب</t>
        </is>
      </c>
      <c r="D28" s="72" t="n"/>
      <c r="E28" s="72" t="n"/>
      <c r="F28" s="72" t="n"/>
      <c r="G28" s="72" t="n"/>
      <c r="H28" s="96">
        <f>'مستخلص 19'!L28</f>
        <v/>
      </c>
      <c r="I28" s="96" t="n"/>
      <c r="J28" s="73">
        <f>L28-H28</f>
        <v/>
      </c>
      <c r="K28" s="73" t="n"/>
      <c r="L28" s="73">
        <f>SUM(L22:L27)</f>
        <v/>
      </c>
      <c r="M28" s="73" t="n"/>
    </row>
    <row r="29" ht="20" customHeight="1">
      <c r="B29" s="54" t="n">
        <v>11</v>
      </c>
      <c r="C29" s="70" t="inlineStr">
        <is>
          <t>يُضاف: ضريبة القيمة المضافة</t>
        </is>
      </c>
      <c r="D29" s="70" t="n"/>
      <c r="E29" s="70" t="n"/>
      <c r="F29" s="70" t="n"/>
      <c r="G29" s="70" t="n"/>
      <c r="H29" s="95">
        <f>'مستخلص 19'!L29</f>
        <v/>
      </c>
      <c r="I29" s="95" t="n"/>
      <c r="J29" s="56">
        <f>L29-H29</f>
        <v/>
      </c>
      <c r="K29" s="56" t="n"/>
      <c r="L29" s="39">
        <f>ROUND(VATPct*(L28+IF(VATBeforeRet="نعم",-(L24+L25),0)),2)</f>
        <v/>
      </c>
      <c r="M29" s="39" t="n"/>
    </row>
    <row r="30" ht="20" customHeight="1">
      <c r="B30" s="74" t="n">
        <v>12</v>
      </c>
      <c r="C30" s="75" t="inlineStr">
        <is>
          <t>يُخصم: ضريبة الخصم من المنبع</t>
        </is>
      </c>
      <c r="D30" s="75" t="n"/>
      <c r="E30" s="75" t="n"/>
      <c r="F30" s="75" t="n"/>
      <c r="G30" s="75" t="n"/>
      <c r="H30" s="95">
        <f>'مستخلص 19'!L30</f>
        <v/>
      </c>
      <c r="I30" s="95" t="n"/>
      <c r="J30" s="77">
        <f>L30-H30</f>
        <v/>
      </c>
      <c r="K30" s="77" t="n"/>
      <c r="L30" s="76">
        <f>-ROUND(WHTPct*(L28-(L24+L25)),2)</f>
        <v/>
      </c>
      <c r="M30" s="76" t="n"/>
    </row>
    <row r="31" ht="20" customHeight="1">
      <c r="B31" s="50" t="n">
        <v>13</v>
      </c>
      <c r="C31" s="78" t="inlineStr">
        <is>
          <t>صافي المستحق</t>
        </is>
      </c>
      <c r="D31" s="78" t="n"/>
      <c r="E31" s="78" t="n"/>
      <c r="F31" s="78" t="n"/>
      <c r="G31" s="78" t="n"/>
      <c r="H31" s="58">
        <f>'مستخلص 19'!L31</f>
        <v/>
      </c>
      <c r="I31" s="58" t="n"/>
      <c r="J31" s="58">
        <f>L31-H31</f>
        <v/>
      </c>
      <c r="K31" s="58" t="n"/>
      <c r="L31" s="58">
        <f>L28+L29+L30</f>
        <v/>
      </c>
      <c r="M31" s="58" t="n"/>
    </row>
    <row r="32" ht="32" customHeight="1">
      <c r="B32" s="79" t="inlineStr">
        <is>
          <t>صافي المبلغ المستحق صرفه عن هذا المستخلص</t>
        </is>
      </c>
      <c r="C32" s="79" t="n"/>
      <c r="D32" s="79" t="n"/>
      <c r="E32" s="79" t="n"/>
      <c r="F32" s="79" t="n"/>
      <c r="G32" s="79" t="n"/>
      <c r="H32" s="79" t="n"/>
      <c r="I32" s="79" t="n"/>
      <c r="J32" s="80">
        <f>J31</f>
        <v/>
      </c>
      <c r="K32" s="80" t="n"/>
      <c r="L32" s="80" t="n"/>
      <c r="M32" s="80" t="n"/>
    </row>
    <row r="33">
      <c r="B33" s="81" t="inlineStr">
        <is>
          <t>المحصل من هذا المستخلص</t>
        </is>
      </c>
      <c r="C33" s="81" t="n"/>
      <c r="D33" s="81" t="n"/>
      <c r="E33" s="81" t="n"/>
      <c r="F33" s="81" t="n"/>
      <c r="G33" s="81" t="n"/>
      <c r="H33" s="81" t="n"/>
      <c r="I33" s="81" t="n"/>
      <c r="J33" s="82">
        <f>N(E15)</f>
        <v/>
      </c>
      <c r="K33" s="82" t="n"/>
      <c r="L33" s="82" t="n"/>
      <c r="M33" s="82" t="n"/>
    </row>
    <row r="34">
      <c r="B34" s="83" t="inlineStr">
        <is>
          <t>المتبقي غير المحصل</t>
        </is>
      </c>
      <c r="C34" s="83" t="n"/>
      <c r="D34" s="83" t="n"/>
      <c r="E34" s="83" t="n"/>
      <c r="F34" s="83" t="n"/>
      <c r="G34" s="83" t="n"/>
      <c r="H34" s="83" t="n"/>
      <c r="I34" s="83" t="n"/>
      <c r="J34" s="84">
        <f>J32-J33</f>
        <v/>
      </c>
      <c r="K34" s="84" t="n"/>
      <c r="L34" s="84" t="n"/>
      <c r="M34" s="84" t="n"/>
    </row>
    <row r="35">
      <c r="B35" s="63" t="inlineStr">
        <is>
          <t>فقط وقدره: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</row>
    <row r="37" ht="22" customHeight="1">
      <c r="B37" s="5" t="inlineStr">
        <is>
          <t>ثالثاً: الاعتمادات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>
      <c r="B38" s="85" t="inlineStr">
        <is>
          <t>إعداد: مهندس المقاول</t>
        </is>
      </c>
      <c r="C38" s="85" t="n"/>
      <c r="D38" s="85" t="n"/>
      <c r="E38" s="85" t="n"/>
      <c r="F38" s="85" t="inlineStr">
        <is>
          <t>مراجعة: المهندس الاستشاري</t>
        </is>
      </c>
      <c r="G38" s="85" t="n"/>
      <c r="H38" s="85" t="n"/>
      <c r="I38" s="85" t="n"/>
      <c r="J38" s="85" t="inlineStr">
        <is>
          <t>اعتماد: صاحب العمل</t>
        </is>
      </c>
      <c r="K38" s="85" t="n"/>
      <c r="L38" s="85" t="n"/>
      <c r="M38" s="85" t="n"/>
    </row>
    <row r="39" ht="60" customHeight="1">
      <c r="B39" s="86" t="inlineStr">
        <is>
          <t>الاسم: ....................
التوقيع: ..................
التاريخ: ..................</t>
        </is>
      </c>
      <c r="C39" s="86" t="n"/>
      <c r="D39" s="86" t="n"/>
      <c r="E39" s="86" t="n"/>
      <c r="F39" s="86" t="inlineStr">
        <is>
          <t>الاسم: ....................
التوقيع: ..................
التاريخ: ..................</t>
        </is>
      </c>
      <c r="G39" s="86" t="n"/>
      <c r="H39" s="86" t="n"/>
      <c r="I39" s="86" t="n"/>
      <c r="J39" s="86" t="inlineStr">
        <is>
          <t>الاسم: ....................
التوقيع: ..................
التاريخ: ..................</t>
        </is>
      </c>
      <c r="K39" s="86" t="n"/>
      <c r="L39" s="86" t="n"/>
      <c r="M39" s="86" t="n"/>
    </row>
    <row r="41" ht="22" customHeight="1">
      <c r="B41" s="5" t="inlineStr">
        <is>
          <t>رابعاً: حصر الأعمال المنفذة حسب بنود جدول الكميات — أدخل «الكمية الحالية» فقط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</row>
    <row r="42" ht="40" customHeight="1">
      <c r="B42" s="15" t="inlineStr">
        <is>
          <t>كود البند</t>
        </is>
      </c>
      <c r="C42" s="15" t="inlineStr">
        <is>
          <t>الوصف</t>
        </is>
      </c>
      <c r="D42" s="15" t="inlineStr">
        <is>
          <t>الوحدة</t>
        </is>
      </c>
      <c r="E42" s="15" t="inlineStr">
        <is>
          <t>الكمية التعاقدية</t>
        </is>
      </c>
      <c r="F42" s="15" t="inlineStr">
        <is>
          <t>سعر الوحدة</t>
        </is>
      </c>
      <c r="G42" s="15" t="inlineStr">
        <is>
          <t>الكمية السابقة</t>
        </is>
      </c>
      <c r="H42" s="87" t="inlineStr">
        <is>
          <t>الكمية الحالية</t>
        </is>
      </c>
      <c r="I42" s="15" t="inlineStr">
        <is>
          <t>الكمية التراكمية</t>
        </is>
      </c>
      <c r="J42" s="15" t="inlineStr">
        <is>
          <t>نسبة الإنجاز</t>
        </is>
      </c>
      <c r="K42" s="15" t="inlineStr">
        <is>
          <t>القيمة السابقة</t>
        </is>
      </c>
      <c r="L42" s="15" t="inlineStr">
        <is>
          <t>القيمة الحالية</t>
        </is>
      </c>
      <c r="M42" s="15" t="inlineStr">
        <is>
          <t>القيمة التراكمية</t>
        </is>
      </c>
    </row>
    <row r="43">
      <c r="B43" s="88">
        <f>IF('جدول الكميات'!B6="","",'جدول الكميات'!B6)</f>
        <v/>
      </c>
      <c r="C43" s="89">
        <f>IF('جدول الكميات'!D6="","",'جدول الكميات'!D6)</f>
        <v/>
      </c>
      <c r="D43" s="88">
        <f>IF('جدول الكميات'!E6="","",'جدول الكميات'!E6)</f>
        <v/>
      </c>
      <c r="E43" s="90">
        <f>N('جدول الكميات'!F6)</f>
        <v/>
      </c>
      <c r="F43" s="90">
        <f>N('جدول الكميات'!G6)</f>
        <v/>
      </c>
      <c r="G43" s="91">
        <f>'مستخلص 19'!I43</f>
        <v/>
      </c>
      <c r="H43" s="31" t="n"/>
      <c r="I43" s="92">
        <f>G43+H43</f>
        <v/>
      </c>
      <c r="J43" s="93">
        <f>IF(E43&gt;0,I43/E43,0)</f>
        <v/>
      </c>
      <c r="K43" s="92">
        <f>G43*F43</f>
        <v/>
      </c>
      <c r="L43" s="94">
        <f>N(H43)*F43</f>
        <v/>
      </c>
      <c r="M43" s="92">
        <f>I43*F43</f>
        <v/>
      </c>
    </row>
    <row r="44">
      <c r="B44" s="88">
        <f>IF('جدول الكميات'!B7="","",'جدول الكميات'!B7)</f>
        <v/>
      </c>
      <c r="C44" s="89">
        <f>IF('جدول الكميات'!D7="","",'جدول الكميات'!D7)</f>
        <v/>
      </c>
      <c r="D44" s="88">
        <f>IF('جدول الكميات'!E7="","",'جدول الكميات'!E7)</f>
        <v/>
      </c>
      <c r="E44" s="90">
        <f>N('جدول الكميات'!F7)</f>
        <v/>
      </c>
      <c r="F44" s="90">
        <f>N('جدول الكميات'!G7)</f>
        <v/>
      </c>
      <c r="G44" s="91">
        <f>'مستخلص 19'!I44</f>
        <v/>
      </c>
      <c r="H44" s="31" t="n"/>
      <c r="I44" s="92">
        <f>G44+H44</f>
        <v/>
      </c>
      <c r="J44" s="93">
        <f>IF(E44&gt;0,I44/E44,0)</f>
        <v/>
      </c>
      <c r="K44" s="92">
        <f>G44*F44</f>
        <v/>
      </c>
      <c r="L44" s="94">
        <f>N(H44)*F44</f>
        <v/>
      </c>
      <c r="M44" s="92">
        <f>I44*F44</f>
        <v/>
      </c>
    </row>
    <row r="45">
      <c r="B45" s="88">
        <f>IF('جدول الكميات'!B8="","",'جدول الكميات'!B8)</f>
        <v/>
      </c>
      <c r="C45" s="89">
        <f>IF('جدول الكميات'!D8="","",'جدول الكميات'!D8)</f>
        <v/>
      </c>
      <c r="D45" s="88">
        <f>IF('جدول الكميات'!E8="","",'جدول الكميات'!E8)</f>
        <v/>
      </c>
      <c r="E45" s="90">
        <f>N('جدول الكميات'!F8)</f>
        <v/>
      </c>
      <c r="F45" s="90">
        <f>N('جدول الكميات'!G8)</f>
        <v/>
      </c>
      <c r="G45" s="91">
        <f>'مستخلص 19'!I45</f>
        <v/>
      </c>
      <c r="H45" s="31" t="n"/>
      <c r="I45" s="92">
        <f>G45+H45</f>
        <v/>
      </c>
      <c r="J45" s="93">
        <f>IF(E45&gt;0,I45/E45,0)</f>
        <v/>
      </c>
      <c r="K45" s="92">
        <f>G45*F45</f>
        <v/>
      </c>
      <c r="L45" s="94">
        <f>N(H45)*F45</f>
        <v/>
      </c>
      <c r="M45" s="92">
        <f>I45*F45</f>
        <v/>
      </c>
    </row>
    <row r="46">
      <c r="B46" s="88">
        <f>IF('جدول الكميات'!B9="","",'جدول الكميات'!B9)</f>
        <v/>
      </c>
      <c r="C46" s="89">
        <f>IF('جدول الكميات'!D9="","",'جدول الكميات'!D9)</f>
        <v/>
      </c>
      <c r="D46" s="88">
        <f>IF('جدول الكميات'!E9="","",'جدول الكميات'!E9)</f>
        <v/>
      </c>
      <c r="E46" s="90">
        <f>N('جدول الكميات'!F9)</f>
        <v/>
      </c>
      <c r="F46" s="90">
        <f>N('جدول الكميات'!G9)</f>
        <v/>
      </c>
      <c r="G46" s="91">
        <f>'مستخلص 19'!I46</f>
        <v/>
      </c>
      <c r="H46" s="31" t="n"/>
      <c r="I46" s="92">
        <f>G46+H46</f>
        <v/>
      </c>
      <c r="J46" s="93">
        <f>IF(E46&gt;0,I46/E46,0)</f>
        <v/>
      </c>
      <c r="K46" s="92">
        <f>G46*F46</f>
        <v/>
      </c>
      <c r="L46" s="94">
        <f>N(H46)*F46</f>
        <v/>
      </c>
      <c r="M46" s="92">
        <f>I46*F46</f>
        <v/>
      </c>
    </row>
    <row r="47">
      <c r="B47" s="88">
        <f>IF('جدول الكميات'!B10="","",'جدول الكميات'!B10)</f>
        <v/>
      </c>
      <c r="C47" s="89">
        <f>IF('جدول الكميات'!D10="","",'جدول الكميات'!D10)</f>
        <v/>
      </c>
      <c r="D47" s="88">
        <f>IF('جدول الكميات'!E10="","",'جدول الكميات'!E10)</f>
        <v/>
      </c>
      <c r="E47" s="90">
        <f>N('جدول الكميات'!F10)</f>
        <v/>
      </c>
      <c r="F47" s="90">
        <f>N('جدول الكميات'!G10)</f>
        <v/>
      </c>
      <c r="G47" s="91">
        <f>'مستخلص 19'!I47</f>
        <v/>
      </c>
      <c r="H47" s="31" t="n"/>
      <c r="I47" s="92">
        <f>G47+H47</f>
        <v/>
      </c>
      <c r="J47" s="93">
        <f>IF(E47&gt;0,I47/E47,0)</f>
        <v/>
      </c>
      <c r="K47" s="92">
        <f>G47*F47</f>
        <v/>
      </c>
      <c r="L47" s="94">
        <f>N(H47)*F47</f>
        <v/>
      </c>
      <c r="M47" s="92">
        <f>I47*F47</f>
        <v/>
      </c>
    </row>
    <row r="48">
      <c r="B48" s="88">
        <f>IF('جدول الكميات'!B11="","",'جدول الكميات'!B11)</f>
        <v/>
      </c>
      <c r="C48" s="89">
        <f>IF('جدول الكميات'!D11="","",'جدول الكميات'!D11)</f>
        <v/>
      </c>
      <c r="D48" s="88">
        <f>IF('جدول الكميات'!E11="","",'جدول الكميات'!E11)</f>
        <v/>
      </c>
      <c r="E48" s="90">
        <f>N('جدول الكميات'!F11)</f>
        <v/>
      </c>
      <c r="F48" s="90">
        <f>N('جدول الكميات'!G11)</f>
        <v/>
      </c>
      <c r="G48" s="91">
        <f>'مستخلص 19'!I48</f>
        <v/>
      </c>
      <c r="H48" s="31" t="n"/>
      <c r="I48" s="92">
        <f>G48+H48</f>
        <v/>
      </c>
      <c r="J48" s="93">
        <f>IF(E48&gt;0,I48/E48,0)</f>
        <v/>
      </c>
      <c r="K48" s="92">
        <f>G48*F48</f>
        <v/>
      </c>
      <c r="L48" s="94">
        <f>N(H48)*F48</f>
        <v/>
      </c>
      <c r="M48" s="92">
        <f>I48*F48</f>
        <v/>
      </c>
    </row>
    <row r="49">
      <c r="B49" s="88">
        <f>IF('جدول الكميات'!B12="","",'جدول الكميات'!B12)</f>
        <v/>
      </c>
      <c r="C49" s="89">
        <f>IF('جدول الكميات'!D12="","",'جدول الكميات'!D12)</f>
        <v/>
      </c>
      <c r="D49" s="88">
        <f>IF('جدول الكميات'!E12="","",'جدول الكميات'!E12)</f>
        <v/>
      </c>
      <c r="E49" s="90">
        <f>N('جدول الكميات'!F12)</f>
        <v/>
      </c>
      <c r="F49" s="90">
        <f>N('جدول الكميات'!G12)</f>
        <v/>
      </c>
      <c r="G49" s="91">
        <f>'مستخلص 19'!I49</f>
        <v/>
      </c>
      <c r="H49" s="31" t="n"/>
      <c r="I49" s="92">
        <f>G49+H49</f>
        <v/>
      </c>
      <c r="J49" s="93">
        <f>IF(E49&gt;0,I49/E49,0)</f>
        <v/>
      </c>
      <c r="K49" s="92">
        <f>G49*F49</f>
        <v/>
      </c>
      <c r="L49" s="94">
        <f>N(H49)*F49</f>
        <v/>
      </c>
      <c r="M49" s="92">
        <f>I49*F49</f>
        <v/>
      </c>
    </row>
    <row r="50">
      <c r="B50" s="88">
        <f>IF('جدول الكميات'!B13="","",'جدول الكميات'!B13)</f>
        <v/>
      </c>
      <c r="C50" s="89">
        <f>IF('جدول الكميات'!D13="","",'جدول الكميات'!D13)</f>
        <v/>
      </c>
      <c r="D50" s="88">
        <f>IF('جدول الكميات'!E13="","",'جدول الكميات'!E13)</f>
        <v/>
      </c>
      <c r="E50" s="90">
        <f>N('جدول الكميات'!F13)</f>
        <v/>
      </c>
      <c r="F50" s="90">
        <f>N('جدول الكميات'!G13)</f>
        <v/>
      </c>
      <c r="G50" s="91">
        <f>'مستخلص 19'!I50</f>
        <v/>
      </c>
      <c r="H50" s="31" t="n"/>
      <c r="I50" s="92">
        <f>G50+H50</f>
        <v/>
      </c>
      <c r="J50" s="93">
        <f>IF(E50&gt;0,I50/E50,0)</f>
        <v/>
      </c>
      <c r="K50" s="92">
        <f>G50*F50</f>
        <v/>
      </c>
      <c r="L50" s="94">
        <f>N(H50)*F50</f>
        <v/>
      </c>
      <c r="M50" s="92">
        <f>I50*F50</f>
        <v/>
      </c>
    </row>
    <row r="51">
      <c r="B51" s="88">
        <f>IF('جدول الكميات'!B14="","",'جدول الكميات'!B14)</f>
        <v/>
      </c>
      <c r="C51" s="89">
        <f>IF('جدول الكميات'!D14="","",'جدول الكميات'!D14)</f>
        <v/>
      </c>
      <c r="D51" s="88">
        <f>IF('جدول الكميات'!E14="","",'جدول الكميات'!E14)</f>
        <v/>
      </c>
      <c r="E51" s="90">
        <f>N('جدول الكميات'!F14)</f>
        <v/>
      </c>
      <c r="F51" s="90">
        <f>N('جدول الكميات'!G14)</f>
        <v/>
      </c>
      <c r="G51" s="91">
        <f>'مستخلص 19'!I51</f>
        <v/>
      </c>
      <c r="H51" s="31" t="n"/>
      <c r="I51" s="92">
        <f>G51+H51</f>
        <v/>
      </c>
      <c r="J51" s="93">
        <f>IF(E51&gt;0,I51/E51,0)</f>
        <v/>
      </c>
      <c r="K51" s="92">
        <f>G51*F51</f>
        <v/>
      </c>
      <c r="L51" s="94">
        <f>N(H51)*F51</f>
        <v/>
      </c>
      <c r="M51" s="92">
        <f>I51*F51</f>
        <v/>
      </c>
    </row>
    <row r="52">
      <c r="B52" s="88">
        <f>IF('جدول الكميات'!B15="","",'جدول الكميات'!B15)</f>
        <v/>
      </c>
      <c r="C52" s="89">
        <f>IF('جدول الكميات'!D15="","",'جدول الكميات'!D15)</f>
        <v/>
      </c>
      <c r="D52" s="88">
        <f>IF('جدول الكميات'!E15="","",'جدول الكميات'!E15)</f>
        <v/>
      </c>
      <c r="E52" s="90">
        <f>N('جدول الكميات'!F15)</f>
        <v/>
      </c>
      <c r="F52" s="90">
        <f>N('جدول الكميات'!G15)</f>
        <v/>
      </c>
      <c r="G52" s="91">
        <f>'مستخلص 19'!I52</f>
        <v/>
      </c>
      <c r="H52" s="31" t="n"/>
      <c r="I52" s="92">
        <f>G52+H52</f>
        <v/>
      </c>
      <c r="J52" s="93">
        <f>IF(E52&gt;0,I52/E52,0)</f>
        <v/>
      </c>
      <c r="K52" s="92">
        <f>G52*F52</f>
        <v/>
      </c>
      <c r="L52" s="94">
        <f>N(H52)*F52</f>
        <v/>
      </c>
      <c r="M52" s="92">
        <f>I52*F52</f>
        <v/>
      </c>
    </row>
    <row r="53">
      <c r="B53" s="88">
        <f>IF('جدول الكميات'!B16="","",'جدول الكميات'!B16)</f>
        <v/>
      </c>
      <c r="C53" s="89">
        <f>IF('جدول الكميات'!D16="","",'جدول الكميات'!D16)</f>
        <v/>
      </c>
      <c r="D53" s="88">
        <f>IF('جدول الكميات'!E16="","",'جدول الكميات'!E16)</f>
        <v/>
      </c>
      <c r="E53" s="90">
        <f>N('جدول الكميات'!F16)</f>
        <v/>
      </c>
      <c r="F53" s="90">
        <f>N('جدول الكميات'!G16)</f>
        <v/>
      </c>
      <c r="G53" s="91">
        <f>'مستخلص 19'!I53</f>
        <v/>
      </c>
      <c r="H53" s="31" t="n"/>
      <c r="I53" s="92">
        <f>G53+H53</f>
        <v/>
      </c>
      <c r="J53" s="93">
        <f>IF(E53&gt;0,I53/E53,0)</f>
        <v/>
      </c>
      <c r="K53" s="92">
        <f>G53*F53</f>
        <v/>
      </c>
      <c r="L53" s="94">
        <f>N(H53)*F53</f>
        <v/>
      </c>
      <c r="M53" s="92">
        <f>I53*F53</f>
        <v/>
      </c>
    </row>
    <row r="54">
      <c r="B54" s="88">
        <f>IF('جدول الكميات'!B17="","",'جدول الكميات'!B17)</f>
        <v/>
      </c>
      <c r="C54" s="89">
        <f>IF('جدول الكميات'!D17="","",'جدول الكميات'!D17)</f>
        <v/>
      </c>
      <c r="D54" s="88">
        <f>IF('جدول الكميات'!E17="","",'جدول الكميات'!E17)</f>
        <v/>
      </c>
      <c r="E54" s="90">
        <f>N('جدول الكميات'!F17)</f>
        <v/>
      </c>
      <c r="F54" s="90">
        <f>N('جدول الكميات'!G17)</f>
        <v/>
      </c>
      <c r="G54" s="91">
        <f>'مستخلص 19'!I54</f>
        <v/>
      </c>
      <c r="H54" s="31" t="n"/>
      <c r="I54" s="92">
        <f>G54+H54</f>
        <v/>
      </c>
      <c r="J54" s="93">
        <f>IF(E54&gt;0,I54/E54,0)</f>
        <v/>
      </c>
      <c r="K54" s="92">
        <f>G54*F54</f>
        <v/>
      </c>
      <c r="L54" s="94">
        <f>N(H54)*F54</f>
        <v/>
      </c>
      <c r="M54" s="92">
        <f>I54*F54</f>
        <v/>
      </c>
    </row>
    <row r="55">
      <c r="B55" s="88">
        <f>IF('جدول الكميات'!B18="","",'جدول الكميات'!B18)</f>
        <v/>
      </c>
      <c r="C55" s="89">
        <f>IF('جدول الكميات'!D18="","",'جدول الكميات'!D18)</f>
        <v/>
      </c>
      <c r="D55" s="88">
        <f>IF('جدول الكميات'!E18="","",'جدول الكميات'!E18)</f>
        <v/>
      </c>
      <c r="E55" s="90">
        <f>N('جدول الكميات'!F18)</f>
        <v/>
      </c>
      <c r="F55" s="90">
        <f>N('جدول الكميات'!G18)</f>
        <v/>
      </c>
      <c r="G55" s="91">
        <f>'مستخلص 19'!I55</f>
        <v/>
      </c>
      <c r="H55" s="31" t="n"/>
      <c r="I55" s="92">
        <f>G55+H55</f>
        <v/>
      </c>
      <c r="J55" s="93">
        <f>IF(E55&gt;0,I55/E55,0)</f>
        <v/>
      </c>
      <c r="K55" s="92">
        <f>G55*F55</f>
        <v/>
      </c>
      <c r="L55" s="94">
        <f>N(H55)*F55</f>
        <v/>
      </c>
      <c r="M55" s="92">
        <f>I55*F55</f>
        <v/>
      </c>
    </row>
    <row r="56">
      <c r="B56" s="88">
        <f>IF('جدول الكميات'!B19="","",'جدول الكميات'!B19)</f>
        <v/>
      </c>
      <c r="C56" s="89">
        <f>IF('جدول الكميات'!D19="","",'جدول الكميات'!D19)</f>
        <v/>
      </c>
      <c r="D56" s="88">
        <f>IF('جدول الكميات'!E19="","",'جدول الكميات'!E19)</f>
        <v/>
      </c>
      <c r="E56" s="90">
        <f>N('جدول الكميات'!F19)</f>
        <v/>
      </c>
      <c r="F56" s="90">
        <f>N('جدول الكميات'!G19)</f>
        <v/>
      </c>
      <c r="G56" s="91">
        <f>'مستخلص 19'!I56</f>
        <v/>
      </c>
      <c r="H56" s="31" t="n"/>
      <c r="I56" s="92">
        <f>G56+H56</f>
        <v/>
      </c>
      <c r="J56" s="93">
        <f>IF(E56&gt;0,I56/E56,0)</f>
        <v/>
      </c>
      <c r="K56" s="92">
        <f>G56*F56</f>
        <v/>
      </c>
      <c r="L56" s="94">
        <f>N(H56)*F56</f>
        <v/>
      </c>
      <c r="M56" s="92">
        <f>I56*F56</f>
        <v/>
      </c>
    </row>
    <row r="57">
      <c r="B57" s="88">
        <f>IF('جدول الكميات'!B20="","",'جدول الكميات'!B20)</f>
        <v/>
      </c>
      <c r="C57" s="89">
        <f>IF('جدول الكميات'!D20="","",'جدول الكميات'!D20)</f>
        <v/>
      </c>
      <c r="D57" s="88">
        <f>IF('جدول الكميات'!E20="","",'جدول الكميات'!E20)</f>
        <v/>
      </c>
      <c r="E57" s="90">
        <f>N('جدول الكميات'!F20)</f>
        <v/>
      </c>
      <c r="F57" s="90">
        <f>N('جدول الكميات'!G20)</f>
        <v/>
      </c>
      <c r="G57" s="91">
        <f>'مستخلص 19'!I57</f>
        <v/>
      </c>
      <c r="H57" s="31" t="n"/>
      <c r="I57" s="92">
        <f>G57+H57</f>
        <v/>
      </c>
      <c r="J57" s="93">
        <f>IF(E57&gt;0,I57/E57,0)</f>
        <v/>
      </c>
      <c r="K57" s="92">
        <f>G57*F57</f>
        <v/>
      </c>
      <c r="L57" s="94">
        <f>N(H57)*F57</f>
        <v/>
      </c>
      <c r="M57" s="92">
        <f>I57*F57</f>
        <v/>
      </c>
    </row>
    <row r="58">
      <c r="B58" s="88">
        <f>IF('جدول الكميات'!B21="","",'جدول الكميات'!B21)</f>
        <v/>
      </c>
      <c r="C58" s="89">
        <f>IF('جدول الكميات'!D21="","",'جدول الكميات'!D21)</f>
        <v/>
      </c>
      <c r="D58" s="88">
        <f>IF('جدول الكميات'!E21="","",'جدول الكميات'!E21)</f>
        <v/>
      </c>
      <c r="E58" s="90">
        <f>N('جدول الكميات'!F21)</f>
        <v/>
      </c>
      <c r="F58" s="90">
        <f>N('جدول الكميات'!G21)</f>
        <v/>
      </c>
      <c r="G58" s="91">
        <f>'مستخلص 19'!I58</f>
        <v/>
      </c>
      <c r="H58" s="31" t="n"/>
      <c r="I58" s="92">
        <f>G58+H58</f>
        <v/>
      </c>
      <c r="J58" s="93">
        <f>IF(E58&gt;0,I58/E58,0)</f>
        <v/>
      </c>
      <c r="K58" s="92">
        <f>G58*F58</f>
        <v/>
      </c>
      <c r="L58" s="94">
        <f>N(H58)*F58</f>
        <v/>
      </c>
      <c r="M58" s="92">
        <f>I58*F58</f>
        <v/>
      </c>
    </row>
    <row r="59">
      <c r="B59" s="88">
        <f>IF('جدول الكميات'!B22="","",'جدول الكميات'!B22)</f>
        <v/>
      </c>
      <c r="C59" s="89">
        <f>IF('جدول الكميات'!D22="","",'جدول الكميات'!D22)</f>
        <v/>
      </c>
      <c r="D59" s="88">
        <f>IF('جدول الكميات'!E22="","",'جدول الكميات'!E22)</f>
        <v/>
      </c>
      <c r="E59" s="90">
        <f>N('جدول الكميات'!F22)</f>
        <v/>
      </c>
      <c r="F59" s="90">
        <f>N('جدول الكميات'!G22)</f>
        <v/>
      </c>
      <c r="G59" s="91">
        <f>'مستخلص 19'!I59</f>
        <v/>
      </c>
      <c r="H59" s="31" t="n"/>
      <c r="I59" s="92">
        <f>G59+H59</f>
        <v/>
      </c>
      <c r="J59" s="93">
        <f>IF(E59&gt;0,I59/E59,0)</f>
        <v/>
      </c>
      <c r="K59" s="92">
        <f>G59*F59</f>
        <v/>
      </c>
      <c r="L59" s="94">
        <f>N(H59)*F59</f>
        <v/>
      </c>
      <c r="M59" s="92">
        <f>I59*F59</f>
        <v/>
      </c>
    </row>
    <row r="60">
      <c r="B60" s="88">
        <f>IF('جدول الكميات'!B23="","",'جدول الكميات'!B23)</f>
        <v/>
      </c>
      <c r="C60" s="89">
        <f>IF('جدول الكميات'!D23="","",'جدول الكميات'!D23)</f>
        <v/>
      </c>
      <c r="D60" s="88">
        <f>IF('جدول الكميات'!E23="","",'جدول الكميات'!E23)</f>
        <v/>
      </c>
      <c r="E60" s="90">
        <f>N('جدول الكميات'!F23)</f>
        <v/>
      </c>
      <c r="F60" s="90">
        <f>N('جدول الكميات'!G23)</f>
        <v/>
      </c>
      <c r="G60" s="91">
        <f>'مستخلص 19'!I60</f>
        <v/>
      </c>
      <c r="H60" s="31" t="n"/>
      <c r="I60" s="92">
        <f>G60+H60</f>
        <v/>
      </c>
      <c r="J60" s="93">
        <f>IF(E60&gt;0,I60/E60,0)</f>
        <v/>
      </c>
      <c r="K60" s="92">
        <f>G60*F60</f>
        <v/>
      </c>
      <c r="L60" s="94">
        <f>N(H60)*F60</f>
        <v/>
      </c>
      <c r="M60" s="92">
        <f>I60*F60</f>
        <v/>
      </c>
    </row>
    <row r="61">
      <c r="B61" s="88">
        <f>IF('جدول الكميات'!B24="","",'جدول الكميات'!B24)</f>
        <v/>
      </c>
      <c r="C61" s="89">
        <f>IF('جدول الكميات'!D24="","",'جدول الكميات'!D24)</f>
        <v/>
      </c>
      <c r="D61" s="88">
        <f>IF('جدول الكميات'!E24="","",'جدول الكميات'!E24)</f>
        <v/>
      </c>
      <c r="E61" s="90">
        <f>N('جدول الكميات'!F24)</f>
        <v/>
      </c>
      <c r="F61" s="90">
        <f>N('جدول الكميات'!G24)</f>
        <v/>
      </c>
      <c r="G61" s="91">
        <f>'مستخلص 19'!I61</f>
        <v/>
      </c>
      <c r="H61" s="31" t="n"/>
      <c r="I61" s="92">
        <f>G61+H61</f>
        <v/>
      </c>
      <c r="J61" s="93">
        <f>IF(E61&gt;0,I61/E61,0)</f>
        <v/>
      </c>
      <c r="K61" s="92">
        <f>G61*F61</f>
        <v/>
      </c>
      <c r="L61" s="94">
        <f>N(H61)*F61</f>
        <v/>
      </c>
      <c r="M61" s="92">
        <f>I61*F61</f>
        <v/>
      </c>
    </row>
    <row r="62">
      <c r="B62" s="88">
        <f>IF('جدول الكميات'!B25="","",'جدول الكميات'!B25)</f>
        <v/>
      </c>
      <c r="C62" s="89">
        <f>IF('جدول الكميات'!D25="","",'جدول الكميات'!D25)</f>
        <v/>
      </c>
      <c r="D62" s="88">
        <f>IF('جدول الكميات'!E25="","",'جدول الكميات'!E25)</f>
        <v/>
      </c>
      <c r="E62" s="90">
        <f>N('جدول الكميات'!F25)</f>
        <v/>
      </c>
      <c r="F62" s="90">
        <f>N('جدول الكميات'!G25)</f>
        <v/>
      </c>
      <c r="G62" s="91">
        <f>'مستخلص 19'!I62</f>
        <v/>
      </c>
      <c r="H62" s="31" t="n"/>
      <c r="I62" s="92">
        <f>G62+H62</f>
        <v/>
      </c>
      <c r="J62" s="93">
        <f>IF(E62&gt;0,I62/E62,0)</f>
        <v/>
      </c>
      <c r="K62" s="92">
        <f>G62*F62</f>
        <v/>
      </c>
      <c r="L62" s="94">
        <f>N(H62)*F62</f>
        <v/>
      </c>
      <c r="M62" s="92">
        <f>I62*F62</f>
        <v/>
      </c>
    </row>
    <row r="63">
      <c r="B63" s="88">
        <f>IF('جدول الكميات'!B26="","",'جدول الكميات'!B26)</f>
        <v/>
      </c>
      <c r="C63" s="89">
        <f>IF('جدول الكميات'!D26="","",'جدول الكميات'!D26)</f>
        <v/>
      </c>
      <c r="D63" s="88">
        <f>IF('جدول الكميات'!E26="","",'جدول الكميات'!E26)</f>
        <v/>
      </c>
      <c r="E63" s="90">
        <f>N('جدول الكميات'!F26)</f>
        <v/>
      </c>
      <c r="F63" s="90">
        <f>N('جدول الكميات'!G26)</f>
        <v/>
      </c>
      <c r="G63" s="91">
        <f>'مستخلص 19'!I63</f>
        <v/>
      </c>
      <c r="H63" s="31" t="n"/>
      <c r="I63" s="92">
        <f>G63+H63</f>
        <v/>
      </c>
      <c r="J63" s="93">
        <f>IF(E63&gt;0,I63/E63,0)</f>
        <v/>
      </c>
      <c r="K63" s="92">
        <f>G63*F63</f>
        <v/>
      </c>
      <c r="L63" s="94">
        <f>N(H63)*F63</f>
        <v/>
      </c>
      <c r="M63" s="92">
        <f>I63*F63</f>
        <v/>
      </c>
    </row>
    <row r="64">
      <c r="B64" s="88">
        <f>IF('جدول الكميات'!B27="","",'جدول الكميات'!B27)</f>
        <v/>
      </c>
      <c r="C64" s="89">
        <f>IF('جدول الكميات'!D27="","",'جدول الكميات'!D27)</f>
        <v/>
      </c>
      <c r="D64" s="88">
        <f>IF('جدول الكميات'!E27="","",'جدول الكميات'!E27)</f>
        <v/>
      </c>
      <c r="E64" s="90">
        <f>N('جدول الكميات'!F27)</f>
        <v/>
      </c>
      <c r="F64" s="90">
        <f>N('جدول الكميات'!G27)</f>
        <v/>
      </c>
      <c r="G64" s="91">
        <f>'مستخلص 19'!I64</f>
        <v/>
      </c>
      <c r="H64" s="31" t="n"/>
      <c r="I64" s="92">
        <f>G64+H64</f>
        <v/>
      </c>
      <c r="J64" s="93">
        <f>IF(E64&gt;0,I64/E64,0)</f>
        <v/>
      </c>
      <c r="K64" s="92">
        <f>G64*F64</f>
        <v/>
      </c>
      <c r="L64" s="94">
        <f>N(H64)*F64</f>
        <v/>
      </c>
      <c r="M64" s="92">
        <f>I64*F64</f>
        <v/>
      </c>
    </row>
    <row r="65">
      <c r="B65" s="88">
        <f>IF('جدول الكميات'!B28="","",'جدول الكميات'!B28)</f>
        <v/>
      </c>
      <c r="C65" s="89">
        <f>IF('جدول الكميات'!D28="","",'جدول الكميات'!D28)</f>
        <v/>
      </c>
      <c r="D65" s="88">
        <f>IF('جدول الكميات'!E28="","",'جدول الكميات'!E28)</f>
        <v/>
      </c>
      <c r="E65" s="90">
        <f>N('جدول الكميات'!F28)</f>
        <v/>
      </c>
      <c r="F65" s="90">
        <f>N('جدول الكميات'!G28)</f>
        <v/>
      </c>
      <c r="G65" s="91">
        <f>'مستخلص 19'!I65</f>
        <v/>
      </c>
      <c r="H65" s="31" t="n"/>
      <c r="I65" s="92">
        <f>G65+H65</f>
        <v/>
      </c>
      <c r="J65" s="93">
        <f>IF(E65&gt;0,I65/E65,0)</f>
        <v/>
      </c>
      <c r="K65" s="92">
        <f>G65*F65</f>
        <v/>
      </c>
      <c r="L65" s="94">
        <f>N(H65)*F65</f>
        <v/>
      </c>
      <c r="M65" s="92">
        <f>I65*F65</f>
        <v/>
      </c>
    </row>
    <row r="66">
      <c r="B66" s="88">
        <f>IF('جدول الكميات'!B29="","",'جدول الكميات'!B29)</f>
        <v/>
      </c>
      <c r="C66" s="89">
        <f>IF('جدول الكميات'!D29="","",'جدول الكميات'!D29)</f>
        <v/>
      </c>
      <c r="D66" s="88">
        <f>IF('جدول الكميات'!E29="","",'جدول الكميات'!E29)</f>
        <v/>
      </c>
      <c r="E66" s="90">
        <f>N('جدول الكميات'!F29)</f>
        <v/>
      </c>
      <c r="F66" s="90">
        <f>N('جدول الكميات'!G29)</f>
        <v/>
      </c>
      <c r="G66" s="91">
        <f>'مستخلص 19'!I66</f>
        <v/>
      </c>
      <c r="H66" s="31" t="n"/>
      <c r="I66" s="92">
        <f>G66+H66</f>
        <v/>
      </c>
      <c r="J66" s="93">
        <f>IF(E66&gt;0,I66/E66,0)</f>
        <v/>
      </c>
      <c r="K66" s="92">
        <f>G66*F66</f>
        <v/>
      </c>
      <c r="L66" s="94">
        <f>N(H66)*F66</f>
        <v/>
      </c>
      <c r="M66" s="92">
        <f>I66*F66</f>
        <v/>
      </c>
    </row>
    <row r="67">
      <c r="B67" s="88">
        <f>IF('جدول الكميات'!B30="","",'جدول الكميات'!B30)</f>
        <v/>
      </c>
      <c r="C67" s="89">
        <f>IF('جدول الكميات'!D30="","",'جدول الكميات'!D30)</f>
        <v/>
      </c>
      <c r="D67" s="88">
        <f>IF('جدول الكميات'!E30="","",'جدول الكميات'!E30)</f>
        <v/>
      </c>
      <c r="E67" s="90">
        <f>N('جدول الكميات'!F30)</f>
        <v/>
      </c>
      <c r="F67" s="90">
        <f>N('جدول الكميات'!G30)</f>
        <v/>
      </c>
      <c r="G67" s="91">
        <f>'مستخلص 19'!I67</f>
        <v/>
      </c>
      <c r="H67" s="31" t="n"/>
      <c r="I67" s="92">
        <f>G67+H67</f>
        <v/>
      </c>
      <c r="J67" s="93">
        <f>IF(E67&gt;0,I67/E67,0)</f>
        <v/>
      </c>
      <c r="K67" s="92">
        <f>G67*F67</f>
        <v/>
      </c>
      <c r="L67" s="94">
        <f>N(H67)*F67</f>
        <v/>
      </c>
      <c r="M67" s="92">
        <f>I67*F67</f>
        <v/>
      </c>
    </row>
    <row r="68">
      <c r="B68" s="88">
        <f>IF('جدول الكميات'!B31="","",'جدول الكميات'!B31)</f>
        <v/>
      </c>
      <c r="C68" s="89">
        <f>IF('جدول الكميات'!D31="","",'جدول الكميات'!D31)</f>
        <v/>
      </c>
      <c r="D68" s="88">
        <f>IF('جدول الكميات'!E31="","",'جدول الكميات'!E31)</f>
        <v/>
      </c>
      <c r="E68" s="90">
        <f>N('جدول الكميات'!F31)</f>
        <v/>
      </c>
      <c r="F68" s="90">
        <f>N('جدول الكميات'!G31)</f>
        <v/>
      </c>
      <c r="G68" s="91">
        <f>'مستخلص 19'!I68</f>
        <v/>
      </c>
      <c r="H68" s="31" t="n"/>
      <c r="I68" s="92">
        <f>G68+H68</f>
        <v/>
      </c>
      <c r="J68" s="93">
        <f>IF(E68&gt;0,I68/E68,0)</f>
        <v/>
      </c>
      <c r="K68" s="92">
        <f>G68*F68</f>
        <v/>
      </c>
      <c r="L68" s="94">
        <f>N(H68)*F68</f>
        <v/>
      </c>
      <c r="M68" s="92">
        <f>I68*F68</f>
        <v/>
      </c>
    </row>
    <row r="69">
      <c r="B69" s="88">
        <f>IF('جدول الكميات'!B32="","",'جدول الكميات'!B32)</f>
        <v/>
      </c>
      <c r="C69" s="89">
        <f>IF('جدول الكميات'!D32="","",'جدول الكميات'!D32)</f>
        <v/>
      </c>
      <c r="D69" s="88">
        <f>IF('جدول الكميات'!E32="","",'جدول الكميات'!E32)</f>
        <v/>
      </c>
      <c r="E69" s="90">
        <f>N('جدول الكميات'!F32)</f>
        <v/>
      </c>
      <c r="F69" s="90">
        <f>N('جدول الكميات'!G32)</f>
        <v/>
      </c>
      <c r="G69" s="91">
        <f>'مستخلص 19'!I69</f>
        <v/>
      </c>
      <c r="H69" s="31" t="n"/>
      <c r="I69" s="92">
        <f>G69+H69</f>
        <v/>
      </c>
      <c r="J69" s="93">
        <f>IF(E69&gt;0,I69/E69,0)</f>
        <v/>
      </c>
      <c r="K69" s="92">
        <f>G69*F69</f>
        <v/>
      </c>
      <c r="L69" s="94">
        <f>N(H69)*F69</f>
        <v/>
      </c>
      <c r="M69" s="92">
        <f>I69*F69</f>
        <v/>
      </c>
    </row>
    <row r="70">
      <c r="B70" s="88">
        <f>IF('جدول الكميات'!B33="","",'جدول الكميات'!B33)</f>
        <v/>
      </c>
      <c r="C70" s="89">
        <f>IF('جدول الكميات'!D33="","",'جدول الكميات'!D33)</f>
        <v/>
      </c>
      <c r="D70" s="88">
        <f>IF('جدول الكميات'!E33="","",'جدول الكميات'!E33)</f>
        <v/>
      </c>
      <c r="E70" s="90">
        <f>N('جدول الكميات'!F33)</f>
        <v/>
      </c>
      <c r="F70" s="90">
        <f>N('جدول الكميات'!G33)</f>
        <v/>
      </c>
      <c r="G70" s="91">
        <f>'مستخلص 19'!I70</f>
        <v/>
      </c>
      <c r="H70" s="31" t="n"/>
      <c r="I70" s="92">
        <f>G70+H70</f>
        <v/>
      </c>
      <c r="J70" s="93">
        <f>IF(E70&gt;0,I70/E70,0)</f>
        <v/>
      </c>
      <c r="K70" s="92">
        <f>G70*F70</f>
        <v/>
      </c>
      <c r="L70" s="94">
        <f>N(H70)*F70</f>
        <v/>
      </c>
      <c r="M70" s="92">
        <f>I70*F70</f>
        <v/>
      </c>
    </row>
    <row r="71">
      <c r="B71" s="88">
        <f>IF('جدول الكميات'!B34="","",'جدول الكميات'!B34)</f>
        <v/>
      </c>
      <c r="C71" s="89">
        <f>IF('جدول الكميات'!D34="","",'جدول الكميات'!D34)</f>
        <v/>
      </c>
      <c r="D71" s="88">
        <f>IF('جدول الكميات'!E34="","",'جدول الكميات'!E34)</f>
        <v/>
      </c>
      <c r="E71" s="90">
        <f>N('جدول الكميات'!F34)</f>
        <v/>
      </c>
      <c r="F71" s="90">
        <f>N('جدول الكميات'!G34)</f>
        <v/>
      </c>
      <c r="G71" s="91">
        <f>'مستخلص 19'!I71</f>
        <v/>
      </c>
      <c r="H71" s="31" t="n"/>
      <c r="I71" s="92">
        <f>G71+H71</f>
        <v/>
      </c>
      <c r="J71" s="93">
        <f>IF(E71&gt;0,I71/E71,0)</f>
        <v/>
      </c>
      <c r="K71" s="92">
        <f>G71*F71</f>
        <v/>
      </c>
      <c r="L71" s="94">
        <f>N(H71)*F71</f>
        <v/>
      </c>
      <c r="M71" s="92">
        <f>I71*F71</f>
        <v/>
      </c>
    </row>
    <row r="72">
      <c r="B72" s="88">
        <f>IF('جدول الكميات'!B35="","",'جدول الكميات'!B35)</f>
        <v/>
      </c>
      <c r="C72" s="89">
        <f>IF('جدول الكميات'!D35="","",'جدول الكميات'!D35)</f>
        <v/>
      </c>
      <c r="D72" s="88">
        <f>IF('جدول الكميات'!E35="","",'جدول الكميات'!E35)</f>
        <v/>
      </c>
      <c r="E72" s="90">
        <f>N('جدول الكميات'!F35)</f>
        <v/>
      </c>
      <c r="F72" s="90">
        <f>N('جدول الكميات'!G35)</f>
        <v/>
      </c>
      <c r="G72" s="91">
        <f>'مستخلص 19'!I72</f>
        <v/>
      </c>
      <c r="H72" s="31" t="n"/>
      <c r="I72" s="92">
        <f>G72+H72</f>
        <v/>
      </c>
      <c r="J72" s="93">
        <f>IF(E72&gt;0,I72/E72,0)</f>
        <v/>
      </c>
      <c r="K72" s="92">
        <f>G72*F72</f>
        <v/>
      </c>
      <c r="L72" s="94">
        <f>N(H72)*F72</f>
        <v/>
      </c>
      <c r="M72" s="92">
        <f>I72*F72</f>
        <v/>
      </c>
    </row>
    <row r="73">
      <c r="B73" s="88">
        <f>IF('جدول الكميات'!B36="","",'جدول الكميات'!B36)</f>
        <v/>
      </c>
      <c r="C73" s="89">
        <f>IF('جدول الكميات'!D36="","",'جدول الكميات'!D36)</f>
        <v/>
      </c>
      <c r="D73" s="88">
        <f>IF('جدول الكميات'!E36="","",'جدول الكميات'!E36)</f>
        <v/>
      </c>
      <c r="E73" s="90">
        <f>N('جدول الكميات'!F36)</f>
        <v/>
      </c>
      <c r="F73" s="90">
        <f>N('جدول الكميات'!G36)</f>
        <v/>
      </c>
      <c r="G73" s="91">
        <f>'مستخلص 19'!I73</f>
        <v/>
      </c>
      <c r="H73" s="31" t="n"/>
      <c r="I73" s="92">
        <f>G73+H73</f>
        <v/>
      </c>
      <c r="J73" s="93">
        <f>IF(E73&gt;0,I73/E73,0)</f>
        <v/>
      </c>
      <c r="K73" s="92">
        <f>G73*F73</f>
        <v/>
      </c>
      <c r="L73" s="94">
        <f>N(H73)*F73</f>
        <v/>
      </c>
      <c r="M73" s="92">
        <f>I73*F73</f>
        <v/>
      </c>
    </row>
    <row r="74">
      <c r="B74" s="88">
        <f>IF('جدول الكميات'!B37="","",'جدول الكميات'!B37)</f>
        <v/>
      </c>
      <c r="C74" s="89">
        <f>IF('جدول الكميات'!D37="","",'جدول الكميات'!D37)</f>
        <v/>
      </c>
      <c r="D74" s="88">
        <f>IF('جدول الكميات'!E37="","",'جدول الكميات'!E37)</f>
        <v/>
      </c>
      <c r="E74" s="90">
        <f>N('جدول الكميات'!F37)</f>
        <v/>
      </c>
      <c r="F74" s="90">
        <f>N('جدول الكميات'!G37)</f>
        <v/>
      </c>
      <c r="G74" s="91">
        <f>'مستخلص 19'!I74</f>
        <v/>
      </c>
      <c r="H74" s="31" t="n"/>
      <c r="I74" s="92">
        <f>G74+H74</f>
        <v/>
      </c>
      <c r="J74" s="93">
        <f>IF(E74&gt;0,I74/E74,0)</f>
        <v/>
      </c>
      <c r="K74" s="92">
        <f>G74*F74</f>
        <v/>
      </c>
      <c r="L74" s="94">
        <f>N(H74)*F74</f>
        <v/>
      </c>
      <c r="M74" s="92">
        <f>I74*F74</f>
        <v/>
      </c>
    </row>
    <row r="75">
      <c r="B75" s="88">
        <f>IF('جدول الكميات'!B38="","",'جدول الكميات'!B38)</f>
        <v/>
      </c>
      <c r="C75" s="89">
        <f>IF('جدول الكميات'!D38="","",'جدول الكميات'!D38)</f>
        <v/>
      </c>
      <c r="D75" s="88">
        <f>IF('جدول الكميات'!E38="","",'جدول الكميات'!E38)</f>
        <v/>
      </c>
      <c r="E75" s="90">
        <f>N('جدول الكميات'!F38)</f>
        <v/>
      </c>
      <c r="F75" s="90">
        <f>N('جدول الكميات'!G38)</f>
        <v/>
      </c>
      <c r="G75" s="91">
        <f>'مستخلص 19'!I75</f>
        <v/>
      </c>
      <c r="H75" s="31" t="n"/>
      <c r="I75" s="92">
        <f>G75+H75</f>
        <v/>
      </c>
      <c r="J75" s="93">
        <f>IF(E75&gt;0,I75/E75,0)</f>
        <v/>
      </c>
      <c r="K75" s="92">
        <f>G75*F75</f>
        <v/>
      </c>
      <c r="L75" s="94">
        <f>N(H75)*F75</f>
        <v/>
      </c>
      <c r="M75" s="92">
        <f>I75*F75</f>
        <v/>
      </c>
    </row>
    <row r="76">
      <c r="B76" s="88">
        <f>IF('جدول الكميات'!B39="","",'جدول الكميات'!B39)</f>
        <v/>
      </c>
      <c r="C76" s="89">
        <f>IF('جدول الكميات'!D39="","",'جدول الكميات'!D39)</f>
        <v/>
      </c>
      <c r="D76" s="88">
        <f>IF('جدول الكميات'!E39="","",'جدول الكميات'!E39)</f>
        <v/>
      </c>
      <c r="E76" s="90">
        <f>N('جدول الكميات'!F39)</f>
        <v/>
      </c>
      <c r="F76" s="90">
        <f>N('جدول الكميات'!G39)</f>
        <v/>
      </c>
      <c r="G76" s="91">
        <f>'مستخلص 19'!I76</f>
        <v/>
      </c>
      <c r="H76" s="31" t="n"/>
      <c r="I76" s="92">
        <f>G76+H76</f>
        <v/>
      </c>
      <c r="J76" s="93">
        <f>IF(E76&gt;0,I76/E76,0)</f>
        <v/>
      </c>
      <c r="K76" s="92">
        <f>G76*F76</f>
        <v/>
      </c>
      <c r="L76" s="94">
        <f>N(H76)*F76</f>
        <v/>
      </c>
      <c r="M76" s="92">
        <f>I76*F76</f>
        <v/>
      </c>
    </row>
    <row r="77">
      <c r="B77" s="88">
        <f>IF('جدول الكميات'!B40="","",'جدول الكميات'!B40)</f>
        <v/>
      </c>
      <c r="C77" s="89">
        <f>IF('جدول الكميات'!D40="","",'جدول الكميات'!D40)</f>
        <v/>
      </c>
      <c r="D77" s="88">
        <f>IF('جدول الكميات'!E40="","",'جدول الكميات'!E40)</f>
        <v/>
      </c>
      <c r="E77" s="90">
        <f>N('جدول الكميات'!F40)</f>
        <v/>
      </c>
      <c r="F77" s="90">
        <f>N('جدول الكميات'!G40)</f>
        <v/>
      </c>
      <c r="G77" s="91">
        <f>'مستخلص 19'!I77</f>
        <v/>
      </c>
      <c r="H77" s="31" t="n"/>
      <c r="I77" s="92">
        <f>G77+H77</f>
        <v/>
      </c>
      <c r="J77" s="93">
        <f>IF(E77&gt;0,I77/E77,0)</f>
        <v/>
      </c>
      <c r="K77" s="92">
        <f>G77*F77</f>
        <v/>
      </c>
      <c r="L77" s="94">
        <f>N(H77)*F77</f>
        <v/>
      </c>
      <c r="M77" s="92">
        <f>I77*F77</f>
        <v/>
      </c>
    </row>
    <row r="78">
      <c r="B78" s="88">
        <f>IF('جدول الكميات'!B41="","",'جدول الكميات'!B41)</f>
        <v/>
      </c>
      <c r="C78" s="89">
        <f>IF('جدول الكميات'!D41="","",'جدول الكميات'!D41)</f>
        <v/>
      </c>
      <c r="D78" s="88">
        <f>IF('جدول الكميات'!E41="","",'جدول الكميات'!E41)</f>
        <v/>
      </c>
      <c r="E78" s="90">
        <f>N('جدول الكميات'!F41)</f>
        <v/>
      </c>
      <c r="F78" s="90">
        <f>N('جدول الكميات'!G41)</f>
        <v/>
      </c>
      <c r="G78" s="91">
        <f>'مستخلص 19'!I78</f>
        <v/>
      </c>
      <c r="H78" s="31" t="n"/>
      <c r="I78" s="92">
        <f>G78+H78</f>
        <v/>
      </c>
      <c r="J78" s="93">
        <f>IF(E78&gt;0,I78/E78,0)</f>
        <v/>
      </c>
      <c r="K78" s="92">
        <f>G78*F78</f>
        <v/>
      </c>
      <c r="L78" s="94">
        <f>N(H78)*F78</f>
        <v/>
      </c>
      <c r="M78" s="92">
        <f>I78*F78</f>
        <v/>
      </c>
    </row>
    <row r="79">
      <c r="B79" s="88">
        <f>IF('جدول الكميات'!B42="","",'جدول الكميات'!B42)</f>
        <v/>
      </c>
      <c r="C79" s="89">
        <f>IF('جدول الكميات'!D42="","",'جدول الكميات'!D42)</f>
        <v/>
      </c>
      <c r="D79" s="88">
        <f>IF('جدول الكميات'!E42="","",'جدول الكميات'!E42)</f>
        <v/>
      </c>
      <c r="E79" s="90">
        <f>N('جدول الكميات'!F42)</f>
        <v/>
      </c>
      <c r="F79" s="90">
        <f>N('جدول الكميات'!G42)</f>
        <v/>
      </c>
      <c r="G79" s="91">
        <f>'مستخلص 19'!I79</f>
        <v/>
      </c>
      <c r="H79" s="31" t="n"/>
      <c r="I79" s="92">
        <f>G79+H79</f>
        <v/>
      </c>
      <c r="J79" s="93">
        <f>IF(E79&gt;0,I79/E79,0)</f>
        <v/>
      </c>
      <c r="K79" s="92">
        <f>G79*F79</f>
        <v/>
      </c>
      <c r="L79" s="94">
        <f>N(H79)*F79</f>
        <v/>
      </c>
      <c r="M79" s="92">
        <f>I79*F79</f>
        <v/>
      </c>
    </row>
    <row r="80">
      <c r="B80" s="88">
        <f>IF('جدول الكميات'!B43="","",'جدول الكميات'!B43)</f>
        <v/>
      </c>
      <c r="C80" s="89">
        <f>IF('جدول الكميات'!D43="","",'جدول الكميات'!D43)</f>
        <v/>
      </c>
      <c r="D80" s="88">
        <f>IF('جدول الكميات'!E43="","",'جدول الكميات'!E43)</f>
        <v/>
      </c>
      <c r="E80" s="90">
        <f>N('جدول الكميات'!F43)</f>
        <v/>
      </c>
      <c r="F80" s="90">
        <f>N('جدول الكميات'!G43)</f>
        <v/>
      </c>
      <c r="G80" s="91">
        <f>'مستخلص 19'!I80</f>
        <v/>
      </c>
      <c r="H80" s="31" t="n"/>
      <c r="I80" s="92">
        <f>G80+H80</f>
        <v/>
      </c>
      <c r="J80" s="93">
        <f>IF(E80&gt;0,I80/E80,0)</f>
        <v/>
      </c>
      <c r="K80" s="92">
        <f>G80*F80</f>
        <v/>
      </c>
      <c r="L80" s="94">
        <f>N(H80)*F80</f>
        <v/>
      </c>
      <c r="M80" s="92">
        <f>I80*F80</f>
        <v/>
      </c>
    </row>
    <row r="81">
      <c r="B81" s="88">
        <f>IF('جدول الكميات'!B44="","",'جدول الكميات'!B44)</f>
        <v/>
      </c>
      <c r="C81" s="89">
        <f>IF('جدول الكميات'!D44="","",'جدول الكميات'!D44)</f>
        <v/>
      </c>
      <c r="D81" s="88">
        <f>IF('جدول الكميات'!E44="","",'جدول الكميات'!E44)</f>
        <v/>
      </c>
      <c r="E81" s="90">
        <f>N('جدول الكميات'!F44)</f>
        <v/>
      </c>
      <c r="F81" s="90">
        <f>N('جدول الكميات'!G44)</f>
        <v/>
      </c>
      <c r="G81" s="91">
        <f>'مستخلص 19'!I81</f>
        <v/>
      </c>
      <c r="H81" s="31" t="n"/>
      <c r="I81" s="92">
        <f>G81+H81</f>
        <v/>
      </c>
      <c r="J81" s="93">
        <f>IF(E81&gt;0,I81/E81,0)</f>
        <v/>
      </c>
      <c r="K81" s="92">
        <f>G81*F81</f>
        <v/>
      </c>
      <c r="L81" s="94">
        <f>N(H81)*F81</f>
        <v/>
      </c>
      <c r="M81" s="92">
        <f>I81*F81</f>
        <v/>
      </c>
    </row>
    <row r="82">
      <c r="B82" s="88">
        <f>IF('جدول الكميات'!B45="","",'جدول الكميات'!B45)</f>
        <v/>
      </c>
      <c r="C82" s="89">
        <f>IF('جدول الكميات'!D45="","",'جدول الكميات'!D45)</f>
        <v/>
      </c>
      <c r="D82" s="88">
        <f>IF('جدول الكميات'!E45="","",'جدول الكميات'!E45)</f>
        <v/>
      </c>
      <c r="E82" s="90">
        <f>N('جدول الكميات'!F45)</f>
        <v/>
      </c>
      <c r="F82" s="90">
        <f>N('جدول الكميات'!G45)</f>
        <v/>
      </c>
      <c r="G82" s="91">
        <f>'مستخلص 19'!I82</f>
        <v/>
      </c>
      <c r="H82" s="31" t="n"/>
      <c r="I82" s="92">
        <f>G82+H82</f>
        <v/>
      </c>
      <c r="J82" s="93">
        <f>IF(E82&gt;0,I82/E82,0)</f>
        <v/>
      </c>
      <c r="K82" s="92">
        <f>G82*F82</f>
        <v/>
      </c>
      <c r="L82" s="94">
        <f>N(H82)*F82</f>
        <v/>
      </c>
      <c r="M82" s="92">
        <f>I82*F82</f>
        <v/>
      </c>
    </row>
    <row r="83">
      <c r="B83" s="88">
        <f>IF('جدول الكميات'!B46="","",'جدول الكميات'!B46)</f>
        <v/>
      </c>
      <c r="C83" s="89">
        <f>IF('جدول الكميات'!D46="","",'جدول الكميات'!D46)</f>
        <v/>
      </c>
      <c r="D83" s="88">
        <f>IF('جدول الكميات'!E46="","",'جدول الكميات'!E46)</f>
        <v/>
      </c>
      <c r="E83" s="90">
        <f>N('جدول الكميات'!F46)</f>
        <v/>
      </c>
      <c r="F83" s="90">
        <f>N('جدول الكميات'!G46)</f>
        <v/>
      </c>
      <c r="G83" s="91">
        <f>'مستخلص 19'!I83</f>
        <v/>
      </c>
      <c r="H83" s="31" t="n"/>
      <c r="I83" s="92">
        <f>G83+H83</f>
        <v/>
      </c>
      <c r="J83" s="93">
        <f>IF(E83&gt;0,I83/E83,0)</f>
        <v/>
      </c>
      <c r="K83" s="92">
        <f>G83*F83</f>
        <v/>
      </c>
      <c r="L83" s="94">
        <f>N(H83)*F83</f>
        <v/>
      </c>
      <c r="M83" s="92">
        <f>I83*F83</f>
        <v/>
      </c>
    </row>
    <row r="84">
      <c r="B84" s="88">
        <f>IF('جدول الكميات'!B47="","",'جدول الكميات'!B47)</f>
        <v/>
      </c>
      <c r="C84" s="89">
        <f>IF('جدول الكميات'!D47="","",'جدول الكميات'!D47)</f>
        <v/>
      </c>
      <c r="D84" s="88">
        <f>IF('جدول الكميات'!E47="","",'جدول الكميات'!E47)</f>
        <v/>
      </c>
      <c r="E84" s="90">
        <f>N('جدول الكميات'!F47)</f>
        <v/>
      </c>
      <c r="F84" s="90">
        <f>N('جدول الكميات'!G47)</f>
        <v/>
      </c>
      <c r="G84" s="91">
        <f>'مستخلص 19'!I84</f>
        <v/>
      </c>
      <c r="H84" s="31" t="n"/>
      <c r="I84" s="92">
        <f>G84+H84</f>
        <v/>
      </c>
      <c r="J84" s="93">
        <f>IF(E84&gt;0,I84/E84,0)</f>
        <v/>
      </c>
      <c r="K84" s="92">
        <f>G84*F84</f>
        <v/>
      </c>
      <c r="L84" s="94">
        <f>N(H84)*F84</f>
        <v/>
      </c>
      <c r="M84" s="92">
        <f>I84*F84</f>
        <v/>
      </c>
    </row>
    <row r="85">
      <c r="B85" s="88">
        <f>IF('جدول الكميات'!B48="","",'جدول الكميات'!B48)</f>
        <v/>
      </c>
      <c r="C85" s="89">
        <f>IF('جدول الكميات'!D48="","",'جدول الكميات'!D48)</f>
        <v/>
      </c>
      <c r="D85" s="88">
        <f>IF('جدول الكميات'!E48="","",'جدول الكميات'!E48)</f>
        <v/>
      </c>
      <c r="E85" s="90">
        <f>N('جدول الكميات'!F48)</f>
        <v/>
      </c>
      <c r="F85" s="90">
        <f>N('جدول الكميات'!G48)</f>
        <v/>
      </c>
      <c r="G85" s="91">
        <f>'مستخلص 19'!I85</f>
        <v/>
      </c>
      <c r="H85" s="31" t="n"/>
      <c r="I85" s="92">
        <f>G85+H85</f>
        <v/>
      </c>
      <c r="J85" s="93">
        <f>IF(E85&gt;0,I85/E85,0)</f>
        <v/>
      </c>
      <c r="K85" s="92">
        <f>G85*F85</f>
        <v/>
      </c>
      <c r="L85" s="94">
        <f>N(H85)*F85</f>
        <v/>
      </c>
      <c r="M85" s="92">
        <f>I85*F85</f>
        <v/>
      </c>
    </row>
    <row r="86">
      <c r="B86" s="88">
        <f>IF('جدول الكميات'!B49="","",'جدول الكميات'!B49)</f>
        <v/>
      </c>
      <c r="C86" s="89">
        <f>IF('جدول الكميات'!D49="","",'جدول الكميات'!D49)</f>
        <v/>
      </c>
      <c r="D86" s="88">
        <f>IF('جدول الكميات'!E49="","",'جدول الكميات'!E49)</f>
        <v/>
      </c>
      <c r="E86" s="90">
        <f>N('جدول الكميات'!F49)</f>
        <v/>
      </c>
      <c r="F86" s="90">
        <f>N('جدول الكميات'!G49)</f>
        <v/>
      </c>
      <c r="G86" s="91">
        <f>'مستخلص 19'!I86</f>
        <v/>
      </c>
      <c r="H86" s="31" t="n"/>
      <c r="I86" s="92">
        <f>G86+H86</f>
        <v/>
      </c>
      <c r="J86" s="93">
        <f>IF(E86&gt;0,I86/E86,0)</f>
        <v/>
      </c>
      <c r="K86" s="92">
        <f>G86*F86</f>
        <v/>
      </c>
      <c r="L86" s="94">
        <f>N(H86)*F86</f>
        <v/>
      </c>
      <c r="M86" s="92">
        <f>I86*F86</f>
        <v/>
      </c>
    </row>
    <row r="87">
      <c r="B87" s="88">
        <f>IF('جدول الكميات'!B50="","",'جدول الكميات'!B50)</f>
        <v/>
      </c>
      <c r="C87" s="89">
        <f>IF('جدول الكميات'!D50="","",'جدول الكميات'!D50)</f>
        <v/>
      </c>
      <c r="D87" s="88">
        <f>IF('جدول الكميات'!E50="","",'جدول الكميات'!E50)</f>
        <v/>
      </c>
      <c r="E87" s="90">
        <f>N('جدول الكميات'!F50)</f>
        <v/>
      </c>
      <c r="F87" s="90">
        <f>N('جدول الكميات'!G50)</f>
        <v/>
      </c>
      <c r="G87" s="91">
        <f>'مستخلص 19'!I87</f>
        <v/>
      </c>
      <c r="H87" s="31" t="n"/>
      <c r="I87" s="92">
        <f>G87+H87</f>
        <v/>
      </c>
      <c r="J87" s="93">
        <f>IF(E87&gt;0,I87/E87,0)</f>
        <v/>
      </c>
      <c r="K87" s="92">
        <f>G87*F87</f>
        <v/>
      </c>
      <c r="L87" s="94">
        <f>N(H87)*F87</f>
        <v/>
      </c>
      <c r="M87" s="92">
        <f>I87*F87</f>
        <v/>
      </c>
    </row>
    <row r="88">
      <c r="B88" s="88">
        <f>IF('جدول الكميات'!B51="","",'جدول الكميات'!B51)</f>
        <v/>
      </c>
      <c r="C88" s="89">
        <f>IF('جدول الكميات'!D51="","",'جدول الكميات'!D51)</f>
        <v/>
      </c>
      <c r="D88" s="88">
        <f>IF('جدول الكميات'!E51="","",'جدول الكميات'!E51)</f>
        <v/>
      </c>
      <c r="E88" s="90">
        <f>N('جدول الكميات'!F51)</f>
        <v/>
      </c>
      <c r="F88" s="90">
        <f>N('جدول الكميات'!G51)</f>
        <v/>
      </c>
      <c r="G88" s="91">
        <f>'مستخلص 19'!I88</f>
        <v/>
      </c>
      <c r="H88" s="31" t="n"/>
      <c r="I88" s="92">
        <f>G88+H88</f>
        <v/>
      </c>
      <c r="J88" s="93">
        <f>IF(E88&gt;0,I88/E88,0)</f>
        <v/>
      </c>
      <c r="K88" s="92">
        <f>G88*F88</f>
        <v/>
      </c>
      <c r="L88" s="94">
        <f>N(H88)*F88</f>
        <v/>
      </c>
      <c r="M88" s="92">
        <f>I88*F88</f>
        <v/>
      </c>
    </row>
    <row r="89">
      <c r="B89" s="88">
        <f>IF('جدول الكميات'!B52="","",'جدول الكميات'!B52)</f>
        <v/>
      </c>
      <c r="C89" s="89">
        <f>IF('جدول الكميات'!D52="","",'جدول الكميات'!D52)</f>
        <v/>
      </c>
      <c r="D89" s="88">
        <f>IF('جدول الكميات'!E52="","",'جدول الكميات'!E52)</f>
        <v/>
      </c>
      <c r="E89" s="90">
        <f>N('جدول الكميات'!F52)</f>
        <v/>
      </c>
      <c r="F89" s="90">
        <f>N('جدول الكميات'!G52)</f>
        <v/>
      </c>
      <c r="G89" s="91">
        <f>'مستخلص 19'!I89</f>
        <v/>
      </c>
      <c r="H89" s="31" t="n"/>
      <c r="I89" s="92">
        <f>G89+H89</f>
        <v/>
      </c>
      <c r="J89" s="93">
        <f>IF(E89&gt;0,I89/E89,0)</f>
        <v/>
      </c>
      <c r="K89" s="92">
        <f>G89*F89</f>
        <v/>
      </c>
      <c r="L89" s="94">
        <f>N(H89)*F89</f>
        <v/>
      </c>
      <c r="M89" s="92">
        <f>I89*F89</f>
        <v/>
      </c>
    </row>
    <row r="90">
      <c r="B90" s="88">
        <f>IF('جدول الكميات'!B53="","",'جدول الكميات'!B53)</f>
        <v/>
      </c>
      <c r="C90" s="89">
        <f>IF('جدول الكميات'!D53="","",'جدول الكميات'!D53)</f>
        <v/>
      </c>
      <c r="D90" s="88">
        <f>IF('جدول الكميات'!E53="","",'جدول الكميات'!E53)</f>
        <v/>
      </c>
      <c r="E90" s="90">
        <f>N('جدول الكميات'!F53)</f>
        <v/>
      </c>
      <c r="F90" s="90">
        <f>N('جدول الكميات'!G53)</f>
        <v/>
      </c>
      <c r="G90" s="91">
        <f>'مستخلص 19'!I90</f>
        <v/>
      </c>
      <c r="H90" s="31" t="n"/>
      <c r="I90" s="92">
        <f>G90+H90</f>
        <v/>
      </c>
      <c r="J90" s="93">
        <f>IF(E90&gt;0,I90/E90,0)</f>
        <v/>
      </c>
      <c r="K90" s="92">
        <f>G90*F90</f>
        <v/>
      </c>
      <c r="L90" s="94">
        <f>N(H90)*F90</f>
        <v/>
      </c>
      <c r="M90" s="92">
        <f>I90*F90</f>
        <v/>
      </c>
    </row>
    <row r="91">
      <c r="B91" s="88">
        <f>IF('جدول الكميات'!B54="","",'جدول الكميات'!B54)</f>
        <v/>
      </c>
      <c r="C91" s="89">
        <f>IF('جدول الكميات'!D54="","",'جدول الكميات'!D54)</f>
        <v/>
      </c>
      <c r="D91" s="88">
        <f>IF('جدول الكميات'!E54="","",'جدول الكميات'!E54)</f>
        <v/>
      </c>
      <c r="E91" s="90">
        <f>N('جدول الكميات'!F54)</f>
        <v/>
      </c>
      <c r="F91" s="90">
        <f>N('جدول الكميات'!G54)</f>
        <v/>
      </c>
      <c r="G91" s="91">
        <f>'مستخلص 19'!I91</f>
        <v/>
      </c>
      <c r="H91" s="31" t="n"/>
      <c r="I91" s="92">
        <f>G91+H91</f>
        <v/>
      </c>
      <c r="J91" s="93">
        <f>IF(E91&gt;0,I91/E91,0)</f>
        <v/>
      </c>
      <c r="K91" s="92">
        <f>G91*F91</f>
        <v/>
      </c>
      <c r="L91" s="94">
        <f>N(H91)*F91</f>
        <v/>
      </c>
      <c r="M91" s="92">
        <f>I91*F91</f>
        <v/>
      </c>
    </row>
    <row r="92">
      <c r="B92" s="88">
        <f>IF('جدول الكميات'!B55="","",'جدول الكميات'!B55)</f>
        <v/>
      </c>
      <c r="C92" s="89">
        <f>IF('جدول الكميات'!D55="","",'جدول الكميات'!D55)</f>
        <v/>
      </c>
      <c r="D92" s="88">
        <f>IF('جدول الكميات'!E55="","",'جدول الكميات'!E55)</f>
        <v/>
      </c>
      <c r="E92" s="90">
        <f>N('جدول الكميات'!F55)</f>
        <v/>
      </c>
      <c r="F92" s="90">
        <f>N('جدول الكميات'!G55)</f>
        <v/>
      </c>
      <c r="G92" s="91">
        <f>'مستخلص 19'!I92</f>
        <v/>
      </c>
      <c r="H92" s="31" t="n"/>
      <c r="I92" s="92">
        <f>G92+H92</f>
        <v/>
      </c>
      <c r="J92" s="93">
        <f>IF(E92&gt;0,I92/E92,0)</f>
        <v/>
      </c>
      <c r="K92" s="92">
        <f>G92*F92</f>
        <v/>
      </c>
      <c r="L92" s="94">
        <f>N(H92)*F92</f>
        <v/>
      </c>
      <c r="M92" s="92">
        <f>I92*F92</f>
        <v/>
      </c>
    </row>
    <row r="93">
      <c r="B93" s="88">
        <f>IF('جدول الكميات'!B56="","",'جدول الكميات'!B56)</f>
        <v/>
      </c>
      <c r="C93" s="89">
        <f>IF('جدول الكميات'!D56="","",'جدول الكميات'!D56)</f>
        <v/>
      </c>
      <c r="D93" s="88">
        <f>IF('جدول الكميات'!E56="","",'جدول الكميات'!E56)</f>
        <v/>
      </c>
      <c r="E93" s="90">
        <f>N('جدول الكميات'!F56)</f>
        <v/>
      </c>
      <c r="F93" s="90">
        <f>N('جدول الكميات'!G56)</f>
        <v/>
      </c>
      <c r="G93" s="91">
        <f>'مستخلص 19'!I93</f>
        <v/>
      </c>
      <c r="H93" s="31" t="n"/>
      <c r="I93" s="92">
        <f>G93+H93</f>
        <v/>
      </c>
      <c r="J93" s="93">
        <f>IF(E93&gt;0,I93/E93,0)</f>
        <v/>
      </c>
      <c r="K93" s="92">
        <f>G93*F93</f>
        <v/>
      </c>
      <c r="L93" s="94">
        <f>N(H93)*F93</f>
        <v/>
      </c>
      <c r="M93" s="92">
        <f>I93*F93</f>
        <v/>
      </c>
    </row>
    <row r="94">
      <c r="B94" s="88">
        <f>IF('جدول الكميات'!B57="","",'جدول الكميات'!B57)</f>
        <v/>
      </c>
      <c r="C94" s="89">
        <f>IF('جدول الكميات'!D57="","",'جدول الكميات'!D57)</f>
        <v/>
      </c>
      <c r="D94" s="88">
        <f>IF('جدول الكميات'!E57="","",'جدول الكميات'!E57)</f>
        <v/>
      </c>
      <c r="E94" s="90">
        <f>N('جدول الكميات'!F57)</f>
        <v/>
      </c>
      <c r="F94" s="90">
        <f>N('جدول الكميات'!G57)</f>
        <v/>
      </c>
      <c r="G94" s="91">
        <f>'مستخلص 19'!I94</f>
        <v/>
      </c>
      <c r="H94" s="31" t="n"/>
      <c r="I94" s="92">
        <f>G94+H94</f>
        <v/>
      </c>
      <c r="J94" s="93">
        <f>IF(E94&gt;0,I94/E94,0)</f>
        <v/>
      </c>
      <c r="K94" s="92">
        <f>G94*F94</f>
        <v/>
      </c>
      <c r="L94" s="94">
        <f>N(H94)*F94</f>
        <v/>
      </c>
      <c r="M94" s="92">
        <f>I94*F94</f>
        <v/>
      </c>
    </row>
    <row r="95">
      <c r="B95" s="88">
        <f>IF('جدول الكميات'!B58="","",'جدول الكميات'!B58)</f>
        <v/>
      </c>
      <c r="C95" s="89">
        <f>IF('جدول الكميات'!D58="","",'جدول الكميات'!D58)</f>
        <v/>
      </c>
      <c r="D95" s="88">
        <f>IF('جدول الكميات'!E58="","",'جدول الكميات'!E58)</f>
        <v/>
      </c>
      <c r="E95" s="90">
        <f>N('جدول الكميات'!F58)</f>
        <v/>
      </c>
      <c r="F95" s="90">
        <f>N('جدول الكميات'!G58)</f>
        <v/>
      </c>
      <c r="G95" s="91">
        <f>'مستخلص 19'!I95</f>
        <v/>
      </c>
      <c r="H95" s="31" t="n"/>
      <c r="I95" s="92">
        <f>G95+H95</f>
        <v/>
      </c>
      <c r="J95" s="93">
        <f>IF(E95&gt;0,I95/E95,0)</f>
        <v/>
      </c>
      <c r="K95" s="92">
        <f>G95*F95</f>
        <v/>
      </c>
      <c r="L95" s="94">
        <f>N(H95)*F95</f>
        <v/>
      </c>
      <c r="M95" s="92">
        <f>I95*F95</f>
        <v/>
      </c>
    </row>
    <row r="96">
      <c r="B96" s="88">
        <f>IF('جدول الكميات'!B59="","",'جدول الكميات'!B59)</f>
        <v/>
      </c>
      <c r="C96" s="89">
        <f>IF('جدول الكميات'!D59="","",'جدول الكميات'!D59)</f>
        <v/>
      </c>
      <c r="D96" s="88">
        <f>IF('جدول الكميات'!E59="","",'جدول الكميات'!E59)</f>
        <v/>
      </c>
      <c r="E96" s="90">
        <f>N('جدول الكميات'!F59)</f>
        <v/>
      </c>
      <c r="F96" s="90">
        <f>N('جدول الكميات'!G59)</f>
        <v/>
      </c>
      <c r="G96" s="91">
        <f>'مستخلص 19'!I96</f>
        <v/>
      </c>
      <c r="H96" s="31" t="n"/>
      <c r="I96" s="92">
        <f>G96+H96</f>
        <v/>
      </c>
      <c r="J96" s="93">
        <f>IF(E96&gt;0,I96/E96,0)</f>
        <v/>
      </c>
      <c r="K96" s="92">
        <f>G96*F96</f>
        <v/>
      </c>
      <c r="L96" s="94">
        <f>N(H96)*F96</f>
        <v/>
      </c>
      <c r="M96" s="92">
        <f>I96*F96</f>
        <v/>
      </c>
    </row>
    <row r="97">
      <c r="B97" s="88">
        <f>IF('جدول الكميات'!B60="","",'جدول الكميات'!B60)</f>
        <v/>
      </c>
      <c r="C97" s="89">
        <f>IF('جدول الكميات'!D60="","",'جدول الكميات'!D60)</f>
        <v/>
      </c>
      <c r="D97" s="88">
        <f>IF('جدول الكميات'!E60="","",'جدول الكميات'!E60)</f>
        <v/>
      </c>
      <c r="E97" s="90">
        <f>N('جدول الكميات'!F60)</f>
        <v/>
      </c>
      <c r="F97" s="90">
        <f>N('جدول الكميات'!G60)</f>
        <v/>
      </c>
      <c r="G97" s="91">
        <f>'مستخلص 19'!I97</f>
        <v/>
      </c>
      <c r="H97" s="31" t="n"/>
      <c r="I97" s="92">
        <f>G97+H97</f>
        <v/>
      </c>
      <c r="J97" s="93">
        <f>IF(E97&gt;0,I97/E97,0)</f>
        <v/>
      </c>
      <c r="K97" s="92">
        <f>G97*F97</f>
        <v/>
      </c>
      <c r="L97" s="94">
        <f>N(H97)*F97</f>
        <v/>
      </c>
      <c r="M97" s="92">
        <f>I97*F97</f>
        <v/>
      </c>
    </row>
    <row r="98">
      <c r="B98" s="88">
        <f>IF('جدول الكميات'!B61="","",'جدول الكميات'!B61)</f>
        <v/>
      </c>
      <c r="C98" s="89">
        <f>IF('جدول الكميات'!D61="","",'جدول الكميات'!D61)</f>
        <v/>
      </c>
      <c r="D98" s="88">
        <f>IF('جدول الكميات'!E61="","",'جدول الكميات'!E61)</f>
        <v/>
      </c>
      <c r="E98" s="90">
        <f>N('جدول الكميات'!F61)</f>
        <v/>
      </c>
      <c r="F98" s="90">
        <f>N('جدول الكميات'!G61)</f>
        <v/>
      </c>
      <c r="G98" s="91">
        <f>'مستخلص 19'!I98</f>
        <v/>
      </c>
      <c r="H98" s="31" t="n"/>
      <c r="I98" s="92">
        <f>G98+H98</f>
        <v/>
      </c>
      <c r="J98" s="93">
        <f>IF(E98&gt;0,I98/E98,0)</f>
        <v/>
      </c>
      <c r="K98" s="92">
        <f>G98*F98</f>
        <v/>
      </c>
      <c r="L98" s="94">
        <f>N(H98)*F98</f>
        <v/>
      </c>
      <c r="M98" s="92">
        <f>I98*F98</f>
        <v/>
      </c>
    </row>
    <row r="99">
      <c r="B99" s="88">
        <f>IF('جدول الكميات'!B62="","",'جدول الكميات'!B62)</f>
        <v/>
      </c>
      <c r="C99" s="89">
        <f>IF('جدول الكميات'!D62="","",'جدول الكميات'!D62)</f>
        <v/>
      </c>
      <c r="D99" s="88">
        <f>IF('جدول الكميات'!E62="","",'جدول الكميات'!E62)</f>
        <v/>
      </c>
      <c r="E99" s="90">
        <f>N('جدول الكميات'!F62)</f>
        <v/>
      </c>
      <c r="F99" s="90">
        <f>N('جدول الكميات'!G62)</f>
        <v/>
      </c>
      <c r="G99" s="91">
        <f>'مستخلص 19'!I99</f>
        <v/>
      </c>
      <c r="H99" s="31" t="n"/>
      <c r="I99" s="92">
        <f>G99+H99</f>
        <v/>
      </c>
      <c r="J99" s="93">
        <f>IF(E99&gt;0,I99/E99,0)</f>
        <v/>
      </c>
      <c r="K99" s="92">
        <f>G99*F99</f>
        <v/>
      </c>
      <c r="L99" s="94">
        <f>N(H99)*F99</f>
        <v/>
      </c>
      <c r="M99" s="92">
        <f>I99*F99</f>
        <v/>
      </c>
    </row>
    <row r="100">
      <c r="B100" s="88">
        <f>IF('جدول الكميات'!B63="","",'جدول الكميات'!B63)</f>
        <v/>
      </c>
      <c r="C100" s="89">
        <f>IF('جدول الكميات'!D63="","",'جدول الكميات'!D63)</f>
        <v/>
      </c>
      <c r="D100" s="88">
        <f>IF('جدول الكميات'!E63="","",'جدول الكميات'!E63)</f>
        <v/>
      </c>
      <c r="E100" s="90">
        <f>N('جدول الكميات'!F63)</f>
        <v/>
      </c>
      <c r="F100" s="90">
        <f>N('جدول الكميات'!G63)</f>
        <v/>
      </c>
      <c r="G100" s="91">
        <f>'مستخلص 19'!I100</f>
        <v/>
      </c>
      <c r="H100" s="31" t="n"/>
      <c r="I100" s="92">
        <f>G100+H100</f>
        <v/>
      </c>
      <c r="J100" s="93">
        <f>IF(E100&gt;0,I100/E100,0)</f>
        <v/>
      </c>
      <c r="K100" s="92">
        <f>G100*F100</f>
        <v/>
      </c>
      <c r="L100" s="94">
        <f>N(H100)*F100</f>
        <v/>
      </c>
      <c r="M100" s="92">
        <f>I100*F100</f>
        <v/>
      </c>
    </row>
    <row r="101">
      <c r="B101" s="88">
        <f>IF('جدول الكميات'!B64="","",'جدول الكميات'!B64)</f>
        <v/>
      </c>
      <c r="C101" s="89">
        <f>IF('جدول الكميات'!D64="","",'جدول الكميات'!D64)</f>
        <v/>
      </c>
      <c r="D101" s="88">
        <f>IF('جدول الكميات'!E64="","",'جدول الكميات'!E64)</f>
        <v/>
      </c>
      <c r="E101" s="90">
        <f>N('جدول الكميات'!F64)</f>
        <v/>
      </c>
      <c r="F101" s="90">
        <f>N('جدول الكميات'!G64)</f>
        <v/>
      </c>
      <c r="G101" s="91">
        <f>'مستخلص 19'!I101</f>
        <v/>
      </c>
      <c r="H101" s="31" t="n"/>
      <c r="I101" s="92">
        <f>G101+H101</f>
        <v/>
      </c>
      <c r="J101" s="93">
        <f>IF(E101&gt;0,I101/E101,0)</f>
        <v/>
      </c>
      <c r="K101" s="92">
        <f>G101*F101</f>
        <v/>
      </c>
      <c r="L101" s="94">
        <f>N(H101)*F101</f>
        <v/>
      </c>
      <c r="M101" s="92">
        <f>I101*F101</f>
        <v/>
      </c>
    </row>
    <row r="102">
      <c r="B102" s="88">
        <f>IF('جدول الكميات'!B65="","",'جدول الكميات'!B65)</f>
        <v/>
      </c>
      <c r="C102" s="89">
        <f>IF('جدول الكميات'!D65="","",'جدول الكميات'!D65)</f>
        <v/>
      </c>
      <c r="D102" s="88">
        <f>IF('جدول الكميات'!E65="","",'جدول الكميات'!E65)</f>
        <v/>
      </c>
      <c r="E102" s="90">
        <f>N('جدول الكميات'!F65)</f>
        <v/>
      </c>
      <c r="F102" s="90">
        <f>N('جدول الكميات'!G65)</f>
        <v/>
      </c>
      <c r="G102" s="91">
        <f>'مستخلص 19'!I102</f>
        <v/>
      </c>
      <c r="H102" s="31" t="n"/>
      <c r="I102" s="92">
        <f>G102+H102</f>
        <v/>
      </c>
      <c r="J102" s="93">
        <f>IF(E102&gt;0,I102/E102,0)</f>
        <v/>
      </c>
      <c r="K102" s="92">
        <f>G102*F102</f>
        <v/>
      </c>
      <c r="L102" s="94">
        <f>N(H102)*F102</f>
        <v/>
      </c>
      <c r="M102" s="92">
        <f>I102*F102</f>
        <v/>
      </c>
    </row>
    <row r="103">
      <c r="B103" s="88">
        <f>IF('جدول الكميات'!B66="","",'جدول الكميات'!B66)</f>
        <v/>
      </c>
      <c r="C103" s="89">
        <f>IF('جدول الكميات'!D66="","",'جدول الكميات'!D66)</f>
        <v/>
      </c>
      <c r="D103" s="88">
        <f>IF('جدول الكميات'!E66="","",'جدول الكميات'!E66)</f>
        <v/>
      </c>
      <c r="E103" s="90">
        <f>N('جدول الكميات'!F66)</f>
        <v/>
      </c>
      <c r="F103" s="90">
        <f>N('جدول الكميات'!G66)</f>
        <v/>
      </c>
      <c r="G103" s="91">
        <f>'مستخلص 19'!I103</f>
        <v/>
      </c>
      <c r="H103" s="31" t="n"/>
      <c r="I103" s="92">
        <f>G103+H103</f>
        <v/>
      </c>
      <c r="J103" s="93">
        <f>IF(E103&gt;0,I103/E103,0)</f>
        <v/>
      </c>
      <c r="K103" s="92">
        <f>G103*F103</f>
        <v/>
      </c>
      <c r="L103" s="94">
        <f>N(H103)*F103</f>
        <v/>
      </c>
      <c r="M103" s="92">
        <f>I103*F103</f>
        <v/>
      </c>
    </row>
    <row r="104">
      <c r="B104" s="88">
        <f>IF('جدول الكميات'!B67="","",'جدول الكميات'!B67)</f>
        <v/>
      </c>
      <c r="C104" s="89">
        <f>IF('جدول الكميات'!D67="","",'جدول الكميات'!D67)</f>
        <v/>
      </c>
      <c r="D104" s="88">
        <f>IF('جدول الكميات'!E67="","",'جدول الكميات'!E67)</f>
        <v/>
      </c>
      <c r="E104" s="90">
        <f>N('جدول الكميات'!F67)</f>
        <v/>
      </c>
      <c r="F104" s="90">
        <f>N('جدول الكميات'!G67)</f>
        <v/>
      </c>
      <c r="G104" s="91">
        <f>'مستخلص 19'!I104</f>
        <v/>
      </c>
      <c r="H104" s="31" t="n"/>
      <c r="I104" s="92">
        <f>G104+H104</f>
        <v/>
      </c>
      <c r="J104" s="93">
        <f>IF(E104&gt;0,I104/E104,0)</f>
        <v/>
      </c>
      <c r="K104" s="92">
        <f>G104*F104</f>
        <v/>
      </c>
      <c r="L104" s="94">
        <f>N(H104)*F104</f>
        <v/>
      </c>
      <c r="M104" s="92">
        <f>I104*F104</f>
        <v/>
      </c>
    </row>
    <row r="105">
      <c r="B105" s="88">
        <f>IF('جدول الكميات'!B68="","",'جدول الكميات'!B68)</f>
        <v/>
      </c>
      <c r="C105" s="89">
        <f>IF('جدول الكميات'!D68="","",'جدول الكميات'!D68)</f>
        <v/>
      </c>
      <c r="D105" s="88">
        <f>IF('جدول الكميات'!E68="","",'جدول الكميات'!E68)</f>
        <v/>
      </c>
      <c r="E105" s="90">
        <f>N('جدول الكميات'!F68)</f>
        <v/>
      </c>
      <c r="F105" s="90">
        <f>N('جدول الكميات'!G68)</f>
        <v/>
      </c>
      <c r="G105" s="91">
        <f>'مستخلص 19'!I105</f>
        <v/>
      </c>
      <c r="H105" s="31" t="n"/>
      <c r="I105" s="92">
        <f>G105+H105</f>
        <v/>
      </c>
      <c r="J105" s="93">
        <f>IF(E105&gt;0,I105/E105,0)</f>
        <v/>
      </c>
      <c r="K105" s="92">
        <f>G105*F105</f>
        <v/>
      </c>
      <c r="L105" s="94">
        <f>N(H105)*F105</f>
        <v/>
      </c>
      <c r="M105" s="92">
        <f>I105*F105</f>
        <v/>
      </c>
    </row>
    <row r="106">
      <c r="B106" s="88">
        <f>IF('جدول الكميات'!B69="","",'جدول الكميات'!B69)</f>
        <v/>
      </c>
      <c r="C106" s="89">
        <f>IF('جدول الكميات'!D69="","",'جدول الكميات'!D69)</f>
        <v/>
      </c>
      <c r="D106" s="88">
        <f>IF('جدول الكميات'!E69="","",'جدول الكميات'!E69)</f>
        <v/>
      </c>
      <c r="E106" s="90">
        <f>N('جدول الكميات'!F69)</f>
        <v/>
      </c>
      <c r="F106" s="90">
        <f>N('جدول الكميات'!G69)</f>
        <v/>
      </c>
      <c r="G106" s="91">
        <f>'مستخلص 19'!I106</f>
        <v/>
      </c>
      <c r="H106" s="31" t="n"/>
      <c r="I106" s="92">
        <f>G106+H106</f>
        <v/>
      </c>
      <c r="J106" s="93">
        <f>IF(E106&gt;0,I106/E106,0)</f>
        <v/>
      </c>
      <c r="K106" s="92">
        <f>G106*F106</f>
        <v/>
      </c>
      <c r="L106" s="94">
        <f>N(H106)*F106</f>
        <v/>
      </c>
      <c r="M106" s="92">
        <f>I106*F106</f>
        <v/>
      </c>
    </row>
    <row r="107">
      <c r="B107" s="88">
        <f>IF('جدول الكميات'!B70="","",'جدول الكميات'!B70)</f>
        <v/>
      </c>
      <c r="C107" s="89">
        <f>IF('جدول الكميات'!D70="","",'جدول الكميات'!D70)</f>
        <v/>
      </c>
      <c r="D107" s="88">
        <f>IF('جدول الكميات'!E70="","",'جدول الكميات'!E70)</f>
        <v/>
      </c>
      <c r="E107" s="90">
        <f>N('جدول الكميات'!F70)</f>
        <v/>
      </c>
      <c r="F107" s="90">
        <f>N('جدول الكميات'!G70)</f>
        <v/>
      </c>
      <c r="G107" s="91">
        <f>'مستخلص 19'!I107</f>
        <v/>
      </c>
      <c r="H107" s="31" t="n"/>
      <c r="I107" s="92">
        <f>G107+H107</f>
        <v/>
      </c>
      <c r="J107" s="93">
        <f>IF(E107&gt;0,I107/E107,0)</f>
        <v/>
      </c>
      <c r="K107" s="92">
        <f>G107*F107</f>
        <v/>
      </c>
      <c r="L107" s="94">
        <f>N(H107)*F107</f>
        <v/>
      </c>
      <c r="M107" s="92">
        <f>I107*F107</f>
        <v/>
      </c>
    </row>
    <row r="108">
      <c r="B108" s="88">
        <f>IF('جدول الكميات'!B71="","",'جدول الكميات'!B71)</f>
        <v/>
      </c>
      <c r="C108" s="89">
        <f>IF('جدول الكميات'!D71="","",'جدول الكميات'!D71)</f>
        <v/>
      </c>
      <c r="D108" s="88">
        <f>IF('جدول الكميات'!E71="","",'جدول الكميات'!E71)</f>
        <v/>
      </c>
      <c r="E108" s="90">
        <f>N('جدول الكميات'!F71)</f>
        <v/>
      </c>
      <c r="F108" s="90">
        <f>N('جدول الكميات'!G71)</f>
        <v/>
      </c>
      <c r="G108" s="91">
        <f>'مستخلص 19'!I108</f>
        <v/>
      </c>
      <c r="H108" s="31" t="n"/>
      <c r="I108" s="92">
        <f>G108+H108</f>
        <v/>
      </c>
      <c r="J108" s="93">
        <f>IF(E108&gt;0,I108/E108,0)</f>
        <v/>
      </c>
      <c r="K108" s="92">
        <f>G108*F108</f>
        <v/>
      </c>
      <c r="L108" s="94">
        <f>N(H108)*F108</f>
        <v/>
      </c>
      <c r="M108" s="92">
        <f>I108*F108</f>
        <v/>
      </c>
    </row>
    <row r="109">
      <c r="B109" s="88">
        <f>IF('جدول الكميات'!B72="","",'جدول الكميات'!B72)</f>
        <v/>
      </c>
      <c r="C109" s="89">
        <f>IF('جدول الكميات'!D72="","",'جدول الكميات'!D72)</f>
        <v/>
      </c>
      <c r="D109" s="88">
        <f>IF('جدول الكميات'!E72="","",'جدول الكميات'!E72)</f>
        <v/>
      </c>
      <c r="E109" s="90">
        <f>N('جدول الكميات'!F72)</f>
        <v/>
      </c>
      <c r="F109" s="90">
        <f>N('جدول الكميات'!G72)</f>
        <v/>
      </c>
      <c r="G109" s="91">
        <f>'مستخلص 19'!I109</f>
        <v/>
      </c>
      <c r="H109" s="31" t="n"/>
      <c r="I109" s="92">
        <f>G109+H109</f>
        <v/>
      </c>
      <c r="J109" s="93">
        <f>IF(E109&gt;0,I109/E109,0)</f>
        <v/>
      </c>
      <c r="K109" s="92">
        <f>G109*F109</f>
        <v/>
      </c>
      <c r="L109" s="94">
        <f>N(H109)*F109</f>
        <v/>
      </c>
      <c r="M109" s="92">
        <f>I109*F109</f>
        <v/>
      </c>
    </row>
    <row r="110">
      <c r="B110" s="88">
        <f>IF('جدول الكميات'!B73="","",'جدول الكميات'!B73)</f>
        <v/>
      </c>
      <c r="C110" s="89">
        <f>IF('جدول الكميات'!D73="","",'جدول الكميات'!D73)</f>
        <v/>
      </c>
      <c r="D110" s="88">
        <f>IF('جدول الكميات'!E73="","",'جدول الكميات'!E73)</f>
        <v/>
      </c>
      <c r="E110" s="90">
        <f>N('جدول الكميات'!F73)</f>
        <v/>
      </c>
      <c r="F110" s="90">
        <f>N('جدول الكميات'!G73)</f>
        <v/>
      </c>
      <c r="G110" s="91">
        <f>'مستخلص 19'!I110</f>
        <v/>
      </c>
      <c r="H110" s="31" t="n"/>
      <c r="I110" s="92">
        <f>G110+H110</f>
        <v/>
      </c>
      <c r="J110" s="93">
        <f>IF(E110&gt;0,I110/E110,0)</f>
        <v/>
      </c>
      <c r="K110" s="92">
        <f>G110*F110</f>
        <v/>
      </c>
      <c r="L110" s="94">
        <f>N(H110)*F110</f>
        <v/>
      </c>
      <c r="M110" s="92">
        <f>I110*F110</f>
        <v/>
      </c>
    </row>
    <row r="111">
      <c r="B111" s="88">
        <f>IF('جدول الكميات'!B74="","",'جدول الكميات'!B74)</f>
        <v/>
      </c>
      <c r="C111" s="89">
        <f>IF('جدول الكميات'!D74="","",'جدول الكميات'!D74)</f>
        <v/>
      </c>
      <c r="D111" s="88">
        <f>IF('جدول الكميات'!E74="","",'جدول الكميات'!E74)</f>
        <v/>
      </c>
      <c r="E111" s="90">
        <f>N('جدول الكميات'!F74)</f>
        <v/>
      </c>
      <c r="F111" s="90">
        <f>N('جدول الكميات'!G74)</f>
        <v/>
      </c>
      <c r="G111" s="91">
        <f>'مستخلص 19'!I111</f>
        <v/>
      </c>
      <c r="H111" s="31" t="n"/>
      <c r="I111" s="92">
        <f>G111+H111</f>
        <v/>
      </c>
      <c r="J111" s="93">
        <f>IF(E111&gt;0,I111/E111,0)</f>
        <v/>
      </c>
      <c r="K111" s="92">
        <f>G111*F111</f>
        <v/>
      </c>
      <c r="L111" s="94">
        <f>N(H111)*F111</f>
        <v/>
      </c>
      <c r="M111" s="92">
        <f>I111*F111</f>
        <v/>
      </c>
    </row>
    <row r="112">
      <c r="B112" s="88">
        <f>IF('جدول الكميات'!B75="","",'جدول الكميات'!B75)</f>
        <v/>
      </c>
      <c r="C112" s="89">
        <f>IF('جدول الكميات'!D75="","",'جدول الكميات'!D75)</f>
        <v/>
      </c>
      <c r="D112" s="88">
        <f>IF('جدول الكميات'!E75="","",'جدول الكميات'!E75)</f>
        <v/>
      </c>
      <c r="E112" s="90">
        <f>N('جدول الكميات'!F75)</f>
        <v/>
      </c>
      <c r="F112" s="90">
        <f>N('جدول الكميات'!G75)</f>
        <v/>
      </c>
      <c r="G112" s="91">
        <f>'مستخلص 19'!I112</f>
        <v/>
      </c>
      <c r="H112" s="31" t="n"/>
      <c r="I112" s="92">
        <f>G112+H112</f>
        <v/>
      </c>
      <c r="J112" s="93">
        <f>IF(E112&gt;0,I112/E112,0)</f>
        <v/>
      </c>
      <c r="K112" s="92">
        <f>G112*F112</f>
        <v/>
      </c>
      <c r="L112" s="94">
        <f>N(H112)*F112</f>
        <v/>
      </c>
      <c r="M112" s="92">
        <f>I112*F112</f>
        <v/>
      </c>
    </row>
    <row r="113">
      <c r="B113" s="88">
        <f>IF('جدول الكميات'!B76="","",'جدول الكميات'!B76)</f>
        <v/>
      </c>
      <c r="C113" s="89">
        <f>IF('جدول الكميات'!D76="","",'جدول الكميات'!D76)</f>
        <v/>
      </c>
      <c r="D113" s="88">
        <f>IF('جدول الكميات'!E76="","",'جدول الكميات'!E76)</f>
        <v/>
      </c>
      <c r="E113" s="90">
        <f>N('جدول الكميات'!F76)</f>
        <v/>
      </c>
      <c r="F113" s="90">
        <f>N('جدول الكميات'!G76)</f>
        <v/>
      </c>
      <c r="G113" s="91">
        <f>'مستخلص 19'!I113</f>
        <v/>
      </c>
      <c r="H113" s="31" t="n"/>
      <c r="I113" s="92">
        <f>G113+H113</f>
        <v/>
      </c>
      <c r="J113" s="93">
        <f>IF(E113&gt;0,I113/E113,0)</f>
        <v/>
      </c>
      <c r="K113" s="92">
        <f>G113*F113</f>
        <v/>
      </c>
      <c r="L113" s="94">
        <f>N(H113)*F113</f>
        <v/>
      </c>
      <c r="M113" s="92">
        <f>I113*F113</f>
        <v/>
      </c>
    </row>
    <row r="114">
      <c r="B114" s="88">
        <f>IF('جدول الكميات'!B77="","",'جدول الكميات'!B77)</f>
        <v/>
      </c>
      <c r="C114" s="89">
        <f>IF('جدول الكميات'!D77="","",'جدول الكميات'!D77)</f>
        <v/>
      </c>
      <c r="D114" s="88">
        <f>IF('جدول الكميات'!E77="","",'جدول الكميات'!E77)</f>
        <v/>
      </c>
      <c r="E114" s="90">
        <f>N('جدول الكميات'!F77)</f>
        <v/>
      </c>
      <c r="F114" s="90">
        <f>N('جدول الكميات'!G77)</f>
        <v/>
      </c>
      <c r="G114" s="91">
        <f>'مستخلص 19'!I114</f>
        <v/>
      </c>
      <c r="H114" s="31" t="n"/>
      <c r="I114" s="92">
        <f>G114+H114</f>
        <v/>
      </c>
      <c r="J114" s="93">
        <f>IF(E114&gt;0,I114/E114,0)</f>
        <v/>
      </c>
      <c r="K114" s="92">
        <f>G114*F114</f>
        <v/>
      </c>
      <c r="L114" s="94">
        <f>N(H114)*F114</f>
        <v/>
      </c>
      <c r="M114" s="92">
        <f>I114*F114</f>
        <v/>
      </c>
    </row>
    <row r="115">
      <c r="B115" s="88">
        <f>IF('جدول الكميات'!B78="","",'جدول الكميات'!B78)</f>
        <v/>
      </c>
      <c r="C115" s="89">
        <f>IF('جدول الكميات'!D78="","",'جدول الكميات'!D78)</f>
        <v/>
      </c>
      <c r="D115" s="88">
        <f>IF('جدول الكميات'!E78="","",'جدول الكميات'!E78)</f>
        <v/>
      </c>
      <c r="E115" s="90">
        <f>N('جدول الكميات'!F78)</f>
        <v/>
      </c>
      <c r="F115" s="90">
        <f>N('جدول الكميات'!G78)</f>
        <v/>
      </c>
      <c r="G115" s="91">
        <f>'مستخلص 19'!I115</f>
        <v/>
      </c>
      <c r="H115" s="31" t="n"/>
      <c r="I115" s="92">
        <f>G115+H115</f>
        <v/>
      </c>
      <c r="J115" s="93">
        <f>IF(E115&gt;0,I115/E115,0)</f>
        <v/>
      </c>
      <c r="K115" s="92">
        <f>G115*F115</f>
        <v/>
      </c>
      <c r="L115" s="94">
        <f>N(H115)*F115</f>
        <v/>
      </c>
      <c r="M115" s="92">
        <f>I115*F115</f>
        <v/>
      </c>
    </row>
    <row r="116">
      <c r="B116" s="88">
        <f>IF('جدول الكميات'!B79="","",'جدول الكميات'!B79)</f>
        <v/>
      </c>
      <c r="C116" s="89">
        <f>IF('جدول الكميات'!D79="","",'جدول الكميات'!D79)</f>
        <v/>
      </c>
      <c r="D116" s="88">
        <f>IF('جدول الكميات'!E79="","",'جدول الكميات'!E79)</f>
        <v/>
      </c>
      <c r="E116" s="90">
        <f>N('جدول الكميات'!F79)</f>
        <v/>
      </c>
      <c r="F116" s="90">
        <f>N('جدول الكميات'!G79)</f>
        <v/>
      </c>
      <c r="G116" s="91">
        <f>'مستخلص 19'!I116</f>
        <v/>
      </c>
      <c r="H116" s="31" t="n"/>
      <c r="I116" s="92">
        <f>G116+H116</f>
        <v/>
      </c>
      <c r="J116" s="93">
        <f>IF(E116&gt;0,I116/E116,0)</f>
        <v/>
      </c>
      <c r="K116" s="92">
        <f>G116*F116</f>
        <v/>
      </c>
      <c r="L116" s="94">
        <f>N(H116)*F116</f>
        <v/>
      </c>
      <c r="M116" s="92">
        <f>I116*F116</f>
        <v/>
      </c>
    </row>
    <row r="117">
      <c r="B117" s="88">
        <f>IF('جدول الكميات'!B80="","",'جدول الكميات'!B80)</f>
        <v/>
      </c>
      <c r="C117" s="89">
        <f>IF('جدول الكميات'!D80="","",'جدول الكميات'!D80)</f>
        <v/>
      </c>
      <c r="D117" s="88">
        <f>IF('جدول الكميات'!E80="","",'جدول الكميات'!E80)</f>
        <v/>
      </c>
      <c r="E117" s="90">
        <f>N('جدول الكميات'!F80)</f>
        <v/>
      </c>
      <c r="F117" s="90">
        <f>N('جدول الكميات'!G80)</f>
        <v/>
      </c>
      <c r="G117" s="91">
        <f>'مستخلص 19'!I117</f>
        <v/>
      </c>
      <c r="H117" s="31" t="n"/>
      <c r="I117" s="92">
        <f>G117+H117</f>
        <v/>
      </c>
      <c r="J117" s="93">
        <f>IF(E117&gt;0,I117/E117,0)</f>
        <v/>
      </c>
      <c r="K117" s="92">
        <f>G117*F117</f>
        <v/>
      </c>
      <c r="L117" s="94">
        <f>N(H117)*F117</f>
        <v/>
      </c>
      <c r="M117" s="92">
        <f>I117*F117</f>
        <v/>
      </c>
    </row>
    <row r="118">
      <c r="B118" s="88">
        <f>IF('جدول الكميات'!B81="","",'جدول الكميات'!B81)</f>
        <v/>
      </c>
      <c r="C118" s="89">
        <f>IF('جدول الكميات'!D81="","",'جدول الكميات'!D81)</f>
        <v/>
      </c>
      <c r="D118" s="88">
        <f>IF('جدول الكميات'!E81="","",'جدول الكميات'!E81)</f>
        <v/>
      </c>
      <c r="E118" s="90">
        <f>N('جدول الكميات'!F81)</f>
        <v/>
      </c>
      <c r="F118" s="90">
        <f>N('جدول الكميات'!G81)</f>
        <v/>
      </c>
      <c r="G118" s="91">
        <f>'مستخلص 19'!I118</f>
        <v/>
      </c>
      <c r="H118" s="31" t="n"/>
      <c r="I118" s="92">
        <f>G118+H118</f>
        <v/>
      </c>
      <c r="J118" s="93">
        <f>IF(E118&gt;0,I118/E118,0)</f>
        <v/>
      </c>
      <c r="K118" s="92">
        <f>G118*F118</f>
        <v/>
      </c>
      <c r="L118" s="94">
        <f>N(H118)*F118</f>
        <v/>
      </c>
      <c r="M118" s="92">
        <f>I118*F118</f>
        <v/>
      </c>
    </row>
    <row r="119">
      <c r="B119" s="88">
        <f>IF('جدول الكميات'!B82="","",'جدول الكميات'!B82)</f>
        <v/>
      </c>
      <c r="C119" s="89">
        <f>IF('جدول الكميات'!D82="","",'جدول الكميات'!D82)</f>
        <v/>
      </c>
      <c r="D119" s="88">
        <f>IF('جدول الكميات'!E82="","",'جدول الكميات'!E82)</f>
        <v/>
      </c>
      <c r="E119" s="90">
        <f>N('جدول الكميات'!F82)</f>
        <v/>
      </c>
      <c r="F119" s="90">
        <f>N('جدول الكميات'!G82)</f>
        <v/>
      </c>
      <c r="G119" s="91">
        <f>'مستخلص 19'!I119</f>
        <v/>
      </c>
      <c r="H119" s="31" t="n"/>
      <c r="I119" s="92">
        <f>G119+H119</f>
        <v/>
      </c>
      <c r="J119" s="93">
        <f>IF(E119&gt;0,I119/E119,0)</f>
        <v/>
      </c>
      <c r="K119" s="92">
        <f>G119*F119</f>
        <v/>
      </c>
      <c r="L119" s="94">
        <f>N(H119)*F119</f>
        <v/>
      </c>
      <c r="M119" s="92">
        <f>I119*F119</f>
        <v/>
      </c>
    </row>
    <row r="120">
      <c r="B120" s="88">
        <f>IF('جدول الكميات'!B83="","",'جدول الكميات'!B83)</f>
        <v/>
      </c>
      <c r="C120" s="89">
        <f>IF('جدول الكميات'!D83="","",'جدول الكميات'!D83)</f>
        <v/>
      </c>
      <c r="D120" s="88">
        <f>IF('جدول الكميات'!E83="","",'جدول الكميات'!E83)</f>
        <v/>
      </c>
      <c r="E120" s="90">
        <f>N('جدول الكميات'!F83)</f>
        <v/>
      </c>
      <c r="F120" s="90">
        <f>N('جدول الكميات'!G83)</f>
        <v/>
      </c>
      <c r="G120" s="91">
        <f>'مستخلص 19'!I120</f>
        <v/>
      </c>
      <c r="H120" s="31" t="n"/>
      <c r="I120" s="92">
        <f>G120+H120</f>
        <v/>
      </c>
      <c r="J120" s="93">
        <f>IF(E120&gt;0,I120/E120,0)</f>
        <v/>
      </c>
      <c r="K120" s="92">
        <f>G120*F120</f>
        <v/>
      </c>
      <c r="L120" s="94">
        <f>N(H120)*F120</f>
        <v/>
      </c>
      <c r="M120" s="92">
        <f>I120*F120</f>
        <v/>
      </c>
    </row>
    <row r="121">
      <c r="B121" s="88">
        <f>IF('جدول الكميات'!B84="","",'جدول الكميات'!B84)</f>
        <v/>
      </c>
      <c r="C121" s="89">
        <f>IF('جدول الكميات'!D84="","",'جدول الكميات'!D84)</f>
        <v/>
      </c>
      <c r="D121" s="88">
        <f>IF('جدول الكميات'!E84="","",'جدول الكميات'!E84)</f>
        <v/>
      </c>
      <c r="E121" s="90">
        <f>N('جدول الكميات'!F84)</f>
        <v/>
      </c>
      <c r="F121" s="90">
        <f>N('جدول الكميات'!G84)</f>
        <v/>
      </c>
      <c r="G121" s="91">
        <f>'مستخلص 19'!I121</f>
        <v/>
      </c>
      <c r="H121" s="31" t="n"/>
      <c r="I121" s="92">
        <f>G121+H121</f>
        <v/>
      </c>
      <c r="J121" s="93">
        <f>IF(E121&gt;0,I121/E121,0)</f>
        <v/>
      </c>
      <c r="K121" s="92">
        <f>G121*F121</f>
        <v/>
      </c>
      <c r="L121" s="94">
        <f>N(H121)*F121</f>
        <v/>
      </c>
      <c r="M121" s="92">
        <f>I121*F121</f>
        <v/>
      </c>
    </row>
    <row r="122">
      <c r="B122" s="88">
        <f>IF('جدول الكميات'!B85="","",'جدول الكميات'!B85)</f>
        <v/>
      </c>
      <c r="C122" s="89">
        <f>IF('جدول الكميات'!D85="","",'جدول الكميات'!D85)</f>
        <v/>
      </c>
      <c r="D122" s="88">
        <f>IF('جدول الكميات'!E85="","",'جدول الكميات'!E85)</f>
        <v/>
      </c>
      <c r="E122" s="90">
        <f>N('جدول الكميات'!F85)</f>
        <v/>
      </c>
      <c r="F122" s="90">
        <f>N('جدول الكميات'!G85)</f>
        <v/>
      </c>
      <c r="G122" s="91">
        <f>'مستخلص 19'!I122</f>
        <v/>
      </c>
      <c r="H122" s="31" t="n"/>
      <c r="I122" s="92">
        <f>G122+H122</f>
        <v/>
      </c>
      <c r="J122" s="93">
        <f>IF(E122&gt;0,I122/E122,0)</f>
        <v/>
      </c>
      <c r="K122" s="92">
        <f>G122*F122</f>
        <v/>
      </c>
      <c r="L122" s="94">
        <f>N(H122)*F122</f>
        <v/>
      </c>
      <c r="M122" s="92">
        <f>I122*F122</f>
        <v/>
      </c>
    </row>
    <row r="123">
      <c r="B123" s="88">
        <f>IF('جدول الكميات'!B86="","",'جدول الكميات'!B86)</f>
        <v/>
      </c>
      <c r="C123" s="89">
        <f>IF('جدول الكميات'!D86="","",'جدول الكميات'!D86)</f>
        <v/>
      </c>
      <c r="D123" s="88">
        <f>IF('جدول الكميات'!E86="","",'جدول الكميات'!E86)</f>
        <v/>
      </c>
      <c r="E123" s="90">
        <f>N('جدول الكميات'!F86)</f>
        <v/>
      </c>
      <c r="F123" s="90">
        <f>N('جدول الكميات'!G86)</f>
        <v/>
      </c>
      <c r="G123" s="91">
        <f>'مستخلص 19'!I123</f>
        <v/>
      </c>
      <c r="H123" s="31" t="n"/>
      <c r="I123" s="92">
        <f>G123+H123</f>
        <v/>
      </c>
      <c r="J123" s="93">
        <f>IF(E123&gt;0,I123/E123,0)</f>
        <v/>
      </c>
      <c r="K123" s="92">
        <f>G123*F123</f>
        <v/>
      </c>
      <c r="L123" s="94">
        <f>N(H123)*F123</f>
        <v/>
      </c>
      <c r="M123" s="92">
        <f>I123*F123</f>
        <v/>
      </c>
    </row>
    <row r="124">
      <c r="B124" s="88">
        <f>IF('جدول الكميات'!B87="","",'جدول الكميات'!B87)</f>
        <v/>
      </c>
      <c r="C124" s="89">
        <f>IF('جدول الكميات'!D87="","",'جدول الكميات'!D87)</f>
        <v/>
      </c>
      <c r="D124" s="88">
        <f>IF('جدول الكميات'!E87="","",'جدول الكميات'!E87)</f>
        <v/>
      </c>
      <c r="E124" s="90">
        <f>N('جدول الكميات'!F87)</f>
        <v/>
      </c>
      <c r="F124" s="90">
        <f>N('جدول الكميات'!G87)</f>
        <v/>
      </c>
      <c r="G124" s="91">
        <f>'مستخلص 19'!I124</f>
        <v/>
      </c>
      <c r="H124" s="31" t="n"/>
      <c r="I124" s="92">
        <f>G124+H124</f>
        <v/>
      </c>
      <c r="J124" s="93">
        <f>IF(E124&gt;0,I124/E124,0)</f>
        <v/>
      </c>
      <c r="K124" s="92">
        <f>G124*F124</f>
        <v/>
      </c>
      <c r="L124" s="94">
        <f>N(H124)*F124</f>
        <v/>
      </c>
      <c r="M124" s="92">
        <f>I124*F124</f>
        <v/>
      </c>
    </row>
    <row r="125">
      <c r="B125" s="88">
        <f>IF('جدول الكميات'!B88="","",'جدول الكميات'!B88)</f>
        <v/>
      </c>
      <c r="C125" s="89">
        <f>IF('جدول الكميات'!D88="","",'جدول الكميات'!D88)</f>
        <v/>
      </c>
      <c r="D125" s="88">
        <f>IF('جدول الكميات'!E88="","",'جدول الكميات'!E88)</f>
        <v/>
      </c>
      <c r="E125" s="90">
        <f>N('جدول الكميات'!F88)</f>
        <v/>
      </c>
      <c r="F125" s="90">
        <f>N('جدول الكميات'!G88)</f>
        <v/>
      </c>
      <c r="G125" s="91">
        <f>'مستخلص 19'!I125</f>
        <v/>
      </c>
      <c r="H125" s="31" t="n"/>
      <c r="I125" s="92">
        <f>G125+H125</f>
        <v/>
      </c>
      <c r="J125" s="93">
        <f>IF(E125&gt;0,I125/E125,0)</f>
        <v/>
      </c>
      <c r="K125" s="92">
        <f>G125*F125</f>
        <v/>
      </c>
      <c r="L125" s="94">
        <f>N(H125)*F125</f>
        <v/>
      </c>
      <c r="M125" s="92">
        <f>I125*F125</f>
        <v/>
      </c>
    </row>
    <row r="126">
      <c r="B126" s="88">
        <f>IF('جدول الكميات'!B89="","",'جدول الكميات'!B89)</f>
        <v/>
      </c>
      <c r="C126" s="89">
        <f>IF('جدول الكميات'!D89="","",'جدول الكميات'!D89)</f>
        <v/>
      </c>
      <c r="D126" s="88">
        <f>IF('جدول الكميات'!E89="","",'جدول الكميات'!E89)</f>
        <v/>
      </c>
      <c r="E126" s="90">
        <f>N('جدول الكميات'!F89)</f>
        <v/>
      </c>
      <c r="F126" s="90">
        <f>N('جدول الكميات'!G89)</f>
        <v/>
      </c>
      <c r="G126" s="91">
        <f>'مستخلص 19'!I126</f>
        <v/>
      </c>
      <c r="H126" s="31" t="n"/>
      <c r="I126" s="92">
        <f>G126+H126</f>
        <v/>
      </c>
      <c r="J126" s="93">
        <f>IF(E126&gt;0,I126/E126,0)</f>
        <v/>
      </c>
      <c r="K126" s="92">
        <f>G126*F126</f>
        <v/>
      </c>
      <c r="L126" s="94">
        <f>N(H126)*F126</f>
        <v/>
      </c>
      <c r="M126" s="92">
        <f>I126*F126</f>
        <v/>
      </c>
    </row>
    <row r="127">
      <c r="B127" s="88">
        <f>IF('جدول الكميات'!B90="","",'جدول الكميات'!B90)</f>
        <v/>
      </c>
      <c r="C127" s="89">
        <f>IF('جدول الكميات'!D90="","",'جدول الكميات'!D90)</f>
        <v/>
      </c>
      <c r="D127" s="88">
        <f>IF('جدول الكميات'!E90="","",'جدول الكميات'!E90)</f>
        <v/>
      </c>
      <c r="E127" s="90">
        <f>N('جدول الكميات'!F90)</f>
        <v/>
      </c>
      <c r="F127" s="90">
        <f>N('جدول الكميات'!G90)</f>
        <v/>
      </c>
      <c r="G127" s="91">
        <f>'مستخلص 19'!I127</f>
        <v/>
      </c>
      <c r="H127" s="31" t="n"/>
      <c r="I127" s="92">
        <f>G127+H127</f>
        <v/>
      </c>
      <c r="J127" s="93">
        <f>IF(E127&gt;0,I127/E127,0)</f>
        <v/>
      </c>
      <c r="K127" s="92">
        <f>G127*F127</f>
        <v/>
      </c>
      <c r="L127" s="94">
        <f>N(H127)*F127</f>
        <v/>
      </c>
      <c r="M127" s="92">
        <f>I127*F127</f>
        <v/>
      </c>
    </row>
    <row r="128">
      <c r="B128" s="88">
        <f>IF('جدول الكميات'!B91="","",'جدول الكميات'!B91)</f>
        <v/>
      </c>
      <c r="C128" s="89">
        <f>IF('جدول الكميات'!D91="","",'جدول الكميات'!D91)</f>
        <v/>
      </c>
      <c r="D128" s="88">
        <f>IF('جدول الكميات'!E91="","",'جدول الكميات'!E91)</f>
        <v/>
      </c>
      <c r="E128" s="90">
        <f>N('جدول الكميات'!F91)</f>
        <v/>
      </c>
      <c r="F128" s="90">
        <f>N('جدول الكميات'!G91)</f>
        <v/>
      </c>
      <c r="G128" s="91">
        <f>'مستخلص 19'!I128</f>
        <v/>
      </c>
      <c r="H128" s="31" t="n"/>
      <c r="I128" s="92">
        <f>G128+H128</f>
        <v/>
      </c>
      <c r="J128" s="93">
        <f>IF(E128&gt;0,I128/E128,0)</f>
        <v/>
      </c>
      <c r="K128" s="92">
        <f>G128*F128</f>
        <v/>
      </c>
      <c r="L128" s="94">
        <f>N(H128)*F128</f>
        <v/>
      </c>
      <c r="M128" s="92">
        <f>I128*F128</f>
        <v/>
      </c>
    </row>
    <row r="129">
      <c r="B129" s="88">
        <f>IF('جدول الكميات'!B92="","",'جدول الكميات'!B92)</f>
        <v/>
      </c>
      <c r="C129" s="89">
        <f>IF('جدول الكميات'!D92="","",'جدول الكميات'!D92)</f>
        <v/>
      </c>
      <c r="D129" s="88">
        <f>IF('جدول الكميات'!E92="","",'جدول الكميات'!E92)</f>
        <v/>
      </c>
      <c r="E129" s="90">
        <f>N('جدول الكميات'!F92)</f>
        <v/>
      </c>
      <c r="F129" s="90">
        <f>N('جدول الكميات'!G92)</f>
        <v/>
      </c>
      <c r="G129" s="91">
        <f>'مستخلص 19'!I129</f>
        <v/>
      </c>
      <c r="H129" s="31" t="n"/>
      <c r="I129" s="92">
        <f>G129+H129</f>
        <v/>
      </c>
      <c r="J129" s="93">
        <f>IF(E129&gt;0,I129/E129,0)</f>
        <v/>
      </c>
      <c r="K129" s="92">
        <f>G129*F129</f>
        <v/>
      </c>
      <c r="L129" s="94">
        <f>N(H129)*F129</f>
        <v/>
      </c>
      <c r="M129" s="92">
        <f>I129*F129</f>
        <v/>
      </c>
    </row>
    <row r="130">
      <c r="B130" s="88">
        <f>IF('جدول الكميات'!B93="","",'جدول الكميات'!B93)</f>
        <v/>
      </c>
      <c r="C130" s="89">
        <f>IF('جدول الكميات'!D93="","",'جدول الكميات'!D93)</f>
        <v/>
      </c>
      <c r="D130" s="88">
        <f>IF('جدول الكميات'!E93="","",'جدول الكميات'!E93)</f>
        <v/>
      </c>
      <c r="E130" s="90">
        <f>N('جدول الكميات'!F93)</f>
        <v/>
      </c>
      <c r="F130" s="90">
        <f>N('جدول الكميات'!G93)</f>
        <v/>
      </c>
      <c r="G130" s="91">
        <f>'مستخلص 19'!I130</f>
        <v/>
      </c>
      <c r="H130" s="31" t="n"/>
      <c r="I130" s="92">
        <f>G130+H130</f>
        <v/>
      </c>
      <c r="J130" s="93">
        <f>IF(E130&gt;0,I130/E130,0)</f>
        <v/>
      </c>
      <c r="K130" s="92">
        <f>G130*F130</f>
        <v/>
      </c>
      <c r="L130" s="94">
        <f>N(H130)*F130</f>
        <v/>
      </c>
      <c r="M130" s="92">
        <f>I130*F130</f>
        <v/>
      </c>
    </row>
    <row r="131">
      <c r="B131" s="88">
        <f>IF('جدول الكميات'!B94="","",'جدول الكميات'!B94)</f>
        <v/>
      </c>
      <c r="C131" s="89">
        <f>IF('جدول الكميات'!D94="","",'جدول الكميات'!D94)</f>
        <v/>
      </c>
      <c r="D131" s="88">
        <f>IF('جدول الكميات'!E94="","",'جدول الكميات'!E94)</f>
        <v/>
      </c>
      <c r="E131" s="90">
        <f>N('جدول الكميات'!F94)</f>
        <v/>
      </c>
      <c r="F131" s="90">
        <f>N('جدول الكميات'!G94)</f>
        <v/>
      </c>
      <c r="G131" s="91">
        <f>'مستخلص 19'!I131</f>
        <v/>
      </c>
      <c r="H131" s="31" t="n"/>
      <c r="I131" s="92">
        <f>G131+H131</f>
        <v/>
      </c>
      <c r="J131" s="93">
        <f>IF(E131&gt;0,I131/E131,0)</f>
        <v/>
      </c>
      <c r="K131" s="92">
        <f>G131*F131</f>
        <v/>
      </c>
      <c r="L131" s="94">
        <f>N(H131)*F131</f>
        <v/>
      </c>
      <c r="M131" s="92">
        <f>I131*F131</f>
        <v/>
      </c>
    </row>
    <row r="132">
      <c r="B132" s="88">
        <f>IF('جدول الكميات'!B95="","",'جدول الكميات'!B95)</f>
        <v/>
      </c>
      <c r="C132" s="89">
        <f>IF('جدول الكميات'!D95="","",'جدول الكميات'!D95)</f>
        <v/>
      </c>
      <c r="D132" s="88">
        <f>IF('جدول الكميات'!E95="","",'جدول الكميات'!E95)</f>
        <v/>
      </c>
      <c r="E132" s="90">
        <f>N('جدول الكميات'!F95)</f>
        <v/>
      </c>
      <c r="F132" s="90">
        <f>N('جدول الكميات'!G95)</f>
        <v/>
      </c>
      <c r="G132" s="91">
        <f>'مستخلص 19'!I132</f>
        <v/>
      </c>
      <c r="H132" s="31" t="n"/>
      <c r="I132" s="92">
        <f>G132+H132</f>
        <v/>
      </c>
      <c r="J132" s="93">
        <f>IF(E132&gt;0,I132/E132,0)</f>
        <v/>
      </c>
      <c r="K132" s="92">
        <f>G132*F132</f>
        <v/>
      </c>
      <c r="L132" s="94">
        <f>N(H132)*F132</f>
        <v/>
      </c>
      <c r="M132" s="92">
        <f>I132*F132</f>
        <v/>
      </c>
    </row>
    <row r="133">
      <c r="B133" s="88">
        <f>IF('جدول الكميات'!B96="","",'جدول الكميات'!B96)</f>
        <v/>
      </c>
      <c r="C133" s="89">
        <f>IF('جدول الكميات'!D96="","",'جدول الكميات'!D96)</f>
        <v/>
      </c>
      <c r="D133" s="88">
        <f>IF('جدول الكميات'!E96="","",'جدول الكميات'!E96)</f>
        <v/>
      </c>
      <c r="E133" s="90">
        <f>N('جدول الكميات'!F96)</f>
        <v/>
      </c>
      <c r="F133" s="90">
        <f>N('جدول الكميات'!G96)</f>
        <v/>
      </c>
      <c r="G133" s="91">
        <f>'مستخلص 19'!I133</f>
        <v/>
      </c>
      <c r="H133" s="31" t="n"/>
      <c r="I133" s="92">
        <f>G133+H133</f>
        <v/>
      </c>
      <c r="J133" s="93">
        <f>IF(E133&gt;0,I133/E133,0)</f>
        <v/>
      </c>
      <c r="K133" s="92">
        <f>G133*F133</f>
        <v/>
      </c>
      <c r="L133" s="94">
        <f>N(H133)*F133</f>
        <v/>
      </c>
      <c r="M133" s="92">
        <f>I133*F133</f>
        <v/>
      </c>
    </row>
    <row r="134">
      <c r="B134" s="88">
        <f>IF('جدول الكميات'!B97="","",'جدول الكميات'!B97)</f>
        <v/>
      </c>
      <c r="C134" s="89">
        <f>IF('جدول الكميات'!D97="","",'جدول الكميات'!D97)</f>
        <v/>
      </c>
      <c r="D134" s="88">
        <f>IF('جدول الكميات'!E97="","",'جدول الكميات'!E97)</f>
        <v/>
      </c>
      <c r="E134" s="90">
        <f>N('جدول الكميات'!F97)</f>
        <v/>
      </c>
      <c r="F134" s="90">
        <f>N('جدول الكميات'!G97)</f>
        <v/>
      </c>
      <c r="G134" s="91">
        <f>'مستخلص 19'!I134</f>
        <v/>
      </c>
      <c r="H134" s="31" t="n"/>
      <c r="I134" s="92">
        <f>G134+H134</f>
        <v/>
      </c>
      <c r="J134" s="93">
        <f>IF(E134&gt;0,I134/E134,0)</f>
        <v/>
      </c>
      <c r="K134" s="92">
        <f>G134*F134</f>
        <v/>
      </c>
      <c r="L134" s="94">
        <f>N(H134)*F134</f>
        <v/>
      </c>
      <c r="M134" s="92">
        <f>I134*F134</f>
        <v/>
      </c>
    </row>
    <row r="135">
      <c r="B135" s="88">
        <f>IF('جدول الكميات'!B98="","",'جدول الكميات'!B98)</f>
        <v/>
      </c>
      <c r="C135" s="89">
        <f>IF('جدول الكميات'!D98="","",'جدول الكميات'!D98)</f>
        <v/>
      </c>
      <c r="D135" s="88">
        <f>IF('جدول الكميات'!E98="","",'جدول الكميات'!E98)</f>
        <v/>
      </c>
      <c r="E135" s="90">
        <f>N('جدول الكميات'!F98)</f>
        <v/>
      </c>
      <c r="F135" s="90">
        <f>N('جدول الكميات'!G98)</f>
        <v/>
      </c>
      <c r="G135" s="91">
        <f>'مستخلص 19'!I135</f>
        <v/>
      </c>
      <c r="H135" s="31" t="n"/>
      <c r="I135" s="92">
        <f>G135+H135</f>
        <v/>
      </c>
      <c r="J135" s="93">
        <f>IF(E135&gt;0,I135/E135,0)</f>
        <v/>
      </c>
      <c r="K135" s="92">
        <f>G135*F135</f>
        <v/>
      </c>
      <c r="L135" s="94">
        <f>N(H135)*F135</f>
        <v/>
      </c>
      <c r="M135" s="92">
        <f>I135*F135</f>
        <v/>
      </c>
    </row>
    <row r="136">
      <c r="B136" s="88">
        <f>IF('جدول الكميات'!B99="","",'جدول الكميات'!B99)</f>
        <v/>
      </c>
      <c r="C136" s="89">
        <f>IF('جدول الكميات'!D99="","",'جدول الكميات'!D99)</f>
        <v/>
      </c>
      <c r="D136" s="88">
        <f>IF('جدول الكميات'!E99="","",'جدول الكميات'!E99)</f>
        <v/>
      </c>
      <c r="E136" s="90">
        <f>N('جدول الكميات'!F99)</f>
        <v/>
      </c>
      <c r="F136" s="90">
        <f>N('جدول الكميات'!G99)</f>
        <v/>
      </c>
      <c r="G136" s="91">
        <f>'مستخلص 19'!I136</f>
        <v/>
      </c>
      <c r="H136" s="31" t="n"/>
      <c r="I136" s="92">
        <f>G136+H136</f>
        <v/>
      </c>
      <c r="J136" s="93">
        <f>IF(E136&gt;0,I136/E136,0)</f>
        <v/>
      </c>
      <c r="K136" s="92">
        <f>G136*F136</f>
        <v/>
      </c>
      <c r="L136" s="94">
        <f>N(H136)*F136</f>
        <v/>
      </c>
      <c r="M136" s="92">
        <f>I136*F136</f>
        <v/>
      </c>
    </row>
    <row r="137">
      <c r="B137" s="88">
        <f>IF('جدول الكميات'!B100="","",'جدول الكميات'!B100)</f>
        <v/>
      </c>
      <c r="C137" s="89">
        <f>IF('جدول الكميات'!D100="","",'جدول الكميات'!D100)</f>
        <v/>
      </c>
      <c r="D137" s="88">
        <f>IF('جدول الكميات'!E100="","",'جدول الكميات'!E100)</f>
        <v/>
      </c>
      <c r="E137" s="90">
        <f>N('جدول الكميات'!F100)</f>
        <v/>
      </c>
      <c r="F137" s="90">
        <f>N('جدول الكميات'!G100)</f>
        <v/>
      </c>
      <c r="G137" s="91">
        <f>'مستخلص 19'!I137</f>
        <v/>
      </c>
      <c r="H137" s="31" t="n"/>
      <c r="I137" s="92">
        <f>G137+H137</f>
        <v/>
      </c>
      <c r="J137" s="93">
        <f>IF(E137&gt;0,I137/E137,0)</f>
        <v/>
      </c>
      <c r="K137" s="92">
        <f>G137*F137</f>
        <v/>
      </c>
      <c r="L137" s="94">
        <f>N(H137)*F137</f>
        <v/>
      </c>
      <c r="M137" s="92">
        <f>I137*F137</f>
        <v/>
      </c>
    </row>
    <row r="138">
      <c r="B138" s="88">
        <f>IF('جدول الكميات'!B101="","",'جدول الكميات'!B101)</f>
        <v/>
      </c>
      <c r="C138" s="89">
        <f>IF('جدول الكميات'!D101="","",'جدول الكميات'!D101)</f>
        <v/>
      </c>
      <c r="D138" s="88">
        <f>IF('جدول الكميات'!E101="","",'جدول الكميات'!E101)</f>
        <v/>
      </c>
      <c r="E138" s="90">
        <f>N('جدول الكميات'!F101)</f>
        <v/>
      </c>
      <c r="F138" s="90">
        <f>N('جدول الكميات'!G101)</f>
        <v/>
      </c>
      <c r="G138" s="91">
        <f>'مستخلص 19'!I138</f>
        <v/>
      </c>
      <c r="H138" s="31" t="n"/>
      <c r="I138" s="92">
        <f>G138+H138</f>
        <v/>
      </c>
      <c r="J138" s="93">
        <f>IF(E138&gt;0,I138/E138,0)</f>
        <v/>
      </c>
      <c r="K138" s="92">
        <f>G138*F138</f>
        <v/>
      </c>
      <c r="L138" s="94">
        <f>N(H138)*F138</f>
        <v/>
      </c>
      <c r="M138" s="92">
        <f>I138*F138</f>
        <v/>
      </c>
    </row>
    <row r="139">
      <c r="B139" s="88">
        <f>IF('جدول الكميات'!B102="","",'جدول الكميات'!B102)</f>
        <v/>
      </c>
      <c r="C139" s="89">
        <f>IF('جدول الكميات'!D102="","",'جدول الكميات'!D102)</f>
        <v/>
      </c>
      <c r="D139" s="88">
        <f>IF('جدول الكميات'!E102="","",'جدول الكميات'!E102)</f>
        <v/>
      </c>
      <c r="E139" s="90">
        <f>N('جدول الكميات'!F102)</f>
        <v/>
      </c>
      <c r="F139" s="90">
        <f>N('جدول الكميات'!G102)</f>
        <v/>
      </c>
      <c r="G139" s="91">
        <f>'مستخلص 19'!I139</f>
        <v/>
      </c>
      <c r="H139" s="31" t="n"/>
      <c r="I139" s="92">
        <f>G139+H139</f>
        <v/>
      </c>
      <c r="J139" s="93">
        <f>IF(E139&gt;0,I139/E139,0)</f>
        <v/>
      </c>
      <c r="K139" s="92">
        <f>G139*F139</f>
        <v/>
      </c>
      <c r="L139" s="94">
        <f>N(H139)*F139</f>
        <v/>
      </c>
      <c r="M139" s="92">
        <f>I139*F139</f>
        <v/>
      </c>
    </row>
    <row r="140">
      <c r="B140" s="88">
        <f>IF('جدول الكميات'!B103="","",'جدول الكميات'!B103)</f>
        <v/>
      </c>
      <c r="C140" s="89">
        <f>IF('جدول الكميات'!D103="","",'جدول الكميات'!D103)</f>
        <v/>
      </c>
      <c r="D140" s="88">
        <f>IF('جدول الكميات'!E103="","",'جدول الكميات'!E103)</f>
        <v/>
      </c>
      <c r="E140" s="90">
        <f>N('جدول الكميات'!F103)</f>
        <v/>
      </c>
      <c r="F140" s="90">
        <f>N('جدول الكميات'!G103)</f>
        <v/>
      </c>
      <c r="G140" s="91">
        <f>'مستخلص 19'!I140</f>
        <v/>
      </c>
      <c r="H140" s="31" t="n"/>
      <c r="I140" s="92">
        <f>G140+H140</f>
        <v/>
      </c>
      <c r="J140" s="93">
        <f>IF(E140&gt;0,I140/E140,0)</f>
        <v/>
      </c>
      <c r="K140" s="92">
        <f>G140*F140</f>
        <v/>
      </c>
      <c r="L140" s="94">
        <f>N(H140)*F140</f>
        <v/>
      </c>
      <c r="M140" s="92">
        <f>I140*F140</f>
        <v/>
      </c>
    </row>
    <row r="141">
      <c r="B141" s="88">
        <f>IF('جدول الكميات'!B104="","",'جدول الكميات'!B104)</f>
        <v/>
      </c>
      <c r="C141" s="89">
        <f>IF('جدول الكميات'!D104="","",'جدول الكميات'!D104)</f>
        <v/>
      </c>
      <c r="D141" s="88">
        <f>IF('جدول الكميات'!E104="","",'جدول الكميات'!E104)</f>
        <v/>
      </c>
      <c r="E141" s="90">
        <f>N('جدول الكميات'!F104)</f>
        <v/>
      </c>
      <c r="F141" s="90">
        <f>N('جدول الكميات'!G104)</f>
        <v/>
      </c>
      <c r="G141" s="91">
        <f>'مستخلص 19'!I141</f>
        <v/>
      </c>
      <c r="H141" s="31" t="n"/>
      <c r="I141" s="92">
        <f>G141+H141</f>
        <v/>
      </c>
      <c r="J141" s="93">
        <f>IF(E141&gt;0,I141/E141,0)</f>
        <v/>
      </c>
      <c r="K141" s="92">
        <f>G141*F141</f>
        <v/>
      </c>
      <c r="L141" s="94">
        <f>N(H141)*F141</f>
        <v/>
      </c>
      <c r="M141" s="92">
        <f>I141*F141</f>
        <v/>
      </c>
    </row>
    <row r="142">
      <c r="B142" s="88">
        <f>IF('جدول الكميات'!B105="","",'جدول الكميات'!B105)</f>
        <v/>
      </c>
      <c r="C142" s="89">
        <f>IF('جدول الكميات'!D105="","",'جدول الكميات'!D105)</f>
        <v/>
      </c>
      <c r="D142" s="88">
        <f>IF('جدول الكميات'!E105="","",'جدول الكميات'!E105)</f>
        <v/>
      </c>
      <c r="E142" s="90">
        <f>N('جدول الكميات'!F105)</f>
        <v/>
      </c>
      <c r="F142" s="90">
        <f>N('جدول الكميات'!G105)</f>
        <v/>
      </c>
      <c r="G142" s="91">
        <f>'مستخلص 19'!I142</f>
        <v/>
      </c>
      <c r="H142" s="31" t="n"/>
      <c r="I142" s="92">
        <f>G142+H142</f>
        <v/>
      </c>
      <c r="J142" s="93">
        <f>IF(E142&gt;0,I142/E142,0)</f>
        <v/>
      </c>
      <c r="K142" s="92">
        <f>G142*F142</f>
        <v/>
      </c>
      <c r="L142" s="94">
        <f>N(H142)*F142</f>
        <v/>
      </c>
      <c r="M142" s="92">
        <f>I142*F142</f>
        <v/>
      </c>
    </row>
    <row r="143">
      <c r="B143" s="50" t="inlineStr">
        <is>
          <t>الإجمالي</t>
        </is>
      </c>
      <c r="C143" s="50" t="n"/>
      <c r="D143" s="50" t="n"/>
      <c r="E143" s="50" t="n"/>
      <c r="F143" s="50" t="n"/>
      <c r="G143" s="50" t="n"/>
      <c r="H143" s="50" t="n"/>
      <c r="I143" s="50" t="n"/>
      <c r="J143" s="50" t="n"/>
      <c r="K143" s="58">
        <f>SUM(K43:K142)</f>
        <v/>
      </c>
      <c r="L143" s="58">
        <f>SUM(L43:L142)</f>
        <v/>
      </c>
      <c r="M143" s="58">
        <f>SUM(M43:M142)</f>
        <v/>
      </c>
    </row>
  </sheetData>
  <mergeCells count="112">
    <mergeCell ref="B2:M2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J9:K9"/>
    <mergeCell ref="C29:G29"/>
    <mergeCell ref="B37:M37"/>
    <mergeCell ref="L5:M5"/>
    <mergeCell ref="C31:G31"/>
    <mergeCell ref="C21:G21"/>
    <mergeCell ref="L29:M29"/>
    <mergeCell ref="B39:E39"/>
    <mergeCell ref="J31:K31"/>
    <mergeCell ref="C23:G23"/>
    <mergeCell ref="L31:M31"/>
    <mergeCell ref="C7:G7"/>
    <mergeCell ref="J21:K21"/>
    <mergeCell ref="L21:M21"/>
    <mergeCell ref="B38:E38"/>
    <mergeCell ref="H23:I23"/>
    <mergeCell ref="J23:K23"/>
    <mergeCell ref="C18:G18"/>
    <mergeCell ref="L7:M7"/>
    <mergeCell ref="E14:F14"/>
    <mergeCell ref="B17:M17"/>
    <mergeCell ref="H25:I25"/>
    <mergeCell ref="C20:G20"/>
    <mergeCell ref="K14:M14"/>
    <mergeCell ref="J27:K27"/>
    <mergeCell ref="C22:G22"/>
    <mergeCell ref="L30:M30"/>
    <mergeCell ref="J20:K20"/>
    <mergeCell ref="L20:M20"/>
    <mergeCell ref="J34:M34"/>
    <mergeCell ref="H19:I19"/>
    <mergeCell ref="H28:I28"/>
    <mergeCell ref="J22:K22"/>
    <mergeCell ref="L22:M22"/>
    <mergeCell ref="L6:M6"/>
    <mergeCell ref="B33:I33"/>
    <mergeCell ref="H5:I5"/>
    <mergeCell ref="B14:D14"/>
    <mergeCell ref="J29:K29"/>
    <mergeCell ref="C24:G24"/>
    <mergeCell ref="F39:I39"/>
    <mergeCell ref="B13:D13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E13:F13"/>
    <mergeCell ref="J38:M38"/>
    <mergeCell ref="L8:M8"/>
    <mergeCell ref="B143:J143"/>
    <mergeCell ref="C9:G9"/>
    <mergeCell ref="J26:K26"/>
    <mergeCell ref="H15:J15"/>
    <mergeCell ref="L26:M26"/>
    <mergeCell ref="E15:F15"/>
    <mergeCell ref="K13:M13"/>
    <mergeCell ref="L10:M10"/>
    <mergeCell ref="J25:K25"/>
    <mergeCell ref="L25:M25"/>
    <mergeCell ref="H22:I2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J30:K30"/>
    <mergeCell ref="C35:M35"/>
    <mergeCell ref="H6:I6"/>
    <mergeCell ref="J6:K6"/>
    <mergeCell ref="J39:M39"/>
    <mergeCell ref="L23:M23"/>
    <mergeCell ref="B15:D15"/>
    <mergeCell ref="H14:J14"/>
    <mergeCell ref="H7:I7"/>
    <mergeCell ref="B34:I34"/>
    <mergeCell ref="J7:K7"/>
    <mergeCell ref="C27:G27"/>
    <mergeCell ref="B41:M41"/>
    <mergeCell ref="C8:G8"/>
    <mergeCell ref="H27:I27"/>
    <mergeCell ref="H24:I24"/>
    <mergeCell ref="H18:I18"/>
    <mergeCell ref="J18:K18"/>
    <mergeCell ref="C19:G19"/>
    <mergeCell ref="F38:I38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B43:M142">
    <cfRule type="expression" priority="2" dxfId="9">
      <formula>N($H43)&lt;&gt;0</formula>
    </cfRule>
  </conditionalFormatting>
  <conditionalFormatting sqref="I43:J142">
    <cfRule type="expression" priority="3" dxfId="0">
      <formula>$I43&gt;$E43+0.0001</formula>
    </cfRule>
  </conditionalFormatting>
  <conditionalFormatting sqref="J43:J142">
    <cfRule type="dataBar" priority="4">
      <dataBar>
        <cfvo type="num" val="0"/>
        <cfvo type="num" val="1"/>
        <color rgb="0063BE7B"/>
      </dataBar>
    </cfRule>
  </conditionalFormatting>
  <dataValidations count="6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H43:H142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2026-10-01T20:14:18Z</dcterms:created>
  <dcterms:modified xsi:type="dcterms:W3CDTF">2026-10-01T20:14:23Z</dcterms:modified>
</cp:coreProperties>
</file>