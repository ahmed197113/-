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رئيسية" sheetId="1" state="visible" r:id="rId3"/>
    <sheet name="شجرة الحسابات" sheetId="2" state="visible" r:id="rId4"/>
    <sheet name="قيود اليومية" sheetId="3" state="visible" r:id="rId5"/>
    <sheet name="تجميع المشروعات" sheetId="4" state="visible" r:id="rId6"/>
    <sheet name="كشف حساب مشروع" sheetId="5" state="visible" r:id="rId7"/>
    <sheet name="دفتر الأستاذ" sheetId="6" state="visible" r:id="rId8"/>
    <sheet name="ميزان المراجعة" sheetId="7" state="visible" r:id="rId9"/>
    <sheet name="قائمة الدخل" sheetId="8" state="visible" r:id="rId10"/>
    <sheet name="المركز المالي" sheetId="9" state="visible" r:id="rId11"/>
    <sheet name="القوائم المساعدة" sheetId="10" state="visible" r:id="rId12"/>
  </sheets>
  <definedNames>
    <definedName function="false" hidden="true" localSheetId="1" name="_xlnm._FilterDatabase" vbProcedure="false">'شجرة الحسابات'!$A$8:$K$208</definedName>
    <definedName function="false" hidden="true" localSheetId="2" name="_xlnm._FilterDatabase" vbProcedure="false">'قيود اليومية'!$A$10:$I$1010</definedName>
    <definedName function="false" hidden="false" name="ACC_NO" vbProcedure="false">'شجرة الحسابات'!$A$9:$A$208</definedName>
    <definedName function="false" hidden="false" name="L_ELEM" vbProcedure="false">'القوائم المساعدة'!$D$6:$D$15</definedName>
    <definedName function="false" hidden="false" name="L_LEVEL" vbProcedure="false">'القوائم المساعدة'!$C$6:$C$8</definedName>
    <definedName function="false" hidden="false" name="L_LINES" vbProcedure="false">'القوائم المساعدة'!$G$6:$G$35</definedName>
    <definedName function="false" hidden="false" name="L_NATURE" vbProcedure="false">'القوائم المساعدة'!$B$6:$B$7</definedName>
    <definedName function="false" hidden="false" name="L_PSTATUS" vbProcedure="false">'القوائم المساعدة'!$E$6:$E$15</definedName>
    <definedName function="false" hidden="false" name="L_TYPES" vbProcedure="false">'القوائم المساعدة'!$A$6:$A$10</definedName>
    <definedName function="false" hidden="false" name="PRJ_NAMES" vbProcedure="false">'تجميع المشروعات'!$B$9:$B$28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7" authorId="0">
      <text>
        <r>
          <rPr>
            <sz val="10"/>
            <rFont val="FreeSans"/>
            <family val="2"/>
          </rPr>
          <t xml:space="preserve">اكتب رمز العملة المستخدمة، ويظهر تلقائياً في عناوين جميع القوائم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FreeSans"/>
            <family val="2"/>
          </rPr>
          <t xml:space="preserve">اكتب رقم القيد المراد فحصه قبل الترحيل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<sst xmlns="http://schemas.openxmlformats.org/spreadsheetml/2006/main" count="810" uniqueCount="328">
  <si>
    <t xml:space="preserve">نظام المحاسبة المتكامل لشركات المقاولات</t>
  </si>
  <si>
    <t xml:space="preserve">⚙ بيانات الشركة والإعدادات العامة</t>
  </si>
  <si>
    <t xml:space="preserve">اسم الشركة</t>
  </si>
  <si>
    <t xml:space="preserve">شركة الإعمار الحديثة للمقاولات العامة</t>
  </si>
  <si>
    <t xml:space="preserve">السنة المالية</t>
  </si>
  <si>
    <t xml:space="preserve">2026</t>
  </si>
  <si>
    <t xml:space="preserve">تاريخ نهاية الفترة</t>
  </si>
  <si>
    <t xml:space="preserve">العملة</t>
  </si>
  <si>
    <t xml:space="preserve">ريال</t>
  </si>
  <si>
    <t xml:space="preserve">📊 لوحة المؤشرات الرئيسية (تتحدث تلقائياً)</t>
  </si>
  <si>
    <t xml:space="preserve">إجمالي إيرادات العقود</t>
  </si>
  <si>
    <t xml:space="preserve">مجمل الربح</t>
  </si>
  <si>
    <t xml:space="preserve">صافي ربح الفترة</t>
  </si>
  <si>
    <t xml:space="preserve">إجمالي الأصول</t>
  </si>
  <si>
    <t xml:space="preserve">النقدية وما في حكمها</t>
  </si>
  <si>
    <t xml:space="preserve">حالة ميزان المراجعة</t>
  </si>
  <si>
    <t xml:space="preserve">حالة المركز المالي</t>
  </si>
  <si>
    <t xml:space="preserve">قيود غير مرحّلة</t>
  </si>
  <si>
    <t xml:space="preserve">🧭 الانتقال السريع بين الواجهات</t>
  </si>
  <si>
    <t xml:space="preserve">🌳 تعديل شجرة الحسابات</t>
  </si>
  <si>
    <t xml:space="preserve">✍ إدخال القيود اليومية</t>
  </si>
  <si>
    <t xml:space="preserve">🏗 تجميع المشروعات</t>
  </si>
  <si>
    <t xml:space="preserve">📄 كشف حساب مشروع</t>
  </si>
  <si>
    <t xml:space="preserve">📒 دفتر الأستاذ العام</t>
  </si>
  <si>
    <t xml:space="preserve">⚖ ميزان المراجعة</t>
  </si>
  <si>
    <t xml:space="preserve">📈 قائمة الدخل</t>
  </si>
  <si>
    <t xml:space="preserve">🏦 قائمة المركز المالي</t>
  </si>
  <si>
    <t xml:space="preserve">📘 دليل الاستخدام السريع</t>
  </si>
  <si>
    <t xml:space="preserve">1) الخلايا ذات الخلفية الصفراء والخط الأزرق هي خلايا الإدخال فقط، وباقي الخلايا معادلات تلقائية لا يُنصح بتعديلها.</t>
  </si>
  <si>
    <t xml:space="preserve">2) ابدأ بمراجعة «شجرة الحسابات»: أضف أي حساب جديد في أول صف فارغ، وحدد المستوى (تحليلي للحسابات التي يُرحّل إليها) والنوع والطبيعة وبند القائمة.</t>
  </si>
  <si>
    <t xml:space="preserve">3) أضف المشروعات في «تجميع المشروعات» (الكود، الاسم، العميل، قيمة العقد، التكلفة التقديرية) لتظهر في القائمة المنسدلة للقيود.</t>
  </si>
  <si>
    <t xml:space="preserve">4) سجّل القيود في «قيود اليومية»: اختر رقم الحساب من القائمة المنسدلة، ويظهر اسم الحساب تلقائياً؛ ولكل قيد عدة أسطر بنفس رقم القيد.</t>
  </si>
  <si>
    <t xml:space="preserve">5) عمود «حالة القيد» يفحص التوازن: القيد المتوازن فقط يُرحّل تلقائياً للميزان والقوائم، والقيد غير المتوازن يظهر باللون الأحمر ولا يُرحّل.</t>
  </si>
  <si>
    <t xml:space="preserve">6) الميزان وقائمة الدخل والمركز المالي وكشوف المشروعات تتحدث فوراً، مع مؤشرات تحقق ذاتي من التوازن.</t>
  </si>
  <si>
    <t xml:space="preserve">7) القيد رقم 28 في البيانات التجريبية غير متوازن عمداً لتوضيح آلية التنبيه ومنع الترحيل — صحّحه أو احذفه.</t>
  </si>
  <si>
    <t xml:space="preserve">مفتاح الألوان:</t>
  </si>
  <si>
    <t xml:space="preserve">خلية إدخال</t>
  </si>
  <si>
    <t xml:space="preserve">معادلة تلقائية</t>
  </si>
  <si>
    <t xml:space="preserve">✔ سليم / متوازن</t>
  </si>
  <si>
    <t xml:space="preserve">✖ خطأ / غير متوازن</t>
  </si>
  <si>
    <t xml:space="preserve">⚠ تنبيه</t>
  </si>
  <si>
    <t xml:space="preserve">واجهة تعديل الحسابات الأساسية وشجرة الحسابات</t>
  </si>
  <si>
    <t xml:space="preserve">🏠 الرئيسية</t>
  </si>
  <si>
    <t xml:space="preserve">✍ القيود</t>
  </si>
  <si>
    <t xml:space="preserve">🏗 المشروعات</t>
  </si>
  <si>
    <t xml:space="preserve">📄 كشف مشروع</t>
  </si>
  <si>
    <t xml:space="preserve">📒 الأستاذ</t>
  </si>
  <si>
    <t xml:space="preserve">⚖ الميزان</t>
  </si>
  <si>
    <t xml:space="preserve">📈 الدخل</t>
  </si>
  <si>
    <t xml:space="preserve">🏦 المركز المالي</t>
  </si>
  <si>
    <t xml:space="preserve">عدد الحسابات التحليلية</t>
  </si>
  <si>
    <t xml:space="preserve">حسابات الأصول</t>
  </si>
  <si>
    <t xml:space="preserve">حسابات الخصوم</t>
  </si>
  <si>
    <t xml:space="preserve">حسابات حقوق الملكية</t>
  </si>
  <si>
    <t xml:space="preserve">حسابات الإيرادات</t>
  </si>
  <si>
    <t xml:space="preserve">حسابات المصروفات</t>
  </si>
  <si>
    <t xml:space="preserve">تنبيهات تحتاج مراجعة</t>
  </si>
  <si>
    <t xml:space="preserve">➕ لإضافة حساب: اكتب في أول صف فارغ بالجدول (الخلايا الصفراء) — المستوى «تحليلي» للحسابات التي يُرحّل إليها، و«رئيسي/فرعي» للتجميع. رقم الحساب التحليلي يبدأ بأرقام الحساب الأب (مثال: 1111 تحت 11) ليتجمع تلقائياً في الميزان.</t>
  </si>
  <si>
    <t xml:space="preserve">رقم الحساب</t>
  </si>
  <si>
    <t xml:space="preserve">اسم الحساب</t>
  </si>
  <si>
    <t xml:space="preserve">المستوى</t>
  </si>
  <si>
    <t xml:space="preserve">الحساب الأب</t>
  </si>
  <si>
    <t xml:space="preserve">نوع الحساب</t>
  </si>
  <si>
    <t xml:space="preserve">الطبيعة</t>
  </si>
  <si>
    <t xml:space="preserve">القائمة المالية</t>
  </si>
  <si>
    <t xml:space="preserve">بند القائمة المالية</t>
  </si>
  <si>
    <t xml:space="preserve">عنصر تكلفة المشروع</t>
  </si>
  <si>
    <t xml:space="preserve">الرصيد الحالي</t>
  </si>
  <si>
    <t xml:space="preserve">التحقق</t>
  </si>
  <si>
    <t xml:space="preserve">الأصول</t>
  </si>
  <si>
    <t xml:space="preserve">رئيسي</t>
  </si>
  <si>
    <t xml:space="preserve">مدين</t>
  </si>
  <si>
    <t xml:space="preserve">الأصول المتداولة</t>
  </si>
  <si>
    <t xml:space="preserve">فرعي</t>
  </si>
  <si>
    <t xml:space="preserve">الصندوق (النقدية بالخزينة)</t>
  </si>
  <si>
    <t xml:space="preserve">تحليلي</t>
  </si>
  <si>
    <t xml:space="preserve">البنك - الحساب الجاري</t>
  </si>
  <si>
    <t xml:space="preserve">عملاء المقاولات</t>
  </si>
  <si>
    <t xml:space="preserve">محتجزات ضمان لدى العملاء</t>
  </si>
  <si>
    <t xml:space="preserve">إيرادات مستحقة - أعمال منفذة غير مفوترة</t>
  </si>
  <si>
    <t xml:space="preserve">إيرادات مستحقة (أعمال منفذة غير مفوترة)</t>
  </si>
  <si>
    <t xml:space="preserve">دفعات مقدمة لمقاولي الباطن</t>
  </si>
  <si>
    <t xml:space="preserve">دفعات مقدمة وأرصدة مدينة أخرى</t>
  </si>
  <si>
    <t xml:space="preserve">مخزون مواد البناء</t>
  </si>
  <si>
    <t xml:space="preserve">مخزون المواد</t>
  </si>
  <si>
    <t xml:space="preserve">مشروعات تحت التنفيذ</t>
  </si>
  <si>
    <t xml:space="preserve">مصروفات مدفوعة مقدماً</t>
  </si>
  <si>
    <t xml:space="preserve">تأمينات خطابات الضمان</t>
  </si>
  <si>
    <t xml:space="preserve">الأصول غير المتداولة</t>
  </si>
  <si>
    <t xml:space="preserve">المعدات والآلات الثقيلة</t>
  </si>
  <si>
    <t xml:space="preserve">الممتلكات والمعدات - بالتكلفة</t>
  </si>
  <si>
    <t xml:space="preserve">السيارات ووسائل النقل</t>
  </si>
  <si>
    <t xml:space="preserve">الأثاث والتجهيزات المكتبية</t>
  </si>
  <si>
    <t xml:space="preserve">مجمع إهلاك الأصول الثابتة</t>
  </si>
  <si>
    <t xml:space="preserve">دائن</t>
  </si>
  <si>
    <t xml:space="preserve">مجمع الإهلاك</t>
  </si>
  <si>
    <t xml:space="preserve">الخصوم</t>
  </si>
  <si>
    <t xml:space="preserve">الخصوم المتداولة</t>
  </si>
  <si>
    <t xml:space="preserve">الموردون</t>
  </si>
  <si>
    <t xml:space="preserve">مقاولو الباطن</t>
  </si>
  <si>
    <t xml:space="preserve">محتجزات ضمان مقاولي الباطن</t>
  </si>
  <si>
    <t xml:space="preserve">دفعات مقدمة من العملاء</t>
  </si>
  <si>
    <t xml:space="preserve">مصروفات مستحقة</t>
  </si>
  <si>
    <t xml:space="preserve">مصروفات مستحقة وأرصدة دائنة أخرى</t>
  </si>
  <si>
    <t xml:space="preserve">رواتب وأجور مستحقة</t>
  </si>
  <si>
    <t xml:space="preserve">الخصوم غير المتداولة</t>
  </si>
  <si>
    <t xml:space="preserve">قروض بنكية طويلة الأجل</t>
  </si>
  <si>
    <t xml:space="preserve">قروض طويلة الأجل</t>
  </si>
  <si>
    <t xml:space="preserve">مخصص مكافأة نهاية الخدمة</t>
  </si>
  <si>
    <t xml:space="preserve">حقوق الملكية</t>
  </si>
  <si>
    <t xml:space="preserve">رأس المال والاحتياطيات</t>
  </si>
  <si>
    <t xml:space="preserve">رأس المال المدفوع</t>
  </si>
  <si>
    <t xml:space="preserve">رأس المال</t>
  </si>
  <si>
    <t xml:space="preserve">الاحتياطي النظامي</t>
  </si>
  <si>
    <t xml:space="preserve">الاحتياطيات</t>
  </si>
  <si>
    <t xml:space="preserve">الأرباح المحتجزة</t>
  </si>
  <si>
    <t xml:space="preserve">جاري الشركاء (مسحوبات)</t>
  </si>
  <si>
    <t xml:space="preserve">جاري الشركاء</t>
  </si>
  <si>
    <t xml:space="preserve">الإيرادات</t>
  </si>
  <si>
    <t xml:space="preserve">إيرادات العقود</t>
  </si>
  <si>
    <t xml:space="preserve">إيرادات المستخلصات</t>
  </si>
  <si>
    <t xml:space="preserve">إيرادات أعمال إضافية وأوامر تغيير</t>
  </si>
  <si>
    <t xml:space="preserve">إيرادات أخرى</t>
  </si>
  <si>
    <t xml:space="preserve">إيرادات متنوعة (بيع خردة ومخلفات)</t>
  </si>
  <si>
    <t xml:space="preserve">تكاليف العقود</t>
  </si>
  <si>
    <t xml:space="preserve">المصروفات</t>
  </si>
  <si>
    <t xml:space="preserve">التكاليف المباشرة للمشروعات</t>
  </si>
  <si>
    <t xml:space="preserve">تكلفة المواد المستخدمة</t>
  </si>
  <si>
    <t xml:space="preserve">تكلفة العقود</t>
  </si>
  <si>
    <t xml:space="preserve">مواد</t>
  </si>
  <si>
    <t xml:space="preserve">أجور العمالة المباشرة</t>
  </si>
  <si>
    <t xml:space="preserve">أجور عمال</t>
  </si>
  <si>
    <t xml:space="preserve">تكلفة مقاولي الباطن</t>
  </si>
  <si>
    <t xml:space="preserve">مقاولو باطن</t>
  </si>
  <si>
    <t xml:space="preserve">إيجار وتشغيل المعدات</t>
  </si>
  <si>
    <t xml:space="preserve">معدات</t>
  </si>
  <si>
    <t xml:space="preserve">مصاريف الموقع الإدارية</t>
  </si>
  <si>
    <t xml:space="preserve">مصاريف موقع</t>
  </si>
  <si>
    <t xml:space="preserve">إهلاك معدات المشروعات</t>
  </si>
  <si>
    <t xml:space="preserve">المصاريف العمومية والإدارية</t>
  </si>
  <si>
    <t xml:space="preserve">مصاريف الإدارة العامة</t>
  </si>
  <si>
    <t xml:space="preserve">رواتب الإدارة العامة</t>
  </si>
  <si>
    <t xml:space="preserve">مصاريف عمومية وإدارية</t>
  </si>
  <si>
    <t xml:space="preserve">إيجار المكتب الرئيسي</t>
  </si>
  <si>
    <t xml:space="preserve">كهرباء ومياه واتصالات</t>
  </si>
  <si>
    <t xml:space="preserve">إهلاك الأصول الإدارية</t>
  </si>
  <si>
    <t xml:space="preserve">مصاريف وعمولات بنكية</t>
  </si>
  <si>
    <t xml:space="preserve">مصاريف تمويلية</t>
  </si>
  <si>
    <t xml:space="preserve">واجهة إدخال القيود اليومية</t>
  </si>
  <si>
    <t xml:space="preserve">🌳 الشجرة</t>
  </si>
  <si>
    <t xml:space="preserve">🔎 فحص قيد قبل الترحيل</t>
  </si>
  <si>
    <t xml:space="preserve">مدين القيد</t>
  </si>
  <si>
    <t xml:space="preserve">دائن القيد</t>
  </si>
  <si>
    <t xml:space="preserve">الفرق</t>
  </si>
  <si>
    <t xml:space="preserve">حالة القيد المختار</t>
  </si>
  <si>
    <t xml:space="preserve">إجمالي المدين (كل القيود)</t>
  </si>
  <si>
    <t xml:space="preserve">إجمالي الدائن (كل القيود)</t>
  </si>
  <si>
    <t xml:space="preserve">رقم القيد:</t>
  </si>
  <si>
    <t xml:space="preserve">رقم القيد التالي:</t>
  </si>
  <si>
    <t xml:space="preserve">طريقة الإدخال: لكل قيد عدة أسطر بنفس الرقم والتاريخ — اختر رقم الحساب من القائمة المنسدلة واسم المشروع (اختياري للمصاريف العامة) — أدخل المبلغ في المدين أو الدائن فقط. الأعمدة J:O مساعدة تلقائية (مخفية، اضغط + لإظهارها).</t>
  </si>
  <si>
    <t xml:space="preserve">رقم القيد</t>
  </si>
  <si>
    <t xml:space="preserve">التاريخ</t>
  </si>
  <si>
    <t xml:space="preserve">اسم المشروع</t>
  </si>
  <si>
    <t xml:space="preserve">البيان / الشرح</t>
  </si>
  <si>
    <t xml:space="preserve">حالة القيد</t>
  </si>
  <si>
    <t xml:space="preserve">عنصر التكلفة</t>
  </si>
  <si>
    <t xml:space="preserve">فحص السطر</t>
  </si>
  <si>
    <t xml:space="preserve">تسلسل المشروع</t>
  </si>
  <si>
    <t xml:space="preserve">تسلسل الحساب</t>
  </si>
  <si>
    <t xml:space="preserve">إيداع رأس المال المدفوع بالبنك</t>
  </si>
  <si>
    <t xml:space="preserve">شراء معدات ثقيلة (حفار + رافعة)</t>
  </si>
  <si>
    <t xml:space="preserve">شراء سيارات نقل وبيك أب</t>
  </si>
  <si>
    <t xml:space="preserve">أثاث وتجهيزات المكتب الرئيسي</t>
  </si>
  <si>
    <t xml:space="preserve">سداد جزء من ثمن الأصول</t>
  </si>
  <si>
    <t xml:space="preserve">قرض بنكي لتمويل المعدات</t>
  </si>
  <si>
    <t xml:space="preserve">تغذية الخزينة (عهدة نقدية)</t>
  </si>
  <si>
    <t xml:space="preserve">برج الريان التجاري</t>
  </si>
  <si>
    <t xml:space="preserve">استلام دفعة مقدمة 15% من العميل</t>
  </si>
  <si>
    <t xml:space="preserve">مجمع فلل النخيل السكني</t>
  </si>
  <si>
    <t xml:space="preserve">استلام دفعة مقدمة 10% من العميل</t>
  </si>
  <si>
    <t xml:space="preserve">توريد حديد تسليح وخرسانة جاهزة</t>
  </si>
  <si>
    <t xml:space="preserve">مستحق للمورد - فاتورة مواد</t>
  </si>
  <si>
    <t xml:space="preserve">دفعة مقدمة لمقاول باطن الأعمال الكهربائية</t>
  </si>
  <si>
    <t xml:space="preserve">أجور عمالة موقع برج الريان - يناير</t>
  </si>
  <si>
    <t xml:space="preserve">أجور عمالة موقع فلل النخيل - يناير</t>
  </si>
  <si>
    <t xml:space="preserve">رواتب الإدارة العامة - يناير</t>
  </si>
  <si>
    <t xml:space="preserve">صرف رواتب وأجور يناير</t>
  </si>
  <si>
    <t xml:space="preserve">إيجار معدات (لودر + خلاطة)</t>
  </si>
  <si>
    <t xml:space="preserve">وقود وتشغيل الرافعة البرجية</t>
  </si>
  <si>
    <t xml:space="preserve">سداد إيجار وتشغيل معدات</t>
  </si>
  <si>
    <t xml:space="preserve">مصاريف موقع: حراسة ومياه وكهرباء مؤقتة</t>
  </si>
  <si>
    <t xml:space="preserve">مصاريف موقع: مكتب موقع وأدوات سلامة</t>
  </si>
  <si>
    <t xml:space="preserve">صرف نقدي من الخزينة</t>
  </si>
  <si>
    <t xml:space="preserve">مستخلص مقاول باطن رقم 1 - أعمال كهربائية</t>
  </si>
  <si>
    <t xml:space="preserve">استرداد 10% من الدفعة المقدمة</t>
  </si>
  <si>
    <t xml:space="preserve">احتجاز ضمان 5% على مقاول الباطن</t>
  </si>
  <si>
    <t xml:space="preserve">صافي مستحق مقاول الباطن</t>
  </si>
  <si>
    <t xml:space="preserve">مستخلص رقم 1 - برج الريان (صافي المستحق)</t>
  </si>
  <si>
    <t xml:space="preserve">استقطاع 15% استرداد الدفعة المقدمة</t>
  </si>
  <si>
    <t xml:space="preserve">احتجاز ضمان 10% لدى العميل</t>
  </si>
  <si>
    <t xml:space="preserve">إجمالي مستخلص رقم 1 - برج الريان</t>
  </si>
  <si>
    <t xml:space="preserve">تحصيل صافي المستخلص رقم 1</t>
  </si>
  <si>
    <t xml:space="preserve">مستخلص رقم 1 - فلل النخيل (صافي المستحق)</t>
  </si>
  <si>
    <t xml:space="preserve">استقطاع 10% استرداد الدفعة المقدمة</t>
  </si>
  <si>
    <t xml:space="preserve">احتجاز ضمان 5% لدى العميل</t>
  </si>
  <si>
    <t xml:space="preserve">إجمالي مستخلص رقم 1 - فلل النخيل</t>
  </si>
  <si>
    <t xml:space="preserve">توريد طوب وأسمنت ومواد عزل</t>
  </si>
  <si>
    <t xml:space="preserve">سداد دفعة للموردين</t>
  </si>
  <si>
    <t xml:space="preserve">مستخلص مقاول باطن - أعمال السباكة</t>
  </si>
  <si>
    <t xml:space="preserve">سداد دفعة لمقاولي الباطن</t>
  </si>
  <si>
    <t xml:space="preserve">أمر تغيير رقم 1 - أعمال إضافية بالواجهات</t>
  </si>
  <si>
    <t xml:space="preserve">تحصيل جزئي من المستخلص رقم 1</t>
  </si>
  <si>
    <t xml:space="preserve">توسعة مستشفى الشفاء</t>
  </si>
  <si>
    <t xml:space="preserve">تكاليف تجهيز الموقع قبل بدء الاعتراف بالإيراد</t>
  </si>
  <si>
    <t xml:space="preserve">بيع خردة حديد من الموقع</t>
  </si>
  <si>
    <t xml:space="preserve">إيجار المكتب الرئيسي - الربع الأول</t>
  </si>
  <si>
    <t xml:space="preserve">فواتير كهرباء ومياه واتصالات</t>
  </si>
  <si>
    <t xml:space="preserve">عمولات ومصاريف بنكية</t>
  </si>
  <si>
    <t xml:space="preserve">سداد مصاريف إدارية</t>
  </si>
  <si>
    <t xml:space="preserve">إهلاك معدات مخصصة للمشروع</t>
  </si>
  <si>
    <t xml:space="preserve">إهلاك أثاث وسيارات الإدارة</t>
  </si>
  <si>
    <t xml:space="preserve">إهلاك الربع الأول</t>
  </si>
  <si>
    <t xml:space="preserve">أجور عمالة مستحقة غير مدفوعة</t>
  </si>
  <si>
    <t xml:space="preserve">أعمال منفذة لم يصدر بها مستخلص (نسبة إنجاز)</t>
  </si>
  <si>
    <t xml:space="preserve">إيراد مستحق - أعمال منفذة غير مفوترة</t>
  </si>
  <si>
    <t xml:space="preserve">مسحوبات الشركاء</t>
  </si>
  <si>
    <t xml:space="preserve">مسودة: فاتورة مواد قيد المراجعة (مثال على قيد غير متوازن)</t>
  </si>
  <si>
    <t xml:space="preserve">دفتر أستاذ وتجميع تكاليف المشروعات</t>
  </si>
  <si>
    <t xml:space="preserve">عدد المشروعات</t>
  </si>
  <si>
    <t xml:space="preserve">إجمالي قيم العقود</t>
  </si>
  <si>
    <t xml:space="preserve">إجمالي إيرادات المستخلصات</t>
  </si>
  <si>
    <t xml:space="preserve">إجمالي تكاليف المشروعات</t>
  </si>
  <si>
    <t xml:space="preserve">مجمل ربح المشروعات</t>
  </si>
  <si>
    <t xml:space="preserve">متوسط هامش الربح</t>
  </si>
  <si>
    <t xml:space="preserve">كود المشروع</t>
  </si>
  <si>
    <t xml:space="preserve">العميل</t>
  </si>
  <si>
    <t xml:space="preserve">قيمة العقد</t>
  </si>
  <si>
    <t xml:space="preserve">التكلفة التقديرية</t>
  </si>
  <si>
    <t xml:space="preserve">تاريخ البدء</t>
  </si>
  <si>
    <t xml:space="preserve">الحالة</t>
  </si>
  <si>
    <t xml:space="preserve">إجمالي التكلفة المحملة</t>
  </si>
  <si>
    <t xml:space="preserve">تكاليف تحت التنفيذ (مرسملة)</t>
  </si>
  <si>
    <t xml:space="preserve">هامش الربح</t>
  </si>
  <si>
    <t xml:space="preserve">نسبة الإنجاز (تكلفة)</t>
  </si>
  <si>
    <t xml:space="preserve">نسبة الفوترة</t>
  </si>
  <si>
    <t xml:space="preserve">محتجزات لدى العميل</t>
  </si>
  <si>
    <t xml:space="preserve">رصيد الدفعة المقدمة</t>
  </si>
  <si>
    <t xml:space="preserve">P-001</t>
  </si>
  <si>
    <t xml:space="preserve">شركة الريان للاستثمار العقاري</t>
  </si>
  <si>
    <t xml:space="preserve">قيد التنفيذ</t>
  </si>
  <si>
    <t xml:space="preserve">P-002</t>
  </si>
  <si>
    <t xml:space="preserve">مؤسسة النخيل للتطوير</t>
  </si>
  <si>
    <t xml:space="preserve">P-003</t>
  </si>
  <si>
    <t xml:space="preserve">الهيئة الصحية الإقليمية</t>
  </si>
  <si>
    <t xml:space="preserve">لم يبدأ</t>
  </si>
  <si>
    <t xml:space="preserve">الإجمالي</t>
  </si>
  <si>
    <t xml:space="preserve">ملاحظة: التكاليف تُجمع تلقائياً من القيود المرحّلة حسب «اسم المشروع» و«عنصر التكلفة» المعرّف في الشجرة؛ الإيرادات = حسابات إيرادات العقود (41xx) فقط؛ نسبة الإنجاز = (التكلفة المحملة + المرسملة) ÷ التكلفة التقديرية.</t>
  </si>
  <si>
    <t xml:space="preserve">كشف حساب وتكاليف مشروع</t>
  </si>
  <si>
    <t xml:space="preserve">🏗 اختر المشروع:</t>
  </si>
  <si>
    <t xml:space="preserve">▼ القائمة المنسدلة</t>
  </si>
  <si>
    <t xml:space="preserve">إجمالي التكاليف</t>
  </si>
  <si>
    <t xml:space="preserve">المشروع</t>
  </si>
  <si>
    <t xml:space="preserve">القيمة</t>
  </si>
  <si>
    <t xml:space="preserve">النسبة من التكلفة</t>
  </si>
  <si>
    <t xml:space="preserve">إجمالي التكلفة</t>
  </si>
  <si>
    <t xml:space="preserve">م</t>
  </si>
  <si>
    <t xml:space="preserve">البيان</t>
  </si>
  <si>
    <t xml:space="preserve">دفتر الأستاذ العام — كشف حساب تفصيلي</t>
  </si>
  <si>
    <t xml:space="preserve">📒 اختر الحساب:</t>
  </si>
  <si>
    <t xml:space="preserve">إجمالي الحركة المدينة</t>
  </si>
  <si>
    <t xml:space="preserve">إجمالي الحركة الدائنة</t>
  </si>
  <si>
    <t xml:space="preserve">الرصيد الختامي</t>
  </si>
  <si>
    <t xml:space="preserve">الطبيعة / النوع</t>
  </si>
  <si>
    <t xml:space="preserve">الرصيد التراكمي</t>
  </si>
  <si>
    <t xml:space="preserve">ميزان المراجعة (بالمجاميع والأرصدة)</t>
  </si>
  <si>
    <t xml:space="preserve">فرق المجاميع</t>
  </si>
  <si>
    <t xml:space="preserve">فرق الأرصدة</t>
  </si>
  <si>
    <t xml:space="preserve">قيود مستبعدة (غير مرحّلة)</t>
  </si>
  <si>
    <t xml:space="preserve">يُجمع الميزان تلقائياً (SUMIFS) من القيود المرحّلة فقط، والحسابات الرئيسية والفرعية تجمع أرصدة الحسابات التحليلية التابعة لها حسب بادئة الرقم. الأعمدة G:K مساعدة للقوائم المالية.</t>
  </si>
  <si>
    <t xml:space="preserve">مجاميع مدين</t>
  </si>
  <si>
    <t xml:space="preserve">مجاميع دائن</t>
  </si>
  <si>
    <t xml:space="preserve">أرصدة مدين</t>
  </si>
  <si>
    <t xml:space="preserve">أرصدة دائن</t>
  </si>
  <si>
    <t xml:space="preserve">بند القائمة</t>
  </si>
  <si>
    <t xml:space="preserve">صافي الرصيد (مدين +)</t>
  </si>
  <si>
    <t xml:space="preserve">الإجمالي (الحسابات التحليلية)</t>
  </si>
  <si>
    <t xml:space="preserve">قائمة الدخل</t>
  </si>
  <si>
    <t xml:space="preserve">المبلغ</t>
  </si>
  <si>
    <t xml:space="preserve">% من الإيرادات</t>
  </si>
  <si>
    <t xml:space="preserve">أولاً: إيرادات العقود</t>
  </si>
  <si>
    <t xml:space="preserve">إيرادات المستخلصات والأعمال الإضافية (أوامر التغيير)</t>
  </si>
  <si>
    <t xml:space="preserve">ثانياً: تكلفة العقود المنفذة</t>
  </si>
  <si>
    <t xml:space="preserve">تكلفة المعدات (إيجار وتشغيل وإهلاك)</t>
  </si>
  <si>
    <t xml:space="preserve">تكاليف مباشرة أخرى (غير مصنفة بعنصر)</t>
  </si>
  <si>
    <t xml:space="preserve">إجمالي تكلفة العقود المنفذة</t>
  </si>
  <si>
    <t xml:space="preserve">مجمل الربح (الخسارة)</t>
  </si>
  <si>
    <t xml:space="preserve">ثالثاً: الإيرادات والمصاريف الأخرى</t>
  </si>
  <si>
    <t xml:space="preserve">المصاريف التمويلية والبنكية</t>
  </si>
  <si>
    <t xml:space="preserve">صافي الإيرادات (المصاريف) الأخرى</t>
  </si>
  <si>
    <t xml:space="preserve">صافي ربح (خسارة) الفترة</t>
  </si>
  <si>
    <t xml:space="preserve">المصاريف تظهر بالسالب داخل عمود «المبلغ» في قسم الإيرادات والمصاريف الأخرى. جميع الأرقام مرتبطة بميزان المراجعة عبر «بند القائمة المالية» بشجرة الحسابات.</t>
  </si>
  <si>
    <t xml:space="preserve">قائمة المركز المالي</t>
  </si>
  <si>
    <t xml:space="preserve">إجمالي الأصول المتداولة</t>
  </si>
  <si>
    <t xml:space="preserve">صافي الأصول غير المتداولة</t>
  </si>
  <si>
    <t xml:space="preserve">الخصوم وحقوق الملكية</t>
  </si>
  <si>
    <t xml:space="preserve">إجمالي الخصوم المتداولة</t>
  </si>
  <si>
    <t xml:space="preserve">إجمالي الخصوم غير المتداولة</t>
  </si>
  <si>
    <t xml:space="preserve">إجمالي الخصوم</t>
  </si>
  <si>
    <t xml:space="preserve">صافي ربح (خسارة) الفترة — من قائمة الدخل</t>
  </si>
  <si>
    <t xml:space="preserve">إجمالي حقوق الملكية</t>
  </si>
  <si>
    <t xml:space="preserve">إجمالي الخصوم وحقوق الملكية</t>
  </si>
  <si>
    <t xml:space="preserve">الأرصدة الدائنة بطبيعتها داخل الأصول (مثل مجمع الإهلاك) والمدينة داخل حقوق الملكية (مثل المسحوبات) تظهر بين أقواس بالسالب.</t>
  </si>
  <si>
    <t xml:space="preserve">القوائم المساعدة (مصادر القوائم المنسدلة)</t>
  </si>
  <si>
    <t xml:space="preserve">يمكن إضافة عناصر جديدة أسفل كل قائمة — الحقول الصفراء قابلة للتعديل</t>
  </si>
  <si>
    <t xml:space="preserve">أنواع الحسابات</t>
  </si>
  <si>
    <t xml:space="preserve">عناصر تكلفة المشروع</t>
  </si>
  <si>
    <t xml:space="preserve">حالات المشروع</t>
  </si>
  <si>
    <t xml:space="preserve">بنود القوائم المالية</t>
  </si>
  <si>
    <t xml:space="preserve">القائمة</t>
  </si>
  <si>
    <t xml:space="preserve">القسم</t>
  </si>
  <si>
    <t xml:space="preserve">المركز المالي</t>
  </si>
  <si>
    <t xml:space="preserve">أصول متداولة</t>
  </si>
  <si>
    <t xml:space="preserve">متوقف</t>
  </si>
  <si>
    <t xml:space="preserve">منتهي</t>
  </si>
  <si>
    <t xml:space="preserve">أصول غير متداولة</t>
  </si>
  <si>
    <t xml:space="preserve">خصوم متداولة</t>
  </si>
  <si>
    <t xml:space="preserve">خصوم غير متداولة</t>
  </si>
  <si>
    <t xml:space="preserve">مصاريف تشغيلية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</si>
</sst>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/mm/dd"/>
    <numFmt numFmtId="166" formatCode="_-* #,##0.00_-;[RED]_-* \(#,##0.00\)_-;_-* \-??_-;_-@_-"/>
    <numFmt numFmtId="167" formatCode="@"/>
    <numFmt numFmtId="168" formatCode="0&quot; قيد&quot;;0;&quot;✔ لا يوجد&quot;"/>
    <numFmt numFmtId="169" formatCode="0"/>
    <numFmt numFmtId="170" formatCode="0;\-0;&quot;✔ لا يوجد&quot;"/>
    <numFmt numFmtId="171" formatCode="0.0%;[RED]\-0.0%;\-"/>
    <numFmt numFmtId="172" formatCode="#,##0"/>
    <numFmt numFmtId="173" formatCode="General"/>
  </numFmts>
  <fonts count="4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5A6772"/>
      <name val="Arial"/>
      <family val="0"/>
      <charset val="1"/>
    </font>
    <font>
      <b val="true"/>
      <sz val="11"/>
      <color rgb="FF1A4FA0"/>
      <name val="Arial"/>
      <family val="0"/>
      <charset val="1"/>
    </font>
    <font>
      <b val="true"/>
      <sz val="9"/>
      <color rgb="FF5A6772"/>
      <name val="Arial"/>
      <family val="0"/>
      <charset val="1"/>
    </font>
    <font>
      <b val="true"/>
      <sz val="15"/>
      <color rgb="FF2E7D7A"/>
      <name val="Arial"/>
      <family val="0"/>
      <charset val="1"/>
    </font>
    <font>
      <b val="true"/>
      <sz val="15"/>
      <color rgb="FF1F3A5F"/>
      <name val="Arial"/>
      <family val="0"/>
      <charset val="1"/>
    </font>
    <font>
      <b val="true"/>
      <sz val="15"/>
      <color rgb="FF2E7D32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3"/>
      <color rgb="FFC628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0"/>
      <color rgb="FF1A4FA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9A6B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5"/>
      <color rgb="FFC62828"/>
      <name val="Arial"/>
      <family val="0"/>
      <charset val="1"/>
    </font>
    <font>
      <i val="true"/>
      <sz val="9"/>
      <color rgb="FF5A6772"/>
      <name val="Arial"/>
      <family val="0"/>
      <charset val="1"/>
    </font>
    <font>
      <sz val="10"/>
      <color rgb="FF1A4FA0"/>
      <name val="Arial"/>
      <family val="0"/>
      <charset val="1"/>
    </font>
    <font>
      <b val="true"/>
      <sz val="14"/>
      <color rgb="FF1A4FA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2"/>
      <color rgb="FF1F2933"/>
      <name val="Arial"/>
      <family val="0"/>
      <charset val="1"/>
    </font>
    <font>
      <b val="true"/>
      <sz val="12"/>
      <color rgb="FF2E7D7A"/>
      <name val="Arial"/>
      <family val="0"/>
      <charset val="1"/>
    </font>
    <font>
      <b val="true"/>
      <sz val="12"/>
      <color rgb="FFC62828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color rgb="FF1F2933"/>
      <name val="Arial"/>
      <family val="0"/>
      <charset val="1"/>
    </font>
    <font>
      <sz val="9"/>
      <color rgb="FF5A6772"/>
      <name val="Arial"/>
      <family val="0"/>
      <charset val="1"/>
    </font>
    <font>
      <b val="true"/>
      <sz val="15"/>
      <color rgb="FF9A6B00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3"/>
      <color rgb="FF1A4FA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2"/>
      <color rgb="FF9A6B00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3"/>
      <color rgb="FF2E7D7A"/>
      <name val="Arial"/>
      <family val="0"/>
      <charset val="1"/>
    </font>
    <font>
      <b val="true"/>
      <sz val="13"/>
      <color rgb="FF2E7D32"/>
      <name val="Arial"/>
      <family val="0"/>
      <charset val="1"/>
    </font>
    <font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A5F"/>
        <bgColor rgb="FF1F2933"/>
      </patternFill>
    </fill>
    <fill>
      <patternFill patternType="solid">
        <fgColor rgb="FF2C5282"/>
        <bgColor rgb="FF1A4FA0"/>
      </patternFill>
    </fill>
    <fill>
      <patternFill patternType="solid">
        <fgColor rgb="FFF4F6F8"/>
        <bgColor rgb="FFF2F4F7"/>
      </patternFill>
    </fill>
    <fill>
      <patternFill patternType="solid">
        <fgColor rgb="FFFFF8E1"/>
        <bgColor rgb="FFFFF3CD"/>
      </patternFill>
    </fill>
    <fill>
      <patternFill patternType="solid">
        <fgColor rgb="FFFFFFFF"/>
        <bgColor rgb="FFF4F6F8"/>
      </patternFill>
    </fill>
    <fill>
      <patternFill patternType="solid">
        <fgColor rgb="FF2E7D7A"/>
        <bgColor rgb="FF2E7D32"/>
      </patternFill>
    </fill>
    <fill>
      <patternFill patternType="solid">
        <fgColor rgb="FFF2F4F7"/>
        <bgColor rgb="FFF4F6F8"/>
      </patternFill>
    </fill>
    <fill>
      <patternFill patternType="solid">
        <fgColor rgb="FFE8F5E9"/>
        <bgColor rgb="FFEAF1F8"/>
      </patternFill>
    </fill>
    <fill>
      <patternFill patternType="solid">
        <fgColor rgb="FFFDECEA"/>
        <bgColor rgb="FFF2F4F7"/>
      </patternFill>
    </fill>
    <fill>
      <patternFill patternType="solid">
        <fgColor rgb="FFFFF3CD"/>
        <bgColor rgb="FFFFF8E1"/>
      </patternFill>
    </fill>
    <fill>
      <patternFill patternType="solid">
        <fgColor rgb="FF7F8C8D"/>
        <bgColor rgb="FF878787"/>
      </patternFill>
    </fill>
    <fill>
      <patternFill patternType="solid">
        <fgColor rgb="FFEAF1F8"/>
        <bgColor rgb="FFEEF4F8"/>
      </patternFill>
    </fill>
    <fill>
      <patternFill patternType="solid">
        <fgColor rgb="FFD6E4F0"/>
        <bgColor rgb="FFDCEFE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 diagonalUp="false" diagonalDown="false">
      <left style="thin">
        <color rgb="FFC9D3DD"/>
      </left>
      <right style="thin">
        <color rgb="FFC9D3DD"/>
      </right>
      <top style="medium">
        <color rgb="FF2E7D7A"/>
      </top>
      <bottom/>
      <diagonal/>
    </border>
    <border diagonalUp="false" diagonalDown="false">
      <left style="thin">
        <color rgb="FFC9D3DD"/>
      </left>
      <right style="thin">
        <color rgb="FFC9D3DD"/>
      </right>
      <top style="medium">
        <color rgb="FF1F3A5F"/>
      </top>
      <bottom/>
      <diagonal/>
    </border>
    <border diagonalUp="false" diagonalDown="false">
      <left style="thin">
        <color rgb="FFC9D3DD"/>
      </left>
      <right style="thin">
        <color rgb="FFC9D3DD"/>
      </right>
      <top style="medium">
        <color rgb="FF2E7D32"/>
      </top>
      <bottom/>
      <diagonal/>
    </border>
    <border diagonalUp="false" diagonalDown="false">
      <left style="thin">
        <color rgb="FFC9D3DD"/>
      </left>
      <right style="thin">
        <color rgb="FFC9D3DD"/>
      </right>
      <top/>
      <bottom style="thin">
        <color rgb="FFC9D3DD"/>
      </bottom>
      <diagonal/>
    </border>
    <border diagonalUp="false" diagonalDown="false">
      <left style="thin">
        <color rgb="FFC9D3DD"/>
      </left>
      <right style="thin">
        <color rgb="FFC9D3DD"/>
      </right>
      <top style="medium">
        <color rgb="FFC62828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>
        <color rgb="FF1F3A5F"/>
      </bottom>
      <diagonal/>
    </border>
    <border diagonalUp="false" diagonalDown="false">
      <left style="thin">
        <color rgb="FFC9D3DD"/>
      </left>
      <right style="thin">
        <color rgb="FFC9D3DD"/>
      </right>
      <top style="medium">
        <color rgb="FF9A6B0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0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1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2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6" borderId="6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13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4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7" borderId="7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4" borderId="0" xfId="0" applyFont="true" applyBorder="true" applyAlignment="true" applyProtection="false">
      <alignment horizontal="right" vertical="center" textRotation="0" wrapText="true" indent="1" shrinkToFit="false" readingOrder="2"/>
      <protection locked="true" hidden="false"/>
    </xf>
    <xf numFmtId="164" fontId="16" fillId="6" borderId="0" xfId="0" applyFont="true" applyBorder="true" applyAlignment="true" applyProtection="false">
      <alignment horizontal="right" vertical="center" textRotation="0" wrapText="true" indent="1" shrinkToFit="false" readingOrder="2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11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10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24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5" fillId="4" borderId="0" xfId="0" applyFont="true" applyBorder="true" applyAlignment="true" applyProtection="false">
      <alignment horizontal="right" vertical="center" textRotation="0" wrapText="true" indent="1" shrinkToFit="false" readingOrder="2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6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6" fillId="8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6" fillId="5" borderId="1" xfId="0" applyFont="true" applyBorder="true" applyAlignment="true" applyProtection="false">
      <alignment horizontal="right" vertical="center" textRotation="0" wrapText="false" indent="2" shrinkToFit="false" readingOrder="2"/>
      <protection locked="true" hidden="false"/>
    </xf>
    <xf numFmtId="164" fontId="26" fillId="5" borderId="1" xfId="0" applyFont="true" applyBorder="true" applyAlignment="true" applyProtection="false">
      <alignment horizontal="right" vertical="center" textRotation="0" wrapText="false" indent="4" shrinkToFit="false" readingOrder="2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28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4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30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31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32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6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26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6" borderId="8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35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1" fontId="12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24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26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6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7" fillId="8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71" fontId="16" fillId="8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5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0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41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42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43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7" fillId="6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71" fontId="43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1" fontId="41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31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2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73" fontId="34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45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46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28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34" fillId="8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7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false" indent="2" shrinkToFit="false" readingOrder="2"/>
      <protection locked="true" hidden="false"/>
    </xf>
    <xf numFmtId="171" fontId="1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3" fillId="1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6" fillId="1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33" fillId="1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71" fontId="17" fillId="1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47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3" fillId="14" borderId="1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6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ont>
        <b val="1"/>
        <color rgb="FF2E7D32"/>
      </font>
      <fill>
        <patternFill>
          <bgColor rgb="FFE8F5E9"/>
        </patternFill>
      </fill>
    </dxf>
    <dxf>
      <font>
        <b val="1"/>
        <color rgb="FFC62828"/>
      </font>
      <fill>
        <patternFill>
          <bgColor rgb="FFFDECEA"/>
        </patternFill>
      </fill>
    </dxf>
    <dxf>
      <font>
        <b val="1"/>
        <color rgb="FF9A6B00"/>
      </font>
      <fill>
        <patternFill>
          <bgColor rgb="FFFFF3CD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CEF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1A4FA0"/>
          <bgColor rgb="FF000000"/>
        </patternFill>
      </fill>
    </dxf>
    <dxf>
      <fill>
        <patternFill patternType="solid">
          <fgColor rgb="FF2E7D7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ont>
        <b val="1"/>
        <color rgb="FF1F3A5F"/>
      </font>
      <fill>
        <patternFill>
          <bgColor rgb="FFD6E4F0"/>
        </patternFill>
      </fill>
    </dxf>
    <dxf>
      <font>
        <b val="1"/>
        <color rgb="FF2E7D7A"/>
      </font>
      <fill>
        <patternFill>
          <bgColor rgb="FFDCEFEE"/>
        </patternFill>
      </fill>
    </dxf>
    <dxf>
      <fill>
        <patternFill patternType="solid">
          <fgColor rgb="FFEEF4F8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>
          <bgColor rgb="FFFDECEA"/>
        </patternFill>
      </fill>
    </dxf>
    <dxf>
      <fill>
        <patternFill>
          <bgColor rgb="FFEEF4F8"/>
        </patternFill>
      </fill>
    </dxf>
    <dxf>
      <font>
        <b val="1"/>
        <color rgb="FFC62828"/>
      </font>
    </dxf>
    <dxf>
      <font>
        <color rgb="FF1F2933"/>
      </font>
    </dxf>
  </dxfs>
  <colors>
    <indexedColors>
      <rgbColor rgb="FF000000"/>
      <rgbColor rgb="FFFFFFFF"/>
      <rgbColor rgb="FFFF0000"/>
      <rgbColor rgb="FF00FF00"/>
      <rgbColor rgb="FF0000FF"/>
      <rgbColor rgb="FFF4F6F8"/>
      <rgbColor rgb="FFFF00FF"/>
      <rgbColor rgb="FF00FFFF"/>
      <rgbColor rgb="FF800000"/>
      <rgbColor rgb="FF2E7D32"/>
      <rgbColor rgb="FF000080"/>
      <rgbColor rgb="FF9A6B00"/>
      <rgbColor rgb="FF6A1B9A"/>
      <rgbColor rgb="FF008080"/>
      <rgbColor rgb="FFD9D9D9"/>
      <rgbColor rgb="FF878787"/>
      <rgbColor rgb="FF5B8DB8"/>
      <rgbColor rgb="FFC62828"/>
      <rgbColor rgb="FFFFF8E1"/>
      <rgbColor rgb="FFDCEFEE"/>
      <rgbColor rgb="FF660066"/>
      <rgbColor rgb="FFFF8080"/>
      <rgbColor rgb="FF1A4FA0"/>
      <rgbColor rgb="FFC9D3DD"/>
      <rgbColor rgb="FF000080"/>
      <rgbColor rgb="FFFF00FF"/>
      <rgbColor rgb="FFEEF4F8"/>
      <rgbColor rgb="FF00FFFF"/>
      <rgbColor rgb="FF800080"/>
      <rgbColor rgb="FF800000"/>
      <rgbColor rgb="FF008080"/>
      <rgbColor rgb="FF0000FF"/>
      <rgbColor rgb="FF00CCFF"/>
      <rgbColor rgb="FFE8F5E9"/>
      <rgbColor rgb="FFEAF1F8"/>
      <rgbColor rgb="FFFFF3CD"/>
      <rgbColor rgb="FFD6E4F0"/>
      <rgbColor rgb="FFF2F4F7"/>
      <rgbColor rgb="FFA3B18A"/>
      <rgbColor rgb="FFFDECEA"/>
      <rgbColor rgb="FF1A73E8"/>
      <rgbColor rgb="FF33CCCC"/>
      <rgbColor rgb="FF99CC00"/>
      <rgbColor rgb="FFFFCC00"/>
      <rgbColor rgb="FFFF9900"/>
      <rgbColor rgb="FFFF6600"/>
      <rgbColor rgb="FF5A6772"/>
      <rgbColor rgb="FF7F8C8D"/>
      <rgbColor rgb="FF1F3A5F"/>
      <rgbColor rgb="FF2E7D7A"/>
      <rgbColor rgb="FF003300"/>
      <rgbColor rgb="FF455A64"/>
      <rgbColor rgb="FFB7410E"/>
      <rgbColor rgb="FF8E6C3A"/>
      <rgbColor rgb="FF2C5282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توزيع تكاليف المشروعات حسب العنصر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'تجميع المشروعات'!H8</c:f>
              <c:strCache>
                <c:ptCount val="1"/>
                <c:pt idx="0">
                  <c:v>مواد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'تجميع المشروعات'!$B$9:$B$11</c:f>
              <c:strCache>
                <c:ptCount val="3"/>
                <c:pt idx="0">
                  <c:v>برج الريان التجاري</c:v>
                </c:pt>
                <c:pt idx="1">
                  <c:v>مجمع فلل النخيل السكني</c:v>
                </c:pt>
                <c:pt idx="2">
                  <c:v>توسعة مستشفى الشفاء</c:v>
                </c:pt>
              </c:strCache>
            </c:strRef>
          </c:cat>
          <c:val>
            <c:numRef>
              <c:f>'تجميع المشروعات'!$H$9:$H$11</c:f>
              <c:numCache>
                <c:formatCode>_-* #,##0.00_-;[RED]_-* \(#,##0.00\)_-;_-* \-??_-;_-@_-</c:formatCode>
                <c:ptCount val="3"/>
                <c:pt idx="0">
                  <c:v>420000</c:v>
                </c:pt>
                <c:pt idx="1">
                  <c:v>260000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'تجميع المشروعات'!I8</c:f>
              <c:strCache>
                <c:ptCount val="1"/>
                <c:pt idx="0">
                  <c:v>أجور عمال</c:v>
                </c:pt>
              </c:strCache>
            </c:strRef>
          </c:tx>
          <c:spPr>
            <a:solidFill>
              <a:srgbClr val="2e7d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'تجميع المشروعات'!$B$9:$B$11</c:f>
              <c:strCache>
                <c:ptCount val="3"/>
                <c:pt idx="0">
                  <c:v>برج الريان التجاري</c:v>
                </c:pt>
                <c:pt idx="1">
                  <c:v>مجمع فلل النخيل السكني</c:v>
                </c:pt>
                <c:pt idx="2">
                  <c:v>توسعة مستشفى الشفاء</c:v>
                </c:pt>
              </c:strCache>
            </c:strRef>
          </c:cat>
          <c:val>
            <c:numRef>
              <c:f>'تجميع المشروعات'!$I$9:$I$11</c:f>
              <c:numCache>
                <c:formatCode>_-* #,##0.00_-;[RED]_-* \(#,##0.00\)_-;_-* \-??_-;_-@_-</c:formatCode>
                <c:ptCount val="3"/>
                <c:pt idx="0">
                  <c:v>180000</c:v>
                </c:pt>
                <c:pt idx="1">
                  <c:v>160000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'تجميع المشروعات'!J8</c:f>
              <c:strCache>
                <c:ptCount val="1"/>
                <c:pt idx="0">
                  <c:v>مقاولو باطن</c:v>
                </c:pt>
              </c:strCache>
            </c:strRef>
          </c:tx>
          <c:spPr>
            <a:solidFill>
              <a:srgbClr val="8e6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'تجميع المشروعات'!$B$9:$B$11</c:f>
              <c:strCache>
                <c:ptCount val="3"/>
                <c:pt idx="0">
                  <c:v>برج الريان التجاري</c:v>
                </c:pt>
                <c:pt idx="1">
                  <c:v>مجمع فلل النخيل السكني</c:v>
                </c:pt>
                <c:pt idx="2">
                  <c:v>توسعة مستشفى الشفاء</c:v>
                </c:pt>
              </c:strCache>
            </c:strRef>
          </c:cat>
          <c:val>
            <c:numRef>
              <c:f>'تجميع المشروعات'!$J$9:$J$11</c:f>
              <c:numCache>
                <c:formatCode>_-* #,##0.00_-;[RED]_-* \(#,##0.00\)_-;_-* \-??_-;_-@_-</c:formatCode>
                <c:ptCount val="3"/>
                <c:pt idx="0">
                  <c:v>600000</c:v>
                </c:pt>
                <c:pt idx="1">
                  <c:v>250000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'تجميع المشروعات'!K8</c:f>
              <c:strCache>
                <c:ptCount val="1"/>
                <c:pt idx="0">
                  <c:v>معدات</c:v>
                </c:pt>
              </c:strCache>
            </c:strRef>
          </c:tx>
          <c:spPr>
            <a:solidFill>
              <a:srgbClr val="5b8d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'تجميع المشروعات'!$B$9:$B$11</c:f>
              <c:strCache>
                <c:ptCount val="3"/>
                <c:pt idx="0">
                  <c:v>برج الريان التجاري</c:v>
                </c:pt>
                <c:pt idx="1">
                  <c:v>مجمع فلل النخيل السكني</c:v>
                </c:pt>
                <c:pt idx="2">
                  <c:v>توسعة مستشفى الشفاء</c:v>
                </c:pt>
              </c:strCache>
            </c:strRef>
          </c:cat>
          <c:val>
            <c:numRef>
              <c:f>'تجميع المشروعات'!$K$9:$K$11</c:f>
              <c:numCache>
                <c:formatCode>_-* #,##0.00_-;[RED]_-* \(#,##0.00\)_-;_-* \-??_-;_-@_-</c:formatCode>
                <c:ptCount val="3"/>
                <c:pt idx="0">
                  <c:v>60000</c:v>
                </c:pt>
                <c:pt idx="1">
                  <c:v>95000</c:v>
                </c:pt>
                <c:pt idx="2">
                  <c:v>0</c:v>
                </c:pt>
              </c:numCache>
            </c:numRef>
          </c:val>
        </c:ser>
        <c:ser>
          <c:idx val="4"/>
          <c:order val="4"/>
          <c:tx>
            <c:strRef>
              <c:f>'تجميع المشروعات'!L8</c:f>
              <c:strCache>
                <c:ptCount val="1"/>
                <c:pt idx="0">
                  <c:v>مصاريف موقع</c:v>
                </c:pt>
              </c:strCache>
            </c:strRef>
          </c:tx>
          <c:spPr>
            <a:solidFill>
              <a:srgbClr val="a3b1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'تجميع المشروعات'!$B$9:$B$11</c:f>
              <c:strCache>
                <c:ptCount val="3"/>
                <c:pt idx="0">
                  <c:v>برج الريان التجاري</c:v>
                </c:pt>
                <c:pt idx="1">
                  <c:v>مجمع فلل النخيل السكني</c:v>
                </c:pt>
                <c:pt idx="2">
                  <c:v>توسعة مستشفى الشفاء</c:v>
                </c:pt>
              </c:strCache>
            </c:strRef>
          </c:cat>
          <c:val>
            <c:numRef>
              <c:f>'تجميع المشروعات'!$L$9:$L$11</c:f>
              <c:numCache>
                <c:formatCode>_-* #,##0.00_-;[RED]_-* \(#,##0.00\)_-;_-* \-??_-;_-@_-</c:formatCode>
                <c:ptCount val="3"/>
                <c:pt idx="0">
                  <c:v>32000</c:v>
                </c:pt>
                <c:pt idx="1">
                  <c:v>18000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92068650"/>
        <c:axId val="73433283"/>
      </c:barChart>
      <c:catAx>
        <c:axId val="92068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33283"/>
        <c:crosses val="autoZero"/>
        <c:auto val="1"/>
        <c:lblAlgn val="ctr"/>
        <c:lblOffset val="100"/>
        <c:noMultiLvlLbl val="0"/>
      </c:catAx>
      <c:valAx>
        <c:axId val="73433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القيمة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68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-307080</xdr:colOff>
      <xdr:row>31</xdr:row>
      <xdr:rowOff>0</xdr:rowOff>
    </xdr:from>
    <xdr:to>
      <xdr:col>7</xdr:col>
      <xdr:colOff>0</xdr:colOff>
      <xdr:row>48</xdr:row>
      <xdr:rowOff>1080</xdr:rowOff>
    </xdr:to>
    <xdr:graphicFrame>
      <xdr:nvGraphicFramePr>
        <xdr:cNvPr id="0" name="Chart 1"/>
        <xdr:cNvGraphicFramePr/>
      </xdr:nvGraphicFramePr>
      <xdr:xfrm>
        <a:off x="-8553960" y="69627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1:I30"/>
  <sheetViews>
    <sheetView showFormulas="false" showGridLines="false" showRowColHeaders="true" showZeros="true" rightToLeft="tru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7"/>
    <col collapsed="false" customWidth="true" hidden="false" outlineLevel="0" max="10" min="10" style="0" width="3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tr">
        <f aca="false">الرئيسية!$C$6&amp;"   |   الفترة المنتهية في: "&amp;TEXT(الرئيسية!$C$7,"yyyy/mm/dd")&amp;"   |   المبالغ بـ "&amp;الرئيسية!$G$7</f>
        <v>شركة الإعمار الحديثة للمقاولات العامة   |   الفترة المنتهية في: 2026/03/31   |   المبالغ بـ ريال</v>
      </c>
      <c r="C2" s="2"/>
      <c r="D2" s="2"/>
      <c r="E2" s="2"/>
      <c r="F2" s="2"/>
      <c r="G2" s="2"/>
      <c r="H2" s="2"/>
      <c r="I2" s="2"/>
    </row>
    <row r="3" customFormat="false" ht="9.75" hidden="false" customHeight="true" outlineLevel="0" collapsed="false"/>
    <row r="4" customFormat="false" ht="7.5" hidden="false" customHeight="true" outlineLevel="0" collapsed="false"/>
    <row r="5" customFormat="false" ht="21.75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4" t="s">
        <v>2</v>
      </c>
      <c r="C6" s="5" t="s">
        <v>3</v>
      </c>
      <c r="D6" s="5"/>
      <c r="E6" s="5"/>
      <c r="F6" s="4" t="s">
        <v>4</v>
      </c>
      <c r="G6" s="5" t="s">
        <v>5</v>
      </c>
      <c r="H6" s="5"/>
      <c r="I6" s="5"/>
    </row>
    <row r="7" customFormat="false" ht="15" hidden="false" customHeight="false" outlineLevel="0" collapsed="false">
      <c r="B7" s="4" t="s">
        <v>6</v>
      </c>
      <c r="C7" s="6" t="n">
        <v>46112</v>
      </c>
      <c r="D7" s="6"/>
      <c r="E7" s="6"/>
      <c r="F7" s="4" t="s">
        <v>7</v>
      </c>
      <c r="G7" s="5" t="s">
        <v>8</v>
      </c>
      <c r="H7" s="5"/>
      <c r="I7" s="5"/>
    </row>
    <row r="9" customFormat="false" ht="21.75" hidden="false" customHeight="true" outlineLevel="0" collapsed="false">
      <c r="B9" s="3" t="s">
        <v>9</v>
      </c>
      <c r="C9" s="3"/>
      <c r="D9" s="3"/>
      <c r="E9" s="3"/>
      <c r="F9" s="3"/>
      <c r="G9" s="3"/>
      <c r="H9" s="3"/>
      <c r="I9" s="3"/>
    </row>
    <row r="10" customFormat="false" ht="21.75" hidden="false" customHeight="true" outlineLevel="0" collapsed="false">
      <c r="B10" s="7" t="s">
        <v>10</v>
      </c>
      <c r="C10" s="7"/>
      <c r="D10" s="8" t="s">
        <v>11</v>
      </c>
      <c r="E10" s="8"/>
      <c r="F10" s="9" t="s">
        <v>12</v>
      </c>
      <c r="G10" s="9"/>
      <c r="H10" s="8" t="s">
        <v>13</v>
      </c>
      <c r="I10" s="8"/>
    </row>
    <row r="11" customFormat="false" ht="30" hidden="false" customHeight="true" outlineLevel="0" collapsed="false">
      <c r="B11" s="10" t="n">
        <f aca="false">'قائمة الدخل'!$D$8</f>
        <v>2700000</v>
      </c>
      <c r="C11" s="10"/>
      <c r="D11" s="11" t="n">
        <f aca="false">'قائمة الدخل'!$D$17</f>
        <v>625000</v>
      </c>
      <c r="E11" s="11"/>
      <c r="F11" s="12" t="n">
        <f aca="false">'قائمة الدخل'!$D$24</f>
        <v>507300</v>
      </c>
      <c r="G11" s="12"/>
      <c r="H11" s="11" t="n">
        <f aca="false">'المركز المالي'!$D$20</f>
        <v>5332300</v>
      </c>
      <c r="I11" s="11"/>
    </row>
    <row r="12" customFormat="false" ht="6" hidden="false" customHeight="true" outlineLevel="0" collapsed="false"/>
    <row r="13" customFormat="false" ht="21.75" hidden="false" customHeight="true" outlineLevel="0" collapsed="false">
      <c r="B13" s="7" t="s">
        <v>14</v>
      </c>
      <c r="C13" s="7"/>
      <c r="D13" s="8" t="s">
        <v>15</v>
      </c>
      <c r="E13" s="8"/>
      <c r="F13" s="8" t="s">
        <v>16</v>
      </c>
      <c r="G13" s="8"/>
      <c r="H13" s="13" t="s">
        <v>17</v>
      </c>
      <c r="I13" s="13"/>
    </row>
    <row r="14" customFormat="false" ht="30" hidden="false" customHeight="true" outlineLevel="0" collapsed="false">
      <c r="B14" s="10" t="n">
        <f aca="false">'المركز المالي'!$C$8</f>
        <v>2892300</v>
      </c>
      <c r="C14" s="10"/>
      <c r="D14" s="14" t="str">
        <f aca="false">'ميزان المراجعة'!$A$6</f>
        <v>✔ الميزان متوازن</v>
      </c>
      <c r="E14" s="14"/>
      <c r="F14" s="14" t="str">
        <f aca="false">IF(LEFT('المركز المالي'!$B$44,1)="✔","✔ متوازن","✖ غير متوازن")</f>
        <v>✔ متوازن</v>
      </c>
      <c r="G14" s="14"/>
      <c r="H14" s="15" t="n">
        <f aca="false">'قيود اليومية'!$I$6</f>
        <v>1</v>
      </c>
      <c r="I14" s="15"/>
    </row>
    <row r="15" customFormat="false" ht="7.5" hidden="false" customHeight="true" outlineLevel="0" collapsed="false"/>
    <row r="16" customFormat="false" ht="21.75" hidden="false" customHeight="true" outlineLevel="0" collapsed="false">
      <c r="B16" s="3" t="s">
        <v>18</v>
      </c>
      <c r="C16" s="3"/>
      <c r="D16" s="3"/>
      <c r="E16" s="3"/>
      <c r="F16" s="3"/>
      <c r="G16" s="3"/>
      <c r="H16" s="3"/>
      <c r="I16" s="3"/>
    </row>
    <row r="17" customFormat="false" ht="31.5" hidden="false" customHeight="true" outlineLevel="0" collapsed="false">
      <c r="B17" s="16" t="s">
        <v>19</v>
      </c>
      <c r="C17" s="16"/>
      <c r="D17" s="17" t="s">
        <v>20</v>
      </c>
      <c r="E17" s="17"/>
      <c r="F17" s="16" t="s">
        <v>21</v>
      </c>
      <c r="G17" s="16"/>
      <c r="H17" s="17" t="s">
        <v>22</v>
      </c>
      <c r="I17" s="17"/>
    </row>
    <row r="18" customFormat="false" ht="6" hidden="false" customHeight="true" outlineLevel="0" collapsed="false"/>
    <row r="19" customFormat="false" ht="31.5" hidden="false" customHeight="true" outlineLevel="0" collapsed="false">
      <c r="B19" s="16" t="s">
        <v>23</v>
      </c>
      <c r="C19" s="16"/>
      <c r="D19" s="17" t="s">
        <v>24</v>
      </c>
      <c r="E19" s="17"/>
      <c r="F19" s="16" t="s">
        <v>25</v>
      </c>
      <c r="G19" s="16"/>
      <c r="H19" s="17" t="s">
        <v>26</v>
      </c>
      <c r="I19" s="17"/>
    </row>
    <row r="21" customFormat="false" ht="21.75" hidden="false" customHeight="true" outlineLevel="0" collapsed="false">
      <c r="B21" s="3" t="s">
        <v>27</v>
      </c>
      <c r="C21" s="3"/>
      <c r="D21" s="3"/>
      <c r="E21" s="3"/>
      <c r="F21" s="3"/>
      <c r="G21" s="3"/>
      <c r="H21" s="3"/>
      <c r="I21" s="3"/>
    </row>
    <row r="22" customFormat="false" ht="30" hidden="false" customHeight="true" outlineLevel="0" collapsed="false">
      <c r="B22" s="18" t="s">
        <v>28</v>
      </c>
      <c r="C22" s="18"/>
      <c r="D22" s="18"/>
      <c r="E22" s="18"/>
      <c r="F22" s="18"/>
      <c r="G22" s="18"/>
      <c r="H22" s="18"/>
      <c r="I22" s="18"/>
    </row>
    <row r="23" customFormat="false" ht="30" hidden="false" customHeight="true" outlineLevel="0" collapsed="false">
      <c r="B23" s="19" t="s">
        <v>29</v>
      </c>
      <c r="C23" s="19"/>
      <c r="D23" s="19"/>
      <c r="E23" s="19"/>
      <c r="F23" s="19"/>
      <c r="G23" s="19"/>
      <c r="H23" s="19"/>
      <c r="I23" s="19"/>
    </row>
    <row r="24" customFormat="false" ht="30" hidden="false" customHeight="true" outlineLevel="0" collapsed="false">
      <c r="B24" s="18" t="s">
        <v>30</v>
      </c>
      <c r="C24" s="18"/>
      <c r="D24" s="18"/>
      <c r="E24" s="18"/>
      <c r="F24" s="18"/>
      <c r="G24" s="18"/>
      <c r="H24" s="18"/>
      <c r="I24" s="18"/>
    </row>
    <row r="25" customFormat="false" ht="30" hidden="false" customHeight="true" outlineLevel="0" collapsed="false">
      <c r="B25" s="19" t="s">
        <v>31</v>
      </c>
      <c r="C25" s="19"/>
      <c r="D25" s="19"/>
      <c r="E25" s="19"/>
      <c r="F25" s="19"/>
      <c r="G25" s="19"/>
      <c r="H25" s="19"/>
      <c r="I25" s="19"/>
    </row>
    <row r="26" customFormat="false" ht="30" hidden="false" customHeight="true" outlineLevel="0" collapsed="false">
      <c r="B26" s="18" t="s">
        <v>32</v>
      </c>
      <c r="C26" s="18"/>
      <c r="D26" s="18"/>
      <c r="E26" s="18"/>
      <c r="F26" s="18"/>
      <c r="G26" s="18"/>
      <c r="H26" s="18"/>
      <c r="I26" s="18"/>
    </row>
    <row r="27" customFormat="false" ht="30" hidden="false" customHeight="true" outlineLevel="0" collapsed="false">
      <c r="B27" s="19" t="s">
        <v>33</v>
      </c>
      <c r="C27" s="19"/>
      <c r="D27" s="19"/>
      <c r="E27" s="19"/>
      <c r="F27" s="19"/>
      <c r="G27" s="19"/>
      <c r="H27" s="19"/>
      <c r="I27" s="19"/>
    </row>
    <row r="28" customFormat="false" ht="30" hidden="false" customHeight="true" outlineLevel="0" collapsed="false">
      <c r="B28" s="18" t="s">
        <v>34</v>
      </c>
      <c r="C28" s="18"/>
      <c r="D28" s="18"/>
      <c r="E28" s="18"/>
      <c r="F28" s="18"/>
      <c r="G28" s="18"/>
      <c r="H28" s="18"/>
      <c r="I28" s="18"/>
    </row>
    <row r="30" customFormat="false" ht="15" hidden="false" customHeight="false" outlineLevel="0" collapsed="false">
      <c r="B30" s="20" t="s">
        <v>35</v>
      </c>
      <c r="C30" s="21" t="s">
        <v>36</v>
      </c>
      <c r="D30" s="22" t="s">
        <v>37</v>
      </c>
      <c r="E30" s="23" t="s">
        <v>38</v>
      </c>
      <c r="F30" s="24" t="s">
        <v>39</v>
      </c>
      <c r="G30" s="25" t="s">
        <v>40</v>
      </c>
    </row>
  </sheetData>
  <mergeCells count="41">
    <mergeCell ref="B1:I1"/>
    <mergeCell ref="B2:I2"/>
    <mergeCell ref="B5:I5"/>
    <mergeCell ref="C6:E6"/>
    <mergeCell ref="G6:I6"/>
    <mergeCell ref="C7:E7"/>
    <mergeCell ref="G7:I7"/>
    <mergeCell ref="B9:I9"/>
    <mergeCell ref="B10:C10"/>
    <mergeCell ref="D10:E10"/>
    <mergeCell ref="F10:G10"/>
    <mergeCell ref="H10:I10"/>
    <mergeCell ref="B11:C11"/>
    <mergeCell ref="D11:E11"/>
    <mergeCell ref="F11:G11"/>
    <mergeCell ref="H11:I11"/>
    <mergeCell ref="B13:C13"/>
    <mergeCell ref="D13:E13"/>
    <mergeCell ref="F13:G13"/>
    <mergeCell ref="H13:I13"/>
    <mergeCell ref="B14:C14"/>
    <mergeCell ref="D14:E14"/>
    <mergeCell ref="F14:G14"/>
    <mergeCell ref="H14:I14"/>
    <mergeCell ref="B16:I16"/>
    <mergeCell ref="B17:C17"/>
    <mergeCell ref="D17:E17"/>
    <mergeCell ref="F17:G17"/>
    <mergeCell ref="H17:I17"/>
    <mergeCell ref="B19:C19"/>
    <mergeCell ref="D19:E19"/>
    <mergeCell ref="F19:G19"/>
    <mergeCell ref="H19:I19"/>
    <mergeCell ref="B21:I21"/>
    <mergeCell ref="B22:I22"/>
    <mergeCell ref="B23:I23"/>
    <mergeCell ref="B24:I24"/>
    <mergeCell ref="B25:I25"/>
    <mergeCell ref="B26:I26"/>
    <mergeCell ref="B27:I27"/>
    <mergeCell ref="B28:I28"/>
  </mergeCells>
  <conditionalFormatting sqref="D14:G14">
    <cfRule type="expression" priority="2" aboveAverage="0" equalAverage="0" bottom="0" percent="0" rank="0" text="" dxfId="0">
      <formula>ISNUMBER(SEARCH("✔",D14))</formula>
    </cfRule>
    <cfRule type="expression" priority="3" aboveAverage="0" equalAverage="0" bottom="0" percent="0" rank="0" text="" dxfId="1">
      <formula>ISNUMBER(SEARCH("✖",D14))</formula>
    </cfRule>
    <cfRule type="expression" priority="4" aboveAverage="0" equalAverage="0" bottom="0" percent="0" rank="0" text="" dxfId="2">
      <formula>ISNUMBER(SEARCH("⚠",D14))</formula>
    </cfRule>
  </conditionalFormatting>
  <hyperlinks>
    <hyperlink ref="B17" location="'شجرة الحسابات'!A1" display="🌳 تعديل شجرة الحسابات"/>
    <hyperlink ref="D17" location="'قيود اليومية'!A1" display="✍ إدخال القيود اليومية"/>
    <hyperlink ref="F17" location="'تجميع المشروعات'!A1" display="🏗 تجميع المشروعات"/>
    <hyperlink ref="H17" location="'كشف حساب مشروع'!A1" display="📄 كشف حساب مشروع"/>
    <hyperlink ref="B19" location="'دفتر الأستاذ'!A1" display="📒 دفتر الأستاذ العام"/>
    <hyperlink ref="D19" location="'ميزان المراجعة'!A1" display="⚖ ميزان المراجعة"/>
    <hyperlink ref="F19" location="'قائمة الدخل'!A1" display="📈 قائمة الدخل"/>
    <hyperlink ref="H19" location="'المركز المالي'!A1" display="🏦 قائمة المركز المالي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true"/>
  </sheetPr>
  <dimension ref="A1:K208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38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20"/>
  </cols>
  <sheetData>
    <row r="1" customFormat="false" ht="37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tr">
        <f aca="false">الرئيسية!$C$6&amp;"   |   الفترة المنتهية في: "&amp;TEXT(الرئيسية!$C$7,"yyyy/mm/dd")&amp;"   |   المبالغ بـ "&amp;الرئيسية!$G$7</f>
        <v>شركة الإعمار الحديثة للمقاولات العامة   |   الفترة المنتهية في: 2026/03/31   |   المبالغ بـ ريال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5.5" hidden="false" customHeight="true" outlineLevel="0" collapsed="false">
      <c r="A3" s="26" t="s">
        <v>42</v>
      </c>
      <c r="B3" s="16" t="s">
        <v>43</v>
      </c>
      <c r="C3" s="16" t="s">
        <v>44</v>
      </c>
      <c r="D3" s="16" t="s">
        <v>45</v>
      </c>
      <c r="E3" s="16" t="s">
        <v>46</v>
      </c>
      <c r="F3" s="16" t="s">
        <v>47</v>
      </c>
      <c r="G3" s="16" t="s">
        <v>48</v>
      </c>
      <c r="H3" s="16" t="s">
        <v>49</v>
      </c>
    </row>
    <row r="4" customFormat="false" ht="7.5" hidden="false" customHeight="true" outlineLevel="0" collapsed="false"/>
    <row r="5" customFormat="false" ht="21.75" hidden="false" customHeight="true" outlineLevel="0" collapsed="false">
      <c r="A5" s="8" t="s">
        <v>50</v>
      </c>
      <c r="B5" s="8"/>
      <c r="C5" s="7" t="s">
        <v>51</v>
      </c>
      <c r="D5" s="7"/>
      <c r="E5" s="7" t="s">
        <v>52</v>
      </c>
      <c r="F5" s="7" t="s">
        <v>53</v>
      </c>
      <c r="G5" s="7"/>
      <c r="H5" s="7" t="s">
        <v>54</v>
      </c>
      <c r="I5" s="7" t="s">
        <v>55</v>
      </c>
      <c r="J5" s="13" t="s">
        <v>56</v>
      </c>
      <c r="K5" s="13"/>
    </row>
    <row r="6" customFormat="false" ht="30" hidden="false" customHeight="true" outlineLevel="0" collapsed="false">
      <c r="A6" s="27" t="n">
        <f aca="false">COUNTIFS('شجرة الحسابات'!$C$9:$C$208,"تحليلي")</f>
        <v>40</v>
      </c>
      <c r="B6" s="27"/>
      <c r="C6" s="28" t="n">
        <f aca="false">COUNTIFS('شجرة الحسابات'!$E$9:$E$208,"الأصول",'شجرة الحسابات'!$C$9:$C$208,"تحليلي")</f>
        <v>14</v>
      </c>
      <c r="D6" s="28"/>
      <c r="E6" s="28" t="n">
        <f aca="false">COUNTIFS('شجرة الحسابات'!$E$9:$E$208,"الخصوم",'شجرة الحسابات'!$C$9:$C$208,"تحليلي")</f>
        <v>8</v>
      </c>
      <c r="F6" s="28" t="n">
        <f aca="false">COUNTIFS('شجرة الحسابات'!$E$9:$E$208,"حقوق الملكية",'شجرة الحسابات'!$C$9:$C$208,"تحليلي")</f>
        <v>4</v>
      </c>
      <c r="G6" s="28"/>
      <c r="H6" s="28" t="n">
        <f aca="false">COUNTIFS('شجرة الحسابات'!$E$9:$E$208,"الإيرادات",'شجرة الحسابات'!$C$9:$C$208,"تحليلي")</f>
        <v>3</v>
      </c>
      <c r="I6" s="28" t="n">
        <f aca="false">COUNTIFS('شجرة الحسابات'!$E$9:$E$208,"المصروفات",'شجرة الحسابات'!$C$9:$C$208,"تحليلي")</f>
        <v>11</v>
      </c>
      <c r="J6" s="29" t="n">
        <f aca="false">COUNTIF('شجرة الحسابات'!$K$9:$K$208,"⚠*")</f>
        <v>0</v>
      </c>
      <c r="K6" s="29"/>
    </row>
    <row r="7" customFormat="false" ht="30" hidden="false" customHeight="true" outlineLevel="0" collapsed="false">
      <c r="A7" s="30" t="s">
        <v>57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customFormat="false" ht="33.75" hidden="false" customHeight="true" outlineLevel="0" collapsed="false">
      <c r="A8" s="31" t="s">
        <v>58</v>
      </c>
      <c r="B8" s="31" t="s">
        <v>59</v>
      </c>
      <c r="C8" s="31" t="s">
        <v>60</v>
      </c>
      <c r="D8" s="31" t="s">
        <v>61</v>
      </c>
      <c r="E8" s="31" t="s">
        <v>62</v>
      </c>
      <c r="F8" s="31" t="s">
        <v>63</v>
      </c>
      <c r="G8" s="31" t="s">
        <v>64</v>
      </c>
      <c r="H8" s="31" t="s">
        <v>65</v>
      </c>
      <c r="I8" s="31" t="s">
        <v>66</v>
      </c>
      <c r="J8" s="31" t="s">
        <v>67</v>
      </c>
      <c r="K8" s="31" t="s">
        <v>68</v>
      </c>
    </row>
    <row r="9" customFormat="false" ht="15" hidden="false" customHeight="false" outlineLevel="0" collapsed="false">
      <c r="A9" s="32" t="n">
        <v>1</v>
      </c>
      <c r="B9" s="33" t="s">
        <v>69</v>
      </c>
      <c r="C9" s="32" t="s">
        <v>70</v>
      </c>
      <c r="D9" s="32"/>
      <c r="E9" s="33" t="s">
        <v>69</v>
      </c>
      <c r="F9" s="32" t="s">
        <v>71</v>
      </c>
      <c r="G9" s="22" t="str">
        <f aca="false">IF(E9="","",IF(OR(E9="الأصول",E9="الخصوم",E9="حقوق الملكية"),"المركز المالي","قائمة الدخل"))</f>
        <v>المركز المالي</v>
      </c>
      <c r="H9" s="33"/>
      <c r="I9" s="33"/>
      <c r="J9" s="34" t="n">
        <f aca="false">IF(A9="","",IF(F9="دائن",'ميزان المراجعة'!D9-'ميزان المراجعة'!C9,'ميزان المراجعة'!C9-'ميزان المراجعة'!D9))</f>
        <v>5332300</v>
      </c>
      <c r="K9" s="22" t="str">
        <f aca="false">IF(A9="","",IF(COUNTIF('شجرة الحسابات'!$A$9:$A$208,A9)&gt;1,"⚠ رقم مكرر",IF(OR(B9="",C9="",E9="",F9=""),"⚠ بيانات ناقصة",IF(C9&lt;&gt;"تحليلي","● حساب تجميعي",IF(H9="","⚠ حدد بند القائمة",IF(COUNTIF(L_LINES,H9)=0,"⚠ بند غير معروف","✔ سليم"))))))</f>
        <v>● حساب تجميعي</v>
      </c>
    </row>
    <row r="10" customFormat="false" ht="15" hidden="false" customHeight="false" outlineLevel="0" collapsed="false">
      <c r="A10" s="32" t="n">
        <v>11</v>
      </c>
      <c r="B10" s="35" t="s">
        <v>72</v>
      </c>
      <c r="C10" s="32" t="s">
        <v>73</v>
      </c>
      <c r="D10" s="32" t="n">
        <v>1</v>
      </c>
      <c r="E10" s="33" t="s">
        <v>69</v>
      </c>
      <c r="F10" s="32" t="s">
        <v>71</v>
      </c>
      <c r="G10" s="22" t="str">
        <f aca="false">IF(E10="","",IF(OR(E10="الأصول",E10="الخصوم",E10="حقوق الملكية"),"المركز المالي","قائمة الدخل"))</f>
        <v>المركز المالي</v>
      </c>
      <c r="H10" s="33"/>
      <c r="I10" s="33"/>
      <c r="J10" s="34" t="n">
        <f aca="false">IF(A10="","",IF(F10="دائن",'ميزان المراجعة'!D10-'ميزان المراجعة'!C10,'ميزان المراجعة'!C10-'ميزان المراجعة'!D10))</f>
        <v>3837300</v>
      </c>
      <c r="K10" s="22" t="str">
        <f aca="false">IF(A10="","",IF(COUNTIF('شجرة الحسابات'!$A$9:$A$208,A10)&gt;1,"⚠ رقم مكرر",IF(OR(B10="",C10="",E10="",F10=""),"⚠ بيانات ناقصة",IF(C10&lt;&gt;"تحليلي","● حساب تجميعي",IF(H10="","⚠ حدد بند القائمة",IF(COUNTIF(L_LINES,H10)=0,"⚠ بند غير معروف","✔ سليم"))))))</f>
        <v>● حساب تجميعي</v>
      </c>
    </row>
    <row r="11" customFormat="false" ht="15" hidden="false" customHeight="false" outlineLevel="0" collapsed="false">
      <c r="A11" s="32" t="n">
        <v>1101</v>
      </c>
      <c r="B11" s="36" t="s">
        <v>74</v>
      </c>
      <c r="C11" s="32" t="s">
        <v>75</v>
      </c>
      <c r="D11" s="32" t="n">
        <v>11</v>
      </c>
      <c r="E11" s="33" t="s">
        <v>69</v>
      </c>
      <c r="F11" s="32" t="s">
        <v>71</v>
      </c>
      <c r="G11" s="22" t="str">
        <f aca="false">IF(E11="","",IF(OR(E11="الأصول",E11="الخصوم",E11="حقوق الملكية"),"المركز المالي","قائمة الدخل"))</f>
        <v>المركز المالي</v>
      </c>
      <c r="H11" s="33" t="s">
        <v>14</v>
      </c>
      <c r="I11" s="33"/>
      <c r="J11" s="34" t="n">
        <f aca="false">IF(A11="","",IF(F11="دائن",'ميزان المراجعة'!D11-'ميزان المراجعة'!C11,'ميزان المراجعة'!C11-'ميزان المراجعة'!D11))</f>
        <v>25500</v>
      </c>
      <c r="K11" s="22" t="str">
        <f aca="false">IF(A11="","",IF(COUNTIF('شجرة الحسابات'!$A$9:$A$208,A11)&gt;1,"⚠ رقم مكرر",IF(OR(B11="",C11="",E11="",F11=""),"⚠ بيانات ناقصة",IF(C11&lt;&gt;"تحليلي","● حساب تجميعي",IF(H11="","⚠ حدد بند القائمة",IF(COUNTIF(L_LINES,H11)=0,"⚠ بند غير معروف","✔ سليم"))))))</f>
        <v>✔ سليم</v>
      </c>
    </row>
    <row r="12" customFormat="false" ht="15" hidden="false" customHeight="false" outlineLevel="0" collapsed="false">
      <c r="A12" s="32" t="n">
        <v>1102</v>
      </c>
      <c r="B12" s="36" t="s">
        <v>76</v>
      </c>
      <c r="C12" s="32" t="s">
        <v>75</v>
      </c>
      <c r="D12" s="32" t="n">
        <v>11</v>
      </c>
      <c r="E12" s="33" t="s">
        <v>69</v>
      </c>
      <c r="F12" s="32" t="s">
        <v>71</v>
      </c>
      <c r="G12" s="22" t="str">
        <f aca="false">IF(E12="","",IF(OR(E12="الأصول",E12="الخصوم",E12="حقوق الملكية"),"المركز المالي","قائمة الدخل"))</f>
        <v>المركز المالي</v>
      </c>
      <c r="H12" s="33" t="s">
        <v>14</v>
      </c>
      <c r="I12" s="33"/>
      <c r="J12" s="34" t="n">
        <f aca="false">IF(A12="","",IF(F12="دائن",'ميزان المراجعة'!D12-'ميزان المراجعة'!C12,'ميزان المراجعة'!C12-'ميزان المراجعة'!D12))</f>
        <v>2866800</v>
      </c>
      <c r="K12" s="22" t="str">
        <f aca="false">IF(A12="","",IF(COUNTIF('شجرة الحسابات'!$A$9:$A$208,A12)&gt;1,"⚠ رقم مكرر",IF(OR(B12="",C12="",E12="",F12=""),"⚠ بيانات ناقصة",IF(C12&lt;&gt;"تحليلي","● حساب تجميعي",IF(H12="","⚠ حدد بند القائمة",IF(COUNTIF(L_LINES,H12)=0,"⚠ بند غير معروف","✔ سليم"))))))</f>
        <v>✔ سليم</v>
      </c>
    </row>
    <row r="13" customFormat="false" ht="15" hidden="false" customHeight="false" outlineLevel="0" collapsed="false">
      <c r="A13" s="32" t="n">
        <v>1103</v>
      </c>
      <c r="B13" s="36" t="s">
        <v>77</v>
      </c>
      <c r="C13" s="32" t="s">
        <v>75</v>
      </c>
      <c r="D13" s="32" t="n">
        <v>11</v>
      </c>
      <c r="E13" s="33" t="s">
        <v>69</v>
      </c>
      <c r="F13" s="32" t="s">
        <v>71</v>
      </c>
      <c r="G13" s="22" t="str">
        <f aca="false">IF(E13="","",IF(OR(E13="الأصول",E13="الخصوم",E13="حقوق الملكية"),"المركز المالي","قائمة الدخل"))</f>
        <v>المركز المالي</v>
      </c>
      <c r="H13" s="33" t="s">
        <v>77</v>
      </c>
      <c r="I13" s="33"/>
      <c r="J13" s="34" t="n">
        <f aca="false">IF(A13="","",IF(F13="دائن",'ميزان المراجعة'!D13-'ميزان المراجعة'!C13,'ميزان المراجعة'!C13-'ميزان المراجعة'!D13))</f>
        <v>385000</v>
      </c>
      <c r="K13" s="22" t="str">
        <f aca="false">IF(A13="","",IF(COUNTIF('شجرة الحسابات'!$A$9:$A$208,A13)&gt;1,"⚠ رقم مكرر",IF(OR(B13="",C13="",E13="",F13=""),"⚠ بيانات ناقصة",IF(C13&lt;&gt;"تحليلي","● حساب تجميعي",IF(H13="","⚠ حدد بند القائمة",IF(COUNTIF(L_LINES,H13)=0,"⚠ بند غير معروف","✔ سليم"))))))</f>
        <v>✔ سليم</v>
      </c>
    </row>
    <row r="14" customFormat="false" ht="15" hidden="false" customHeight="false" outlineLevel="0" collapsed="false">
      <c r="A14" s="32" t="n">
        <v>1104</v>
      </c>
      <c r="B14" s="36" t="s">
        <v>78</v>
      </c>
      <c r="C14" s="32" t="s">
        <v>75</v>
      </c>
      <c r="D14" s="32" t="n">
        <v>11</v>
      </c>
      <c r="E14" s="33" t="s">
        <v>69</v>
      </c>
      <c r="F14" s="32" t="s">
        <v>71</v>
      </c>
      <c r="G14" s="22" t="str">
        <f aca="false">IF(E14="","",IF(OR(E14="الأصول",E14="الخصوم",E14="حقوق الملكية"),"المركز المالي","قائمة الدخل"))</f>
        <v>المركز المالي</v>
      </c>
      <c r="H14" s="33" t="s">
        <v>78</v>
      </c>
      <c r="I14" s="33"/>
      <c r="J14" s="34" t="n">
        <f aca="false">IF(A14="","",IF(F14="دائن",'ميزان المراجعة'!D14-'ميزان المراجعة'!C14,'ميزان المراجعة'!C14-'ميزان المراجعة'!D14))</f>
        <v>195000</v>
      </c>
      <c r="K14" s="22" t="str">
        <f aca="false">IF(A14="","",IF(COUNTIF('شجرة الحسابات'!$A$9:$A$208,A14)&gt;1,"⚠ رقم مكرر",IF(OR(B14="",C14="",E14="",F14=""),"⚠ بيانات ناقصة",IF(C14&lt;&gt;"تحليلي","● حساب تجميعي",IF(H14="","⚠ حدد بند القائمة",IF(COUNTIF(L_LINES,H14)=0,"⚠ بند غير معروف","✔ سليم"))))))</f>
        <v>✔ سليم</v>
      </c>
    </row>
    <row r="15" customFormat="false" ht="15" hidden="false" customHeight="false" outlineLevel="0" collapsed="false">
      <c r="A15" s="32" t="n">
        <v>1105</v>
      </c>
      <c r="B15" s="36" t="s">
        <v>79</v>
      </c>
      <c r="C15" s="32" t="s">
        <v>75</v>
      </c>
      <c r="D15" s="32" t="n">
        <v>11</v>
      </c>
      <c r="E15" s="33" t="s">
        <v>69</v>
      </c>
      <c r="F15" s="32" t="s">
        <v>71</v>
      </c>
      <c r="G15" s="22" t="str">
        <f aca="false">IF(E15="","",IF(OR(E15="الأصول",E15="الخصوم",E15="حقوق الملكية"),"المركز المالي","قائمة الدخل"))</f>
        <v>المركز المالي</v>
      </c>
      <c r="H15" s="33" t="s">
        <v>80</v>
      </c>
      <c r="I15" s="33"/>
      <c r="J15" s="34" t="n">
        <f aca="false">IF(A15="","",IF(F15="دائن",'ميزان المراجعة'!D15-'ميزان المراجعة'!C15,'ميزان المراجعة'!C15-'ميزان المراجعة'!D15))</f>
        <v>180000</v>
      </c>
      <c r="K15" s="22" t="str">
        <f aca="false">IF(A15="","",IF(COUNTIF('شجرة الحسابات'!$A$9:$A$208,A15)&gt;1,"⚠ رقم مكرر",IF(OR(B15="",C15="",E15="",F15=""),"⚠ بيانات ناقصة",IF(C15&lt;&gt;"تحليلي","● حساب تجميعي",IF(H15="","⚠ حدد بند القائمة",IF(COUNTIF(L_LINES,H15)=0,"⚠ بند غير معروف","✔ سليم"))))))</f>
        <v>✔ سليم</v>
      </c>
    </row>
    <row r="16" customFormat="false" ht="15" hidden="false" customHeight="false" outlineLevel="0" collapsed="false">
      <c r="A16" s="32" t="n">
        <v>1106</v>
      </c>
      <c r="B16" s="36" t="s">
        <v>81</v>
      </c>
      <c r="C16" s="32" t="s">
        <v>75</v>
      </c>
      <c r="D16" s="32" t="n">
        <v>11</v>
      </c>
      <c r="E16" s="33" t="s">
        <v>69</v>
      </c>
      <c r="F16" s="32" t="s">
        <v>71</v>
      </c>
      <c r="G16" s="22" t="str">
        <f aca="false">IF(E16="","",IF(OR(E16="الأصول",E16="الخصوم",E16="حقوق الملكية"),"المركز المالي","قائمة الدخل"))</f>
        <v>المركز المالي</v>
      </c>
      <c r="H16" s="33" t="s">
        <v>82</v>
      </c>
      <c r="I16" s="33"/>
      <c r="J16" s="34" t="n">
        <f aca="false">IF(A16="","",IF(F16="دائن",'ميزان المراجعة'!D16-'ميزان المراجعة'!C16,'ميزان المراجعة'!C16-'ميزان المراجعة'!D16))</f>
        <v>90000</v>
      </c>
      <c r="K16" s="22" t="str">
        <f aca="false">IF(A16="","",IF(COUNTIF('شجرة الحسابات'!$A$9:$A$208,A16)&gt;1,"⚠ رقم مكرر",IF(OR(B16="",C16="",E16="",F16=""),"⚠ بيانات ناقصة",IF(C16&lt;&gt;"تحليلي","● حساب تجميعي",IF(H16="","⚠ حدد بند القائمة",IF(COUNTIF(L_LINES,H16)=0,"⚠ بند غير معروف","✔ سليم"))))))</f>
        <v>✔ سليم</v>
      </c>
    </row>
    <row r="17" customFormat="false" ht="15" hidden="false" customHeight="false" outlineLevel="0" collapsed="false">
      <c r="A17" s="32" t="n">
        <v>1107</v>
      </c>
      <c r="B17" s="36" t="s">
        <v>83</v>
      </c>
      <c r="C17" s="32" t="s">
        <v>75</v>
      </c>
      <c r="D17" s="32" t="n">
        <v>11</v>
      </c>
      <c r="E17" s="33" t="s">
        <v>69</v>
      </c>
      <c r="F17" s="32" t="s">
        <v>71</v>
      </c>
      <c r="G17" s="22" t="str">
        <f aca="false">IF(E17="","",IF(OR(E17="الأصول",E17="الخصوم",E17="حقوق الملكية"),"المركز المالي","قائمة الدخل"))</f>
        <v>المركز المالي</v>
      </c>
      <c r="H17" s="33" t="s">
        <v>84</v>
      </c>
      <c r="I17" s="33"/>
      <c r="J17" s="34" t="n">
        <f aca="false">IF(A17="","",IF(F17="دائن",'ميزان المراجعة'!D17-'ميزان المراجعة'!C17,'ميزان المراجعة'!C17-'ميزان المراجعة'!D17))</f>
        <v>0</v>
      </c>
      <c r="K17" s="22" t="str">
        <f aca="false">IF(A17="","",IF(COUNTIF('شجرة الحسابات'!$A$9:$A$208,A17)&gt;1,"⚠ رقم مكرر",IF(OR(B17="",C17="",E17="",F17=""),"⚠ بيانات ناقصة",IF(C17&lt;&gt;"تحليلي","● حساب تجميعي",IF(H17="","⚠ حدد بند القائمة",IF(COUNTIF(L_LINES,H17)=0,"⚠ بند غير معروف","✔ سليم"))))))</f>
        <v>✔ سليم</v>
      </c>
    </row>
    <row r="18" customFormat="false" ht="15" hidden="false" customHeight="false" outlineLevel="0" collapsed="false">
      <c r="A18" s="32" t="n">
        <v>1108</v>
      </c>
      <c r="B18" s="36" t="s">
        <v>85</v>
      </c>
      <c r="C18" s="32" t="s">
        <v>75</v>
      </c>
      <c r="D18" s="32" t="n">
        <v>11</v>
      </c>
      <c r="E18" s="33" t="s">
        <v>69</v>
      </c>
      <c r="F18" s="32" t="s">
        <v>71</v>
      </c>
      <c r="G18" s="22" t="str">
        <f aca="false">IF(E18="","",IF(OR(E18="الأصول",E18="الخصوم",E18="حقوق الملكية"),"المركز المالي","قائمة الدخل"))</f>
        <v>المركز المالي</v>
      </c>
      <c r="H18" s="33" t="s">
        <v>85</v>
      </c>
      <c r="I18" s="33"/>
      <c r="J18" s="34" t="n">
        <f aca="false">IF(A18="","",IF(F18="دائن",'ميزان المراجعة'!D18-'ميزان المراجعة'!C18,'ميزان المراجعة'!C18-'ميزان المراجعة'!D18))</f>
        <v>95000</v>
      </c>
      <c r="K18" s="22" t="str">
        <f aca="false">IF(A18="","",IF(COUNTIF('شجرة الحسابات'!$A$9:$A$208,A18)&gt;1,"⚠ رقم مكرر",IF(OR(B18="",C18="",E18="",F18=""),"⚠ بيانات ناقصة",IF(C18&lt;&gt;"تحليلي","● حساب تجميعي",IF(H18="","⚠ حدد بند القائمة",IF(COUNTIF(L_LINES,H18)=0,"⚠ بند غير معروف","✔ سليم"))))))</f>
        <v>✔ سليم</v>
      </c>
    </row>
    <row r="19" customFormat="false" ht="15" hidden="false" customHeight="false" outlineLevel="0" collapsed="false">
      <c r="A19" s="32" t="n">
        <v>1109</v>
      </c>
      <c r="B19" s="36" t="s">
        <v>86</v>
      </c>
      <c r="C19" s="32" t="s">
        <v>75</v>
      </c>
      <c r="D19" s="32" t="n">
        <v>11</v>
      </c>
      <c r="E19" s="33" t="s">
        <v>69</v>
      </c>
      <c r="F19" s="32" t="s">
        <v>71</v>
      </c>
      <c r="G19" s="22" t="str">
        <f aca="false">IF(E19="","",IF(OR(E19="الأصول",E19="الخصوم",E19="حقوق الملكية"),"المركز المالي","قائمة الدخل"))</f>
        <v>المركز المالي</v>
      </c>
      <c r="H19" s="33" t="s">
        <v>82</v>
      </c>
      <c r="I19" s="33"/>
      <c r="J19" s="34" t="n">
        <f aca="false">IF(A19="","",IF(F19="دائن",'ميزان المراجعة'!D19-'ميزان المراجعة'!C19,'ميزان المراجعة'!C19-'ميزان المراجعة'!D19))</f>
        <v>0</v>
      </c>
      <c r="K19" s="22" t="str">
        <f aca="false">IF(A19="","",IF(COUNTIF('شجرة الحسابات'!$A$9:$A$208,A19)&gt;1,"⚠ رقم مكرر",IF(OR(B19="",C19="",E19="",F19=""),"⚠ بيانات ناقصة",IF(C19&lt;&gt;"تحليلي","● حساب تجميعي",IF(H19="","⚠ حدد بند القائمة",IF(COUNTIF(L_LINES,H19)=0,"⚠ بند غير معروف","✔ سليم"))))))</f>
        <v>✔ سليم</v>
      </c>
    </row>
    <row r="20" customFormat="false" ht="15" hidden="false" customHeight="false" outlineLevel="0" collapsed="false">
      <c r="A20" s="32" t="n">
        <v>1110</v>
      </c>
      <c r="B20" s="36" t="s">
        <v>87</v>
      </c>
      <c r="C20" s="32" t="s">
        <v>75</v>
      </c>
      <c r="D20" s="32" t="n">
        <v>11</v>
      </c>
      <c r="E20" s="33" t="s">
        <v>69</v>
      </c>
      <c r="F20" s="32" t="s">
        <v>71</v>
      </c>
      <c r="G20" s="22" t="str">
        <f aca="false">IF(E20="","",IF(OR(E20="الأصول",E20="الخصوم",E20="حقوق الملكية"),"المركز المالي","قائمة الدخل"))</f>
        <v>المركز المالي</v>
      </c>
      <c r="H20" s="33" t="s">
        <v>82</v>
      </c>
      <c r="I20" s="33"/>
      <c r="J20" s="34" t="n">
        <f aca="false">IF(A20="","",IF(F20="دائن",'ميزان المراجعة'!D20-'ميزان المراجعة'!C20,'ميزان المراجعة'!C20-'ميزان المراجعة'!D20))</f>
        <v>0</v>
      </c>
      <c r="K20" s="22" t="str">
        <f aca="false">IF(A20="","",IF(COUNTIF('شجرة الحسابات'!$A$9:$A$208,A20)&gt;1,"⚠ رقم مكرر",IF(OR(B20="",C20="",E20="",F20=""),"⚠ بيانات ناقصة",IF(C20&lt;&gt;"تحليلي","● حساب تجميعي",IF(H20="","⚠ حدد بند القائمة",IF(COUNTIF(L_LINES,H20)=0,"⚠ بند غير معروف","✔ سليم"))))))</f>
        <v>✔ سليم</v>
      </c>
    </row>
    <row r="21" customFormat="false" ht="15" hidden="false" customHeight="false" outlineLevel="0" collapsed="false">
      <c r="A21" s="32" t="n">
        <v>12</v>
      </c>
      <c r="B21" s="35" t="s">
        <v>88</v>
      </c>
      <c r="C21" s="32" t="s">
        <v>73</v>
      </c>
      <c r="D21" s="32" t="n">
        <v>1</v>
      </c>
      <c r="E21" s="33" t="s">
        <v>69</v>
      </c>
      <c r="F21" s="32" t="s">
        <v>71</v>
      </c>
      <c r="G21" s="22" t="str">
        <f aca="false">IF(E21="","",IF(OR(E21="الأصول",E21="الخصوم",E21="حقوق الملكية"),"المركز المالي","قائمة الدخل"))</f>
        <v>المركز المالي</v>
      </c>
      <c r="H21" s="33"/>
      <c r="I21" s="33"/>
      <c r="J21" s="34" t="n">
        <f aca="false">IF(A21="","",IF(F21="دائن",'ميزان المراجعة'!D21-'ميزان المراجعة'!C21,'ميزان المراجعة'!C21-'ميزان المراجعة'!D21))</f>
        <v>1495000</v>
      </c>
      <c r="K21" s="22" t="str">
        <f aca="false">IF(A21="","",IF(COUNTIF('شجرة الحسابات'!$A$9:$A$208,A21)&gt;1,"⚠ رقم مكرر",IF(OR(B21="",C21="",E21="",F21=""),"⚠ بيانات ناقصة",IF(C21&lt;&gt;"تحليلي","● حساب تجميعي",IF(H21="","⚠ حدد بند القائمة",IF(COUNTIF(L_LINES,H21)=0,"⚠ بند غير معروف","✔ سليم"))))))</f>
        <v>● حساب تجميعي</v>
      </c>
    </row>
    <row r="22" customFormat="false" ht="15" hidden="false" customHeight="false" outlineLevel="0" collapsed="false">
      <c r="A22" s="32" t="n">
        <v>1201</v>
      </c>
      <c r="B22" s="36" t="s">
        <v>89</v>
      </c>
      <c r="C22" s="32" t="s">
        <v>75</v>
      </c>
      <c r="D22" s="32" t="n">
        <v>12</v>
      </c>
      <c r="E22" s="33" t="s">
        <v>69</v>
      </c>
      <c r="F22" s="32" t="s">
        <v>71</v>
      </c>
      <c r="G22" s="22" t="str">
        <f aca="false">IF(E22="","",IF(OR(E22="الأصول",E22="الخصوم",E22="حقوق الملكية"),"المركز المالي","قائمة الدخل"))</f>
        <v>المركز المالي</v>
      </c>
      <c r="H22" s="33" t="s">
        <v>90</v>
      </c>
      <c r="I22" s="33"/>
      <c r="J22" s="34" t="n">
        <f aca="false">IF(A22="","",IF(F22="دائن",'ميزان المراجعة'!D22-'ميزان المراجعة'!C22,'ميزان المراجعة'!C22-'ميزان المراجعة'!D22))</f>
        <v>1200000</v>
      </c>
      <c r="K22" s="22" t="str">
        <f aca="false">IF(A22="","",IF(COUNTIF('شجرة الحسابات'!$A$9:$A$208,A22)&gt;1,"⚠ رقم مكرر",IF(OR(B22="",C22="",E22="",F22=""),"⚠ بيانات ناقصة",IF(C22&lt;&gt;"تحليلي","● حساب تجميعي",IF(H22="","⚠ حدد بند القائمة",IF(COUNTIF(L_LINES,H22)=0,"⚠ بند غير معروف","✔ سليم"))))))</f>
        <v>✔ سليم</v>
      </c>
    </row>
    <row r="23" customFormat="false" ht="15" hidden="false" customHeight="false" outlineLevel="0" collapsed="false">
      <c r="A23" s="32" t="n">
        <v>1202</v>
      </c>
      <c r="B23" s="36" t="s">
        <v>91</v>
      </c>
      <c r="C23" s="32" t="s">
        <v>75</v>
      </c>
      <c r="D23" s="32" t="n">
        <v>12</v>
      </c>
      <c r="E23" s="33" t="s">
        <v>69</v>
      </c>
      <c r="F23" s="32" t="s">
        <v>71</v>
      </c>
      <c r="G23" s="22" t="str">
        <f aca="false">IF(E23="","",IF(OR(E23="الأصول",E23="الخصوم",E23="حقوق الملكية"),"المركز المالي","قائمة الدخل"))</f>
        <v>المركز المالي</v>
      </c>
      <c r="H23" s="33" t="s">
        <v>90</v>
      </c>
      <c r="I23" s="33"/>
      <c r="J23" s="34" t="n">
        <f aca="false">IF(A23="","",IF(F23="دائن",'ميزان المراجعة'!D23-'ميزان المراجعة'!C23,'ميزان المراجعة'!C23-'ميزان المراجعة'!D23))</f>
        <v>250000</v>
      </c>
      <c r="K23" s="22" t="str">
        <f aca="false">IF(A23="","",IF(COUNTIF('شجرة الحسابات'!$A$9:$A$208,A23)&gt;1,"⚠ رقم مكرر",IF(OR(B23="",C23="",E23="",F23=""),"⚠ بيانات ناقصة",IF(C23&lt;&gt;"تحليلي","● حساب تجميعي",IF(H23="","⚠ حدد بند القائمة",IF(COUNTIF(L_LINES,H23)=0,"⚠ بند غير معروف","✔ سليم"))))))</f>
        <v>✔ سليم</v>
      </c>
    </row>
    <row r="24" customFormat="false" ht="15" hidden="false" customHeight="false" outlineLevel="0" collapsed="false">
      <c r="A24" s="32" t="n">
        <v>1203</v>
      </c>
      <c r="B24" s="36" t="s">
        <v>92</v>
      </c>
      <c r="C24" s="32" t="s">
        <v>75</v>
      </c>
      <c r="D24" s="32" t="n">
        <v>12</v>
      </c>
      <c r="E24" s="33" t="s">
        <v>69</v>
      </c>
      <c r="F24" s="32" t="s">
        <v>71</v>
      </c>
      <c r="G24" s="22" t="str">
        <f aca="false">IF(E24="","",IF(OR(E24="الأصول",E24="الخصوم",E24="حقوق الملكية"),"المركز المالي","قائمة الدخل"))</f>
        <v>المركز المالي</v>
      </c>
      <c r="H24" s="33" t="s">
        <v>90</v>
      </c>
      <c r="I24" s="33"/>
      <c r="J24" s="34" t="n">
        <f aca="false">IF(A24="","",IF(F24="دائن",'ميزان المراجعة'!D24-'ميزان المراجعة'!C24,'ميزان المراجعة'!C24-'ميزان المراجعة'!D24))</f>
        <v>80000</v>
      </c>
      <c r="K24" s="22" t="str">
        <f aca="false">IF(A24="","",IF(COUNTIF('شجرة الحسابات'!$A$9:$A$208,A24)&gt;1,"⚠ رقم مكرر",IF(OR(B24="",C24="",E24="",F24=""),"⚠ بيانات ناقصة",IF(C24&lt;&gt;"تحليلي","● حساب تجميعي",IF(H24="","⚠ حدد بند القائمة",IF(COUNTIF(L_LINES,H24)=0,"⚠ بند غير معروف","✔ سليم"))))))</f>
        <v>✔ سليم</v>
      </c>
    </row>
    <row r="25" customFormat="false" ht="15" hidden="false" customHeight="false" outlineLevel="0" collapsed="false">
      <c r="A25" s="32" t="n">
        <v>1204</v>
      </c>
      <c r="B25" s="36" t="s">
        <v>93</v>
      </c>
      <c r="C25" s="32" t="s">
        <v>75</v>
      </c>
      <c r="D25" s="32" t="n">
        <v>12</v>
      </c>
      <c r="E25" s="33" t="s">
        <v>69</v>
      </c>
      <c r="F25" s="32" t="s">
        <v>94</v>
      </c>
      <c r="G25" s="22" t="str">
        <f aca="false">IF(E25="","",IF(OR(E25="الأصول",E25="الخصوم",E25="حقوق الملكية"),"المركز المالي","قائمة الدخل"))</f>
        <v>المركز المالي</v>
      </c>
      <c r="H25" s="33" t="s">
        <v>95</v>
      </c>
      <c r="I25" s="33"/>
      <c r="J25" s="34" t="n">
        <f aca="false">IF(A25="","",IF(F25="دائن",'ميزان المراجعة'!D25-'ميزان المراجعة'!C25,'ميزان المراجعة'!C25-'ميزان المراجعة'!D25))</f>
        <v>35000</v>
      </c>
      <c r="K25" s="22" t="str">
        <f aca="false">IF(A25="","",IF(COUNTIF('شجرة الحسابات'!$A$9:$A$208,A25)&gt;1,"⚠ رقم مكرر",IF(OR(B25="",C25="",E25="",F25=""),"⚠ بيانات ناقصة",IF(C25&lt;&gt;"تحليلي","● حساب تجميعي",IF(H25="","⚠ حدد بند القائمة",IF(COUNTIF(L_LINES,H25)=0,"⚠ بند غير معروف","✔ سليم"))))))</f>
        <v>✔ سليم</v>
      </c>
    </row>
    <row r="26" customFormat="false" ht="15" hidden="false" customHeight="false" outlineLevel="0" collapsed="false">
      <c r="A26" s="32" t="n">
        <v>2</v>
      </c>
      <c r="B26" s="33" t="s">
        <v>96</v>
      </c>
      <c r="C26" s="32" t="s">
        <v>70</v>
      </c>
      <c r="D26" s="32"/>
      <c r="E26" s="33" t="s">
        <v>96</v>
      </c>
      <c r="F26" s="32" t="s">
        <v>94</v>
      </c>
      <c r="G26" s="22" t="str">
        <f aca="false">IF(E26="","",IF(OR(E26="الأصول",E26="الخصوم",E26="حقوق الملكية"),"المركز المالي","قائمة الدخل"))</f>
        <v>المركز المالي</v>
      </c>
      <c r="H26" s="33"/>
      <c r="I26" s="33"/>
      <c r="J26" s="34" t="n">
        <f aca="false">IF(A26="","",IF(F26="دائن",'ميزان المراجعة'!D26-'ميزان المراجعة'!C26,'ميزان المراجعة'!C26-'ميزان المراجعة'!D26))</f>
        <v>1865000</v>
      </c>
      <c r="K26" s="22" t="str">
        <f aca="false">IF(A26="","",IF(COUNTIF('شجرة الحسابات'!$A$9:$A$208,A26)&gt;1,"⚠ رقم مكرر",IF(OR(B26="",C26="",E26="",F26=""),"⚠ بيانات ناقصة",IF(C26&lt;&gt;"تحليلي","● حساب تجميعي",IF(H26="","⚠ حدد بند القائمة",IF(COUNTIF(L_LINES,H26)=0,"⚠ بند غير معروف","✔ سليم"))))))</f>
        <v>● حساب تجميعي</v>
      </c>
    </row>
    <row r="27" customFormat="false" ht="15" hidden="false" customHeight="false" outlineLevel="0" collapsed="false">
      <c r="A27" s="32" t="n">
        <v>21</v>
      </c>
      <c r="B27" s="35" t="s">
        <v>97</v>
      </c>
      <c r="C27" s="32" t="s">
        <v>73</v>
      </c>
      <c r="D27" s="32" t="n">
        <v>2</v>
      </c>
      <c r="E27" s="33" t="s">
        <v>96</v>
      </c>
      <c r="F27" s="32" t="s">
        <v>94</v>
      </c>
      <c r="G27" s="22" t="str">
        <f aca="false">IF(E27="","",IF(OR(E27="الأصول",E27="الخصوم",E27="حقوق الملكية"),"المركز المالي","قائمة الدخل"))</f>
        <v>المركز المالي</v>
      </c>
      <c r="H27" s="33"/>
      <c r="I27" s="33"/>
      <c r="J27" s="34" t="n">
        <f aca="false">IF(A27="","",IF(F27="دائن",'ميزان المراجعة'!D27-'ميزان المراجعة'!C27,'ميزان المراجعة'!C27-'ميزان المراجعة'!D27))</f>
        <v>1365000</v>
      </c>
      <c r="K27" s="22" t="str">
        <f aca="false">IF(A27="","",IF(COUNTIF('شجرة الحسابات'!$A$9:$A$208,A27)&gt;1,"⚠ رقم مكرر",IF(OR(B27="",C27="",E27="",F27=""),"⚠ بيانات ناقصة",IF(C27&lt;&gt;"تحليلي","● حساب تجميعي",IF(H27="","⚠ حدد بند القائمة",IF(COUNTIF(L_LINES,H27)=0,"⚠ بند غير معروف","✔ سليم"))))))</f>
        <v>● حساب تجميعي</v>
      </c>
    </row>
    <row r="28" customFormat="false" ht="15" hidden="false" customHeight="false" outlineLevel="0" collapsed="false">
      <c r="A28" s="32" t="n">
        <v>2101</v>
      </c>
      <c r="B28" s="36" t="s">
        <v>98</v>
      </c>
      <c r="C28" s="32" t="s">
        <v>75</v>
      </c>
      <c r="D28" s="32" t="n">
        <v>21</v>
      </c>
      <c r="E28" s="33" t="s">
        <v>96</v>
      </c>
      <c r="F28" s="32" t="s">
        <v>94</v>
      </c>
      <c r="G28" s="22" t="str">
        <f aca="false">IF(E28="","",IF(OR(E28="الأصول",E28="الخصوم",E28="حقوق الملكية"),"المركز المالي","قائمة الدخل"))</f>
        <v>المركز المالي</v>
      </c>
      <c r="H28" s="33" t="s">
        <v>98</v>
      </c>
      <c r="I28" s="33"/>
      <c r="J28" s="34" t="n">
        <f aca="false">IF(A28="","",IF(F28="دائن",'ميزان المراجعة'!D28-'ميزان المراجعة'!C28,'ميزان المراجعة'!C28-'ميزان المراجعة'!D28))</f>
        <v>180000</v>
      </c>
      <c r="K28" s="22" t="str">
        <f aca="false">IF(A28="","",IF(COUNTIF('شجرة الحسابات'!$A$9:$A$208,A28)&gt;1,"⚠ رقم مكرر",IF(OR(B28="",C28="",E28="",F28=""),"⚠ بيانات ناقصة",IF(C28&lt;&gt;"تحليلي","● حساب تجميعي",IF(H28="","⚠ حدد بند القائمة",IF(COUNTIF(L_LINES,H28)=0,"⚠ بند غير معروف","✔ سليم"))))))</f>
        <v>✔ سليم</v>
      </c>
    </row>
    <row r="29" customFormat="false" ht="15" hidden="false" customHeight="false" outlineLevel="0" collapsed="false">
      <c r="A29" s="32" t="n">
        <v>2102</v>
      </c>
      <c r="B29" s="36" t="s">
        <v>99</v>
      </c>
      <c r="C29" s="32" t="s">
        <v>75</v>
      </c>
      <c r="D29" s="32" t="n">
        <v>21</v>
      </c>
      <c r="E29" s="33" t="s">
        <v>96</v>
      </c>
      <c r="F29" s="32" t="s">
        <v>94</v>
      </c>
      <c r="G29" s="22" t="str">
        <f aca="false">IF(E29="","",IF(OR(E29="الأصول",E29="الخصوم",E29="حقوق الملكية"),"المركز المالي","قائمة الدخل"))</f>
        <v>المركز المالي</v>
      </c>
      <c r="H29" s="33" t="s">
        <v>99</v>
      </c>
      <c r="I29" s="33"/>
      <c r="J29" s="34" t="n">
        <f aca="false">IF(A29="","",IF(F29="دائن",'ميزان المراجعة'!D29-'ميزان المراجعة'!C29,'ميزان المراجعة'!C29-'ميزان المراجعة'!D29))</f>
        <v>347500</v>
      </c>
      <c r="K29" s="22" t="str">
        <f aca="false">IF(A29="","",IF(COUNTIF('شجرة الحسابات'!$A$9:$A$208,A29)&gt;1,"⚠ رقم مكرر",IF(OR(B29="",C29="",E29="",F29=""),"⚠ بيانات ناقصة",IF(C29&lt;&gt;"تحليلي","● حساب تجميعي",IF(H29="","⚠ حدد بند القائمة",IF(COUNTIF(L_LINES,H29)=0,"⚠ بند غير معروف","✔ سليم"))))))</f>
        <v>✔ سليم</v>
      </c>
    </row>
    <row r="30" customFormat="false" ht="15" hidden="false" customHeight="false" outlineLevel="0" collapsed="false">
      <c r="A30" s="32" t="n">
        <v>2103</v>
      </c>
      <c r="B30" s="36" t="s">
        <v>100</v>
      </c>
      <c r="C30" s="32" t="s">
        <v>75</v>
      </c>
      <c r="D30" s="32" t="n">
        <v>21</v>
      </c>
      <c r="E30" s="33" t="s">
        <v>96</v>
      </c>
      <c r="F30" s="32" t="s">
        <v>94</v>
      </c>
      <c r="G30" s="22" t="str">
        <f aca="false">IF(E30="","",IF(OR(E30="الأصول",E30="الخصوم",E30="حقوق الملكية"),"المركز المالي","قائمة الدخل"))</f>
        <v>المركز المالي</v>
      </c>
      <c r="H30" s="33" t="s">
        <v>100</v>
      </c>
      <c r="I30" s="33"/>
      <c r="J30" s="34" t="n">
        <f aca="false">IF(A30="","",IF(F30="دائن",'ميزان المراجعة'!D30-'ميزان المراجعة'!C30,'ميزان المراجعة'!C30-'ميزان المراجعة'!D30))</f>
        <v>42500</v>
      </c>
      <c r="K30" s="22" t="str">
        <f aca="false">IF(A30="","",IF(COUNTIF('شجرة الحسابات'!$A$9:$A$208,A30)&gt;1,"⚠ رقم مكرر",IF(OR(B30="",C30="",E30="",F30=""),"⚠ بيانات ناقصة",IF(C30&lt;&gt;"تحليلي","● حساب تجميعي",IF(H30="","⚠ حدد بند القائمة",IF(COUNTIF(L_LINES,H30)=0,"⚠ بند غير معروف","✔ سليم"))))))</f>
        <v>✔ سليم</v>
      </c>
    </row>
    <row r="31" customFormat="false" ht="15" hidden="false" customHeight="false" outlineLevel="0" collapsed="false">
      <c r="A31" s="32" t="n">
        <v>2104</v>
      </c>
      <c r="B31" s="36" t="s">
        <v>101</v>
      </c>
      <c r="C31" s="32" t="s">
        <v>75</v>
      </c>
      <c r="D31" s="32" t="n">
        <v>21</v>
      </c>
      <c r="E31" s="33" t="s">
        <v>96</v>
      </c>
      <c r="F31" s="32" t="s">
        <v>94</v>
      </c>
      <c r="G31" s="22" t="str">
        <f aca="false">IF(E31="","",IF(OR(E31="الأصول",E31="الخصوم",E31="حقوق الملكية"),"المركز المالي","قائمة الدخل"))</f>
        <v>المركز المالي</v>
      </c>
      <c r="H31" s="33" t="s">
        <v>101</v>
      </c>
      <c r="I31" s="33"/>
      <c r="J31" s="34" t="n">
        <f aca="false">IF(A31="","",IF(F31="دائن",'ميزان المراجعة'!D31-'ميزان المراجعة'!C31,'ميزان المراجعة'!C31-'ميزان المراجعة'!D31))</f>
        <v>755000</v>
      </c>
      <c r="K31" s="22" t="str">
        <f aca="false">IF(A31="","",IF(COUNTIF('شجرة الحسابات'!$A$9:$A$208,A31)&gt;1,"⚠ رقم مكرر",IF(OR(B31="",C31="",E31="",F31=""),"⚠ بيانات ناقصة",IF(C31&lt;&gt;"تحليلي","● حساب تجميعي",IF(H31="","⚠ حدد بند القائمة",IF(COUNTIF(L_LINES,H31)=0,"⚠ بند غير معروف","✔ سليم"))))))</f>
        <v>✔ سليم</v>
      </c>
    </row>
    <row r="32" customFormat="false" ht="15" hidden="false" customHeight="false" outlineLevel="0" collapsed="false">
      <c r="A32" s="32" t="n">
        <v>2105</v>
      </c>
      <c r="B32" s="36" t="s">
        <v>102</v>
      </c>
      <c r="C32" s="32" t="s">
        <v>75</v>
      </c>
      <c r="D32" s="32" t="n">
        <v>21</v>
      </c>
      <c r="E32" s="33" t="s">
        <v>96</v>
      </c>
      <c r="F32" s="32" t="s">
        <v>94</v>
      </c>
      <c r="G32" s="22" t="str">
        <f aca="false">IF(E32="","",IF(OR(E32="الأصول",E32="الخصوم",E32="حقوق الملكية"),"المركز المالي","قائمة الدخل"))</f>
        <v>المركز المالي</v>
      </c>
      <c r="H32" s="33" t="s">
        <v>103</v>
      </c>
      <c r="I32" s="33"/>
      <c r="J32" s="34" t="n">
        <f aca="false">IF(A32="","",IF(F32="دائن",'ميزان المراجعة'!D32-'ميزان المراجعة'!C32,'ميزان المراجعة'!C32-'ميزان المراجعة'!D32))</f>
        <v>0</v>
      </c>
      <c r="K32" s="22" t="str">
        <f aca="false">IF(A32="","",IF(COUNTIF('شجرة الحسابات'!$A$9:$A$208,A32)&gt;1,"⚠ رقم مكرر",IF(OR(B32="",C32="",E32="",F32=""),"⚠ بيانات ناقصة",IF(C32&lt;&gt;"تحليلي","● حساب تجميعي",IF(H32="","⚠ حدد بند القائمة",IF(COUNTIF(L_LINES,H32)=0,"⚠ بند غير معروف","✔ سليم"))))))</f>
        <v>✔ سليم</v>
      </c>
    </row>
    <row r="33" customFormat="false" ht="15" hidden="false" customHeight="false" outlineLevel="0" collapsed="false">
      <c r="A33" s="32" t="n">
        <v>2106</v>
      </c>
      <c r="B33" s="36" t="s">
        <v>104</v>
      </c>
      <c r="C33" s="32" t="s">
        <v>75</v>
      </c>
      <c r="D33" s="32" t="n">
        <v>21</v>
      </c>
      <c r="E33" s="33" t="s">
        <v>96</v>
      </c>
      <c r="F33" s="32" t="s">
        <v>94</v>
      </c>
      <c r="G33" s="22" t="str">
        <f aca="false">IF(E33="","",IF(OR(E33="الأصول",E33="الخصوم",E33="حقوق الملكية"),"المركز المالي","قائمة الدخل"))</f>
        <v>المركز المالي</v>
      </c>
      <c r="H33" s="33" t="s">
        <v>103</v>
      </c>
      <c r="I33" s="33"/>
      <c r="J33" s="34" t="n">
        <f aca="false">IF(A33="","",IF(F33="دائن",'ميزان المراجعة'!D33-'ميزان المراجعة'!C33,'ميزان المراجعة'!C33-'ميزان المراجعة'!D33))</f>
        <v>40000</v>
      </c>
      <c r="K33" s="22" t="str">
        <f aca="false">IF(A33="","",IF(COUNTIF('شجرة الحسابات'!$A$9:$A$208,A33)&gt;1,"⚠ رقم مكرر",IF(OR(B33="",C33="",E33="",F33=""),"⚠ بيانات ناقصة",IF(C33&lt;&gt;"تحليلي","● حساب تجميعي",IF(H33="","⚠ حدد بند القائمة",IF(COUNTIF(L_LINES,H33)=0,"⚠ بند غير معروف","✔ سليم"))))))</f>
        <v>✔ سليم</v>
      </c>
    </row>
    <row r="34" customFormat="false" ht="15" hidden="false" customHeight="false" outlineLevel="0" collapsed="false">
      <c r="A34" s="32" t="n">
        <v>22</v>
      </c>
      <c r="B34" s="35" t="s">
        <v>105</v>
      </c>
      <c r="C34" s="32" t="s">
        <v>73</v>
      </c>
      <c r="D34" s="32" t="n">
        <v>2</v>
      </c>
      <c r="E34" s="33" t="s">
        <v>96</v>
      </c>
      <c r="F34" s="32" t="s">
        <v>94</v>
      </c>
      <c r="G34" s="22" t="str">
        <f aca="false">IF(E34="","",IF(OR(E34="الأصول",E34="الخصوم",E34="حقوق الملكية"),"المركز المالي","قائمة الدخل"))</f>
        <v>المركز المالي</v>
      </c>
      <c r="H34" s="33"/>
      <c r="I34" s="33"/>
      <c r="J34" s="34" t="n">
        <f aca="false">IF(A34="","",IF(F34="دائن",'ميزان المراجعة'!D34-'ميزان المراجعة'!C34,'ميزان المراجعة'!C34-'ميزان المراجعة'!D34))</f>
        <v>500000</v>
      </c>
      <c r="K34" s="22" t="str">
        <f aca="false">IF(A34="","",IF(COUNTIF('شجرة الحسابات'!$A$9:$A$208,A34)&gt;1,"⚠ رقم مكرر",IF(OR(B34="",C34="",E34="",F34=""),"⚠ بيانات ناقصة",IF(C34&lt;&gt;"تحليلي","● حساب تجميعي",IF(H34="","⚠ حدد بند القائمة",IF(COUNTIF(L_LINES,H34)=0,"⚠ بند غير معروف","✔ سليم"))))))</f>
        <v>● حساب تجميعي</v>
      </c>
    </row>
    <row r="35" customFormat="false" ht="15" hidden="false" customHeight="false" outlineLevel="0" collapsed="false">
      <c r="A35" s="32" t="n">
        <v>2201</v>
      </c>
      <c r="B35" s="36" t="s">
        <v>106</v>
      </c>
      <c r="C35" s="32" t="s">
        <v>75</v>
      </c>
      <c r="D35" s="32" t="n">
        <v>22</v>
      </c>
      <c r="E35" s="33" t="s">
        <v>96</v>
      </c>
      <c r="F35" s="32" t="s">
        <v>94</v>
      </c>
      <c r="G35" s="22" t="str">
        <f aca="false">IF(E35="","",IF(OR(E35="الأصول",E35="الخصوم",E35="حقوق الملكية"),"المركز المالي","قائمة الدخل"))</f>
        <v>المركز المالي</v>
      </c>
      <c r="H35" s="33" t="s">
        <v>107</v>
      </c>
      <c r="I35" s="33"/>
      <c r="J35" s="34" t="n">
        <f aca="false">IF(A35="","",IF(F35="دائن",'ميزان المراجعة'!D35-'ميزان المراجعة'!C35,'ميزان المراجعة'!C35-'ميزان المراجعة'!D35))</f>
        <v>500000</v>
      </c>
      <c r="K35" s="22" t="str">
        <f aca="false">IF(A35="","",IF(COUNTIF('شجرة الحسابات'!$A$9:$A$208,A35)&gt;1,"⚠ رقم مكرر",IF(OR(B35="",C35="",E35="",F35=""),"⚠ بيانات ناقصة",IF(C35&lt;&gt;"تحليلي","● حساب تجميعي",IF(H35="","⚠ حدد بند القائمة",IF(COUNTIF(L_LINES,H35)=0,"⚠ بند غير معروف","✔ سليم"))))))</f>
        <v>✔ سليم</v>
      </c>
    </row>
    <row r="36" customFormat="false" ht="15" hidden="false" customHeight="false" outlineLevel="0" collapsed="false">
      <c r="A36" s="32" t="n">
        <v>2202</v>
      </c>
      <c r="B36" s="36" t="s">
        <v>108</v>
      </c>
      <c r="C36" s="32" t="s">
        <v>75</v>
      </c>
      <c r="D36" s="32" t="n">
        <v>22</v>
      </c>
      <c r="E36" s="33" t="s">
        <v>96</v>
      </c>
      <c r="F36" s="32" t="s">
        <v>94</v>
      </c>
      <c r="G36" s="22" t="str">
        <f aca="false">IF(E36="","",IF(OR(E36="الأصول",E36="الخصوم",E36="حقوق الملكية"),"المركز المالي","قائمة الدخل"))</f>
        <v>المركز المالي</v>
      </c>
      <c r="H36" s="33" t="s">
        <v>108</v>
      </c>
      <c r="I36" s="33"/>
      <c r="J36" s="34" t="n">
        <f aca="false">IF(A36="","",IF(F36="دائن",'ميزان المراجعة'!D36-'ميزان المراجعة'!C36,'ميزان المراجعة'!C36-'ميزان المراجعة'!D36))</f>
        <v>0</v>
      </c>
      <c r="K36" s="22" t="str">
        <f aca="false">IF(A36="","",IF(COUNTIF('شجرة الحسابات'!$A$9:$A$208,A36)&gt;1,"⚠ رقم مكرر",IF(OR(B36="",C36="",E36="",F36=""),"⚠ بيانات ناقصة",IF(C36&lt;&gt;"تحليلي","● حساب تجميعي",IF(H36="","⚠ حدد بند القائمة",IF(COUNTIF(L_LINES,H36)=0,"⚠ بند غير معروف","✔ سليم"))))))</f>
        <v>✔ سليم</v>
      </c>
    </row>
    <row r="37" customFormat="false" ht="15" hidden="false" customHeight="false" outlineLevel="0" collapsed="false">
      <c r="A37" s="32" t="n">
        <v>3</v>
      </c>
      <c r="B37" s="33" t="s">
        <v>109</v>
      </c>
      <c r="C37" s="32" t="s">
        <v>70</v>
      </c>
      <c r="D37" s="32"/>
      <c r="E37" s="33" t="s">
        <v>109</v>
      </c>
      <c r="F37" s="32" t="s">
        <v>94</v>
      </c>
      <c r="G37" s="22" t="str">
        <f aca="false">IF(E37="","",IF(OR(E37="الأصول",E37="الخصوم",E37="حقوق الملكية"),"المركز المالي","قائمة الدخل"))</f>
        <v>المركز المالي</v>
      </c>
      <c r="H37" s="33"/>
      <c r="I37" s="33"/>
      <c r="J37" s="34" t="n">
        <f aca="false">IF(A37="","",IF(F37="دائن",'ميزان المراجعة'!D37-'ميزان المراجعة'!C37,'ميزان المراجعة'!C37-'ميزان المراجعة'!D37))</f>
        <v>2960000</v>
      </c>
      <c r="K37" s="22" t="str">
        <f aca="false">IF(A37="","",IF(COUNTIF('شجرة الحسابات'!$A$9:$A$208,A37)&gt;1,"⚠ رقم مكرر",IF(OR(B37="",C37="",E37="",F37=""),"⚠ بيانات ناقصة",IF(C37&lt;&gt;"تحليلي","● حساب تجميعي",IF(H37="","⚠ حدد بند القائمة",IF(COUNTIF(L_LINES,H37)=0,"⚠ بند غير معروف","✔ سليم"))))))</f>
        <v>● حساب تجميعي</v>
      </c>
    </row>
    <row r="38" customFormat="false" ht="15" hidden="false" customHeight="false" outlineLevel="0" collapsed="false">
      <c r="A38" s="32" t="n">
        <v>31</v>
      </c>
      <c r="B38" s="35" t="s">
        <v>110</v>
      </c>
      <c r="C38" s="32" t="s">
        <v>73</v>
      </c>
      <c r="D38" s="32" t="n">
        <v>3</v>
      </c>
      <c r="E38" s="33" t="s">
        <v>109</v>
      </c>
      <c r="F38" s="32" t="s">
        <v>94</v>
      </c>
      <c r="G38" s="22" t="str">
        <f aca="false">IF(E38="","",IF(OR(E38="الأصول",E38="الخصوم",E38="حقوق الملكية"),"المركز المالي","قائمة الدخل"))</f>
        <v>المركز المالي</v>
      </c>
      <c r="H38" s="33"/>
      <c r="I38" s="33"/>
      <c r="J38" s="34" t="n">
        <f aca="false">IF(A38="","",IF(F38="دائن",'ميزان المراجعة'!D38-'ميزان المراجعة'!C38,'ميزان المراجعة'!C38-'ميزان المراجعة'!D38))</f>
        <v>2960000</v>
      </c>
      <c r="K38" s="22" t="str">
        <f aca="false">IF(A38="","",IF(COUNTIF('شجرة الحسابات'!$A$9:$A$208,A38)&gt;1,"⚠ رقم مكرر",IF(OR(B38="",C38="",E38="",F38=""),"⚠ بيانات ناقصة",IF(C38&lt;&gt;"تحليلي","● حساب تجميعي",IF(H38="","⚠ حدد بند القائمة",IF(COUNTIF(L_LINES,H38)=0,"⚠ بند غير معروف","✔ سليم"))))))</f>
        <v>● حساب تجميعي</v>
      </c>
    </row>
    <row r="39" customFormat="false" ht="15" hidden="false" customHeight="false" outlineLevel="0" collapsed="false">
      <c r="A39" s="32" t="n">
        <v>3101</v>
      </c>
      <c r="B39" s="36" t="s">
        <v>111</v>
      </c>
      <c r="C39" s="32" t="s">
        <v>75</v>
      </c>
      <c r="D39" s="32" t="n">
        <v>31</v>
      </c>
      <c r="E39" s="33" t="s">
        <v>109</v>
      </c>
      <c r="F39" s="32" t="s">
        <v>94</v>
      </c>
      <c r="G39" s="22" t="str">
        <f aca="false">IF(E39="","",IF(OR(E39="الأصول",E39="الخصوم",E39="حقوق الملكية"),"المركز المالي","قائمة الدخل"))</f>
        <v>المركز المالي</v>
      </c>
      <c r="H39" s="33" t="s">
        <v>112</v>
      </c>
      <c r="I39" s="33"/>
      <c r="J39" s="34" t="n">
        <f aca="false">IF(A39="","",IF(F39="دائن",'ميزان المراجعة'!D39-'ميزان المراجعة'!C39,'ميزان المراجعة'!C39-'ميزان المراجعة'!D39))</f>
        <v>3000000</v>
      </c>
      <c r="K39" s="22" t="str">
        <f aca="false">IF(A39="","",IF(COUNTIF('شجرة الحسابات'!$A$9:$A$208,A39)&gt;1,"⚠ رقم مكرر",IF(OR(B39="",C39="",E39="",F39=""),"⚠ بيانات ناقصة",IF(C39&lt;&gt;"تحليلي","● حساب تجميعي",IF(H39="","⚠ حدد بند القائمة",IF(COUNTIF(L_LINES,H39)=0,"⚠ بند غير معروف","✔ سليم"))))))</f>
        <v>✔ سليم</v>
      </c>
    </row>
    <row r="40" customFormat="false" ht="15" hidden="false" customHeight="false" outlineLevel="0" collapsed="false">
      <c r="A40" s="32" t="n">
        <v>3102</v>
      </c>
      <c r="B40" s="36" t="s">
        <v>113</v>
      </c>
      <c r="C40" s="32" t="s">
        <v>75</v>
      </c>
      <c r="D40" s="32" t="n">
        <v>31</v>
      </c>
      <c r="E40" s="33" t="s">
        <v>109</v>
      </c>
      <c r="F40" s="32" t="s">
        <v>94</v>
      </c>
      <c r="G40" s="22" t="str">
        <f aca="false">IF(E40="","",IF(OR(E40="الأصول",E40="الخصوم",E40="حقوق الملكية"),"المركز المالي","قائمة الدخل"))</f>
        <v>المركز المالي</v>
      </c>
      <c r="H40" s="33" t="s">
        <v>114</v>
      </c>
      <c r="I40" s="33"/>
      <c r="J40" s="34" t="n">
        <f aca="false">IF(A40="","",IF(F40="دائن",'ميزان المراجعة'!D40-'ميزان المراجعة'!C40,'ميزان المراجعة'!C40-'ميزان المراجعة'!D40))</f>
        <v>0</v>
      </c>
      <c r="K40" s="22" t="str">
        <f aca="false">IF(A40="","",IF(COUNTIF('شجرة الحسابات'!$A$9:$A$208,A40)&gt;1,"⚠ رقم مكرر",IF(OR(B40="",C40="",E40="",F40=""),"⚠ بيانات ناقصة",IF(C40&lt;&gt;"تحليلي","● حساب تجميعي",IF(H40="","⚠ حدد بند القائمة",IF(COUNTIF(L_LINES,H40)=0,"⚠ بند غير معروف","✔ سليم"))))))</f>
        <v>✔ سليم</v>
      </c>
    </row>
    <row r="41" customFormat="false" ht="15" hidden="false" customHeight="false" outlineLevel="0" collapsed="false">
      <c r="A41" s="32" t="n">
        <v>3103</v>
      </c>
      <c r="B41" s="36" t="s">
        <v>115</v>
      </c>
      <c r="C41" s="32" t="s">
        <v>75</v>
      </c>
      <c r="D41" s="32" t="n">
        <v>31</v>
      </c>
      <c r="E41" s="33" t="s">
        <v>109</v>
      </c>
      <c r="F41" s="32" t="s">
        <v>94</v>
      </c>
      <c r="G41" s="22" t="str">
        <f aca="false">IF(E41="","",IF(OR(E41="الأصول",E41="الخصوم",E41="حقوق الملكية"),"المركز المالي","قائمة الدخل"))</f>
        <v>المركز المالي</v>
      </c>
      <c r="H41" s="33" t="s">
        <v>115</v>
      </c>
      <c r="I41" s="33"/>
      <c r="J41" s="34" t="n">
        <f aca="false">IF(A41="","",IF(F41="دائن",'ميزان المراجعة'!D41-'ميزان المراجعة'!C41,'ميزان المراجعة'!C41-'ميزان المراجعة'!D41))</f>
        <v>0</v>
      </c>
      <c r="K41" s="22" t="str">
        <f aca="false">IF(A41="","",IF(COUNTIF('شجرة الحسابات'!$A$9:$A$208,A41)&gt;1,"⚠ رقم مكرر",IF(OR(B41="",C41="",E41="",F41=""),"⚠ بيانات ناقصة",IF(C41&lt;&gt;"تحليلي","● حساب تجميعي",IF(H41="","⚠ حدد بند القائمة",IF(COUNTIF(L_LINES,H41)=0,"⚠ بند غير معروف","✔ سليم"))))))</f>
        <v>✔ سليم</v>
      </c>
    </row>
    <row r="42" customFormat="false" ht="15" hidden="false" customHeight="false" outlineLevel="0" collapsed="false">
      <c r="A42" s="32" t="n">
        <v>3104</v>
      </c>
      <c r="B42" s="36" t="s">
        <v>116</v>
      </c>
      <c r="C42" s="32" t="s">
        <v>75</v>
      </c>
      <c r="D42" s="32" t="n">
        <v>31</v>
      </c>
      <c r="E42" s="33" t="s">
        <v>109</v>
      </c>
      <c r="F42" s="32" t="s">
        <v>71</v>
      </c>
      <c r="G42" s="22" t="str">
        <f aca="false">IF(E42="","",IF(OR(E42="الأصول",E42="الخصوم",E42="حقوق الملكية"),"المركز المالي","قائمة الدخل"))</f>
        <v>المركز المالي</v>
      </c>
      <c r="H42" s="33" t="s">
        <v>117</v>
      </c>
      <c r="I42" s="33"/>
      <c r="J42" s="34" t="n">
        <f aca="false">IF(A42="","",IF(F42="دائن",'ميزان المراجعة'!D42-'ميزان المراجعة'!C42,'ميزان المراجعة'!C42-'ميزان المراجعة'!D42))</f>
        <v>40000</v>
      </c>
      <c r="K42" s="22" t="str">
        <f aca="false">IF(A42="","",IF(COUNTIF('شجرة الحسابات'!$A$9:$A$208,A42)&gt;1,"⚠ رقم مكرر",IF(OR(B42="",C42="",E42="",F42=""),"⚠ بيانات ناقصة",IF(C42&lt;&gt;"تحليلي","● حساب تجميعي",IF(H42="","⚠ حدد بند القائمة",IF(COUNTIF(L_LINES,H42)=0,"⚠ بند غير معروف","✔ سليم"))))))</f>
        <v>✔ سليم</v>
      </c>
    </row>
    <row r="43" customFormat="false" ht="15" hidden="false" customHeight="false" outlineLevel="0" collapsed="false">
      <c r="A43" s="32" t="n">
        <v>4</v>
      </c>
      <c r="B43" s="33" t="s">
        <v>118</v>
      </c>
      <c r="C43" s="32" t="s">
        <v>70</v>
      </c>
      <c r="D43" s="32"/>
      <c r="E43" s="33" t="s">
        <v>118</v>
      </c>
      <c r="F43" s="32" t="s">
        <v>94</v>
      </c>
      <c r="G43" s="22" t="str">
        <f aca="false">IF(E43="","",IF(OR(E43="الأصول",E43="الخصوم",E43="حقوق الملكية"),"المركز المالي","قائمة الدخل"))</f>
        <v>قائمة الدخل</v>
      </c>
      <c r="H43" s="33"/>
      <c r="I43" s="33"/>
      <c r="J43" s="34" t="n">
        <f aca="false">IF(A43="","",IF(F43="دائن",'ميزان المراجعة'!D43-'ميزان المراجعة'!C43,'ميزان المراجعة'!C43-'ميزان المراجعة'!D43))</f>
        <v>2708000</v>
      </c>
      <c r="K43" s="22" t="str">
        <f aca="false">IF(A43="","",IF(COUNTIF('شجرة الحسابات'!$A$9:$A$208,A43)&gt;1,"⚠ رقم مكرر",IF(OR(B43="",C43="",E43="",F43=""),"⚠ بيانات ناقصة",IF(C43&lt;&gt;"تحليلي","● حساب تجميعي",IF(H43="","⚠ حدد بند القائمة",IF(COUNTIF(L_LINES,H43)=0,"⚠ بند غير معروف","✔ سليم"))))))</f>
        <v>● حساب تجميعي</v>
      </c>
    </row>
    <row r="44" customFormat="false" ht="15" hidden="false" customHeight="false" outlineLevel="0" collapsed="false">
      <c r="A44" s="32" t="n">
        <v>41</v>
      </c>
      <c r="B44" s="35" t="s">
        <v>119</v>
      </c>
      <c r="C44" s="32" t="s">
        <v>73</v>
      </c>
      <c r="D44" s="32" t="n">
        <v>4</v>
      </c>
      <c r="E44" s="33" t="s">
        <v>118</v>
      </c>
      <c r="F44" s="32" t="s">
        <v>94</v>
      </c>
      <c r="G44" s="22" t="str">
        <f aca="false">IF(E44="","",IF(OR(E44="الأصول",E44="الخصوم",E44="حقوق الملكية"),"المركز المالي","قائمة الدخل"))</f>
        <v>قائمة الدخل</v>
      </c>
      <c r="H44" s="33"/>
      <c r="I44" s="33"/>
      <c r="J44" s="34" t="n">
        <f aca="false">IF(A44="","",IF(F44="دائن",'ميزان المراجعة'!D44-'ميزان المراجعة'!C44,'ميزان المراجعة'!C44-'ميزان المراجعة'!D44))</f>
        <v>2700000</v>
      </c>
      <c r="K44" s="22" t="str">
        <f aca="false">IF(A44="","",IF(COUNTIF('شجرة الحسابات'!$A$9:$A$208,A44)&gt;1,"⚠ رقم مكرر",IF(OR(B44="",C44="",E44="",F44=""),"⚠ بيانات ناقصة",IF(C44&lt;&gt;"تحليلي","● حساب تجميعي",IF(H44="","⚠ حدد بند القائمة",IF(COUNTIF(L_LINES,H44)=0,"⚠ بند غير معروف","✔ سليم"))))))</f>
        <v>● حساب تجميعي</v>
      </c>
    </row>
    <row r="45" customFormat="false" ht="15" hidden="false" customHeight="false" outlineLevel="0" collapsed="false">
      <c r="A45" s="32" t="n">
        <v>4101</v>
      </c>
      <c r="B45" s="36" t="s">
        <v>120</v>
      </c>
      <c r="C45" s="32" t="s">
        <v>75</v>
      </c>
      <c r="D45" s="32" t="n">
        <v>41</v>
      </c>
      <c r="E45" s="33" t="s">
        <v>118</v>
      </c>
      <c r="F45" s="32" t="s">
        <v>94</v>
      </c>
      <c r="G45" s="22" t="str">
        <f aca="false">IF(E45="","",IF(OR(E45="الأصول",E45="الخصوم",E45="حقوق الملكية"),"المركز المالي","قائمة الدخل"))</f>
        <v>قائمة الدخل</v>
      </c>
      <c r="H45" s="33" t="s">
        <v>119</v>
      </c>
      <c r="I45" s="33"/>
      <c r="J45" s="34" t="n">
        <f aca="false">IF(A45="","",IF(F45="دائن",'ميزان المراجعة'!D45-'ميزان المراجعة'!C45,'ميزان المراجعة'!C45-'ميزان المراجعة'!D45))</f>
        <v>2580000</v>
      </c>
      <c r="K45" s="22" t="str">
        <f aca="false">IF(A45="","",IF(COUNTIF('شجرة الحسابات'!$A$9:$A$208,A45)&gt;1,"⚠ رقم مكرر",IF(OR(B45="",C45="",E45="",F45=""),"⚠ بيانات ناقصة",IF(C45&lt;&gt;"تحليلي","● حساب تجميعي",IF(H45="","⚠ حدد بند القائمة",IF(COUNTIF(L_LINES,H45)=0,"⚠ بند غير معروف","✔ سليم"))))))</f>
        <v>✔ سليم</v>
      </c>
    </row>
    <row r="46" customFormat="false" ht="15" hidden="false" customHeight="false" outlineLevel="0" collapsed="false">
      <c r="A46" s="32" t="n">
        <v>4102</v>
      </c>
      <c r="B46" s="36" t="s">
        <v>121</v>
      </c>
      <c r="C46" s="32" t="s">
        <v>75</v>
      </c>
      <c r="D46" s="32" t="n">
        <v>41</v>
      </c>
      <c r="E46" s="33" t="s">
        <v>118</v>
      </c>
      <c r="F46" s="32" t="s">
        <v>94</v>
      </c>
      <c r="G46" s="22" t="str">
        <f aca="false">IF(E46="","",IF(OR(E46="الأصول",E46="الخصوم",E46="حقوق الملكية"),"المركز المالي","قائمة الدخل"))</f>
        <v>قائمة الدخل</v>
      </c>
      <c r="H46" s="33" t="s">
        <v>119</v>
      </c>
      <c r="I46" s="33"/>
      <c r="J46" s="34" t="n">
        <f aca="false">IF(A46="","",IF(F46="دائن",'ميزان المراجعة'!D46-'ميزان المراجعة'!C46,'ميزان المراجعة'!C46-'ميزان المراجعة'!D46))</f>
        <v>120000</v>
      </c>
      <c r="K46" s="22" t="str">
        <f aca="false">IF(A46="","",IF(COUNTIF('شجرة الحسابات'!$A$9:$A$208,A46)&gt;1,"⚠ رقم مكرر",IF(OR(B46="",C46="",E46="",F46=""),"⚠ بيانات ناقصة",IF(C46&lt;&gt;"تحليلي","● حساب تجميعي",IF(H46="","⚠ حدد بند القائمة",IF(COUNTIF(L_LINES,H46)=0,"⚠ بند غير معروف","✔ سليم"))))))</f>
        <v>✔ سليم</v>
      </c>
    </row>
    <row r="47" customFormat="false" ht="15" hidden="false" customHeight="false" outlineLevel="0" collapsed="false">
      <c r="A47" s="32" t="n">
        <v>42</v>
      </c>
      <c r="B47" s="35" t="s">
        <v>122</v>
      </c>
      <c r="C47" s="32" t="s">
        <v>73</v>
      </c>
      <c r="D47" s="32" t="n">
        <v>4</v>
      </c>
      <c r="E47" s="33" t="s">
        <v>118</v>
      </c>
      <c r="F47" s="32" t="s">
        <v>94</v>
      </c>
      <c r="G47" s="22" t="str">
        <f aca="false">IF(E47="","",IF(OR(E47="الأصول",E47="الخصوم",E47="حقوق الملكية"),"المركز المالي","قائمة الدخل"))</f>
        <v>قائمة الدخل</v>
      </c>
      <c r="H47" s="33"/>
      <c r="I47" s="33"/>
      <c r="J47" s="34" t="n">
        <f aca="false">IF(A47="","",IF(F47="دائن",'ميزان المراجعة'!D47-'ميزان المراجعة'!C47,'ميزان المراجعة'!C47-'ميزان المراجعة'!D47))</f>
        <v>8000</v>
      </c>
      <c r="K47" s="22" t="str">
        <f aca="false">IF(A47="","",IF(COUNTIF('شجرة الحسابات'!$A$9:$A$208,A47)&gt;1,"⚠ رقم مكرر",IF(OR(B47="",C47="",E47="",F47=""),"⚠ بيانات ناقصة",IF(C47&lt;&gt;"تحليلي","● حساب تجميعي",IF(H47="","⚠ حدد بند القائمة",IF(COUNTIF(L_LINES,H47)=0,"⚠ بند غير معروف","✔ سليم"))))))</f>
        <v>● حساب تجميعي</v>
      </c>
    </row>
    <row r="48" customFormat="false" ht="15" hidden="false" customHeight="false" outlineLevel="0" collapsed="false">
      <c r="A48" s="32" t="n">
        <v>4201</v>
      </c>
      <c r="B48" s="36" t="s">
        <v>123</v>
      </c>
      <c r="C48" s="32" t="s">
        <v>75</v>
      </c>
      <c r="D48" s="32" t="n">
        <v>42</v>
      </c>
      <c r="E48" s="33" t="s">
        <v>118</v>
      </c>
      <c r="F48" s="32" t="s">
        <v>94</v>
      </c>
      <c r="G48" s="22" t="str">
        <f aca="false">IF(E48="","",IF(OR(E48="الأصول",E48="الخصوم",E48="حقوق الملكية"),"المركز المالي","قائمة الدخل"))</f>
        <v>قائمة الدخل</v>
      </c>
      <c r="H48" s="33" t="s">
        <v>122</v>
      </c>
      <c r="I48" s="33"/>
      <c r="J48" s="34" t="n">
        <f aca="false">IF(A48="","",IF(F48="دائن",'ميزان المراجعة'!D48-'ميزان المراجعة'!C48,'ميزان المراجعة'!C48-'ميزان المراجعة'!D48))</f>
        <v>8000</v>
      </c>
      <c r="K48" s="22" t="str">
        <f aca="false">IF(A48="","",IF(COUNTIF('شجرة الحسابات'!$A$9:$A$208,A48)&gt;1,"⚠ رقم مكرر",IF(OR(B48="",C48="",E48="",F48=""),"⚠ بيانات ناقصة",IF(C48&lt;&gt;"تحليلي","● حساب تجميعي",IF(H48="","⚠ حدد بند القائمة",IF(COUNTIF(L_LINES,H48)=0,"⚠ بند غير معروف","✔ سليم"))))))</f>
        <v>✔ سليم</v>
      </c>
    </row>
    <row r="49" customFormat="false" ht="15" hidden="false" customHeight="false" outlineLevel="0" collapsed="false">
      <c r="A49" s="32" t="n">
        <v>5</v>
      </c>
      <c r="B49" s="33" t="s">
        <v>124</v>
      </c>
      <c r="C49" s="32" t="s">
        <v>70</v>
      </c>
      <c r="D49" s="32"/>
      <c r="E49" s="33" t="s">
        <v>125</v>
      </c>
      <c r="F49" s="32" t="s">
        <v>71</v>
      </c>
      <c r="G49" s="22" t="str">
        <f aca="false">IF(E49="","",IF(OR(E49="الأصول",E49="الخصوم",E49="حقوق الملكية"),"المركز المالي","قائمة الدخل"))</f>
        <v>قائمة الدخل</v>
      </c>
      <c r="H49" s="33"/>
      <c r="I49" s="33"/>
      <c r="J49" s="34" t="n">
        <f aca="false">IF(A49="","",IF(F49="دائن",'ميزان المراجعة'!D49-'ميزان المراجعة'!C49,'ميزان المراجعة'!C49-'ميزان المراجعة'!D49))</f>
        <v>2075000</v>
      </c>
      <c r="K49" s="22" t="str">
        <f aca="false">IF(A49="","",IF(COUNTIF('شجرة الحسابات'!$A$9:$A$208,A49)&gt;1,"⚠ رقم مكرر",IF(OR(B49="",C49="",E49="",F49=""),"⚠ بيانات ناقصة",IF(C49&lt;&gt;"تحليلي","● حساب تجميعي",IF(H49="","⚠ حدد بند القائمة",IF(COUNTIF(L_LINES,H49)=0,"⚠ بند غير معروف","✔ سليم"))))))</f>
        <v>● حساب تجميعي</v>
      </c>
    </row>
    <row r="50" customFormat="false" ht="15" hidden="false" customHeight="false" outlineLevel="0" collapsed="false">
      <c r="A50" s="32" t="n">
        <v>51</v>
      </c>
      <c r="B50" s="35" t="s">
        <v>126</v>
      </c>
      <c r="C50" s="32" t="s">
        <v>73</v>
      </c>
      <c r="D50" s="32" t="n">
        <v>5</v>
      </c>
      <c r="E50" s="33" t="s">
        <v>125</v>
      </c>
      <c r="F50" s="32" t="s">
        <v>71</v>
      </c>
      <c r="G50" s="22" t="str">
        <f aca="false">IF(E50="","",IF(OR(E50="الأصول",E50="الخصوم",E50="حقوق الملكية"),"المركز المالي","قائمة الدخل"))</f>
        <v>قائمة الدخل</v>
      </c>
      <c r="H50" s="33"/>
      <c r="I50" s="33"/>
      <c r="J50" s="34" t="n">
        <f aca="false">IF(A50="","",IF(F50="دائن",'ميزان المراجعة'!D50-'ميزان المراجعة'!C50,'ميزان المراجعة'!C50-'ميزان المراجعة'!D50))</f>
        <v>2075000</v>
      </c>
      <c r="K50" s="22" t="str">
        <f aca="false">IF(A50="","",IF(COUNTIF('شجرة الحسابات'!$A$9:$A$208,A50)&gt;1,"⚠ رقم مكرر",IF(OR(B50="",C50="",E50="",F50=""),"⚠ بيانات ناقصة",IF(C50&lt;&gt;"تحليلي","● حساب تجميعي",IF(H50="","⚠ حدد بند القائمة",IF(COUNTIF(L_LINES,H50)=0,"⚠ بند غير معروف","✔ سليم"))))))</f>
        <v>● حساب تجميعي</v>
      </c>
    </row>
    <row r="51" customFormat="false" ht="15" hidden="false" customHeight="false" outlineLevel="0" collapsed="false">
      <c r="A51" s="32" t="n">
        <v>5101</v>
      </c>
      <c r="B51" s="36" t="s">
        <v>127</v>
      </c>
      <c r="C51" s="32" t="s">
        <v>75</v>
      </c>
      <c r="D51" s="32" t="n">
        <v>51</v>
      </c>
      <c r="E51" s="33" t="s">
        <v>125</v>
      </c>
      <c r="F51" s="32" t="s">
        <v>71</v>
      </c>
      <c r="G51" s="22" t="str">
        <f aca="false">IF(E51="","",IF(OR(E51="الأصول",E51="الخصوم",E51="حقوق الملكية"),"المركز المالي","قائمة الدخل"))</f>
        <v>قائمة الدخل</v>
      </c>
      <c r="H51" s="33" t="s">
        <v>128</v>
      </c>
      <c r="I51" s="33" t="s">
        <v>129</v>
      </c>
      <c r="J51" s="34" t="n">
        <f aca="false">IF(A51="","",IF(F51="دائن",'ميزان المراجعة'!D51-'ميزان المراجعة'!C51,'ميزان المراجعة'!C51-'ميزان المراجعة'!D51))</f>
        <v>680000</v>
      </c>
      <c r="K51" s="22" t="str">
        <f aca="false">IF(A51="","",IF(COUNTIF('شجرة الحسابات'!$A$9:$A$208,A51)&gt;1,"⚠ رقم مكرر",IF(OR(B51="",C51="",E51="",F51=""),"⚠ بيانات ناقصة",IF(C51&lt;&gt;"تحليلي","● حساب تجميعي",IF(H51="","⚠ حدد بند القائمة",IF(COUNTIF(L_LINES,H51)=0,"⚠ بند غير معروف","✔ سليم"))))))</f>
        <v>✔ سليم</v>
      </c>
    </row>
    <row r="52" customFormat="false" ht="15" hidden="false" customHeight="false" outlineLevel="0" collapsed="false">
      <c r="A52" s="32" t="n">
        <v>5102</v>
      </c>
      <c r="B52" s="36" t="s">
        <v>130</v>
      </c>
      <c r="C52" s="32" t="s">
        <v>75</v>
      </c>
      <c r="D52" s="32" t="n">
        <v>51</v>
      </c>
      <c r="E52" s="33" t="s">
        <v>125</v>
      </c>
      <c r="F52" s="32" t="s">
        <v>71</v>
      </c>
      <c r="G52" s="22" t="str">
        <f aca="false">IF(E52="","",IF(OR(E52="الأصول",E52="الخصوم",E52="حقوق الملكية"),"المركز المالي","قائمة الدخل"))</f>
        <v>قائمة الدخل</v>
      </c>
      <c r="H52" s="33" t="s">
        <v>128</v>
      </c>
      <c r="I52" s="33" t="s">
        <v>131</v>
      </c>
      <c r="J52" s="34" t="n">
        <f aca="false">IF(A52="","",IF(F52="دائن",'ميزان المراجعة'!D52-'ميزان المراجعة'!C52,'ميزان المراجعة'!C52-'ميزان المراجعة'!D52))</f>
        <v>340000</v>
      </c>
      <c r="K52" s="22" t="str">
        <f aca="false">IF(A52="","",IF(COUNTIF('شجرة الحسابات'!$A$9:$A$208,A52)&gt;1,"⚠ رقم مكرر",IF(OR(B52="",C52="",E52="",F52=""),"⚠ بيانات ناقصة",IF(C52&lt;&gt;"تحليلي","● حساب تجميعي",IF(H52="","⚠ حدد بند القائمة",IF(COUNTIF(L_LINES,H52)=0,"⚠ بند غير معروف","✔ سليم"))))))</f>
        <v>✔ سليم</v>
      </c>
    </row>
    <row r="53" customFormat="false" ht="15" hidden="false" customHeight="false" outlineLevel="0" collapsed="false">
      <c r="A53" s="32" t="n">
        <v>5103</v>
      </c>
      <c r="B53" s="36" t="s">
        <v>132</v>
      </c>
      <c r="C53" s="32" t="s">
        <v>75</v>
      </c>
      <c r="D53" s="32" t="n">
        <v>51</v>
      </c>
      <c r="E53" s="33" t="s">
        <v>125</v>
      </c>
      <c r="F53" s="32" t="s">
        <v>71</v>
      </c>
      <c r="G53" s="22" t="str">
        <f aca="false">IF(E53="","",IF(OR(E53="الأصول",E53="الخصوم",E53="حقوق الملكية"),"المركز المالي","قائمة الدخل"))</f>
        <v>قائمة الدخل</v>
      </c>
      <c r="H53" s="33" t="s">
        <v>128</v>
      </c>
      <c r="I53" s="33" t="s">
        <v>133</v>
      </c>
      <c r="J53" s="34" t="n">
        <f aca="false">IF(A53="","",IF(F53="دائن",'ميزان المراجعة'!D53-'ميزان المراجعة'!C53,'ميزان المراجعة'!C53-'ميزان المراجعة'!D53))</f>
        <v>850000</v>
      </c>
      <c r="K53" s="22" t="str">
        <f aca="false">IF(A53="","",IF(COUNTIF('شجرة الحسابات'!$A$9:$A$208,A53)&gt;1,"⚠ رقم مكرر",IF(OR(B53="",C53="",E53="",F53=""),"⚠ بيانات ناقصة",IF(C53&lt;&gt;"تحليلي","● حساب تجميعي",IF(H53="","⚠ حدد بند القائمة",IF(COUNTIF(L_LINES,H53)=0,"⚠ بند غير معروف","✔ سليم"))))))</f>
        <v>✔ سليم</v>
      </c>
    </row>
    <row r="54" customFormat="false" ht="15" hidden="false" customHeight="false" outlineLevel="0" collapsed="false">
      <c r="A54" s="32" t="n">
        <v>5104</v>
      </c>
      <c r="B54" s="36" t="s">
        <v>134</v>
      </c>
      <c r="C54" s="32" t="s">
        <v>75</v>
      </c>
      <c r="D54" s="32" t="n">
        <v>51</v>
      </c>
      <c r="E54" s="33" t="s">
        <v>125</v>
      </c>
      <c r="F54" s="32" t="s">
        <v>71</v>
      </c>
      <c r="G54" s="22" t="str">
        <f aca="false">IF(E54="","",IF(OR(E54="الأصول",E54="الخصوم",E54="حقوق الملكية"),"المركز المالي","قائمة الدخل"))</f>
        <v>قائمة الدخل</v>
      </c>
      <c r="H54" s="33" t="s">
        <v>128</v>
      </c>
      <c r="I54" s="33" t="s">
        <v>135</v>
      </c>
      <c r="J54" s="34" t="n">
        <f aca="false">IF(A54="","",IF(F54="دائن",'ميزان المراجعة'!D54-'ميزان المراجعة'!C54,'ميزان المراجعة'!C54-'ميزان المراجعة'!D54))</f>
        <v>125000</v>
      </c>
      <c r="K54" s="22" t="str">
        <f aca="false">IF(A54="","",IF(COUNTIF('شجرة الحسابات'!$A$9:$A$208,A54)&gt;1,"⚠ رقم مكرر",IF(OR(B54="",C54="",E54="",F54=""),"⚠ بيانات ناقصة",IF(C54&lt;&gt;"تحليلي","● حساب تجميعي",IF(H54="","⚠ حدد بند القائمة",IF(COUNTIF(L_LINES,H54)=0,"⚠ بند غير معروف","✔ سليم"))))))</f>
        <v>✔ سليم</v>
      </c>
    </row>
    <row r="55" customFormat="false" ht="15" hidden="false" customHeight="false" outlineLevel="0" collapsed="false">
      <c r="A55" s="32" t="n">
        <v>5105</v>
      </c>
      <c r="B55" s="36" t="s">
        <v>136</v>
      </c>
      <c r="C55" s="32" t="s">
        <v>75</v>
      </c>
      <c r="D55" s="32" t="n">
        <v>51</v>
      </c>
      <c r="E55" s="33" t="s">
        <v>125</v>
      </c>
      <c r="F55" s="32" t="s">
        <v>71</v>
      </c>
      <c r="G55" s="22" t="str">
        <f aca="false">IF(E55="","",IF(OR(E55="الأصول",E55="الخصوم",E55="حقوق الملكية"),"المركز المالي","قائمة الدخل"))</f>
        <v>قائمة الدخل</v>
      </c>
      <c r="H55" s="33" t="s">
        <v>128</v>
      </c>
      <c r="I55" s="33" t="s">
        <v>137</v>
      </c>
      <c r="J55" s="34" t="n">
        <f aca="false">IF(A55="","",IF(F55="دائن",'ميزان المراجعة'!D55-'ميزان المراجعة'!C55,'ميزان المراجعة'!C55-'ميزان المراجعة'!D55))</f>
        <v>50000</v>
      </c>
      <c r="K55" s="22" t="str">
        <f aca="false">IF(A55="","",IF(COUNTIF('شجرة الحسابات'!$A$9:$A$208,A55)&gt;1,"⚠ رقم مكرر",IF(OR(B55="",C55="",E55="",F55=""),"⚠ بيانات ناقصة",IF(C55&lt;&gt;"تحليلي","● حساب تجميعي",IF(H55="","⚠ حدد بند القائمة",IF(COUNTIF(L_LINES,H55)=0,"⚠ بند غير معروف","✔ سليم"))))))</f>
        <v>✔ سليم</v>
      </c>
    </row>
    <row r="56" customFormat="false" ht="15" hidden="false" customHeight="false" outlineLevel="0" collapsed="false">
      <c r="A56" s="32" t="n">
        <v>5106</v>
      </c>
      <c r="B56" s="36" t="s">
        <v>138</v>
      </c>
      <c r="C56" s="32" t="s">
        <v>75</v>
      </c>
      <c r="D56" s="32" t="n">
        <v>51</v>
      </c>
      <c r="E56" s="33" t="s">
        <v>125</v>
      </c>
      <c r="F56" s="32" t="s">
        <v>71</v>
      </c>
      <c r="G56" s="22" t="str">
        <f aca="false">IF(E56="","",IF(OR(E56="الأصول",E56="الخصوم",E56="حقوق الملكية"),"المركز المالي","قائمة الدخل"))</f>
        <v>قائمة الدخل</v>
      </c>
      <c r="H56" s="33" t="s">
        <v>128</v>
      </c>
      <c r="I56" s="33" t="s">
        <v>135</v>
      </c>
      <c r="J56" s="34" t="n">
        <f aca="false">IF(A56="","",IF(F56="دائن",'ميزان المراجعة'!D56-'ميزان المراجعة'!C56,'ميزان المراجعة'!C56-'ميزان المراجعة'!D56))</f>
        <v>30000</v>
      </c>
      <c r="K56" s="22" t="str">
        <f aca="false">IF(A56="","",IF(COUNTIF('شجرة الحسابات'!$A$9:$A$208,A56)&gt;1,"⚠ رقم مكرر",IF(OR(B56="",C56="",E56="",F56=""),"⚠ بيانات ناقصة",IF(C56&lt;&gt;"تحليلي","● حساب تجميعي",IF(H56="","⚠ حدد بند القائمة",IF(COUNTIF(L_LINES,H56)=0,"⚠ بند غير معروف","✔ سليم"))))))</f>
        <v>✔ سليم</v>
      </c>
    </row>
    <row r="57" customFormat="false" ht="15" hidden="false" customHeight="false" outlineLevel="0" collapsed="false">
      <c r="A57" s="32" t="n">
        <v>6</v>
      </c>
      <c r="B57" s="33" t="s">
        <v>139</v>
      </c>
      <c r="C57" s="32" t="s">
        <v>70</v>
      </c>
      <c r="D57" s="32"/>
      <c r="E57" s="33" t="s">
        <v>125</v>
      </c>
      <c r="F57" s="32" t="s">
        <v>71</v>
      </c>
      <c r="G57" s="22" t="str">
        <f aca="false">IF(E57="","",IF(OR(E57="الأصول",E57="الخصوم",E57="حقوق الملكية"),"المركز المالي","قائمة الدخل"))</f>
        <v>قائمة الدخل</v>
      </c>
      <c r="H57" s="33"/>
      <c r="I57" s="33"/>
      <c r="J57" s="34" t="n">
        <f aca="false">IF(A57="","",IF(F57="دائن",'ميزان المراجعة'!D57-'ميزان المراجعة'!C57,'ميزان المراجعة'!C57-'ميزان المراجعة'!D57))</f>
        <v>125700</v>
      </c>
      <c r="K57" s="22" t="str">
        <f aca="false">IF(A57="","",IF(COUNTIF('شجرة الحسابات'!$A$9:$A$208,A57)&gt;1,"⚠ رقم مكرر",IF(OR(B57="",C57="",E57="",F57=""),"⚠ بيانات ناقصة",IF(C57&lt;&gt;"تحليلي","● حساب تجميعي",IF(H57="","⚠ حدد بند القائمة",IF(COUNTIF(L_LINES,H57)=0,"⚠ بند غير معروف","✔ سليم"))))))</f>
        <v>● حساب تجميعي</v>
      </c>
    </row>
    <row r="58" customFormat="false" ht="15" hidden="false" customHeight="false" outlineLevel="0" collapsed="false">
      <c r="A58" s="32" t="n">
        <v>61</v>
      </c>
      <c r="B58" s="35" t="s">
        <v>140</v>
      </c>
      <c r="C58" s="32" t="s">
        <v>73</v>
      </c>
      <c r="D58" s="32" t="n">
        <v>6</v>
      </c>
      <c r="E58" s="33" t="s">
        <v>125</v>
      </c>
      <c r="F58" s="32" t="s">
        <v>71</v>
      </c>
      <c r="G58" s="22" t="str">
        <f aca="false">IF(E58="","",IF(OR(E58="الأصول",E58="الخصوم",E58="حقوق الملكية"),"المركز المالي","قائمة الدخل"))</f>
        <v>قائمة الدخل</v>
      </c>
      <c r="H58" s="33"/>
      <c r="I58" s="33"/>
      <c r="J58" s="34" t="n">
        <f aca="false">IF(A58="","",IF(F58="دائن",'ميزان المراجعة'!D58-'ميزان المراجعة'!C58,'ميزان المراجعة'!C58-'ميزان المراجعة'!D58))</f>
        <v>125700</v>
      </c>
      <c r="K58" s="22" t="str">
        <f aca="false">IF(A58="","",IF(COUNTIF('شجرة الحسابات'!$A$9:$A$208,A58)&gt;1,"⚠ رقم مكرر",IF(OR(B58="",C58="",E58="",F58=""),"⚠ بيانات ناقصة",IF(C58&lt;&gt;"تحليلي","● حساب تجميعي",IF(H58="","⚠ حدد بند القائمة",IF(COUNTIF(L_LINES,H58)=0,"⚠ بند غير معروف","✔ سليم"))))))</f>
        <v>● حساب تجميعي</v>
      </c>
    </row>
    <row r="59" customFormat="false" ht="15" hidden="false" customHeight="false" outlineLevel="0" collapsed="false">
      <c r="A59" s="32" t="n">
        <v>6101</v>
      </c>
      <c r="B59" s="36" t="s">
        <v>141</v>
      </c>
      <c r="C59" s="32" t="s">
        <v>75</v>
      </c>
      <c r="D59" s="32" t="n">
        <v>61</v>
      </c>
      <c r="E59" s="33" t="s">
        <v>125</v>
      </c>
      <c r="F59" s="32" t="s">
        <v>71</v>
      </c>
      <c r="G59" s="22" t="str">
        <f aca="false">IF(E59="","",IF(OR(E59="الأصول",E59="الخصوم",E59="حقوق الملكية"),"المركز المالي","قائمة الدخل"))</f>
        <v>قائمة الدخل</v>
      </c>
      <c r="H59" s="33" t="s">
        <v>142</v>
      </c>
      <c r="I59" s="33"/>
      <c r="J59" s="34" t="n">
        <f aca="false">IF(A59="","",IF(F59="دائن",'ميزان المراجعة'!D59-'ميزان المراجعة'!C59,'ميزان المراجعة'!C59-'ميزان المراجعة'!D59))</f>
        <v>60000</v>
      </c>
      <c r="K59" s="22" t="str">
        <f aca="false">IF(A59="","",IF(COUNTIF('شجرة الحسابات'!$A$9:$A$208,A59)&gt;1,"⚠ رقم مكرر",IF(OR(B59="",C59="",E59="",F59=""),"⚠ بيانات ناقصة",IF(C59&lt;&gt;"تحليلي","● حساب تجميعي",IF(H59="","⚠ حدد بند القائمة",IF(COUNTIF(L_LINES,H59)=0,"⚠ بند غير معروف","✔ سليم"))))))</f>
        <v>✔ سليم</v>
      </c>
    </row>
    <row r="60" customFormat="false" ht="15" hidden="false" customHeight="false" outlineLevel="0" collapsed="false">
      <c r="A60" s="32" t="n">
        <v>6102</v>
      </c>
      <c r="B60" s="36" t="s">
        <v>143</v>
      </c>
      <c r="C60" s="32" t="s">
        <v>75</v>
      </c>
      <c r="D60" s="32" t="n">
        <v>61</v>
      </c>
      <c r="E60" s="33" t="s">
        <v>125</v>
      </c>
      <c r="F60" s="32" t="s">
        <v>71</v>
      </c>
      <c r="G60" s="22" t="str">
        <f aca="false">IF(E60="","",IF(OR(E60="الأصول",E60="الخصوم",E60="حقوق الملكية"),"المركز المالي","قائمة الدخل"))</f>
        <v>قائمة الدخل</v>
      </c>
      <c r="H60" s="33" t="s">
        <v>142</v>
      </c>
      <c r="I60" s="33"/>
      <c r="J60" s="34" t="n">
        <f aca="false">IF(A60="","",IF(F60="دائن",'ميزان المراجعة'!D60-'ميزان المراجعة'!C60,'ميزان المراجعة'!C60-'ميزان المراجعة'!D60))</f>
        <v>45000</v>
      </c>
      <c r="K60" s="22" t="str">
        <f aca="false">IF(A60="","",IF(COUNTIF('شجرة الحسابات'!$A$9:$A$208,A60)&gt;1,"⚠ رقم مكرر",IF(OR(B60="",C60="",E60="",F60=""),"⚠ بيانات ناقصة",IF(C60&lt;&gt;"تحليلي","● حساب تجميعي",IF(H60="","⚠ حدد بند القائمة",IF(COUNTIF(L_LINES,H60)=0,"⚠ بند غير معروف","✔ سليم"))))))</f>
        <v>✔ سليم</v>
      </c>
    </row>
    <row r="61" customFormat="false" ht="15" hidden="false" customHeight="false" outlineLevel="0" collapsed="false">
      <c r="A61" s="32" t="n">
        <v>6103</v>
      </c>
      <c r="B61" s="36" t="s">
        <v>144</v>
      </c>
      <c r="C61" s="32" t="s">
        <v>75</v>
      </c>
      <c r="D61" s="32" t="n">
        <v>61</v>
      </c>
      <c r="E61" s="33" t="s">
        <v>125</v>
      </c>
      <c r="F61" s="32" t="s">
        <v>71</v>
      </c>
      <c r="G61" s="22" t="str">
        <f aca="false">IF(E61="","",IF(OR(E61="الأصول",E61="الخصوم",E61="حقوق الملكية"),"المركز المالي","قائمة الدخل"))</f>
        <v>قائمة الدخل</v>
      </c>
      <c r="H61" s="33" t="s">
        <v>142</v>
      </c>
      <c r="I61" s="33"/>
      <c r="J61" s="34" t="n">
        <f aca="false">IF(A61="","",IF(F61="دائن",'ميزان المراجعة'!D61-'ميزان المراجعة'!C61,'ميزان المراجعة'!C61-'ميزان المراجعة'!D61))</f>
        <v>12500</v>
      </c>
      <c r="K61" s="22" t="str">
        <f aca="false">IF(A61="","",IF(COUNTIF('شجرة الحسابات'!$A$9:$A$208,A61)&gt;1,"⚠ رقم مكرر",IF(OR(B61="",C61="",E61="",F61=""),"⚠ بيانات ناقصة",IF(C61&lt;&gt;"تحليلي","● حساب تجميعي",IF(H61="","⚠ حدد بند القائمة",IF(COUNTIF(L_LINES,H61)=0,"⚠ بند غير معروف","✔ سليم"))))))</f>
        <v>✔ سليم</v>
      </c>
    </row>
    <row r="62" customFormat="false" ht="15" hidden="false" customHeight="false" outlineLevel="0" collapsed="false">
      <c r="A62" s="32" t="n">
        <v>6104</v>
      </c>
      <c r="B62" s="36" t="s">
        <v>145</v>
      </c>
      <c r="C62" s="32" t="s">
        <v>75</v>
      </c>
      <c r="D62" s="32" t="n">
        <v>61</v>
      </c>
      <c r="E62" s="33" t="s">
        <v>125</v>
      </c>
      <c r="F62" s="32" t="s">
        <v>71</v>
      </c>
      <c r="G62" s="22" t="str">
        <f aca="false">IF(E62="","",IF(OR(E62="الأصول",E62="الخصوم",E62="حقوق الملكية"),"المركز المالي","قائمة الدخل"))</f>
        <v>قائمة الدخل</v>
      </c>
      <c r="H62" s="33" t="s">
        <v>142</v>
      </c>
      <c r="I62" s="33"/>
      <c r="J62" s="34" t="n">
        <f aca="false">IF(A62="","",IF(F62="دائن",'ميزان المراجعة'!D62-'ميزان المراجعة'!C62,'ميزان المراجعة'!C62-'ميزان المراجعة'!D62))</f>
        <v>5000</v>
      </c>
      <c r="K62" s="22" t="str">
        <f aca="false">IF(A62="","",IF(COUNTIF('شجرة الحسابات'!$A$9:$A$208,A62)&gt;1,"⚠ رقم مكرر",IF(OR(B62="",C62="",E62="",F62=""),"⚠ بيانات ناقصة",IF(C62&lt;&gt;"تحليلي","● حساب تجميعي",IF(H62="","⚠ حدد بند القائمة",IF(COUNTIF(L_LINES,H62)=0,"⚠ بند غير معروف","✔ سليم"))))))</f>
        <v>✔ سليم</v>
      </c>
    </row>
    <row r="63" customFormat="false" ht="15" hidden="false" customHeight="false" outlineLevel="0" collapsed="false">
      <c r="A63" s="32" t="n">
        <v>6105</v>
      </c>
      <c r="B63" s="36" t="s">
        <v>146</v>
      </c>
      <c r="C63" s="32" t="s">
        <v>75</v>
      </c>
      <c r="D63" s="32" t="n">
        <v>61</v>
      </c>
      <c r="E63" s="33" t="s">
        <v>125</v>
      </c>
      <c r="F63" s="32" t="s">
        <v>71</v>
      </c>
      <c r="G63" s="22" t="str">
        <f aca="false">IF(E63="","",IF(OR(E63="الأصول",E63="الخصوم",E63="حقوق الملكية"),"المركز المالي","قائمة الدخل"))</f>
        <v>قائمة الدخل</v>
      </c>
      <c r="H63" s="33" t="s">
        <v>147</v>
      </c>
      <c r="I63" s="33"/>
      <c r="J63" s="34" t="n">
        <f aca="false">IF(A63="","",IF(F63="دائن",'ميزان المراجعة'!D63-'ميزان المراجعة'!C63,'ميزان المراجعة'!C63-'ميزان المراجعة'!D63))</f>
        <v>3200</v>
      </c>
      <c r="K63" s="22" t="str">
        <f aca="false">IF(A63="","",IF(COUNTIF('شجرة الحسابات'!$A$9:$A$208,A63)&gt;1,"⚠ رقم مكرر",IF(OR(B63="",C63="",E63="",F63=""),"⚠ بيانات ناقصة",IF(C63&lt;&gt;"تحليلي","● حساب تجميعي",IF(H63="","⚠ حدد بند القائمة",IF(COUNTIF(L_LINES,H63)=0,"⚠ بند غير معروف","✔ سليم"))))))</f>
        <v>✔ سليم</v>
      </c>
    </row>
    <row r="64" customFormat="false" ht="15" hidden="false" customHeight="false" outlineLevel="0" collapsed="false">
      <c r="A64" s="32"/>
      <c r="B64" s="36"/>
      <c r="C64" s="32"/>
      <c r="D64" s="32"/>
      <c r="E64" s="33"/>
      <c r="F64" s="32"/>
      <c r="G64" s="22" t="str">
        <f aca="false">IF(E64="","",IF(OR(E64="الأصول",E64="الخصوم",E64="حقوق الملكية"),"المركز المالي","قائمة الدخل"))</f>
        <v/>
      </c>
      <c r="H64" s="33"/>
      <c r="I64" s="33"/>
      <c r="J64" s="34" t="str">
        <f aca="false">IF(A64="","",IF(F64="دائن",'ميزان المراجعة'!D64-'ميزان المراجعة'!C64,'ميزان المراجعة'!C64-'ميزان المراجعة'!D64))</f>
        <v/>
      </c>
      <c r="K64" s="22" t="str">
        <f aca="false">IF(A64="","",IF(COUNTIF('شجرة الحسابات'!$A$9:$A$208,A64)&gt;1,"⚠ رقم مكرر",IF(OR(B64="",C64="",E64="",F64=""),"⚠ بيانات ناقصة",IF(C64&lt;&gt;"تحليلي","● حساب تجميعي",IF(H64="","⚠ حدد بند القائمة",IF(COUNTIF(L_LINES,H64)=0,"⚠ بند غير معروف","✔ سليم"))))))</f>
        <v/>
      </c>
    </row>
    <row r="65" customFormat="false" ht="15" hidden="false" customHeight="false" outlineLevel="0" collapsed="false">
      <c r="A65" s="32"/>
      <c r="B65" s="36"/>
      <c r="C65" s="32"/>
      <c r="D65" s="32"/>
      <c r="E65" s="33"/>
      <c r="F65" s="32"/>
      <c r="G65" s="22" t="str">
        <f aca="false">IF(E65="","",IF(OR(E65="الأصول",E65="الخصوم",E65="حقوق الملكية"),"المركز المالي","قائمة الدخل"))</f>
        <v/>
      </c>
      <c r="H65" s="33"/>
      <c r="I65" s="33"/>
      <c r="J65" s="34" t="str">
        <f aca="false">IF(A65="","",IF(F65="دائن",'ميزان المراجعة'!D65-'ميزان المراجعة'!C65,'ميزان المراجعة'!C65-'ميزان المراجعة'!D65))</f>
        <v/>
      </c>
      <c r="K65" s="22" t="str">
        <f aca="false">IF(A65="","",IF(COUNTIF('شجرة الحسابات'!$A$9:$A$208,A65)&gt;1,"⚠ رقم مكرر",IF(OR(B65="",C65="",E65="",F65=""),"⚠ بيانات ناقصة",IF(C65&lt;&gt;"تحليلي","● حساب تجميعي",IF(H65="","⚠ حدد بند القائمة",IF(COUNTIF(L_LINES,H65)=0,"⚠ بند غير معروف","✔ سليم"))))))</f>
        <v/>
      </c>
    </row>
    <row r="66" customFormat="false" ht="15" hidden="false" customHeight="false" outlineLevel="0" collapsed="false">
      <c r="A66" s="32"/>
      <c r="B66" s="36"/>
      <c r="C66" s="32"/>
      <c r="D66" s="32"/>
      <c r="E66" s="33"/>
      <c r="F66" s="32"/>
      <c r="G66" s="22" t="str">
        <f aca="false">IF(E66="","",IF(OR(E66="الأصول",E66="الخصوم",E66="حقوق الملكية"),"المركز المالي","قائمة الدخل"))</f>
        <v/>
      </c>
      <c r="H66" s="33"/>
      <c r="I66" s="33"/>
      <c r="J66" s="34" t="str">
        <f aca="false">IF(A66="","",IF(F66="دائن",'ميزان المراجعة'!D66-'ميزان المراجعة'!C66,'ميزان المراجعة'!C66-'ميزان المراجعة'!D66))</f>
        <v/>
      </c>
      <c r="K66" s="22" t="str">
        <f aca="false">IF(A66="","",IF(COUNTIF('شجرة الحسابات'!$A$9:$A$208,A66)&gt;1,"⚠ رقم مكرر",IF(OR(B66="",C66="",E66="",F66=""),"⚠ بيانات ناقصة",IF(C66&lt;&gt;"تحليلي","● حساب تجميعي",IF(H66="","⚠ حدد بند القائمة",IF(COUNTIF(L_LINES,H66)=0,"⚠ بند غير معروف","✔ سليم"))))))</f>
        <v/>
      </c>
    </row>
    <row r="67" customFormat="false" ht="15" hidden="false" customHeight="false" outlineLevel="0" collapsed="false">
      <c r="A67" s="32"/>
      <c r="B67" s="36"/>
      <c r="C67" s="32"/>
      <c r="D67" s="32"/>
      <c r="E67" s="33"/>
      <c r="F67" s="32"/>
      <c r="G67" s="22" t="str">
        <f aca="false">IF(E67="","",IF(OR(E67="الأصول",E67="الخصوم",E67="حقوق الملكية"),"المركز المالي","قائمة الدخل"))</f>
        <v/>
      </c>
      <c r="H67" s="33"/>
      <c r="I67" s="33"/>
      <c r="J67" s="34" t="str">
        <f aca="false">IF(A67="","",IF(F67="دائن",'ميزان المراجعة'!D67-'ميزان المراجعة'!C67,'ميزان المراجعة'!C67-'ميزان المراجعة'!D67))</f>
        <v/>
      </c>
      <c r="K67" s="22" t="str">
        <f aca="false">IF(A67="","",IF(COUNTIF('شجرة الحسابات'!$A$9:$A$208,A67)&gt;1,"⚠ رقم مكرر",IF(OR(B67="",C67="",E67="",F67=""),"⚠ بيانات ناقصة",IF(C67&lt;&gt;"تحليلي","● حساب تجميعي",IF(H67="","⚠ حدد بند القائمة",IF(COUNTIF(L_LINES,H67)=0,"⚠ بند غير معروف","✔ سليم"))))))</f>
        <v/>
      </c>
    </row>
    <row r="68" customFormat="false" ht="15" hidden="false" customHeight="false" outlineLevel="0" collapsed="false">
      <c r="A68" s="32"/>
      <c r="B68" s="36"/>
      <c r="C68" s="32"/>
      <c r="D68" s="32"/>
      <c r="E68" s="33"/>
      <c r="F68" s="32"/>
      <c r="G68" s="22" t="str">
        <f aca="false">IF(E68="","",IF(OR(E68="الأصول",E68="الخصوم",E68="حقوق الملكية"),"المركز المالي","قائمة الدخل"))</f>
        <v/>
      </c>
      <c r="H68" s="33"/>
      <c r="I68" s="33"/>
      <c r="J68" s="34" t="str">
        <f aca="false">IF(A68="","",IF(F68="دائن",'ميزان المراجعة'!D68-'ميزان المراجعة'!C68,'ميزان المراجعة'!C68-'ميزان المراجعة'!D68))</f>
        <v/>
      </c>
      <c r="K68" s="22" t="str">
        <f aca="false">IF(A68="","",IF(COUNTIF('شجرة الحسابات'!$A$9:$A$208,A68)&gt;1,"⚠ رقم مكرر",IF(OR(B68="",C68="",E68="",F68=""),"⚠ بيانات ناقصة",IF(C68&lt;&gt;"تحليلي","● حساب تجميعي",IF(H68="","⚠ حدد بند القائمة",IF(COUNTIF(L_LINES,H68)=0,"⚠ بند غير معروف","✔ سليم"))))))</f>
        <v/>
      </c>
    </row>
    <row r="69" customFormat="false" ht="15" hidden="false" customHeight="false" outlineLevel="0" collapsed="false">
      <c r="A69" s="32"/>
      <c r="B69" s="36"/>
      <c r="C69" s="32"/>
      <c r="D69" s="32"/>
      <c r="E69" s="33"/>
      <c r="F69" s="32"/>
      <c r="G69" s="22" t="str">
        <f aca="false">IF(E69="","",IF(OR(E69="الأصول",E69="الخصوم",E69="حقوق الملكية"),"المركز المالي","قائمة الدخل"))</f>
        <v/>
      </c>
      <c r="H69" s="33"/>
      <c r="I69" s="33"/>
      <c r="J69" s="34" t="str">
        <f aca="false">IF(A69="","",IF(F69="دائن",'ميزان المراجعة'!D69-'ميزان المراجعة'!C69,'ميزان المراجعة'!C69-'ميزان المراجعة'!D69))</f>
        <v/>
      </c>
      <c r="K69" s="22" t="str">
        <f aca="false">IF(A69="","",IF(COUNTIF('شجرة الحسابات'!$A$9:$A$208,A69)&gt;1,"⚠ رقم مكرر",IF(OR(B69="",C69="",E69="",F69=""),"⚠ بيانات ناقصة",IF(C69&lt;&gt;"تحليلي","● حساب تجميعي",IF(H69="","⚠ حدد بند القائمة",IF(COUNTIF(L_LINES,H69)=0,"⚠ بند غير معروف","✔ سليم"))))))</f>
        <v/>
      </c>
    </row>
    <row r="70" customFormat="false" ht="15" hidden="false" customHeight="false" outlineLevel="0" collapsed="false">
      <c r="A70" s="32"/>
      <c r="B70" s="36"/>
      <c r="C70" s="32"/>
      <c r="D70" s="32"/>
      <c r="E70" s="33"/>
      <c r="F70" s="32"/>
      <c r="G70" s="22" t="str">
        <f aca="false">IF(E70="","",IF(OR(E70="الأصول",E70="الخصوم",E70="حقوق الملكية"),"المركز المالي","قائمة الدخل"))</f>
        <v/>
      </c>
      <c r="H70" s="33"/>
      <c r="I70" s="33"/>
      <c r="J70" s="34" t="str">
        <f aca="false">IF(A70="","",IF(F70="دائن",'ميزان المراجعة'!D70-'ميزان المراجعة'!C70,'ميزان المراجعة'!C70-'ميزان المراجعة'!D70))</f>
        <v/>
      </c>
      <c r="K70" s="22" t="str">
        <f aca="false">IF(A70="","",IF(COUNTIF('شجرة الحسابات'!$A$9:$A$208,A70)&gt;1,"⚠ رقم مكرر",IF(OR(B70="",C70="",E70="",F70=""),"⚠ بيانات ناقصة",IF(C70&lt;&gt;"تحليلي","● حساب تجميعي",IF(H70="","⚠ حدد بند القائمة",IF(COUNTIF(L_LINES,H70)=0,"⚠ بند غير معروف","✔ سليم"))))))</f>
        <v/>
      </c>
    </row>
    <row r="71" customFormat="false" ht="15" hidden="false" customHeight="false" outlineLevel="0" collapsed="false">
      <c r="A71" s="32"/>
      <c r="B71" s="36"/>
      <c r="C71" s="32"/>
      <c r="D71" s="32"/>
      <c r="E71" s="33"/>
      <c r="F71" s="32"/>
      <c r="G71" s="22" t="str">
        <f aca="false">IF(E71="","",IF(OR(E71="الأصول",E71="الخصوم",E71="حقوق الملكية"),"المركز المالي","قائمة الدخل"))</f>
        <v/>
      </c>
      <c r="H71" s="33"/>
      <c r="I71" s="33"/>
      <c r="J71" s="34" t="str">
        <f aca="false">IF(A71="","",IF(F71="دائن",'ميزان المراجعة'!D71-'ميزان المراجعة'!C71,'ميزان المراجعة'!C71-'ميزان المراجعة'!D71))</f>
        <v/>
      </c>
      <c r="K71" s="22" t="str">
        <f aca="false">IF(A71="","",IF(COUNTIF('شجرة الحسابات'!$A$9:$A$208,A71)&gt;1,"⚠ رقم مكرر",IF(OR(B71="",C71="",E71="",F71=""),"⚠ بيانات ناقصة",IF(C71&lt;&gt;"تحليلي","● حساب تجميعي",IF(H71="","⚠ حدد بند القائمة",IF(COUNTIF(L_LINES,H71)=0,"⚠ بند غير معروف","✔ سليم"))))))</f>
        <v/>
      </c>
    </row>
    <row r="72" customFormat="false" ht="15" hidden="false" customHeight="false" outlineLevel="0" collapsed="false">
      <c r="A72" s="32"/>
      <c r="B72" s="36"/>
      <c r="C72" s="32"/>
      <c r="D72" s="32"/>
      <c r="E72" s="33"/>
      <c r="F72" s="32"/>
      <c r="G72" s="22" t="str">
        <f aca="false">IF(E72="","",IF(OR(E72="الأصول",E72="الخصوم",E72="حقوق الملكية"),"المركز المالي","قائمة الدخل"))</f>
        <v/>
      </c>
      <c r="H72" s="33"/>
      <c r="I72" s="33"/>
      <c r="J72" s="34" t="str">
        <f aca="false">IF(A72="","",IF(F72="دائن",'ميزان المراجعة'!D72-'ميزان المراجعة'!C72,'ميزان المراجعة'!C72-'ميزان المراجعة'!D72))</f>
        <v/>
      </c>
      <c r="K72" s="22" t="str">
        <f aca="false">IF(A72="","",IF(COUNTIF('شجرة الحسابات'!$A$9:$A$208,A72)&gt;1,"⚠ رقم مكرر",IF(OR(B72="",C72="",E72="",F72=""),"⚠ بيانات ناقصة",IF(C72&lt;&gt;"تحليلي","● حساب تجميعي",IF(H72="","⚠ حدد بند القائمة",IF(COUNTIF(L_LINES,H72)=0,"⚠ بند غير معروف","✔ سليم"))))))</f>
        <v/>
      </c>
    </row>
    <row r="73" customFormat="false" ht="15" hidden="false" customHeight="false" outlineLevel="0" collapsed="false">
      <c r="A73" s="32"/>
      <c r="B73" s="36"/>
      <c r="C73" s="32"/>
      <c r="D73" s="32"/>
      <c r="E73" s="33"/>
      <c r="F73" s="32"/>
      <c r="G73" s="22" t="str">
        <f aca="false">IF(E73="","",IF(OR(E73="الأصول",E73="الخصوم",E73="حقوق الملكية"),"المركز المالي","قائمة الدخل"))</f>
        <v/>
      </c>
      <c r="H73" s="33"/>
      <c r="I73" s="33"/>
      <c r="J73" s="34" t="str">
        <f aca="false">IF(A73="","",IF(F73="دائن",'ميزان المراجعة'!D73-'ميزان المراجعة'!C73,'ميزان المراجعة'!C73-'ميزان المراجعة'!D73))</f>
        <v/>
      </c>
      <c r="K73" s="22" t="str">
        <f aca="false">IF(A73="","",IF(COUNTIF('شجرة الحسابات'!$A$9:$A$208,A73)&gt;1,"⚠ رقم مكرر",IF(OR(B73="",C73="",E73="",F73=""),"⚠ بيانات ناقصة",IF(C73&lt;&gt;"تحليلي","● حساب تجميعي",IF(H73="","⚠ حدد بند القائمة",IF(COUNTIF(L_LINES,H73)=0,"⚠ بند غير معروف","✔ سليم"))))))</f>
        <v/>
      </c>
    </row>
    <row r="74" customFormat="false" ht="15" hidden="false" customHeight="false" outlineLevel="0" collapsed="false">
      <c r="A74" s="32"/>
      <c r="B74" s="36"/>
      <c r="C74" s="32"/>
      <c r="D74" s="32"/>
      <c r="E74" s="33"/>
      <c r="F74" s="32"/>
      <c r="G74" s="22" t="str">
        <f aca="false">IF(E74="","",IF(OR(E74="الأصول",E74="الخصوم",E74="حقوق الملكية"),"المركز المالي","قائمة الدخل"))</f>
        <v/>
      </c>
      <c r="H74" s="33"/>
      <c r="I74" s="33"/>
      <c r="J74" s="34" t="str">
        <f aca="false">IF(A74="","",IF(F74="دائن",'ميزان المراجعة'!D74-'ميزان المراجعة'!C74,'ميزان المراجعة'!C74-'ميزان المراجعة'!D74))</f>
        <v/>
      </c>
      <c r="K74" s="22" t="str">
        <f aca="false">IF(A74="","",IF(COUNTIF('شجرة الحسابات'!$A$9:$A$208,A74)&gt;1,"⚠ رقم مكرر",IF(OR(B74="",C74="",E74="",F74=""),"⚠ بيانات ناقصة",IF(C74&lt;&gt;"تحليلي","● حساب تجميعي",IF(H74="","⚠ حدد بند القائمة",IF(COUNTIF(L_LINES,H74)=0,"⚠ بند غير معروف","✔ سليم"))))))</f>
        <v/>
      </c>
    </row>
    <row r="75" customFormat="false" ht="15" hidden="false" customHeight="false" outlineLevel="0" collapsed="false">
      <c r="A75" s="32"/>
      <c r="B75" s="36"/>
      <c r="C75" s="32"/>
      <c r="D75" s="32"/>
      <c r="E75" s="33"/>
      <c r="F75" s="32"/>
      <c r="G75" s="22" t="str">
        <f aca="false">IF(E75="","",IF(OR(E75="الأصول",E75="الخصوم",E75="حقوق الملكية"),"المركز المالي","قائمة الدخل"))</f>
        <v/>
      </c>
      <c r="H75" s="33"/>
      <c r="I75" s="33"/>
      <c r="J75" s="34" t="str">
        <f aca="false">IF(A75="","",IF(F75="دائن",'ميزان المراجعة'!D75-'ميزان المراجعة'!C75,'ميزان المراجعة'!C75-'ميزان المراجعة'!D75))</f>
        <v/>
      </c>
      <c r="K75" s="22" t="str">
        <f aca="false">IF(A75="","",IF(COUNTIF('شجرة الحسابات'!$A$9:$A$208,A75)&gt;1,"⚠ رقم مكرر",IF(OR(B75="",C75="",E75="",F75=""),"⚠ بيانات ناقصة",IF(C75&lt;&gt;"تحليلي","● حساب تجميعي",IF(H75="","⚠ حدد بند القائمة",IF(COUNTIF(L_LINES,H75)=0,"⚠ بند غير معروف","✔ سليم"))))))</f>
        <v/>
      </c>
    </row>
    <row r="76" customFormat="false" ht="15" hidden="false" customHeight="false" outlineLevel="0" collapsed="false">
      <c r="A76" s="32"/>
      <c r="B76" s="36"/>
      <c r="C76" s="32"/>
      <c r="D76" s="32"/>
      <c r="E76" s="33"/>
      <c r="F76" s="32"/>
      <c r="G76" s="22" t="str">
        <f aca="false">IF(E76="","",IF(OR(E76="الأصول",E76="الخصوم",E76="حقوق الملكية"),"المركز المالي","قائمة الدخل"))</f>
        <v/>
      </c>
      <c r="H76" s="33"/>
      <c r="I76" s="33"/>
      <c r="J76" s="34" t="str">
        <f aca="false">IF(A76="","",IF(F76="دائن",'ميزان المراجعة'!D76-'ميزان المراجعة'!C76,'ميزان المراجعة'!C76-'ميزان المراجعة'!D76))</f>
        <v/>
      </c>
      <c r="K76" s="22" t="str">
        <f aca="false">IF(A76="","",IF(COUNTIF('شجرة الحسابات'!$A$9:$A$208,A76)&gt;1,"⚠ رقم مكرر",IF(OR(B76="",C76="",E76="",F76=""),"⚠ بيانات ناقصة",IF(C76&lt;&gt;"تحليلي","● حساب تجميعي",IF(H76="","⚠ حدد بند القائمة",IF(COUNTIF(L_LINES,H76)=0,"⚠ بند غير معروف","✔ سليم"))))))</f>
        <v/>
      </c>
    </row>
    <row r="77" customFormat="false" ht="15" hidden="false" customHeight="false" outlineLevel="0" collapsed="false">
      <c r="A77" s="32"/>
      <c r="B77" s="36"/>
      <c r="C77" s="32"/>
      <c r="D77" s="32"/>
      <c r="E77" s="33"/>
      <c r="F77" s="32"/>
      <c r="G77" s="22" t="str">
        <f aca="false">IF(E77="","",IF(OR(E77="الأصول",E77="الخصوم",E77="حقوق الملكية"),"المركز المالي","قائمة الدخل"))</f>
        <v/>
      </c>
      <c r="H77" s="33"/>
      <c r="I77" s="33"/>
      <c r="J77" s="34" t="str">
        <f aca="false">IF(A77="","",IF(F77="دائن",'ميزان المراجعة'!D77-'ميزان المراجعة'!C77,'ميزان المراجعة'!C77-'ميزان المراجعة'!D77))</f>
        <v/>
      </c>
      <c r="K77" s="22" t="str">
        <f aca="false">IF(A77="","",IF(COUNTIF('شجرة الحسابات'!$A$9:$A$208,A77)&gt;1,"⚠ رقم مكرر",IF(OR(B77="",C77="",E77="",F77=""),"⚠ بيانات ناقصة",IF(C77&lt;&gt;"تحليلي","● حساب تجميعي",IF(H77="","⚠ حدد بند القائمة",IF(COUNTIF(L_LINES,H77)=0,"⚠ بند غير معروف","✔ سليم"))))))</f>
        <v/>
      </c>
    </row>
    <row r="78" customFormat="false" ht="15" hidden="false" customHeight="false" outlineLevel="0" collapsed="false">
      <c r="A78" s="32"/>
      <c r="B78" s="36"/>
      <c r="C78" s="32"/>
      <c r="D78" s="32"/>
      <c r="E78" s="33"/>
      <c r="F78" s="32"/>
      <c r="G78" s="22" t="str">
        <f aca="false">IF(E78="","",IF(OR(E78="الأصول",E78="الخصوم",E78="حقوق الملكية"),"المركز المالي","قائمة الدخل"))</f>
        <v/>
      </c>
      <c r="H78" s="33"/>
      <c r="I78" s="33"/>
      <c r="J78" s="34" t="str">
        <f aca="false">IF(A78="","",IF(F78="دائن",'ميزان المراجعة'!D78-'ميزان المراجعة'!C78,'ميزان المراجعة'!C78-'ميزان المراجعة'!D78))</f>
        <v/>
      </c>
      <c r="K78" s="22" t="str">
        <f aca="false">IF(A78="","",IF(COUNTIF('شجرة الحسابات'!$A$9:$A$208,A78)&gt;1,"⚠ رقم مكرر",IF(OR(B78="",C78="",E78="",F78=""),"⚠ بيانات ناقصة",IF(C78&lt;&gt;"تحليلي","● حساب تجميعي",IF(H78="","⚠ حدد بند القائمة",IF(COUNTIF(L_LINES,H78)=0,"⚠ بند غير معروف","✔ سليم"))))))</f>
        <v/>
      </c>
    </row>
    <row r="79" customFormat="false" ht="15" hidden="false" customHeight="false" outlineLevel="0" collapsed="false">
      <c r="A79" s="32"/>
      <c r="B79" s="36"/>
      <c r="C79" s="32"/>
      <c r="D79" s="32"/>
      <c r="E79" s="33"/>
      <c r="F79" s="32"/>
      <c r="G79" s="22" t="str">
        <f aca="false">IF(E79="","",IF(OR(E79="الأصول",E79="الخصوم",E79="حقوق الملكية"),"المركز المالي","قائمة الدخل"))</f>
        <v/>
      </c>
      <c r="H79" s="33"/>
      <c r="I79" s="33"/>
      <c r="J79" s="34" t="str">
        <f aca="false">IF(A79="","",IF(F79="دائن",'ميزان المراجعة'!D79-'ميزان المراجعة'!C79,'ميزان المراجعة'!C79-'ميزان المراجعة'!D79))</f>
        <v/>
      </c>
      <c r="K79" s="22" t="str">
        <f aca="false">IF(A79="","",IF(COUNTIF('شجرة الحسابات'!$A$9:$A$208,A79)&gt;1,"⚠ رقم مكرر",IF(OR(B79="",C79="",E79="",F79=""),"⚠ بيانات ناقصة",IF(C79&lt;&gt;"تحليلي","● حساب تجميعي",IF(H79="","⚠ حدد بند القائمة",IF(COUNTIF(L_LINES,H79)=0,"⚠ بند غير معروف","✔ سليم"))))))</f>
        <v/>
      </c>
    </row>
    <row r="80" customFormat="false" ht="15" hidden="false" customHeight="false" outlineLevel="0" collapsed="false">
      <c r="A80" s="32"/>
      <c r="B80" s="36"/>
      <c r="C80" s="32"/>
      <c r="D80" s="32"/>
      <c r="E80" s="33"/>
      <c r="F80" s="32"/>
      <c r="G80" s="22" t="str">
        <f aca="false">IF(E80="","",IF(OR(E80="الأصول",E80="الخصوم",E80="حقوق الملكية"),"المركز المالي","قائمة الدخل"))</f>
        <v/>
      </c>
      <c r="H80" s="33"/>
      <c r="I80" s="33"/>
      <c r="J80" s="34" t="str">
        <f aca="false">IF(A80="","",IF(F80="دائن",'ميزان المراجعة'!D80-'ميزان المراجعة'!C80,'ميزان المراجعة'!C80-'ميزان المراجعة'!D80))</f>
        <v/>
      </c>
      <c r="K80" s="22" t="str">
        <f aca="false">IF(A80="","",IF(COUNTIF('شجرة الحسابات'!$A$9:$A$208,A80)&gt;1,"⚠ رقم مكرر",IF(OR(B80="",C80="",E80="",F80=""),"⚠ بيانات ناقصة",IF(C80&lt;&gt;"تحليلي","● حساب تجميعي",IF(H80="","⚠ حدد بند القائمة",IF(COUNTIF(L_LINES,H80)=0,"⚠ بند غير معروف","✔ سليم"))))))</f>
        <v/>
      </c>
    </row>
    <row r="81" customFormat="false" ht="15" hidden="false" customHeight="false" outlineLevel="0" collapsed="false">
      <c r="A81" s="32"/>
      <c r="B81" s="36"/>
      <c r="C81" s="32"/>
      <c r="D81" s="32"/>
      <c r="E81" s="33"/>
      <c r="F81" s="32"/>
      <c r="G81" s="22" t="str">
        <f aca="false">IF(E81="","",IF(OR(E81="الأصول",E81="الخصوم",E81="حقوق الملكية"),"المركز المالي","قائمة الدخل"))</f>
        <v/>
      </c>
      <c r="H81" s="33"/>
      <c r="I81" s="33"/>
      <c r="J81" s="34" t="str">
        <f aca="false">IF(A81="","",IF(F81="دائن",'ميزان المراجعة'!D81-'ميزان المراجعة'!C81,'ميزان المراجعة'!C81-'ميزان المراجعة'!D81))</f>
        <v/>
      </c>
      <c r="K81" s="22" t="str">
        <f aca="false">IF(A81="","",IF(COUNTIF('شجرة الحسابات'!$A$9:$A$208,A81)&gt;1,"⚠ رقم مكرر",IF(OR(B81="",C81="",E81="",F81=""),"⚠ بيانات ناقصة",IF(C81&lt;&gt;"تحليلي","● حساب تجميعي",IF(H81="","⚠ حدد بند القائمة",IF(COUNTIF(L_LINES,H81)=0,"⚠ بند غير معروف","✔ سليم"))))))</f>
        <v/>
      </c>
    </row>
    <row r="82" customFormat="false" ht="15" hidden="false" customHeight="false" outlineLevel="0" collapsed="false">
      <c r="A82" s="32"/>
      <c r="B82" s="36"/>
      <c r="C82" s="32"/>
      <c r="D82" s="32"/>
      <c r="E82" s="33"/>
      <c r="F82" s="32"/>
      <c r="G82" s="22" t="str">
        <f aca="false">IF(E82="","",IF(OR(E82="الأصول",E82="الخصوم",E82="حقوق الملكية"),"المركز المالي","قائمة الدخل"))</f>
        <v/>
      </c>
      <c r="H82" s="33"/>
      <c r="I82" s="33"/>
      <c r="J82" s="34" t="str">
        <f aca="false">IF(A82="","",IF(F82="دائن",'ميزان المراجعة'!D82-'ميزان المراجعة'!C82,'ميزان المراجعة'!C82-'ميزان المراجعة'!D82))</f>
        <v/>
      </c>
      <c r="K82" s="22" t="str">
        <f aca="false">IF(A82="","",IF(COUNTIF('شجرة الحسابات'!$A$9:$A$208,A82)&gt;1,"⚠ رقم مكرر",IF(OR(B82="",C82="",E82="",F82=""),"⚠ بيانات ناقصة",IF(C82&lt;&gt;"تحليلي","● حساب تجميعي",IF(H82="","⚠ حدد بند القائمة",IF(COUNTIF(L_LINES,H82)=0,"⚠ بند غير معروف","✔ سليم"))))))</f>
        <v/>
      </c>
    </row>
    <row r="83" customFormat="false" ht="15" hidden="false" customHeight="false" outlineLevel="0" collapsed="false">
      <c r="A83" s="32"/>
      <c r="B83" s="36"/>
      <c r="C83" s="32"/>
      <c r="D83" s="32"/>
      <c r="E83" s="33"/>
      <c r="F83" s="32"/>
      <c r="G83" s="22" t="str">
        <f aca="false">IF(E83="","",IF(OR(E83="الأصول",E83="الخصوم",E83="حقوق الملكية"),"المركز المالي","قائمة الدخل"))</f>
        <v/>
      </c>
      <c r="H83" s="33"/>
      <c r="I83" s="33"/>
      <c r="J83" s="34" t="str">
        <f aca="false">IF(A83="","",IF(F83="دائن",'ميزان المراجعة'!D83-'ميزان المراجعة'!C83,'ميزان المراجعة'!C83-'ميزان المراجعة'!D83))</f>
        <v/>
      </c>
      <c r="K83" s="22" t="str">
        <f aca="false">IF(A83="","",IF(COUNTIF('شجرة الحسابات'!$A$9:$A$208,A83)&gt;1,"⚠ رقم مكرر",IF(OR(B83="",C83="",E83="",F83=""),"⚠ بيانات ناقصة",IF(C83&lt;&gt;"تحليلي","● حساب تجميعي",IF(H83="","⚠ حدد بند القائمة",IF(COUNTIF(L_LINES,H83)=0,"⚠ بند غير معروف","✔ سليم"))))))</f>
        <v/>
      </c>
    </row>
    <row r="84" customFormat="false" ht="15" hidden="false" customHeight="false" outlineLevel="0" collapsed="false">
      <c r="A84" s="32"/>
      <c r="B84" s="36"/>
      <c r="C84" s="32"/>
      <c r="D84" s="32"/>
      <c r="E84" s="33"/>
      <c r="F84" s="32"/>
      <c r="G84" s="22" t="str">
        <f aca="false">IF(E84="","",IF(OR(E84="الأصول",E84="الخصوم",E84="حقوق الملكية"),"المركز المالي","قائمة الدخل"))</f>
        <v/>
      </c>
      <c r="H84" s="33"/>
      <c r="I84" s="33"/>
      <c r="J84" s="34" t="str">
        <f aca="false">IF(A84="","",IF(F84="دائن",'ميزان المراجعة'!D84-'ميزان المراجعة'!C84,'ميزان المراجعة'!C84-'ميزان المراجعة'!D84))</f>
        <v/>
      </c>
      <c r="K84" s="22" t="str">
        <f aca="false">IF(A84="","",IF(COUNTIF('شجرة الحسابات'!$A$9:$A$208,A84)&gt;1,"⚠ رقم مكرر",IF(OR(B84="",C84="",E84="",F84=""),"⚠ بيانات ناقصة",IF(C84&lt;&gt;"تحليلي","● حساب تجميعي",IF(H84="","⚠ حدد بند القائمة",IF(COUNTIF(L_LINES,H84)=0,"⚠ بند غير معروف","✔ سليم"))))))</f>
        <v/>
      </c>
    </row>
    <row r="85" customFormat="false" ht="15" hidden="false" customHeight="false" outlineLevel="0" collapsed="false">
      <c r="A85" s="32"/>
      <c r="B85" s="36"/>
      <c r="C85" s="32"/>
      <c r="D85" s="32"/>
      <c r="E85" s="33"/>
      <c r="F85" s="32"/>
      <c r="G85" s="22" t="str">
        <f aca="false">IF(E85="","",IF(OR(E85="الأصول",E85="الخصوم",E85="حقوق الملكية"),"المركز المالي","قائمة الدخل"))</f>
        <v/>
      </c>
      <c r="H85" s="33"/>
      <c r="I85" s="33"/>
      <c r="J85" s="34" t="str">
        <f aca="false">IF(A85="","",IF(F85="دائن",'ميزان المراجعة'!D85-'ميزان المراجعة'!C85,'ميزان المراجعة'!C85-'ميزان المراجعة'!D85))</f>
        <v/>
      </c>
      <c r="K85" s="22" t="str">
        <f aca="false">IF(A85="","",IF(COUNTIF('شجرة الحسابات'!$A$9:$A$208,A85)&gt;1,"⚠ رقم مكرر",IF(OR(B85="",C85="",E85="",F85=""),"⚠ بيانات ناقصة",IF(C85&lt;&gt;"تحليلي","● حساب تجميعي",IF(H85="","⚠ حدد بند القائمة",IF(COUNTIF(L_LINES,H85)=0,"⚠ بند غير معروف","✔ سليم"))))))</f>
        <v/>
      </c>
    </row>
    <row r="86" customFormat="false" ht="15" hidden="false" customHeight="false" outlineLevel="0" collapsed="false">
      <c r="A86" s="32"/>
      <c r="B86" s="36"/>
      <c r="C86" s="32"/>
      <c r="D86" s="32"/>
      <c r="E86" s="33"/>
      <c r="F86" s="32"/>
      <c r="G86" s="22" t="str">
        <f aca="false">IF(E86="","",IF(OR(E86="الأصول",E86="الخصوم",E86="حقوق الملكية"),"المركز المالي","قائمة الدخل"))</f>
        <v/>
      </c>
      <c r="H86" s="33"/>
      <c r="I86" s="33"/>
      <c r="J86" s="34" t="str">
        <f aca="false">IF(A86="","",IF(F86="دائن",'ميزان المراجعة'!D86-'ميزان المراجعة'!C86,'ميزان المراجعة'!C86-'ميزان المراجعة'!D86))</f>
        <v/>
      </c>
      <c r="K86" s="22" t="str">
        <f aca="false">IF(A86="","",IF(COUNTIF('شجرة الحسابات'!$A$9:$A$208,A86)&gt;1,"⚠ رقم مكرر",IF(OR(B86="",C86="",E86="",F86=""),"⚠ بيانات ناقصة",IF(C86&lt;&gt;"تحليلي","● حساب تجميعي",IF(H86="","⚠ حدد بند القائمة",IF(COUNTIF(L_LINES,H86)=0,"⚠ بند غير معروف","✔ سليم"))))))</f>
        <v/>
      </c>
    </row>
    <row r="87" customFormat="false" ht="15" hidden="false" customHeight="false" outlineLevel="0" collapsed="false">
      <c r="A87" s="32"/>
      <c r="B87" s="36"/>
      <c r="C87" s="32"/>
      <c r="D87" s="32"/>
      <c r="E87" s="33"/>
      <c r="F87" s="32"/>
      <c r="G87" s="22" t="str">
        <f aca="false">IF(E87="","",IF(OR(E87="الأصول",E87="الخصوم",E87="حقوق الملكية"),"المركز المالي","قائمة الدخل"))</f>
        <v/>
      </c>
      <c r="H87" s="33"/>
      <c r="I87" s="33"/>
      <c r="J87" s="34" t="str">
        <f aca="false">IF(A87="","",IF(F87="دائن",'ميزان المراجعة'!D87-'ميزان المراجعة'!C87,'ميزان المراجعة'!C87-'ميزان المراجعة'!D87))</f>
        <v/>
      </c>
      <c r="K87" s="22" t="str">
        <f aca="false">IF(A87="","",IF(COUNTIF('شجرة الحسابات'!$A$9:$A$208,A87)&gt;1,"⚠ رقم مكرر",IF(OR(B87="",C87="",E87="",F87=""),"⚠ بيانات ناقصة",IF(C87&lt;&gt;"تحليلي","● حساب تجميعي",IF(H87="","⚠ حدد بند القائمة",IF(COUNTIF(L_LINES,H87)=0,"⚠ بند غير معروف","✔ سليم"))))))</f>
        <v/>
      </c>
    </row>
    <row r="88" customFormat="false" ht="15" hidden="false" customHeight="false" outlineLevel="0" collapsed="false">
      <c r="A88" s="32"/>
      <c r="B88" s="36"/>
      <c r="C88" s="32"/>
      <c r="D88" s="32"/>
      <c r="E88" s="33"/>
      <c r="F88" s="32"/>
      <c r="G88" s="22" t="str">
        <f aca="false">IF(E88="","",IF(OR(E88="الأصول",E88="الخصوم",E88="حقوق الملكية"),"المركز المالي","قائمة الدخل"))</f>
        <v/>
      </c>
      <c r="H88" s="33"/>
      <c r="I88" s="33"/>
      <c r="J88" s="34" t="str">
        <f aca="false">IF(A88="","",IF(F88="دائن",'ميزان المراجعة'!D88-'ميزان المراجعة'!C88,'ميزان المراجعة'!C88-'ميزان المراجعة'!D88))</f>
        <v/>
      </c>
      <c r="K88" s="22" t="str">
        <f aca="false">IF(A88="","",IF(COUNTIF('شجرة الحسابات'!$A$9:$A$208,A88)&gt;1,"⚠ رقم مكرر",IF(OR(B88="",C88="",E88="",F88=""),"⚠ بيانات ناقصة",IF(C88&lt;&gt;"تحليلي","● حساب تجميعي",IF(H88="","⚠ حدد بند القائمة",IF(COUNTIF(L_LINES,H88)=0,"⚠ بند غير معروف","✔ سليم"))))))</f>
        <v/>
      </c>
    </row>
    <row r="89" customFormat="false" ht="15" hidden="false" customHeight="false" outlineLevel="0" collapsed="false">
      <c r="A89" s="32"/>
      <c r="B89" s="36"/>
      <c r="C89" s="32"/>
      <c r="D89" s="32"/>
      <c r="E89" s="33"/>
      <c r="F89" s="32"/>
      <c r="G89" s="22" t="str">
        <f aca="false">IF(E89="","",IF(OR(E89="الأصول",E89="الخصوم",E89="حقوق الملكية"),"المركز المالي","قائمة الدخل"))</f>
        <v/>
      </c>
      <c r="H89" s="33"/>
      <c r="I89" s="33"/>
      <c r="J89" s="34" t="str">
        <f aca="false">IF(A89="","",IF(F89="دائن",'ميزان المراجعة'!D89-'ميزان المراجعة'!C89,'ميزان المراجعة'!C89-'ميزان المراجعة'!D89))</f>
        <v/>
      </c>
      <c r="K89" s="22" t="str">
        <f aca="false">IF(A89="","",IF(COUNTIF('شجرة الحسابات'!$A$9:$A$208,A89)&gt;1,"⚠ رقم مكرر",IF(OR(B89="",C89="",E89="",F89=""),"⚠ بيانات ناقصة",IF(C89&lt;&gt;"تحليلي","● حساب تجميعي",IF(H89="","⚠ حدد بند القائمة",IF(COUNTIF(L_LINES,H89)=0,"⚠ بند غير معروف","✔ سليم"))))))</f>
        <v/>
      </c>
    </row>
    <row r="90" customFormat="false" ht="15" hidden="false" customHeight="false" outlineLevel="0" collapsed="false">
      <c r="A90" s="32"/>
      <c r="B90" s="36"/>
      <c r="C90" s="32"/>
      <c r="D90" s="32"/>
      <c r="E90" s="33"/>
      <c r="F90" s="32"/>
      <c r="G90" s="22" t="str">
        <f aca="false">IF(E90="","",IF(OR(E90="الأصول",E90="الخصوم",E90="حقوق الملكية"),"المركز المالي","قائمة الدخل"))</f>
        <v/>
      </c>
      <c r="H90" s="33"/>
      <c r="I90" s="33"/>
      <c r="J90" s="34" t="str">
        <f aca="false">IF(A90="","",IF(F90="دائن",'ميزان المراجعة'!D90-'ميزان المراجعة'!C90,'ميزان المراجعة'!C90-'ميزان المراجعة'!D90))</f>
        <v/>
      </c>
      <c r="K90" s="22" t="str">
        <f aca="false">IF(A90="","",IF(COUNTIF('شجرة الحسابات'!$A$9:$A$208,A90)&gt;1,"⚠ رقم مكرر",IF(OR(B90="",C90="",E90="",F90=""),"⚠ بيانات ناقصة",IF(C90&lt;&gt;"تحليلي","● حساب تجميعي",IF(H90="","⚠ حدد بند القائمة",IF(COUNTIF(L_LINES,H90)=0,"⚠ بند غير معروف","✔ سليم"))))))</f>
        <v/>
      </c>
    </row>
    <row r="91" customFormat="false" ht="15" hidden="false" customHeight="false" outlineLevel="0" collapsed="false">
      <c r="A91" s="32"/>
      <c r="B91" s="36"/>
      <c r="C91" s="32"/>
      <c r="D91" s="32"/>
      <c r="E91" s="33"/>
      <c r="F91" s="32"/>
      <c r="G91" s="22" t="str">
        <f aca="false">IF(E91="","",IF(OR(E91="الأصول",E91="الخصوم",E91="حقوق الملكية"),"المركز المالي","قائمة الدخل"))</f>
        <v/>
      </c>
      <c r="H91" s="33"/>
      <c r="I91" s="33"/>
      <c r="J91" s="34" t="str">
        <f aca="false">IF(A91="","",IF(F91="دائن",'ميزان المراجعة'!D91-'ميزان المراجعة'!C91,'ميزان المراجعة'!C91-'ميزان المراجعة'!D91))</f>
        <v/>
      </c>
      <c r="K91" s="22" t="str">
        <f aca="false">IF(A91="","",IF(COUNTIF('شجرة الحسابات'!$A$9:$A$208,A91)&gt;1,"⚠ رقم مكرر",IF(OR(B91="",C91="",E91="",F91=""),"⚠ بيانات ناقصة",IF(C91&lt;&gt;"تحليلي","● حساب تجميعي",IF(H91="","⚠ حدد بند القائمة",IF(COUNTIF(L_LINES,H91)=0,"⚠ بند غير معروف","✔ سليم"))))))</f>
        <v/>
      </c>
    </row>
    <row r="92" customFormat="false" ht="15" hidden="false" customHeight="false" outlineLevel="0" collapsed="false">
      <c r="A92" s="32"/>
      <c r="B92" s="36"/>
      <c r="C92" s="32"/>
      <c r="D92" s="32"/>
      <c r="E92" s="33"/>
      <c r="F92" s="32"/>
      <c r="G92" s="22" t="str">
        <f aca="false">IF(E92="","",IF(OR(E92="الأصول",E92="الخصوم",E92="حقوق الملكية"),"المركز المالي","قائمة الدخل"))</f>
        <v/>
      </c>
      <c r="H92" s="33"/>
      <c r="I92" s="33"/>
      <c r="J92" s="34" t="str">
        <f aca="false">IF(A92="","",IF(F92="دائن",'ميزان المراجعة'!D92-'ميزان المراجعة'!C92,'ميزان المراجعة'!C92-'ميزان المراجعة'!D92))</f>
        <v/>
      </c>
      <c r="K92" s="22" t="str">
        <f aca="false">IF(A92="","",IF(COUNTIF('شجرة الحسابات'!$A$9:$A$208,A92)&gt;1,"⚠ رقم مكرر",IF(OR(B92="",C92="",E92="",F92=""),"⚠ بيانات ناقصة",IF(C92&lt;&gt;"تحليلي","● حساب تجميعي",IF(H92="","⚠ حدد بند القائمة",IF(COUNTIF(L_LINES,H92)=0,"⚠ بند غير معروف","✔ سليم"))))))</f>
        <v/>
      </c>
    </row>
    <row r="93" customFormat="false" ht="15" hidden="false" customHeight="false" outlineLevel="0" collapsed="false">
      <c r="A93" s="32"/>
      <c r="B93" s="36"/>
      <c r="C93" s="32"/>
      <c r="D93" s="32"/>
      <c r="E93" s="33"/>
      <c r="F93" s="32"/>
      <c r="G93" s="22" t="str">
        <f aca="false">IF(E93="","",IF(OR(E93="الأصول",E93="الخصوم",E93="حقوق الملكية"),"المركز المالي","قائمة الدخل"))</f>
        <v/>
      </c>
      <c r="H93" s="33"/>
      <c r="I93" s="33"/>
      <c r="J93" s="34" t="str">
        <f aca="false">IF(A93="","",IF(F93="دائن",'ميزان المراجعة'!D93-'ميزان المراجعة'!C93,'ميزان المراجعة'!C93-'ميزان المراجعة'!D93))</f>
        <v/>
      </c>
      <c r="K93" s="22" t="str">
        <f aca="false">IF(A93="","",IF(COUNTIF('شجرة الحسابات'!$A$9:$A$208,A93)&gt;1,"⚠ رقم مكرر",IF(OR(B93="",C93="",E93="",F93=""),"⚠ بيانات ناقصة",IF(C93&lt;&gt;"تحليلي","● حساب تجميعي",IF(H93="","⚠ حدد بند القائمة",IF(COUNTIF(L_LINES,H93)=0,"⚠ بند غير معروف","✔ سليم"))))))</f>
        <v/>
      </c>
    </row>
    <row r="94" customFormat="false" ht="15" hidden="false" customHeight="false" outlineLevel="0" collapsed="false">
      <c r="A94" s="32"/>
      <c r="B94" s="36"/>
      <c r="C94" s="32"/>
      <c r="D94" s="32"/>
      <c r="E94" s="33"/>
      <c r="F94" s="32"/>
      <c r="G94" s="22" t="str">
        <f aca="false">IF(E94="","",IF(OR(E94="الأصول",E94="الخصوم",E94="حقوق الملكية"),"المركز المالي","قائمة الدخل"))</f>
        <v/>
      </c>
      <c r="H94" s="33"/>
      <c r="I94" s="33"/>
      <c r="J94" s="34" t="str">
        <f aca="false">IF(A94="","",IF(F94="دائن",'ميزان المراجعة'!D94-'ميزان المراجعة'!C94,'ميزان المراجعة'!C94-'ميزان المراجعة'!D94))</f>
        <v/>
      </c>
      <c r="K94" s="22" t="str">
        <f aca="false">IF(A94="","",IF(COUNTIF('شجرة الحسابات'!$A$9:$A$208,A94)&gt;1,"⚠ رقم مكرر",IF(OR(B94="",C94="",E94="",F94=""),"⚠ بيانات ناقصة",IF(C94&lt;&gt;"تحليلي","● حساب تجميعي",IF(H94="","⚠ حدد بند القائمة",IF(COUNTIF(L_LINES,H94)=0,"⚠ بند غير معروف","✔ سليم"))))))</f>
        <v/>
      </c>
    </row>
    <row r="95" customFormat="false" ht="15" hidden="false" customHeight="false" outlineLevel="0" collapsed="false">
      <c r="A95" s="32"/>
      <c r="B95" s="36"/>
      <c r="C95" s="32"/>
      <c r="D95" s="32"/>
      <c r="E95" s="33"/>
      <c r="F95" s="32"/>
      <c r="G95" s="22" t="str">
        <f aca="false">IF(E95="","",IF(OR(E95="الأصول",E95="الخصوم",E95="حقوق الملكية"),"المركز المالي","قائمة الدخل"))</f>
        <v/>
      </c>
      <c r="H95" s="33"/>
      <c r="I95" s="33"/>
      <c r="J95" s="34" t="str">
        <f aca="false">IF(A95="","",IF(F95="دائن",'ميزان المراجعة'!D95-'ميزان المراجعة'!C95,'ميزان المراجعة'!C95-'ميزان المراجعة'!D95))</f>
        <v/>
      </c>
      <c r="K95" s="22" t="str">
        <f aca="false">IF(A95="","",IF(COUNTIF('شجرة الحسابات'!$A$9:$A$208,A95)&gt;1,"⚠ رقم مكرر",IF(OR(B95="",C95="",E95="",F95=""),"⚠ بيانات ناقصة",IF(C95&lt;&gt;"تحليلي","● حساب تجميعي",IF(H95="","⚠ حدد بند القائمة",IF(COUNTIF(L_LINES,H95)=0,"⚠ بند غير معروف","✔ سليم"))))))</f>
        <v/>
      </c>
    </row>
    <row r="96" customFormat="false" ht="15" hidden="false" customHeight="false" outlineLevel="0" collapsed="false">
      <c r="A96" s="32"/>
      <c r="B96" s="36"/>
      <c r="C96" s="32"/>
      <c r="D96" s="32"/>
      <c r="E96" s="33"/>
      <c r="F96" s="32"/>
      <c r="G96" s="22" t="str">
        <f aca="false">IF(E96="","",IF(OR(E96="الأصول",E96="الخصوم",E96="حقوق الملكية"),"المركز المالي","قائمة الدخل"))</f>
        <v/>
      </c>
      <c r="H96" s="33"/>
      <c r="I96" s="33"/>
      <c r="J96" s="34" t="str">
        <f aca="false">IF(A96="","",IF(F96="دائن",'ميزان المراجعة'!D96-'ميزان المراجعة'!C96,'ميزان المراجعة'!C96-'ميزان المراجعة'!D96))</f>
        <v/>
      </c>
      <c r="K96" s="22" t="str">
        <f aca="false">IF(A96="","",IF(COUNTIF('شجرة الحسابات'!$A$9:$A$208,A96)&gt;1,"⚠ رقم مكرر",IF(OR(B96="",C96="",E96="",F96=""),"⚠ بيانات ناقصة",IF(C96&lt;&gt;"تحليلي","● حساب تجميعي",IF(H96="","⚠ حدد بند القائمة",IF(COUNTIF(L_LINES,H96)=0,"⚠ بند غير معروف","✔ سليم"))))))</f>
        <v/>
      </c>
    </row>
    <row r="97" customFormat="false" ht="15" hidden="false" customHeight="false" outlineLevel="0" collapsed="false">
      <c r="A97" s="32"/>
      <c r="B97" s="36"/>
      <c r="C97" s="32"/>
      <c r="D97" s="32"/>
      <c r="E97" s="33"/>
      <c r="F97" s="32"/>
      <c r="G97" s="22" t="str">
        <f aca="false">IF(E97="","",IF(OR(E97="الأصول",E97="الخصوم",E97="حقوق الملكية"),"المركز المالي","قائمة الدخل"))</f>
        <v/>
      </c>
      <c r="H97" s="33"/>
      <c r="I97" s="33"/>
      <c r="J97" s="34" t="str">
        <f aca="false">IF(A97="","",IF(F97="دائن",'ميزان المراجعة'!D97-'ميزان المراجعة'!C97,'ميزان المراجعة'!C97-'ميزان المراجعة'!D97))</f>
        <v/>
      </c>
      <c r="K97" s="22" t="str">
        <f aca="false">IF(A97="","",IF(COUNTIF('شجرة الحسابات'!$A$9:$A$208,A97)&gt;1,"⚠ رقم مكرر",IF(OR(B97="",C97="",E97="",F97=""),"⚠ بيانات ناقصة",IF(C97&lt;&gt;"تحليلي","● حساب تجميعي",IF(H97="","⚠ حدد بند القائمة",IF(COUNTIF(L_LINES,H97)=0,"⚠ بند غير معروف","✔ سليم"))))))</f>
        <v/>
      </c>
    </row>
    <row r="98" customFormat="false" ht="15" hidden="false" customHeight="false" outlineLevel="0" collapsed="false">
      <c r="A98" s="32"/>
      <c r="B98" s="36"/>
      <c r="C98" s="32"/>
      <c r="D98" s="32"/>
      <c r="E98" s="33"/>
      <c r="F98" s="32"/>
      <c r="G98" s="22" t="str">
        <f aca="false">IF(E98="","",IF(OR(E98="الأصول",E98="الخصوم",E98="حقوق الملكية"),"المركز المالي","قائمة الدخل"))</f>
        <v/>
      </c>
      <c r="H98" s="33"/>
      <c r="I98" s="33"/>
      <c r="J98" s="34" t="str">
        <f aca="false">IF(A98="","",IF(F98="دائن",'ميزان المراجعة'!D98-'ميزان المراجعة'!C98,'ميزان المراجعة'!C98-'ميزان المراجعة'!D98))</f>
        <v/>
      </c>
      <c r="K98" s="22" t="str">
        <f aca="false">IF(A98="","",IF(COUNTIF('شجرة الحسابات'!$A$9:$A$208,A98)&gt;1,"⚠ رقم مكرر",IF(OR(B98="",C98="",E98="",F98=""),"⚠ بيانات ناقصة",IF(C98&lt;&gt;"تحليلي","● حساب تجميعي",IF(H98="","⚠ حدد بند القائمة",IF(COUNTIF(L_LINES,H98)=0,"⚠ بند غير معروف","✔ سليم"))))))</f>
        <v/>
      </c>
    </row>
    <row r="99" customFormat="false" ht="15" hidden="false" customHeight="false" outlineLevel="0" collapsed="false">
      <c r="A99" s="32"/>
      <c r="B99" s="36"/>
      <c r="C99" s="32"/>
      <c r="D99" s="32"/>
      <c r="E99" s="33"/>
      <c r="F99" s="32"/>
      <c r="G99" s="22" t="str">
        <f aca="false">IF(E99="","",IF(OR(E99="الأصول",E99="الخصوم",E99="حقوق الملكية"),"المركز المالي","قائمة الدخل"))</f>
        <v/>
      </c>
      <c r="H99" s="33"/>
      <c r="I99" s="33"/>
      <c r="J99" s="34" t="str">
        <f aca="false">IF(A99="","",IF(F99="دائن",'ميزان المراجعة'!D99-'ميزان المراجعة'!C99,'ميزان المراجعة'!C99-'ميزان المراجعة'!D99))</f>
        <v/>
      </c>
      <c r="K99" s="22" t="str">
        <f aca="false">IF(A99="","",IF(COUNTIF('شجرة الحسابات'!$A$9:$A$208,A99)&gt;1,"⚠ رقم مكرر",IF(OR(B99="",C99="",E99="",F99=""),"⚠ بيانات ناقصة",IF(C99&lt;&gt;"تحليلي","● حساب تجميعي",IF(H99="","⚠ حدد بند القائمة",IF(COUNTIF(L_LINES,H99)=0,"⚠ بند غير معروف","✔ سليم"))))))</f>
        <v/>
      </c>
    </row>
    <row r="100" customFormat="false" ht="15" hidden="false" customHeight="false" outlineLevel="0" collapsed="false">
      <c r="A100" s="32"/>
      <c r="B100" s="36"/>
      <c r="C100" s="32"/>
      <c r="D100" s="32"/>
      <c r="E100" s="33"/>
      <c r="F100" s="32"/>
      <c r="G100" s="22" t="str">
        <f aca="false">IF(E100="","",IF(OR(E100="الأصول",E100="الخصوم",E100="حقوق الملكية"),"المركز المالي","قائمة الدخل"))</f>
        <v/>
      </c>
      <c r="H100" s="33"/>
      <c r="I100" s="33"/>
      <c r="J100" s="34" t="str">
        <f aca="false">IF(A100="","",IF(F100="دائن",'ميزان المراجعة'!D100-'ميزان المراجعة'!C100,'ميزان المراجعة'!C100-'ميزان المراجعة'!D100))</f>
        <v/>
      </c>
      <c r="K100" s="22" t="str">
        <f aca="false">IF(A100="","",IF(COUNTIF('شجرة الحسابات'!$A$9:$A$208,A100)&gt;1,"⚠ رقم مكرر",IF(OR(B100="",C100="",E100="",F100=""),"⚠ بيانات ناقصة",IF(C100&lt;&gt;"تحليلي","● حساب تجميعي",IF(H100="","⚠ حدد بند القائمة",IF(COUNTIF(L_LINES,H100)=0,"⚠ بند غير معروف","✔ سليم"))))))</f>
        <v/>
      </c>
    </row>
    <row r="101" customFormat="false" ht="15" hidden="false" customHeight="false" outlineLevel="0" collapsed="false">
      <c r="A101" s="32"/>
      <c r="B101" s="36"/>
      <c r="C101" s="32"/>
      <c r="D101" s="32"/>
      <c r="E101" s="33"/>
      <c r="F101" s="32"/>
      <c r="G101" s="22" t="str">
        <f aca="false">IF(E101="","",IF(OR(E101="الأصول",E101="الخصوم",E101="حقوق الملكية"),"المركز المالي","قائمة الدخل"))</f>
        <v/>
      </c>
      <c r="H101" s="33"/>
      <c r="I101" s="33"/>
      <c r="J101" s="34" t="str">
        <f aca="false">IF(A101="","",IF(F101="دائن",'ميزان المراجعة'!D101-'ميزان المراجعة'!C101,'ميزان المراجعة'!C101-'ميزان المراجعة'!D101))</f>
        <v/>
      </c>
      <c r="K101" s="22" t="str">
        <f aca="false">IF(A101="","",IF(COUNTIF('شجرة الحسابات'!$A$9:$A$208,A101)&gt;1,"⚠ رقم مكرر",IF(OR(B101="",C101="",E101="",F101=""),"⚠ بيانات ناقصة",IF(C101&lt;&gt;"تحليلي","● حساب تجميعي",IF(H101="","⚠ حدد بند القائمة",IF(COUNTIF(L_LINES,H101)=0,"⚠ بند غير معروف","✔ سليم"))))))</f>
        <v/>
      </c>
    </row>
    <row r="102" customFormat="false" ht="15" hidden="false" customHeight="false" outlineLevel="0" collapsed="false">
      <c r="A102" s="32"/>
      <c r="B102" s="36"/>
      <c r="C102" s="32"/>
      <c r="D102" s="32"/>
      <c r="E102" s="33"/>
      <c r="F102" s="32"/>
      <c r="G102" s="22" t="str">
        <f aca="false">IF(E102="","",IF(OR(E102="الأصول",E102="الخصوم",E102="حقوق الملكية"),"المركز المالي","قائمة الدخل"))</f>
        <v/>
      </c>
      <c r="H102" s="33"/>
      <c r="I102" s="33"/>
      <c r="J102" s="34" t="str">
        <f aca="false">IF(A102="","",IF(F102="دائن",'ميزان المراجعة'!D102-'ميزان المراجعة'!C102,'ميزان المراجعة'!C102-'ميزان المراجعة'!D102))</f>
        <v/>
      </c>
      <c r="K102" s="22" t="str">
        <f aca="false">IF(A102="","",IF(COUNTIF('شجرة الحسابات'!$A$9:$A$208,A102)&gt;1,"⚠ رقم مكرر",IF(OR(B102="",C102="",E102="",F102=""),"⚠ بيانات ناقصة",IF(C102&lt;&gt;"تحليلي","● حساب تجميعي",IF(H102="","⚠ حدد بند القائمة",IF(COUNTIF(L_LINES,H102)=0,"⚠ بند غير معروف","✔ سليم"))))))</f>
        <v/>
      </c>
    </row>
    <row r="103" customFormat="false" ht="15" hidden="false" customHeight="false" outlineLevel="0" collapsed="false">
      <c r="A103" s="32"/>
      <c r="B103" s="36"/>
      <c r="C103" s="32"/>
      <c r="D103" s="32"/>
      <c r="E103" s="33"/>
      <c r="F103" s="32"/>
      <c r="G103" s="22" t="str">
        <f aca="false">IF(E103="","",IF(OR(E103="الأصول",E103="الخصوم",E103="حقوق الملكية"),"المركز المالي","قائمة الدخل"))</f>
        <v/>
      </c>
      <c r="H103" s="33"/>
      <c r="I103" s="33"/>
      <c r="J103" s="34" t="str">
        <f aca="false">IF(A103="","",IF(F103="دائن",'ميزان المراجعة'!D103-'ميزان المراجعة'!C103,'ميزان المراجعة'!C103-'ميزان المراجعة'!D103))</f>
        <v/>
      </c>
      <c r="K103" s="22" t="str">
        <f aca="false">IF(A103="","",IF(COUNTIF('شجرة الحسابات'!$A$9:$A$208,A103)&gt;1,"⚠ رقم مكرر",IF(OR(B103="",C103="",E103="",F103=""),"⚠ بيانات ناقصة",IF(C103&lt;&gt;"تحليلي","● حساب تجميعي",IF(H103="","⚠ حدد بند القائمة",IF(COUNTIF(L_LINES,H103)=0,"⚠ بند غير معروف","✔ سليم"))))))</f>
        <v/>
      </c>
    </row>
    <row r="104" customFormat="false" ht="15" hidden="false" customHeight="false" outlineLevel="0" collapsed="false">
      <c r="A104" s="32"/>
      <c r="B104" s="36"/>
      <c r="C104" s="32"/>
      <c r="D104" s="32"/>
      <c r="E104" s="33"/>
      <c r="F104" s="32"/>
      <c r="G104" s="22" t="str">
        <f aca="false">IF(E104="","",IF(OR(E104="الأصول",E104="الخصوم",E104="حقوق الملكية"),"المركز المالي","قائمة الدخل"))</f>
        <v/>
      </c>
      <c r="H104" s="33"/>
      <c r="I104" s="33"/>
      <c r="J104" s="34" t="str">
        <f aca="false">IF(A104="","",IF(F104="دائن",'ميزان المراجعة'!D104-'ميزان المراجعة'!C104,'ميزان المراجعة'!C104-'ميزان المراجعة'!D104))</f>
        <v/>
      </c>
      <c r="K104" s="22" t="str">
        <f aca="false">IF(A104="","",IF(COUNTIF('شجرة الحسابات'!$A$9:$A$208,A104)&gt;1,"⚠ رقم مكرر",IF(OR(B104="",C104="",E104="",F104=""),"⚠ بيانات ناقصة",IF(C104&lt;&gt;"تحليلي","● حساب تجميعي",IF(H104="","⚠ حدد بند القائمة",IF(COUNTIF(L_LINES,H104)=0,"⚠ بند غير معروف","✔ سليم"))))))</f>
        <v/>
      </c>
    </row>
    <row r="105" customFormat="false" ht="15" hidden="false" customHeight="false" outlineLevel="0" collapsed="false">
      <c r="A105" s="32"/>
      <c r="B105" s="36"/>
      <c r="C105" s="32"/>
      <c r="D105" s="32"/>
      <c r="E105" s="33"/>
      <c r="F105" s="32"/>
      <c r="G105" s="22" t="str">
        <f aca="false">IF(E105="","",IF(OR(E105="الأصول",E105="الخصوم",E105="حقوق الملكية"),"المركز المالي","قائمة الدخل"))</f>
        <v/>
      </c>
      <c r="H105" s="33"/>
      <c r="I105" s="33"/>
      <c r="J105" s="34" t="str">
        <f aca="false">IF(A105="","",IF(F105="دائن",'ميزان المراجعة'!D105-'ميزان المراجعة'!C105,'ميزان المراجعة'!C105-'ميزان المراجعة'!D105))</f>
        <v/>
      </c>
      <c r="K105" s="22" t="str">
        <f aca="false">IF(A105="","",IF(COUNTIF('شجرة الحسابات'!$A$9:$A$208,A105)&gt;1,"⚠ رقم مكرر",IF(OR(B105="",C105="",E105="",F105=""),"⚠ بيانات ناقصة",IF(C105&lt;&gt;"تحليلي","● حساب تجميعي",IF(H105="","⚠ حدد بند القائمة",IF(COUNTIF(L_LINES,H105)=0,"⚠ بند غير معروف","✔ سليم"))))))</f>
        <v/>
      </c>
    </row>
    <row r="106" customFormat="false" ht="15" hidden="false" customHeight="false" outlineLevel="0" collapsed="false">
      <c r="A106" s="32"/>
      <c r="B106" s="36"/>
      <c r="C106" s="32"/>
      <c r="D106" s="32"/>
      <c r="E106" s="33"/>
      <c r="F106" s="32"/>
      <c r="G106" s="22" t="str">
        <f aca="false">IF(E106="","",IF(OR(E106="الأصول",E106="الخصوم",E106="حقوق الملكية"),"المركز المالي","قائمة الدخل"))</f>
        <v/>
      </c>
      <c r="H106" s="33"/>
      <c r="I106" s="33"/>
      <c r="J106" s="34" t="str">
        <f aca="false">IF(A106="","",IF(F106="دائن",'ميزان المراجعة'!D106-'ميزان المراجعة'!C106,'ميزان المراجعة'!C106-'ميزان المراجعة'!D106))</f>
        <v/>
      </c>
      <c r="K106" s="22" t="str">
        <f aca="false">IF(A106="","",IF(COUNTIF('شجرة الحسابات'!$A$9:$A$208,A106)&gt;1,"⚠ رقم مكرر",IF(OR(B106="",C106="",E106="",F106=""),"⚠ بيانات ناقصة",IF(C106&lt;&gt;"تحليلي","● حساب تجميعي",IF(H106="","⚠ حدد بند القائمة",IF(COUNTIF(L_LINES,H106)=0,"⚠ بند غير معروف","✔ سليم"))))))</f>
        <v/>
      </c>
    </row>
    <row r="107" customFormat="false" ht="15" hidden="false" customHeight="false" outlineLevel="0" collapsed="false">
      <c r="A107" s="32"/>
      <c r="B107" s="36"/>
      <c r="C107" s="32"/>
      <c r="D107" s="32"/>
      <c r="E107" s="33"/>
      <c r="F107" s="32"/>
      <c r="G107" s="22" t="str">
        <f aca="false">IF(E107="","",IF(OR(E107="الأصول",E107="الخصوم",E107="حقوق الملكية"),"المركز المالي","قائمة الدخل"))</f>
        <v/>
      </c>
      <c r="H107" s="33"/>
      <c r="I107" s="33"/>
      <c r="J107" s="34" t="str">
        <f aca="false">IF(A107="","",IF(F107="دائن",'ميزان المراجعة'!D107-'ميزان المراجعة'!C107,'ميزان المراجعة'!C107-'ميزان المراجعة'!D107))</f>
        <v/>
      </c>
      <c r="K107" s="22" t="str">
        <f aca="false">IF(A107="","",IF(COUNTIF('شجرة الحسابات'!$A$9:$A$208,A107)&gt;1,"⚠ رقم مكرر",IF(OR(B107="",C107="",E107="",F107=""),"⚠ بيانات ناقصة",IF(C107&lt;&gt;"تحليلي","● حساب تجميعي",IF(H107="","⚠ حدد بند القائمة",IF(COUNTIF(L_LINES,H107)=0,"⚠ بند غير معروف","✔ سليم"))))))</f>
        <v/>
      </c>
    </row>
    <row r="108" customFormat="false" ht="15" hidden="false" customHeight="false" outlineLevel="0" collapsed="false">
      <c r="A108" s="32"/>
      <c r="B108" s="36"/>
      <c r="C108" s="32"/>
      <c r="D108" s="32"/>
      <c r="E108" s="33"/>
      <c r="F108" s="32"/>
      <c r="G108" s="22" t="str">
        <f aca="false">IF(E108="","",IF(OR(E108="الأصول",E108="الخصوم",E108="حقوق الملكية"),"المركز المالي","قائمة الدخل"))</f>
        <v/>
      </c>
      <c r="H108" s="33"/>
      <c r="I108" s="33"/>
      <c r="J108" s="34" t="str">
        <f aca="false">IF(A108="","",IF(F108="دائن",'ميزان المراجعة'!D108-'ميزان المراجعة'!C108,'ميزان المراجعة'!C108-'ميزان المراجعة'!D108))</f>
        <v/>
      </c>
      <c r="K108" s="22" t="str">
        <f aca="false">IF(A108="","",IF(COUNTIF('شجرة الحسابات'!$A$9:$A$208,A108)&gt;1,"⚠ رقم مكرر",IF(OR(B108="",C108="",E108="",F108=""),"⚠ بيانات ناقصة",IF(C108&lt;&gt;"تحليلي","● حساب تجميعي",IF(H108="","⚠ حدد بند القائمة",IF(COUNTIF(L_LINES,H108)=0,"⚠ بند غير معروف","✔ سليم"))))))</f>
        <v/>
      </c>
    </row>
    <row r="109" customFormat="false" ht="15" hidden="false" customHeight="false" outlineLevel="0" collapsed="false">
      <c r="A109" s="32"/>
      <c r="B109" s="36"/>
      <c r="C109" s="32"/>
      <c r="D109" s="32"/>
      <c r="E109" s="33"/>
      <c r="F109" s="32"/>
      <c r="G109" s="22" t="str">
        <f aca="false">IF(E109="","",IF(OR(E109="الأصول",E109="الخصوم",E109="حقوق الملكية"),"المركز المالي","قائمة الدخل"))</f>
        <v/>
      </c>
      <c r="H109" s="33"/>
      <c r="I109" s="33"/>
      <c r="J109" s="34" t="str">
        <f aca="false">IF(A109="","",IF(F109="دائن",'ميزان المراجعة'!D109-'ميزان المراجعة'!C109,'ميزان المراجعة'!C109-'ميزان المراجعة'!D109))</f>
        <v/>
      </c>
      <c r="K109" s="22" t="str">
        <f aca="false">IF(A109="","",IF(COUNTIF('شجرة الحسابات'!$A$9:$A$208,A109)&gt;1,"⚠ رقم مكرر",IF(OR(B109="",C109="",E109="",F109=""),"⚠ بيانات ناقصة",IF(C109&lt;&gt;"تحليلي","● حساب تجميعي",IF(H109="","⚠ حدد بند القائمة",IF(COUNTIF(L_LINES,H109)=0,"⚠ بند غير معروف","✔ سليم"))))))</f>
        <v/>
      </c>
    </row>
    <row r="110" customFormat="false" ht="15" hidden="false" customHeight="false" outlineLevel="0" collapsed="false">
      <c r="A110" s="32"/>
      <c r="B110" s="36"/>
      <c r="C110" s="32"/>
      <c r="D110" s="32"/>
      <c r="E110" s="33"/>
      <c r="F110" s="32"/>
      <c r="G110" s="22" t="str">
        <f aca="false">IF(E110="","",IF(OR(E110="الأصول",E110="الخصوم",E110="حقوق الملكية"),"المركز المالي","قائمة الدخل"))</f>
        <v/>
      </c>
      <c r="H110" s="33"/>
      <c r="I110" s="33"/>
      <c r="J110" s="34" t="str">
        <f aca="false">IF(A110="","",IF(F110="دائن",'ميزان المراجعة'!D110-'ميزان المراجعة'!C110,'ميزان المراجعة'!C110-'ميزان المراجعة'!D110))</f>
        <v/>
      </c>
      <c r="K110" s="22" t="str">
        <f aca="false">IF(A110="","",IF(COUNTIF('شجرة الحسابات'!$A$9:$A$208,A110)&gt;1,"⚠ رقم مكرر",IF(OR(B110="",C110="",E110="",F110=""),"⚠ بيانات ناقصة",IF(C110&lt;&gt;"تحليلي","● حساب تجميعي",IF(H110="","⚠ حدد بند القائمة",IF(COUNTIF(L_LINES,H110)=0,"⚠ بند غير معروف","✔ سليم"))))))</f>
        <v/>
      </c>
    </row>
    <row r="111" customFormat="false" ht="15" hidden="false" customHeight="false" outlineLevel="0" collapsed="false">
      <c r="A111" s="32"/>
      <c r="B111" s="36"/>
      <c r="C111" s="32"/>
      <c r="D111" s="32"/>
      <c r="E111" s="33"/>
      <c r="F111" s="32"/>
      <c r="G111" s="22" t="str">
        <f aca="false">IF(E111="","",IF(OR(E111="الأصول",E111="الخصوم",E111="حقوق الملكية"),"المركز المالي","قائمة الدخل"))</f>
        <v/>
      </c>
      <c r="H111" s="33"/>
      <c r="I111" s="33"/>
      <c r="J111" s="34" t="str">
        <f aca="false">IF(A111="","",IF(F111="دائن",'ميزان المراجعة'!D111-'ميزان المراجعة'!C111,'ميزان المراجعة'!C111-'ميزان المراجعة'!D111))</f>
        <v/>
      </c>
      <c r="K111" s="22" t="str">
        <f aca="false">IF(A111="","",IF(COUNTIF('شجرة الحسابات'!$A$9:$A$208,A111)&gt;1,"⚠ رقم مكرر",IF(OR(B111="",C111="",E111="",F111=""),"⚠ بيانات ناقصة",IF(C111&lt;&gt;"تحليلي","● حساب تجميعي",IF(H111="","⚠ حدد بند القائمة",IF(COUNTIF(L_LINES,H111)=0,"⚠ بند غير معروف","✔ سليم"))))))</f>
        <v/>
      </c>
    </row>
    <row r="112" customFormat="false" ht="15" hidden="false" customHeight="false" outlineLevel="0" collapsed="false">
      <c r="A112" s="32"/>
      <c r="B112" s="36"/>
      <c r="C112" s="32"/>
      <c r="D112" s="32"/>
      <c r="E112" s="33"/>
      <c r="F112" s="32"/>
      <c r="G112" s="22" t="str">
        <f aca="false">IF(E112="","",IF(OR(E112="الأصول",E112="الخصوم",E112="حقوق الملكية"),"المركز المالي","قائمة الدخل"))</f>
        <v/>
      </c>
      <c r="H112" s="33"/>
      <c r="I112" s="33"/>
      <c r="J112" s="34" t="str">
        <f aca="false">IF(A112="","",IF(F112="دائن",'ميزان المراجعة'!D112-'ميزان المراجعة'!C112,'ميزان المراجعة'!C112-'ميزان المراجعة'!D112))</f>
        <v/>
      </c>
      <c r="K112" s="22" t="str">
        <f aca="false">IF(A112="","",IF(COUNTIF('شجرة الحسابات'!$A$9:$A$208,A112)&gt;1,"⚠ رقم مكرر",IF(OR(B112="",C112="",E112="",F112=""),"⚠ بيانات ناقصة",IF(C112&lt;&gt;"تحليلي","● حساب تجميعي",IF(H112="","⚠ حدد بند القائمة",IF(COUNTIF(L_LINES,H112)=0,"⚠ بند غير معروف","✔ سليم"))))))</f>
        <v/>
      </c>
    </row>
    <row r="113" customFormat="false" ht="15" hidden="false" customHeight="false" outlineLevel="0" collapsed="false">
      <c r="A113" s="32"/>
      <c r="B113" s="36"/>
      <c r="C113" s="32"/>
      <c r="D113" s="32"/>
      <c r="E113" s="33"/>
      <c r="F113" s="32"/>
      <c r="G113" s="22" t="str">
        <f aca="false">IF(E113="","",IF(OR(E113="الأصول",E113="الخصوم",E113="حقوق الملكية"),"المركز المالي","قائمة الدخل"))</f>
        <v/>
      </c>
      <c r="H113" s="33"/>
      <c r="I113" s="33"/>
      <c r="J113" s="34" t="str">
        <f aca="false">IF(A113="","",IF(F113="دائن",'ميزان المراجعة'!D113-'ميزان المراجعة'!C113,'ميزان المراجعة'!C113-'ميزان المراجعة'!D113))</f>
        <v/>
      </c>
      <c r="K113" s="22" t="str">
        <f aca="false">IF(A113="","",IF(COUNTIF('شجرة الحسابات'!$A$9:$A$208,A113)&gt;1,"⚠ رقم مكرر",IF(OR(B113="",C113="",E113="",F113=""),"⚠ بيانات ناقصة",IF(C113&lt;&gt;"تحليلي","● حساب تجميعي",IF(H113="","⚠ حدد بند القائمة",IF(COUNTIF(L_LINES,H113)=0,"⚠ بند غير معروف","✔ سليم"))))))</f>
        <v/>
      </c>
    </row>
    <row r="114" customFormat="false" ht="15" hidden="false" customHeight="false" outlineLevel="0" collapsed="false">
      <c r="A114" s="32"/>
      <c r="B114" s="36"/>
      <c r="C114" s="32"/>
      <c r="D114" s="32"/>
      <c r="E114" s="33"/>
      <c r="F114" s="32"/>
      <c r="G114" s="22" t="str">
        <f aca="false">IF(E114="","",IF(OR(E114="الأصول",E114="الخصوم",E114="حقوق الملكية"),"المركز المالي","قائمة الدخل"))</f>
        <v/>
      </c>
      <c r="H114" s="33"/>
      <c r="I114" s="33"/>
      <c r="J114" s="34" t="str">
        <f aca="false">IF(A114="","",IF(F114="دائن",'ميزان المراجعة'!D114-'ميزان المراجعة'!C114,'ميزان المراجعة'!C114-'ميزان المراجعة'!D114))</f>
        <v/>
      </c>
      <c r="K114" s="22" t="str">
        <f aca="false">IF(A114="","",IF(COUNTIF('شجرة الحسابات'!$A$9:$A$208,A114)&gt;1,"⚠ رقم مكرر",IF(OR(B114="",C114="",E114="",F114=""),"⚠ بيانات ناقصة",IF(C114&lt;&gt;"تحليلي","● حساب تجميعي",IF(H114="","⚠ حدد بند القائمة",IF(COUNTIF(L_LINES,H114)=0,"⚠ بند غير معروف","✔ سليم"))))))</f>
        <v/>
      </c>
    </row>
    <row r="115" customFormat="false" ht="15" hidden="false" customHeight="false" outlineLevel="0" collapsed="false">
      <c r="A115" s="32"/>
      <c r="B115" s="36"/>
      <c r="C115" s="32"/>
      <c r="D115" s="32"/>
      <c r="E115" s="33"/>
      <c r="F115" s="32"/>
      <c r="G115" s="22" t="str">
        <f aca="false">IF(E115="","",IF(OR(E115="الأصول",E115="الخصوم",E115="حقوق الملكية"),"المركز المالي","قائمة الدخل"))</f>
        <v/>
      </c>
      <c r="H115" s="33"/>
      <c r="I115" s="33"/>
      <c r="J115" s="34" t="str">
        <f aca="false">IF(A115="","",IF(F115="دائن",'ميزان المراجعة'!D115-'ميزان المراجعة'!C115,'ميزان المراجعة'!C115-'ميزان المراجعة'!D115))</f>
        <v/>
      </c>
      <c r="K115" s="22" t="str">
        <f aca="false">IF(A115="","",IF(COUNTIF('شجرة الحسابات'!$A$9:$A$208,A115)&gt;1,"⚠ رقم مكرر",IF(OR(B115="",C115="",E115="",F115=""),"⚠ بيانات ناقصة",IF(C115&lt;&gt;"تحليلي","● حساب تجميعي",IF(H115="","⚠ حدد بند القائمة",IF(COUNTIF(L_LINES,H115)=0,"⚠ بند غير معروف","✔ سليم"))))))</f>
        <v/>
      </c>
    </row>
    <row r="116" customFormat="false" ht="15" hidden="false" customHeight="false" outlineLevel="0" collapsed="false">
      <c r="A116" s="32"/>
      <c r="B116" s="36"/>
      <c r="C116" s="32"/>
      <c r="D116" s="32"/>
      <c r="E116" s="33"/>
      <c r="F116" s="32"/>
      <c r="G116" s="22" t="str">
        <f aca="false">IF(E116="","",IF(OR(E116="الأصول",E116="الخصوم",E116="حقوق الملكية"),"المركز المالي","قائمة الدخل"))</f>
        <v/>
      </c>
      <c r="H116" s="33"/>
      <c r="I116" s="33"/>
      <c r="J116" s="34" t="str">
        <f aca="false">IF(A116="","",IF(F116="دائن",'ميزان المراجعة'!D116-'ميزان المراجعة'!C116,'ميزان المراجعة'!C116-'ميزان المراجعة'!D116))</f>
        <v/>
      </c>
      <c r="K116" s="22" t="str">
        <f aca="false">IF(A116="","",IF(COUNTIF('شجرة الحسابات'!$A$9:$A$208,A116)&gt;1,"⚠ رقم مكرر",IF(OR(B116="",C116="",E116="",F116=""),"⚠ بيانات ناقصة",IF(C116&lt;&gt;"تحليلي","● حساب تجميعي",IF(H116="","⚠ حدد بند القائمة",IF(COUNTIF(L_LINES,H116)=0,"⚠ بند غير معروف","✔ سليم"))))))</f>
        <v/>
      </c>
    </row>
    <row r="117" customFormat="false" ht="15" hidden="false" customHeight="false" outlineLevel="0" collapsed="false">
      <c r="A117" s="32"/>
      <c r="B117" s="36"/>
      <c r="C117" s="32"/>
      <c r="D117" s="32"/>
      <c r="E117" s="33"/>
      <c r="F117" s="32"/>
      <c r="G117" s="22" t="str">
        <f aca="false">IF(E117="","",IF(OR(E117="الأصول",E117="الخصوم",E117="حقوق الملكية"),"المركز المالي","قائمة الدخل"))</f>
        <v/>
      </c>
      <c r="H117" s="33"/>
      <c r="I117" s="33"/>
      <c r="J117" s="34" t="str">
        <f aca="false">IF(A117="","",IF(F117="دائن",'ميزان المراجعة'!D117-'ميزان المراجعة'!C117,'ميزان المراجعة'!C117-'ميزان المراجعة'!D117))</f>
        <v/>
      </c>
      <c r="K117" s="22" t="str">
        <f aca="false">IF(A117="","",IF(COUNTIF('شجرة الحسابات'!$A$9:$A$208,A117)&gt;1,"⚠ رقم مكرر",IF(OR(B117="",C117="",E117="",F117=""),"⚠ بيانات ناقصة",IF(C117&lt;&gt;"تحليلي","● حساب تجميعي",IF(H117="","⚠ حدد بند القائمة",IF(COUNTIF(L_LINES,H117)=0,"⚠ بند غير معروف","✔ سليم"))))))</f>
        <v/>
      </c>
    </row>
    <row r="118" customFormat="false" ht="15" hidden="false" customHeight="false" outlineLevel="0" collapsed="false">
      <c r="A118" s="32"/>
      <c r="B118" s="36"/>
      <c r="C118" s="32"/>
      <c r="D118" s="32"/>
      <c r="E118" s="33"/>
      <c r="F118" s="32"/>
      <c r="G118" s="22" t="str">
        <f aca="false">IF(E118="","",IF(OR(E118="الأصول",E118="الخصوم",E118="حقوق الملكية"),"المركز المالي","قائمة الدخل"))</f>
        <v/>
      </c>
      <c r="H118" s="33"/>
      <c r="I118" s="33"/>
      <c r="J118" s="34" t="str">
        <f aca="false">IF(A118="","",IF(F118="دائن",'ميزان المراجعة'!D118-'ميزان المراجعة'!C118,'ميزان المراجعة'!C118-'ميزان المراجعة'!D118))</f>
        <v/>
      </c>
      <c r="K118" s="22" t="str">
        <f aca="false">IF(A118="","",IF(COUNTIF('شجرة الحسابات'!$A$9:$A$208,A118)&gt;1,"⚠ رقم مكرر",IF(OR(B118="",C118="",E118="",F118=""),"⚠ بيانات ناقصة",IF(C118&lt;&gt;"تحليلي","● حساب تجميعي",IF(H118="","⚠ حدد بند القائمة",IF(COUNTIF(L_LINES,H118)=0,"⚠ بند غير معروف","✔ سليم"))))))</f>
        <v/>
      </c>
    </row>
    <row r="119" customFormat="false" ht="15" hidden="false" customHeight="false" outlineLevel="0" collapsed="false">
      <c r="A119" s="32"/>
      <c r="B119" s="36"/>
      <c r="C119" s="32"/>
      <c r="D119" s="32"/>
      <c r="E119" s="33"/>
      <c r="F119" s="32"/>
      <c r="G119" s="22" t="str">
        <f aca="false">IF(E119="","",IF(OR(E119="الأصول",E119="الخصوم",E119="حقوق الملكية"),"المركز المالي","قائمة الدخل"))</f>
        <v/>
      </c>
      <c r="H119" s="33"/>
      <c r="I119" s="33"/>
      <c r="J119" s="34" t="str">
        <f aca="false">IF(A119="","",IF(F119="دائن",'ميزان المراجعة'!D119-'ميزان المراجعة'!C119,'ميزان المراجعة'!C119-'ميزان المراجعة'!D119))</f>
        <v/>
      </c>
      <c r="K119" s="22" t="str">
        <f aca="false">IF(A119="","",IF(COUNTIF('شجرة الحسابات'!$A$9:$A$208,A119)&gt;1,"⚠ رقم مكرر",IF(OR(B119="",C119="",E119="",F119=""),"⚠ بيانات ناقصة",IF(C119&lt;&gt;"تحليلي","● حساب تجميعي",IF(H119="","⚠ حدد بند القائمة",IF(COUNTIF(L_LINES,H119)=0,"⚠ بند غير معروف","✔ سليم"))))))</f>
        <v/>
      </c>
    </row>
    <row r="120" customFormat="false" ht="15" hidden="false" customHeight="false" outlineLevel="0" collapsed="false">
      <c r="A120" s="32"/>
      <c r="B120" s="36"/>
      <c r="C120" s="32"/>
      <c r="D120" s="32"/>
      <c r="E120" s="33"/>
      <c r="F120" s="32"/>
      <c r="G120" s="22" t="str">
        <f aca="false">IF(E120="","",IF(OR(E120="الأصول",E120="الخصوم",E120="حقوق الملكية"),"المركز المالي","قائمة الدخل"))</f>
        <v/>
      </c>
      <c r="H120" s="33"/>
      <c r="I120" s="33"/>
      <c r="J120" s="34" t="str">
        <f aca="false">IF(A120="","",IF(F120="دائن",'ميزان المراجعة'!D120-'ميزان المراجعة'!C120,'ميزان المراجعة'!C120-'ميزان المراجعة'!D120))</f>
        <v/>
      </c>
      <c r="K120" s="22" t="str">
        <f aca="false">IF(A120="","",IF(COUNTIF('شجرة الحسابات'!$A$9:$A$208,A120)&gt;1,"⚠ رقم مكرر",IF(OR(B120="",C120="",E120="",F120=""),"⚠ بيانات ناقصة",IF(C120&lt;&gt;"تحليلي","● حساب تجميعي",IF(H120="","⚠ حدد بند القائمة",IF(COUNTIF(L_LINES,H120)=0,"⚠ بند غير معروف","✔ سليم"))))))</f>
        <v/>
      </c>
    </row>
    <row r="121" customFormat="false" ht="15" hidden="false" customHeight="false" outlineLevel="0" collapsed="false">
      <c r="A121" s="32"/>
      <c r="B121" s="36"/>
      <c r="C121" s="32"/>
      <c r="D121" s="32"/>
      <c r="E121" s="33"/>
      <c r="F121" s="32"/>
      <c r="G121" s="22" t="str">
        <f aca="false">IF(E121="","",IF(OR(E121="الأصول",E121="الخصوم",E121="حقوق الملكية"),"المركز المالي","قائمة الدخل"))</f>
        <v/>
      </c>
      <c r="H121" s="33"/>
      <c r="I121" s="33"/>
      <c r="J121" s="34" t="str">
        <f aca="false">IF(A121="","",IF(F121="دائن",'ميزان المراجعة'!D121-'ميزان المراجعة'!C121,'ميزان المراجعة'!C121-'ميزان المراجعة'!D121))</f>
        <v/>
      </c>
      <c r="K121" s="22" t="str">
        <f aca="false">IF(A121="","",IF(COUNTIF('شجرة الحسابات'!$A$9:$A$208,A121)&gt;1,"⚠ رقم مكرر",IF(OR(B121="",C121="",E121="",F121=""),"⚠ بيانات ناقصة",IF(C121&lt;&gt;"تحليلي","● حساب تجميعي",IF(H121="","⚠ حدد بند القائمة",IF(COUNTIF(L_LINES,H121)=0,"⚠ بند غير معروف","✔ سليم"))))))</f>
        <v/>
      </c>
    </row>
    <row r="122" customFormat="false" ht="15" hidden="false" customHeight="false" outlineLevel="0" collapsed="false">
      <c r="A122" s="32"/>
      <c r="B122" s="36"/>
      <c r="C122" s="32"/>
      <c r="D122" s="32"/>
      <c r="E122" s="33"/>
      <c r="F122" s="32"/>
      <c r="G122" s="22" t="str">
        <f aca="false">IF(E122="","",IF(OR(E122="الأصول",E122="الخصوم",E122="حقوق الملكية"),"المركز المالي","قائمة الدخل"))</f>
        <v/>
      </c>
      <c r="H122" s="33"/>
      <c r="I122" s="33"/>
      <c r="J122" s="34" t="str">
        <f aca="false">IF(A122="","",IF(F122="دائن",'ميزان المراجعة'!D122-'ميزان المراجعة'!C122,'ميزان المراجعة'!C122-'ميزان المراجعة'!D122))</f>
        <v/>
      </c>
      <c r="K122" s="22" t="str">
        <f aca="false">IF(A122="","",IF(COUNTIF('شجرة الحسابات'!$A$9:$A$208,A122)&gt;1,"⚠ رقم مكرر",IF(OR(B122="",C122="",E122="",F122=""),"⚠ بيانات ناقصة",IF(C122&lt;&gt;"تحليلي","● حساب تجميعي",IF(H122="","⚠ حدد بند القائمة",IF(COUNTIF(L_LINES,H122)=0,"⚠ بند غير معروف","✔ سليم"))))))</f>
        <v/>
      </c>
    </row>
    <row r="123" customFormat="false" ht="15" hidden="false" customHeight="false" outlineLevel="0" collapsed="false">
      <c r="A123" s="32"/>
      <c r="B123" s="36"/>
      <c r="C123" s="32"/>
      <c r="D123" s="32"/>
      <c r="E123" s="33"/>
      <c r="F123" s="32"/>
      <c r="G123" s="22" t="str">
        <f aca="false">IF(E123="","",IF(OR(E123="الأصول",E123="الخصوم",E123="حقوق الملكية"),"المركز المالي","قائمة الدخل"))</f>
        <v/>
      </c>
      <c r="H123" s="33"/>
      <c r="I123" s="33"/>
      <c r="J123" s="34" t="str">
        <f aca="false">IF(A123="","",IF(F123="دائن",'ميزان المراجعة'!D123-'ميزان المراجعة'!C123,'ميزان المراجعة'!C123-'ميزان المراجعة'!D123))</f>
        <v/>
      </c>
      <c r="K123" s="22" t="str">
        <f aca="false">IF(A123="","",IF(COUNTIF('شجرة الحسابات'!$A$9:$A$208,A123)&gt;1,"⚠ رقم مكرر",IF(OR(B123="",C123="",E123="",F123=""),"⚠ بيانات ناقصة",IF(C123&lt;&gt;"تحليلي","● حساب تجميعي",IF(H123="","⚠ حدد بند القائمة",IF(COUNTIF(L_LINES,H123)=0,"⚠ بند غير معروف","✔ سليم"))))))</f>
        <v/>
      </c>
    </row>
    <row r="124" customFormat="false" ht="15" hidden="false" customHeight="false" outlineLevel="0" collapsed="false">
      <c r="A124" s="32"/>
      <c r="B124" s="36"/>
      <c r="C124" s="32"/>
      <c r="D124" s="32"/>
      <c r="E124" s="33"/>
      <c r="F124" s="32"/>
      <c r="G124" s="22" t="str">
        <f aca="false">IF(E124="","",IF(OR(E124="الأصول",E124="الخصوم",E124="حقوق الملكية"),"المركز المالي","قائمة الدخل"))</f>
        <v/>
      </c>
      <c r="H124" s="33"/>
      <c r="I124" s="33"/>
      <c r="J124" s="34" t="str">
        <f aca="false">IF(A124="","",IF(F124="دائن",'ميزان المراجعة'!D124-'ميزان المراجعة'!C124,'ميزان المراجعة'!C124-'ميزان المراجعة'!D124))</f>
        <v/>
      </c>
      <c r="K124" s="22" t="str">
        <f aca="false">IF(A124="","",IF(COUNTIF('شجرة الحسابات'!$A$9:$A$208,A124)&gt;1,"⚠ رقم مكرر",IF(OR(B124="",C124="",E124="",F124=""),"⚠ بيانات ناقصة",IF(C124&lt;&gt;"تحليلي","● حساب تجميعي",IF(H124="","⚠ حدد بند القائمة",IF(COUNTIF(L_LINES,H124)=0,"⚠ بند غير معروف","✔ سليم"))))))</f>
        <v/>
      </c>
    </row>
    <row r="125" customFormat="false" ht="15" hidden="false" customHeight="false" outlineLevel="0" collapsed="false">
      <c r="A125" s="32"/>
      <c r="B125" s="36"/>
      <c r="C125" s="32"/>
      <c r="D125" s="32"/>
      <c r="E125" s="33"/>
      <c r="F125" s="32"/>
      <c r="G125" s="22" t="str">
        <f aca="false">IF(E125="","",IF(OR(E125="الأصول",E125="الخصوم",E125="حقوق الملكية"),"المركز المالي","قائمة الدخل"))</f>
        <v/>
      </c>
      <c r="H125" s="33"/>
      <c r="I125" s="33"/>
      <c r="J125" s="34" t="str">
        <f aca="false">IF(A125="","",IF(F125="دائن",'ميزان المراجعة'!D125-'ميزان المراجعة'!C125,'ميزان المراجعة'!C125-'ميزان المراجعة'!D125))</f>
        <v/>
      </c>
      <c r="K125" s="22" t="str">
        <f aca="false">IF(A125="","",IF(COUNTIF('شجرة الحسابات'!$A$9:$A$208,A125)&gt;1,"⚠ رقم مكرر",IF(OR(B125="",C125="",E125="",F125=""),"⚠ بيانات ناقصة",IF(C125&lt;&gt;"تحليلي","● حساب تجميعي",IF(H125="","⚠ حدد بند القائمة",IF(COUNTIF(L_LINES,H125)=0,"⚠ بند غير معروف","✔ سليم"))))))</f>
        <v/>
      </c>
    </row>
    <row r="126" customFormat="false" ht="15" hidden="false" customHeight="false" outlineLevel="0" collapsed="false">
      <c r="A126" s="32"/>
      <c r="B126" s="36"/>
      <c r="C126" s="32"/>
      <c r="D126" s="32"/>
      <c r="E126" s="33"/>
      <c r="F126" s="32"/>
      <c r="G126" s="22" t="str">
        <f aca="false">IF(E126="","",IF(OR(E126="الأصول",E126="الخصوم",E126="حقوق الملكية"),"المركز المالي","قائمة الدخل"))</f>
        <v/>
      </c>
      <c r="H126" s="33"/>
      <c r="I126" s="33"/>
      <c r="J126" s="34" t="str">
        <f aca="false">IF(A126="","",IF(F126="دائن",'ميزان المراجعة'!D126-'ميزان المراجعة'!C126,'ميزان المراجعة'!C126-'ميزان المراجعة'!D126))</f>
        <v/>
      </c>
      <c r="K126" s="22" t="str">
        <f aca="false">IF(A126="","",IF(COUNTIF('شجرة الحسابات'!$A$9:$A$208,A126)&gt;1,"⚠ رقم مكرر",IF(OR(B126="",C126="",E126="",F126=""),"⚠ بيانات ناقصة",IF(C126&lt;&gt;"تحليلي","● حساب تجميعي",IF(H126="","⚠ حدد بند القائمة",IF(COUNTIF(L_LINES,H126)=0,"⚠ بند غير معروف","✔ سليم"))))))</f>
        <v/>
      </c>
    </row>
    <row r="127" customFormat="false" ht="15" hidden="false" customHeight="false" outlineLevel="0" collapsed="false">
      <c r="A127" s="32"/>
      <c r="B127" s="36"/>
      <c r="C127" s="32"/>
      <c r="D127" s="32"/>
      <c r="E127" s="33"/>
      <c r="F127" s="32"/>
      <c r="G127" s="22" t="str">
        <f aca="false">IF(E127="","",IF(OR(E127="الأصول",E127="الخصوم",E127="حقوق الملكية"),"المركز المالي","قائمة الدخل"))</f>
        <v/>
      </c>
      <c r="H127" s="33"/>
      <c r="I127" s="33"/>
      <c r="J127" s="34" t="str">
        <f aca="false">IF(A127="","",IF(F127="دائن",'ميزان المراجعة'!D127-'ميزان المراجعة'!C127,'ميزان المراجعة'!C127-'ميزان المراجعة'!D127))</f>
        <v/>
      </c>
      <c r="K127" s="22" t="str">
        <f aca="false">IF(A127="","",IF(COUNTIF('شجرة الحسابات'!$A$9:$A$208,A127)&gt;1,"⚠ رقم مكرر",IF(OR(B127="",C127="",E127="",F127=""),"⚠ بيانات ناقصة",IF(C127&lt;&gt;"تحليلي","● حساب تجميعي",IF(H127="","⚠ حدد بند القائمة",IF(COUNTIF(L_LINES,H127)=0,"⚠ بند غير معروف","✔ سليم"))))))</f>
        <v/>
      </c>
    </row>
    <row r="128" customFormat="false" ht="15" hidden="false" customHeight="false" outlineLevel="0" collapsed="false">
      <c r="A128" s="32"/>
      <c r="B128" s="36"/>
      <c r="C128" s="32"/>
      <c r="D128" s="32"/>
      <c r="E128" s="33"/>
      <c r="F128" s="32"/>
      <c r="G128" s="22" t="str">
        <f aca="false">IF(E128="","",IF(OR(E128="الأصول",E128="الخصوم",E128="حقوق الملكية"),"المركز المالي","قائمة الدخل"))</f>
        <v/>
      </c>
      <c r="H128" s="33"/>
      <c r="I128" s="33"/>
      <c r="J128" s="34" t="str">
        <f aca="false">IF(A128="","",IF(F128="دائن",'ميزان المراجعة'!D128-'ميزان المراجعة'!C128,'ميزان المراجعة'!C128-'ميزان المراجعة'!D128))</f>
        <v/>
      </c>
      <c r="K128" s="22" t="str">
        <f aca="false">IF(A128="","",IF(COUNTIF('شجرة الحسابات'!$A$9:$A$208,A128)&gt;1,"⚠ رقم مكرر",IF(OR(B128="",C128="",E128="",F128=""),"⚠ بيانات ناقصة",IF(C128&lt;&gt;"تحليلي","● حساب تجميعي",IF(H128="","⚠ حدد بند القائمة",IF(COUNTIF(L_LINES,H128)=0,"⚠ بند غير معروف","✔ سليم"))))))</f>
        <v/>
      </c>
    </row>
    <row r="129" customFormat="false" ht="15" hidden="false" customHeight="false" outlineLevel="0" collapsed="false">
      <c r="A129" s="32"/>
      <c r="B129" s="36"/>
      <c r="C129" s="32"/>
      <c r="D129" s="32"/>
      <c r="E129" s="33"/>
      <c r="F129" s="32"/>
      <c r="G129" s="22" t="str">
        <f aca="false">IF(E129="","",IF(OR(E129="الأصول",E129="الخصوم",E129="حقوق الملكية"),"المركز المالي","قائمة الدخل"))</f>
        <v/>
      </c>
      <c r="H129" s="33"/>
      <c r="I129" s="33"/>
      <c r="J129" s="34" t="str">
        <f aca="false">IF(A129="","",IF(F129="دائن",'ميزان المراجعة'!D129-'ميزان المراجعة'!C129,'ميزان المراجعة'!C129-'ميزان المراجعة'!D129))</f>
        <v/>
      </c>
      <c r="K129" s="22" t="str">
        <f aca="false">IF(A129="","",IF(COUNTIF('شجرة الحسابات'!$A$9:$A$208,A129)&gt;1,"⚠ رقم مكرر",IF(OR(B129="",C129="",E129="",F129=""),"⚠ بيانات ناقصة",IF(C129&lt;&gt;"تحليلي","● حساب تجميعي",IF(H129="","⚠ حدد بند القائمة",IF(COUNTIF(L_LINES,H129)=0,"⚠ بند غير معروف","✔ سليم"))))))</f>
        <v/>
      </c>
    </row>
    <row r="130" customFormat="false" ht="15" hidden="false" customHeight="false" outlineLevel="0" collapsed="false">
      <c r="A130" s="32"/>
      <c r="B130" s="36"/>
      <c r="C130" s="32"/>
      <c r="D130" s="32"/>
      <c r="E130" s="33"/>
      <c r="F130" s="32"/>
      <c r="G130" s="22" t="str">
        <f aca="false">IF(E130="","",IF(OR(E130="الأصول",E130="الخصوم",E130="حقوق الملكية"),"المركز المالي","قائمة الدخل"))</f>
        <v/>
      </c>
      <c r="H130" s="33"/>
      <c r="I130" s="33"/>
      <c r="J130" s="34" t="str">
        <f aca="false">IF(A130="","",IF(F130="دائن",'ميزان المراجعة'!D130-'ميزان المراجعة'!C130,'ميزان المراجعة'!C130-'ميزان المراجعة'!D130))</f>
        <v/>
      </c>
      <c r="K130" s="22" t="str">
        <f aca="false">IF(A130="","",IF(COUNTIF('شجرة الحسابات'!$A$9:$A$208,A130)&gt;1,"⚠ رقم مكرر",IF(OR(B130="",C130="",E130="",F130=""),"⚠ بيانات ناقصة",IF(C130&lt;&gt;"تحليلي","● حساب تجميعي",IF(H130="","⚠ حدد بند القائمة",IF(COUNTIF(L_LINES,H130)=0,"⚠ بند غير معروف","✔ سليم"))))))</f>
        <v/>
      </c>
    </row>
    <row r="131" customFormat="false" ht="15" hidden="false" customHeight="false" outlineLevel="0" collapsed="false">
      <c r="A131" s="32"/>
      <c r="B131" s="36"/>
      <c r="C131" s="32"/>
      <c r="D131" s="32"/>
      <c r="E131" s="33"/>
      <c r="F131" s="32"/>
      <c r="G131" s="22" t="str">
        <f aca="false">IF(E131="","",IF(OR(E131="الأصول",E131="الخصوم",E131="حقوق الملكية"),"المركز المالي","قائمة الدخل"))</f>
        <v/>
      </c>
      <c r="H131" s="33"/>
      <c r="I131" s="33"/>
      <c r="J131" s="34" t="str">
        <f aca="false">IF(A131="","",IF(F131="دائن",'ميزان المراجعة'!D131-'ميزان المراجعة'!C131,'ميزان المراجعة'!C131-'ميزان المراجعة'!D131))</f>
        <v/>
      </c>
      <c r="K131" s="22" t="str">
        <f aca="false">IF(A131="","",IF(COUNTIF('شجرة الحسابات'!$A$9:$A$208,A131)&gt;1,"⚠ رقم مكرر",IF(OR(B131="",C131="",E131="",F131=""),"⚠ بيانات ناقصة",IF(C131&lt;&gt;"تحليلي","● حساب تجميعي",IF(H131="","⚠ حدد بند القائمة",IF(COUNTIF(L_LINES,H131)=0,"⚠ بند غير معروف","✔ سليم"))))))</f>
        <v/>
      </c>
    </row>
    <row r="132" customFormat="false" ht="15" hidden="false" customHeight="false" outlineLevel="0" collapsed="false">
      <c r="A132" s="32"/>
      <c r="B132" s="36"/>
      <c r="C132" s="32"/>
      <c r="D132" s="32"/>
      <c r="E132" s="33"/>
      <c r="F132" s="32"/>
      <c r="G132" s="22" t="str">
        <f aca="false">IF(E132="","",IF(OR(E132="الأصول",E132="الخصوم",E132="حقوق الملكية"),"المركز المالي","قائمة الدخل"))</f>
        <v/>
      </c>
      <c r="H132" s="33"/>
      <c r="I132" s="33"/>
      <c r="J132" s="34" t="str">
        <f aca="false">IF(A132="","",IF(F132="دائن",'ميزان المراجعة'!D132-'ميزان المراجعة'!C132,'ميزان المراجعة'!C132-'ميزان المراجعة'!D132))</f>
        <v/>
      </c>
      <c r="K132" s="22" t="str">
        <f aca="false">IF(A132="","",IF(COUNTIF('شجرة الحسابات'!$A$9:$A$208,A132)&gt;1,"⚠ رقم مكرر",IF(OR(B132="",C132="",E132="",F132=""),"⚠ بيانات ناقصة",IF(C132&lt;&gt;"تحليلي","● حساب تجميعي",IF(H132="","⚠ حدد بند القائمة",IF(COUNTIF(L_LINES,H132)=0,"⚠ بند غير معروف","✔ سليم"))))))</f>
        <v/>
      </c>
    </row>
    <row r="133" customFormat="false" ht="15" hidden="false" customHeight="false" outlineLevel="0" collapsed="false">
      <c r="A133" s="32"/>
      <c r="B133" s="36"/>
      <c r="C133" s="32"/>
      <c r="D133" s="32"/>
      <c r="E133" s="33"/>
      <c r="F133" s="32"/>
      <c r="G133" s="22" t="str">
        <f aca="false">IF(E133="","",IF(OR(E133="الأصول",E133="الخصوم",E133="حقوق الملكية"),"المركز المالي","قائمة الدخل"))</f>
        <v/>
      </c>
      <c r="H133" s="33"/>
      <c r="I133" s="33"/>
      <c r="J133" s="34" t="str">
        <f aca="false">IF(A133="","",IF(F133="دائن",'ميزان المراجعة'!D133-'ميزان المراجعة'!C133,'ميزان المراجعة'!C133-'ميزان المراجعة'!D133))</f>
        <v/>
      </c>
      <c r="K133" s="22" t="str">
        <f aca="false">IF(A133="","",IF(COUNTIF('شجرة الحسابات'!$A$9:$A$208,A133)&gt;1,"⚠ رقم مكرر",IF(OR(B133="",C133="",E133="",F133=""),"⚠ بيانات ناقصة",IF(C133&lt;&gt;"تحليلي","● حساب تجميعي",IF(H133="","⚠ حدد بند القائمة",IF(COUNTIF(L_LINES,H133)=0,"⚠ بند غير معروف","✔ سليم"))))))</f>
        <v/>
      </c>
    </row>
    <row r="134" customFormat="false" ht="15" hidden="false" customHeight="false" outlineLevel="0" collapsed="false">
      <c r="A134" s="32"/>
      <c r="B134" s="36"/>
      <c r="C134" s="32"/>
      <c r="D134" s="32"/>
      <c r="E134" s="33"/>
      <c r="F134" s="32"/>
      <c r="G134" s="22" t="str">
        <f aca="false">IF(E134="","",IF(OR(E134="الأصول",E134="الخصوم",E134="حقوق الملكية"),"المركز المالي","قائمة الدخل"))</f>
        <v/>
      </c>
      <c r="H134" s="33"/>
      <c r="I134" s="33"/>
      <c r="J134" s="34" t="str">
        <f aca="false">IF(A134="","",IF(F134="دائن",'ميزان المراجعة'!D134-'ميزان المراجعة'!C134,'ميزان المراجعة'!C134-'ميزان المراجعة'!D134))</f>
        <v/>
      </c>
      <c r="K134" s="22" t="str">
        <f aca="false">IF(A134="","",IF(COUNTIF('شجرة الحسابات'!$A$9:$A$208,A134)&gt;1,"⚠ رقم مكرر",IF(OR(B134="",C134="",E134="",F134=""),"⚠ بيانات ناقصة",IF(C134&lt;&gt;"تحليلي","● حساب تجميعي",IF(H134="","⚠ حدد بند القائمة",IF(COUNTIF(L_LINES,H134)=0,"⚠ بند غير معروف","✔ سليم"))))))</f>
        <v/>
      </c>
    </row>
    <row r="135" customFormat="false" ht="15" hidden="false" customHeight="false" outlineLevel="0" collapsed="false">
      <c r="A135" s="32"/>
      <c r="B135" s="36"/>
      <c r="C135" s="32"/>
      <c r="D135" s="32"/>
      <c r="E135" s="33"/>
      <c r="F135" s="32"/>
      <c r="G135" s="22" t="str">
        <f aca="false">IF(E135="","",IF(OR(E135="الأصول",E135="الخصوم",E135="حقوق الملكية"),"المركز المالي","قائمة الدخل"))</f>
        <v/>
      </c>
      <c r="H135" s="33"/>
      <c r="I135" s="33"/>
      <c r="J135" s="34" t="str">
        <f aca="false">IF(A135="","",IF(F135="دائن",'ميزان المراجعة'!D135-'ميزان المراجعة'!C135,'ميزان المراجعة'!C135-'ميزان المراجعة'!D135))</f>
        <v/>
      </c>
      <c r="K135" s="22" t="str">
        <f aca="false">IF(A135="","",IF(COUNTIF('شجرة الحسابات'!$A$9:$A$208,A135)&gt;1,"⚠ رقم مكرر",IF(OR(B135="",C135="",E135="",F135=""),"⚠ بيانات ناقصة",IF(C135&lt;&gt;"تحليلي","● حساب تجميعي",IF(H135="","⚠ حدد بند القائمة",IF(COUNTIF(L_LINES,H135)=0,"⚠ بند غير معروف","✔ سليم"))))))</f>
        <v/>
      </c>
    </row>
    <row r="136" customFormat="false" ht="15" hidden="false" customHeight="false" outlineLevel="0" collapsed="false">
      <c r="A136" s="32"/>
      <c r="B136" s="36"/>
      <c r="C136" s="32"/>
      <c r="D136" s="32"/>
      <c r="E136" s="33"/>
      <c r="F136" s="32"/>
      <c r="G136" s="22" t="str">
        <f aca="false">IF(E136="","",IF(OR(E136="الأصول",E136="الخصوم",E136="حقوق الملكية"),"المركز المالي","قائمة الدخل"))</f>
        <v/>
      </c>
      <c r="H136" s="33"/>
      <c r="I136" s="33"/>
      <c r="J136" s="34" t="str">
        <f aca="false">IF(A136="","",IF(F136="دائن",'ميزان المراجعة'!D136-'ميزان المراجعة'!C136,'ميزان المراجعة'!C136-'ميزان المراجعة'!D136))</f>
        <v/>
      </c>
      <c r="K136" s="22" t="str">
        <f aca="false">IF(A136="","",IF(COUNTIF('شجرة الحسابات'!$A$9:$A$208,A136)&gt;1,"⚠ رقم مكرر",IF(OR(B136="",C136="",E136="",F136=""),"⚠ بيانات ناقصة",IF(C136&lt;&gt;"تحليلي","● حساب تجميعي",IF(H136="","⚠ حدد بند القائمة",IF(COUNTIF(L_LINES,H136)=0,"⚠ بند غير معروف","✔ سليم"))))))</f>
        <v/>
      </c>
    </row>
    <row r="137" customFormat="false" ht="15" hidden="false" customHeight="false" outlineLevel="0" collapsed="false">
      <c r="A137" s="32"/>
      <c r="B137" s="36"/>
      <c r="C137" s="32"/>
      <c r="D137" s="32"/>
      <c r="E137" s="33"/>
      <c r="F137" s="32"/>
      <c r="G137" s="22" t="str">
        <f aca="false">IF(E137="","",IF(OR(E137="الأصول",E137="الخصوم",E137="حقوق الملكية"),"المركز المالي","قائمة الدخل"))</f>
        <v/>
      </c>
      <c r="H137" s="33"/>
      <c r="I137" s="33"/>
      <c r="J137" s="34" t="str">
        <f aca="false">IF(A137="","",IF(F137="دائن",'ميزان المراجعة'!D137-'ميزان المراجعة'!C137,'ميزان المراجعة'!C137-'ميزان المراجعة'!D137))</f>
        <v/>
      </c>
      <c r="K137" s="22" t="str">
        <f aca="false">IF(A137="","",IF(COUNTIF('شجرة الحسابات'!$A$9:$A$208,A137)&gt;1,"⚠ رقم مكرر",IF(OR(B137="",C137="",E137="",F137=""),"⚠ بيانات ناقصة",IF(C137&lt;&gt;"تحليلي","● حساب تجميعي",IF(H137="","⚠ حدد بند القائمة",IF(COUNTIF(L_LINES,H137)=0,"⚠ بند غير معروف","✔ سليم"))))))</f>
        <v/>
      </c>
    </row>
    <row r="138" customFormat="false" ht="15" hidden="false" customHeight="false" outlineLevel="0" collapsed="false">
      <c r="A138" s="32"/>
      <c r="B138" s="36"/>
      <c r="C138" s="32"/>
      <c r="D138" s="32"/>
      <c r="E138" s="33"/>
      <c r="F138" s="32"/>
      <c r="G138" s="22" t="str">
        <f aca="false">IF(E138="","",IF(OR(E138="الأصول",E138="الخصوم",E138="حقوق الملكية"),"المركز المالي","قائمة الدخل"))</f>
        <v/>
      </c>
      <c r="H138" s="33"/>
      <c r="I138" s="33"/>
      <c r="J138" s="34" t="str">
        <f aca="false">IF(A138="","",IF(F138="دائن",'ميزان المراجعة'!D138-'ميزان المراجعة'!C138,'ميزان المراجعة'!C138-'ميزان المراجعة'!D138))</f>
        <v/>
      </c>
      <c r="K138" s="22" t="str">
        <f aca="false">IF(A138="","",IF(COUNTIF('شجرة الحسابات'!$A$9:$A$208,A138)&gt;1,"⚠ رقم مكرر",IF(OR(B138="",C138="",E138="",F138=""),"⚠ بيانات ناقصة",IF(C138&lt;&gt;"تحليلي","● حساب تجميعي",IF(H138="","⚠ حدد بند القائمة",IF(COUNTIF(L_LINES,H138)=0,"⚠ بند غير معروف","✔ سليم"))))))</f>
        <v/>
      </c>
    </row>
    <row r="139" customFormat="false" ht="15" hidden="false" customHeight="false" outlineLevel="0" collapsed="false">
      <c r="A139" s="32"/>
      <c r="B139" s="36"/>
      <c r="C139" s="32"/>
      <c r="D139" s="32"/>
      <c r="E139" s="33"/>
      <c r="F139" s="32"/>
      <c r="G139" s="22" t="str">
        <f aca="false">IF(E139="","",IF(OR(E139="الأصول",E139="الخصوم",E139="حقوق الملكية"),"المركز المالي","قائمة الدخل"))</f>
        <v/>
      </c>
      <c r="H139" s="33"/>
      <c r="I139" s="33"/>
      <c r="J139" s="34" t="str">
        <f aca="false">IF(A139="","",IF(F139="دائن",'ميزان المراجعة'!D139-'ميزان المراجعة'!C139,'ميزان المراجعة'!C139-'ميزان المراجعة'!D139))</f>
        <v/>
      </c>
      <c r="K139" s="22" t="str">
        <f aca="false">IF(A139="","",IF(COUNTIF('شجرة الحسابات'!$A$9:$A$208,A139)&gt;1,"⚠ رقم مكرر",IF(OR(B139="",C139="",E139="",F139=""),"⚠ بيانات ناقصة",IF(C139&lt;&gt;"تحليلي","● حساب تجميعي",IF(H139="","⚠ حدد بند القائمة",IF(COUNTIF(L_LINES,H139)=0,"⚠ بند غير معروف","✔ سليم"))))))</f>
        <v/>
      </c>
    </row>
    <row r="140" customFormat="false" ht="15" hidden="false" customHeight="false" outlineLevel="0" collapsed="false">
      <c r="A140" s="32"/>
      <c r="B140" s="36"/>
      <c r="C140" s="32"/>
      <c r="D140" s="32"/>
      <c r="E140" s="33"/>
      <c r="F140" s="32"/>
      <c r="G140" s="22" t="str">
        <f aca="false">IF(E140="","",IF(OR(E140="الأصول",E140="الخصوم",E140="حقوق الملكية"),"المركز المالي","قائمة الدخل"))</f>
        <v/>
      </c>
      <c r="H140" s="33"/>
      <c r="I140" s="33"/>
      <c r="J140" s="34" t="str">
        <f aca="false">IF(A140="","",IF(F140="دائن",'ميزان المراجعة'!D140-'ميزان المراجعة'!C140,'ميزان المراجعة'!C140-'ميزان المراجعة'!D140))</f>
        <v/>
      </c>
      <c r="K140" s="22" t="str">
        <f aca="false">IF(A140="","",IF(COUNTIF('شجرة الحسابات'!$A$9:$A$208,A140)&gt;1,"⚠ رقم مكرر",IF(OR(B140="",C140="",E140="",F140=""),"⚠ بيانات ناقصة",IF(C140&lt;&gt;"تحليلي","● حساب تجميعي",IF(H140="","⚠ حدد بند القائمة",IF(COUNTIF(L_LINES,H140)=0,"⚠ بند غير معروف","✔ سليم"))))))</f>
        <v/>
      </c>
    </row>
    <row r="141" customFormat="false" ht="15" hidden="false" customHeight="false" outlineLevel="0" collapsed="false">
      <c r="A141" s="32"/>
      <c r="B141" s="36"/>
      <c r="C141" s="32"/>
      <c r="D141" s="32"/>
      <c r="E141" s="33"/>
      <c r="F141" s="32"/>
      <c r="G141" s="22" t="str">
        <f aca="false">IF(E141="","",IF(OR(E141="الأصول",E141="الخصوم",E141="حقوق الملكية"),"المركز المالي","قائمة الدخل"))</f>
        <v/>
      </c>
      <c r="H141" s="33"/>
      <c r="I141" s="33"/>
      <c r="J141" s="34" t="str">
        <f aca="false">IF(A141="","",IF(F141="دائن",'ميزان المراجعة'!D141-'ميزان المراجعة'!C141,'ميزان المراجعة'!C141-'ميزان المراجعة'!D141))</f>
        <v/>
      </c>
      <c r="K141" s="22" t="str">
        <f aca="false">IF(A141="","",IF(COUNTIF('شجرة الحسابات'!$A$9:$A$208,A141)&gt;1,"⚠ رقم مكرر",IF(OR(B141="",C141="",E141="",F141=""),"⚠ بيانات ناقصة",IF(C141&lt;&gt;"تحليلي","● حساب تجميعي",IF(H141="","⚠ حدد بند القائمة",IF(COUNTIF(L_LINES,H141)=0,"⚠ بند غير معروف","✔ سليم"))))))</f>
        <v/>
      </c>
    </row>
    <row r="142" customFormat="false" ht="15" hidden="false" customHeight="false" outlineLevel="0" collapsed="false">
      <c r="A142" s="32"/>
      <c r="B142" s="36"/>
      <c r="C142" s="32"/>
      <c r="D142" s="32"/>
      <c r="E142" s="33"/>
      <c r="F142" s="32"/>
      <c r="G142" s="22" t="str">
        <f aca="false">IF(E142="","",IF(OR(E142="الأصول",E142="الخصوم",E142="حقوق الملكية"),"المركز المالي","قائمة الدخل"))</f>
        <v/>
      </c>
      <c r="H142" s="33"/>
      <c r="I142" s="33"/>
      <c r="J142" s="34" t="str">
        <f aca="false">IF(A142="","",IF(F142="دائن",'ميزان المراجعة'!D142-'ميزان المراجعة'!C142,'ميزان المراجعة'!C142-'ميزان المراجعة'!D142))</f>
        <v/>
      </c>
      <c r="K142" s="22" t="str">
        <f aca="false">IF(A142="","",IF(COUNTIF('شجرة الحسابات'!$A$9:$A$208,A142)&gt;1,"⚠ رقم مكرر",IF(OR(B142="",C142="",E142="",F142=""),"⚠ بيانات ناقصة",IF(C142&lt;&gt;"تحليلي","● حساب تجميعي",IF(H142="","⚠ حدد بند القائمة",IF(COUNTIF(L_LINES,H142)=0,"⚠ بند غير معروف","✔ سليم"))))))</f>
        <v/>
      </c>
    </row>
    <row r="143" customFormat="false" ht="15" hidden="false" customHeight="false" outlineLevel="0" collapsed="false">
      <c r="A143" s="32"/>
      <c r="B143" s="36"/>
      <c r="C143" s="32"/>
      <c r="D143" s="32"/>
      <c r="E143" s="33"/>
      <c r="F143" s="32"/>
      <c r="G143" s="22" t="str">
        <f aca="false">IF(E143="","",IF(OR(E143="الأصول",E143="الخصوم",E143="حقوق الملكية"),"المركز المالي","قائمة الدخل"))</f>
        <v/>
      </c>
      <c r="H143" s="33"/>
      <c r="I143" s="33"/>
      <c r="J143" s="34" t="str">
        <f aca="false">IF(A143="","",IF(F143="دائن",'ميزان المراجعة'!D143-'ميزان المراجعة'!C143,'ميزان المراجعة'!C143-'ميزان المراجعة'!D143))</f>
        <v/>
      </c>
      <c r="K143" s="22" t="str">
        <f aca="false">IF(A143="","",IF(COUNTIF('شجرة الحسابات'!$A$9:$A$208,A143)&gt;1,"⚠ رقم مكرر",IF(OR(B143="",C143="",E143="",F143=""),"⚠ بيانات ناقصة",IF(C143&lt;&gt;"تحليلي","● حساب تجميعي",IF(H143="","⚠ حدد بند القائمة",IF(COUNTIF(L_LINES,H143)=0,"⚠ بند غير معروف","✔ سليم"))))))</f>
        <v/>
      </c>
    </row>
    <row r="144" customFormat="false" ht="15" hidden="false" customHeight="false" outlineLevel="0" collapsed="false">
      <c r="A144" s="32"/>
      <c r="B144" s="36"/>
      <c r="C144" s="32"/>
      <c r="D144" s="32"/>
      <c r="E144" s="33"/>
      <c r="F144" s="32"/>
      <c r="G144" s="22" t="str">
        <f aca="false">IF(E144="","",IF(OR(E144="الأصول",E144="الخصوم",E144="حقوق الملكية"),"المركز المالي","قائمة الدخل"))</f>
        <v/>
      </c>
      <c r="H144" s="33"/>
      <c r="I144" s="33"/>
      <c r="J144" s="34" t="str">
        <f aca="false">IF(A144="","",IF(F144="دائن",'ميزان المراجعة'!D144-'ميزان المراجعة'!C144,'ميزان المراجعة'!C144-'ميزان المراجعة'!D144))</f>
        <v/>
      </c>
      <c r="K144" s="22" t="str">
        <f aca="false">IF(A144="","",IF(COUNTIF('شجرة الحسابات'!$A$9:$A$208,A144)&gt;1,"⚠ رقم مكرر",IF(OR(B144="",C144="",E144="",F144=""),"⚠ بيانات ناقصة",IF(C144&lt;&gt;"تحليلي","● حساب تجميعي",IF(H144="","⚠ حدد بند القائمة",IF(COUNTIF(L_LINES,H144)=0,"⚠ بند غير معروف","✔ سليم"))))))</f>
        <v/>
      </c>
    </row>
    <row r="145" customFormat="false" ht="15" hidden="false" customHeight="false" outlineLevel="0" collapsed="false">
      <c r="A145" s="32"/>
      <c r="B145" s="36"/>
      <c r="C145" s="32"/>
      <c r="D145" s="32"/>
      <c r="E145" s="33"/>
      <c r="F145" s="32"/>
      <c r="G145" s="22" t="str">
        <f aca="false">IF(E145="","",IF(OR(E145="الأصول",E145="الخصوم",E145="حقوق الملكية"),"المركز المالي","قائمة الدخل"))</f>
        <v/>
      </c>
      <c r="H145" s="33"/>
      <c r="I145" s="33"/>
      <c r="J145" s="34" t="str">
        <f aca="false">IF(A145="","",IF(F145="دائن",'ميزان المراجعة'!D145-'ميزان المراجعة'!C145,'ميزان المراجعة'!C145-'ميزان المراجعة'!D145))</f>
        <v/>
      </c>
      <c r="K145" s="22" t="str">
        <f aca="false">IF(A145="","",IF(COUNTIF('شجرة الحسابات'!$A$9:$A$208,A145)&gt;1,"⚠ رقم مكرر",IF(OR(B145="",C145="",E145="",F145=""),"⚠ بيانات ناقصة",IF(C145&lt;&gt;"تحليلي","● حساب تجميعي",IF(H145="","⚠ حدد بند القائمة",IF(COUNTIF(L_LINES,H145)=0,"⚠ بند غير معروف","✔ سليم"))))))</f>
        <v/>
      </c>
    </row>
    <row r="146" customFormat="false" ht="15" hidden="false" customHeight="false" outlineLevel="0" collapsed="false">
      <c r="A146" s="32"/>
      <c r="B146" s="36"/>
      <c r="C146" s="32"/>
      <c r="D146" s="32"/>
      <c r="E146" s="33"/>
      <c r="F146" s="32"/>
      <c r="G146" s="22" t="str">
        <f aca="false">IF(E146="","",IF(OR(E146="الأصول",E146="الخصوم",E146="حقوق الملكية"),"المركز المالي","قائمة الدخل"))</f>
        <v/>
      </c>
      <c r="H146" s="33"/>
      <c r="I146" s="33"/>
      <c r="J146" s="34" t="str">
        <f aca="false">IF(A146="","",IF(F146="دائن",'ميزان المراجعة'!D146-'ميزان المراجعة'!C146,'ميزان المراجعة'!C146-'ميزان المراجعة'!D146))</f>
        <v/>
      </c>
      <c r="K146" s="22" t="str">
        <f aca="false">IF(A146="","",IF(COUNTIF('شجرة الحسابات'!$A$9:$A$208,A146)&gt;1,"⚠ رقم مكرر",IF(OR(B146="",C146="",E146="",F146=""),"⚠ بيانات ناقصة",IF(C146&lt;&gt;"تحليلي","● حساب تجميعي",IF(H146="","⚠ حدد بند القائمة",IF(COUNTIF(L_LINES,H146)=0,"⚠ بند غير معروف","✔ سليم"))))))</f>
        <v/>
      </c>
    </row>
    <row r="147" customFormat="false" ht="15" hidden="false" customHeight="false" outlineLevel="0" collapsed="false">
      <c r="A147" s="32"/>
      <c r="B147" s="36"/>
      <c r="C147" s="32"/>
      <c r="D147" s="32"/>
      <c r="E147" s="33"/>
      <c r="F147" s="32"/>
      <c r="G147" s="22" t="str">
        <f aca="false">IF(E147="","",IF(OR(E147="الأصول",E147="الخصوم",E147="حقوق الملكية"),"المركز المالي","قائمة الدخل"))</f>
        <v/>
      </c>
      <c r="H147" s="33"/>
      <c r="I147" s="33"/>
      <c r="J147" s="34" t="str">
        <f aca="false">IF(A147="","",IF(F147="دائن",'ميزان المراجعة'!D147-'ميزان المراجعة'!C147,'ميزان المراجعة'!C147-'ميزان المراجعة'!D147))</f>
        <v/>
      </c>
      <c r="K147" s="22" t="str">
        <f aca="false">IF(A147="","",IF(COUNTIF('شجرة الحسابات'!$A$9:$A$208,A147)&gt;1,"⚠ رقم مكرر",IF(OR(B147="",C147="",E147="",F147=""),"⚠ بيانات ناقصة",IF(C147&lt;&gt;"تحليلي","● حساب تجميعي",IF(H147="","⚠ حدد بند القائمة",IF(COUNTIF(L_LINES,H147)=0,"⚠ بند غير معروف","✔ سليم"))))))</f>
        <v/>
      </c>
    </row>
    <row r="148" customFormat="false" ht="15" hidden="false" customHeight="false" outlineLevel="0" collapsed="false">
      <c r="A148" s="32"/>
      <c r="B148" s="36"/>
      <c r="C148" s="32"/>
      <c r="D148" s="32"/>
      <c r="E148" s="33"/>
      <c r="F148" s="32"/>
      <c r="G148" s="22" t="str">
        <f aca="false">IF(E148="","",IF(OR(E148="الأصول",E148="الخصوم",E148="حقوق الملكية"),"المركز المالي","قائمة الدخل"))</f>
        <v/>
      </c>
      <c r="H148" s="33"/>
      <c r="I148" s="33"/>
      <c r="J148" s="34" t="str">
        <f aca="false">IF(A148="","",IF(F148="دائن",'ميزان المراجعة'!D148-'ميزان المراجعة'!C148,'ميزان المراجعة'!C148-'ميزان المراجعة'!D148))</f>
        <v/>
      </c>
      <c r="K148" s="22" t="str">
        <f aca="false">IF(A148="","",IF(COUNTIF('شجرة الحسابات'!$A$9:$A$208,A148)&gt;1,"⚠ رقم مكرر",IF(OR(B148="",C148="",E148="",F148=""),"⚠ بيانات ناقصة",IF(C148&lt;&gt;"تحليلي","● حساب تجميعي",IF(H148="","⚠ حدد بند القائمة",IF(COUNTIF(L_LINES,H148)=0,"⚠ بند غير معروف","✔ سليم"))))))</f>
        <v/>
      </c>
    </row>
    <row r="149" customFormat="false" ht="15" hidden="false" customHeight="false" outlineLevel="0" collapsed="false">
      <c r="A149" s="32"/>
      <c r="B149" s="36"/>
      <c r="C149" s="32"/>
      <c r="D149" s="32"/>
      <c r="E149" s="33"/>
      <c r="F149" s="32"/>
      <c r="G149" s="22" t="str">
        <f aca="false">IF(E149="","",IF(OR(E149="الأصول",E149="الخصوم",E149="حقوق الملكية"),"المركز المالي","قائمة الدخل"))</f>
        <v/>
      </c>
      <c r="H149" s="33"/>
      <c r="I149" s="33"/>
      <c r="J149" s="34" t="str">
        <f aca="false">IF(A149="","",IF(F149="دائن",'ميزان المراجعة'!D149-'ميزان المراجعة'!C149,'ميزان المراجعة'!C149-'ميزان المراجعة'!D149))</f>
        <v/>
      </c>
      <c r="K149" s="22" t="str">
        <f aca="false">IF(A149="","",IF(COUNTIF('شجرة الحسابات'!$A$9:$A$208,A149)&gt;1,"⚠ رقم مكرر",IF(OR(B149="",C149="",E149="",F149=""),"⚠ بيانات ناقصة",IF(C149&lt;&gt;"تحليلي","● حساب تجميعي",IF(H149="","⚠ حدد بند القائمة",IF(COUNTIF(L_LINES,H149)=0,"⚠ بند غير معروف","✔ سليم"))))))</f>
        <v/>
      </c>
    </row>
    <row r="150" customFormat="false" ht="15" hidden="false" customHeight="false" outlineLevel="0" collapsed="false">
      <c r="A150" s="32"/>
      <c r="B150" s="36"/>
      <c r="C150" s="32"/>
      <c r="D150" s="32"/>
      <c r="E150" s="33"/>
      <c r="F150" s="32"/>
      <c r="G150" s="22" t="str">
        <f aca="false">IF(E150="","",IF(OR(E150="الأصول",E150="الخصوم",E150="حقوق الملكية"),"المركز المالي","قائمة الدخل"))</f>
        <v/>
      </c>
      <c r="H150" s="33"/>
      <c r="I150" s="33"/>
      <c r="J150" s="34" t="str">
        <f aca="false">IF(A150="","",IF(F150="دائن",'ميزان المراجعة'!D150-'ميزان المراجعة'!C150,'ميزان المراجعة'!C150-'ميزان المراجعة'!D150))</f>
        <v/>
      </c>
      <c r="K150" s="22" t="str">
        <f aca="false">IF(A150="","",IF(COUNTIF('شجرة الحسابات'!$A$9:$A$208,A150)&gt;1,"⚠ رقم مكرر",IF(OR(B150="",C150="",E150="",F150=""),"⚠ بيانات ناقصة",IF(C150&lt;&gt;"تحليلي","● حساب تجميعي",IF(H150="","⚠ حدد بند القائمة",IF(COUNTIF(L_LINES,H150)=0,"⚠ بند غير معروف","✔ سليم"))))))</f>
        <v/>
      </c>
    </row>
    <row r="151" customFormat="false" ht="15" hidden="false" customHeight="false" outlineLevel="0" collapsed="false">
      <c r="A151" s="32"/>
      <c r="B151" s="36"/>
      <c r="C151" s="32"/>
      <c r="D151" s="32"/>
      <c r="E151" s="33"/>
      <c r="F151" s="32"/>
      <c r="G151" s="22" t="str">
        <f aca="false">IF(E151="","",IF(OR(E151="الأصول",E151="الخصوم",E151="حقوق الملكية"),"المركز المالي","قائمة الدخل"))</f>
        <v/>
      </c>
      <c r="H151" s="33"/>
      <c r="I151" s="33"/>
      <c r="J151" s="34" t="str">
        <f aca="false">IF(A151="","",IF(F151="دائن",'ميزان المراجعة'!D151-'ميزان المراجعة'!C151,'ميزان المراجعة'!C151-'ميزان المراجعة'!D151))</f>
        <v/>
      </c>
      <c r="K151" s="22" t="str">
        <f aca="false">IF(A151="","",IF(COUNTIF('شجرة الحسابات'!$A$9:$A$208,A151)&gt;1,"⚠ رقم مكرر",IF(OR(B151="",C151="",E151="",F151=""),"⚠ بيانات ناقصة",IF(C151&lt;&gt;"تحليلي","● حساب تجميعي",IF(H151="","⚠ حدد بند القائمة",IF(COUNTIF(L_LINES,H151)=0,"⚠ بند غير معروف","✔ سليم"))))))</f>
        <v/>
      </c>
    </row>
    <row r="152" customFormat="false" ht="15" hidden="false" customHeight="false" outlineLevel="0" collapsed="false">
      <c r="A152" s="32"/>
      <c r="B152" s="36"/>
      <c r="C152" s="32"/>
      <c r="D152" s="32"/>
      <c r="E152" s="33"/>
      <c r="F152" s="32"/>
      <c r="G152" s="22" t="str">
        <f aca="false">IF(E152="","",IF(OR(E152="الأصول",E152="الخصوم",E152="حقوق الملكية"),"المركز المالي","قائمة الدخل"))</f>
        <v/>
      </c>
      <c r="H152" s="33"/>
      <c r="I152" s="33"/>
      <c r="J152" s="34" t="str">
        <f aca="false">IF(A152="","",IF(F152="دائن",'ميزان المراجعة'!D152-'ميزان المراجعة'!C152,'ميزان المراجعة'!C152-'ميزان المراجعة'!D152))</f>
        <v/>
      </c>
      <c r="K152" s="22" t="str">
        <f aca="false">IF(A152="","",IF(COUNTIF('شجرة الحسابات'!$A$9:$A$208,A152)&gt;1,"⚠ رقم مكرر",IF(OR(B152="",C152="",E152="",F152=""),"⚠ بيانات ناقصة",IF(C152&lt;&gt;"تحليلي","● حساب تجميعي",IF(H152="","⚠ حدد بند القائمة",IF(COUNTIF(L_LINES,H152)=0,"⚠ بند غير معروف","✔ سليم"))))))</f>
        <v/>
      </c>
    </row>
    <row r="153" customFormat="false" ht="15" hidden="false" customHeight="false" outlineLevel="0" collapsed="false">
      <c r="A153" s="32"/>
      <c r="B153" s="36"/>
      <c r="C153" s="32"/>
      <c r="D153" s="32"/>
      <c r="E153" s="33"/>
      <c r="F153" s="32"/>
      <c r="G153" s="22" t="str">
        <f aca="false">IF(E153="","",IF(OR(E153="الأصول",E153="الخصوم",E153="حقوق الملكية"),"المركز المالي","قائمة الدخل"))</f>
        <v/>
      </c>
      <c r="H153" s="33"/>
      <c r="I153" s="33"/>
      <c r="J153" s="34" t="str">
        <f aca="false">IF(A153="","",IF(F153="دائن",'ميزان المراجعة'!D153-'ميزان المراجعة'!C153,'ميزان المراجعة'!C153-'ميزان المراجعة'!D153))</f>
        <v/>
      </c>
      <c r="K153" s="22" t="str">
        <f aca="false">IF(A153="","",IF(COUNTIF('شجرة الحسابات'!$A$9:$A$208,A153)&gt;1,"⚠ رقم مكرر",IF(OR(B153="",C153="",E153="",F153=""),"⚠ بيانات ناقصة",IF(C153&lt;&gt;"تحليلي","● حساب تجميعي",IF(H153="","⚠ حدد بند القائمة",IF(COUNTIF(L_LINES,H153)=0,"⚠ بند غير معروف","✔ سليم"))))))</f>
        <v/>
      </c>
    </row>
    <row r="154" customFormat="false" ht="15" hidden="false" customHeight="false" outlineLevel="0" collapsed="false">
      <c r="A154" s="32"/>
      <c r="B154" s="36"/>
      <c r="C154" s="32"/>
      <c r="D154" s="32"/>
      <c r="E154" s="33"/>
      <c r="F154" s="32"/>
      <c r="G154" s="22" t="str">
        <f aca="false">IF(E154="","",IF(OR(E154="الأصول",E154="الخصوم",E154="حقوق الملكية"),"المركز المالي","قائمة الدخل"))</f>
        <v/>
      </c>
      <c r="H154" s="33"/>
      <c r="I154" s="33"/>
      <c r="J154" s="34" t="str">
        <f aca="false">IF(A154="","",IF(F154="دائن",'ميزان المراجعة'!D154-'ميزان المراجعة'!C154,'ميزان المراجعة'!C154-'ميزان المراجعة'!D154))</f>
        <v/>
      </c>
      <c r="K154" s="22" t="str">
        <f aca="false">IF(A154="","",IF(COUNTIF('شجرة الحسابات'!$A$9:$A$208,A154)&gt;1,"⚠ رقم مكرر",IF(OR(B154="",C154="",E154="",F154=""),"⚠ بيانات ناقصة",IF(C154&lt;&gt;"تحليلي","● حساب تجميعي",IF(H154="","⚠ حدد بند القائمة",IF(COUNTIF(L_LINES,H154)=0,"⚠ بند غير معروف","✔ سليم"))))))</f>
        <v/>
      </c>
    </row>
    <row r="155" customFormat="false" ht="15" hidden="false" customHeight="false" outlineLevel="0" collapsed="false">
      <c r="A155" s="32"/>
      <c r="B155" s="36"/>
      <c r="C155" s="32"/>
      <c r="D155" s="32"/>
      <c r="E155" s="33"/>
      <c r="F155" s="32"/>
      <c r="G155" s="22" t="str">
        <f aca="false">IF(E155="","",IF(OR(E155="الأصول",E155="الخصوم",E155="حقوق الملكية"),"المركز المالي","قائمة الدخل"))</f>
        <v/>
      </c>
      <c r="H155" s="33"/>
      <c r="I155" s="33"/>
      <c r="J155" s="34" t="str">
        <f aca="false">IF(A155="","",IF(F155="دائن",'ميزان المراجعة'!D155-'ميزان المراجعة'!C155,'ميزان المراجعة'!C155-'ميزان المراجعة'!D155))</f>
        <v/>
      </c>
      <c r="K155" s="22" t="str">
        <f aca="false">IF(A155="","",IF(COUNTIF('شجرة الحسابات'!$A$9:$A$208,A155)&gt;1,"⚠ رقم مكرر",IF(OR(B155="",C155="",E155="",F155=""),"⚠ بيانات ناقصة",IF(C155&lt;&gt;"تحليلي","● حساب تجميعي",IF(H155="","⚠ حدد بند القائمة",IF(COUNTIF(L_LINES,H155)=0,"⚠ بند غير معروف","✔ سليم"))))))</f>
        <v/>
      </c>
    </row>
    <row r="156" customFormat="false" ht="15" hidden="false" customHeight="false" outlineLevel="0" collapsed="false">
      <c r="A156" s="32"/>
      <c r="B156" s="36"/>
      <c r="C156" s="32"/>
      <c r="D156" s="32"/>
      <c r="E156" s="33"/>
      <c r="F156" s="32"/>
      <c r="G156" s="22" t="str">
        <f aca="false">IF(E156="","",IF(OR(E156="الأصول",E156="الخصوم",E156="حقوق الملكية"),"المركز المالي","قائمة الدخل"))</f>
        <v/>
      </c>
      <c r="H156" s="33"/>
      <c r="I156" s="33"/>
      <c r="J156" s="34" t="str">
        <f aca="false">IF(A156="","",IF(F156="دائن",'ميزان المراجعة'!D156-'ميزان المراجعة'!C156,'ميزان المراجعة'!C156-'ميزان المراجعة'!D156))</f>
        <v/>
      </c>
      <c r="K156" s="22" t="str">
        <f aca="false">IF(A156="","",IF(COUNTIF('شجرة الحسابات'!$A$9:$A$208,A156)&gt;1,"⚠ رقم مكرر",IF(OR(B156="",C156="",E156="",F156=""),"⚠ بيانات ناقصة",IF(C156&lt;&gt;"تحليلي","● حساب تجميعي",IF(H156="","⚠ حدد بند القائمة",IF(COUNTIF(L_LINES,H156)=0,"⚠ بند غير معروف","✔ سليم"))))))</f>
        <v/>
      </c>
    </row>
    <row r="157" customFormat="false" ht="15" hidden="false" customHeight="false" outlineLevel="0" collapsed="false">
      <c r="A157" s="32"/>
      <c r="B157" s="36"/>
      <c r="C157" s="32"/>
      <c r="D157" s="32"/>
      <c r="E157" s="33"/>
      <c r="F157" s="32"/>
      <c r="G157" s="22" t="str">
        <f aca="false">IF(E157="","",IF(OR(E157="الأصول",E157="الخصوم",E157="حقوق الملكية"),"المركز المالي","قائمة الدخل"))</f>
        <v/>
      </c>
      <c r="H157" s="33"/>
      <c r="I157" s="33"/>
      <c r="J157" s="34" t="str">
        <f aca="false">IF(A157="","",IF(F157="دائن",'ميزان المراجعة'!D157-'ميزان المراجعة'!C157,'ميزان المراجعة'!C157-'ميزان المراجعة'!D157))</f>
        <v/>
      </c>
      <c r="K157" s="22" t="str">
        <f aca="false">IF(A157="","",IF(COUNTIF('شجرة الحسابات'!$A$9:$A$208,A157)&gt;1,"⚠ رقم مكرر",IF(OR(B157="",C157="",E157="",F157=""),"⚠ بيانات ناقصة",IF(C157&lt;&gt;"تحليلي","● حساب تجميعي",IF(H157="","⚠ حدد بند القائمة",IF(COUNTIF(L_LINES,H157)=0,"⚠ بند غير معروف","✔ سليم"))))))</f>
        <v/>
      </c>
    </row>
    <row r="158" customFormat="false" ht="15" hidden="false" customHeight="false" outlineLevel="0" collapsed="false">
      <c r="A158" s="32"/>
      <c r="B158" s="36"/>
      <c r="C158" s="32"/>
      <c r="D158" s="32"/>
      <c r="E158" s="33"/>
      <c r="F158" s="32"/>
      <c r="G158" s="22" t="str">
        <f aca="false">IF(E158="","",IF(OR(E158="الأصول",E158="الخصوم",E158="حقوق الملكية"),"المركز المالي","قائمة الدخل"))</f>
        <v/>
      </c>
      <c r="H158" s="33"/>
      <c r="I158" s="33"/>
      <c r="J158" s="34" t="str">
        <f aca="false">IF(A158="","",IF(F158="دائن",'ميزان المراجعة'!D158-'ميزان المراجعة'!C158,'ميزان المراجعة'!C158-'ميزان المراجعة'!D158))</f>
        <v/>
      </c>
      <c r="K158" s="22" t="str">
        <f aca="false">IF(A158="","",IF(COUNTIF('شجرة الحسابات'!$A$9:$A$208,A158)&gt;1,"⚠ رقم مكرر",IF(OR(B158="",C158="",E158="",F158=""),"⚠ بيانات ناقصة",IF(C158&lt;&gt;"تحليلي","● حساب تجميعي",IF(H158="","⚠ حدد بند القائمة",IF(COUNTIF(L_LINES,H158)=0,"⚠ بند غير معروف","✔ سليم"))))))</f>
        <v/>
      </c>
    </row>
    <row r="159" customFormat="false" ht="15" hidden="false" customHeight="false" outlineLevel="0" collapsed="false">
      <c r="A159" s="32"/>
      <c r="B159" s="36"/>
      <c r="C159" s="32"/>
      <c r="D159" s="32"/>
      <c r="E159" s="33"/>
      <c r="F159" s="32"/>
      <c r="G159" s="22" t="str">
        <f aca="false">IF(E159="","",IF(OR(E159="الأصول",E159="الخصوم",E159="حقوق الملكية"),"المركز المالي","قائمة الدخل"))</f>
        <v/>
      </c>
      <c r="H159" s="33"/>
      <c r="I159" s="33"/>
      <c r="J159" s="34" t="str">
        <f aca="false">IF(A159="","",IF(F159="دائن",'ميزان المراجعة'!D159-'ميزان المراجعة'!C159,'ميزان المراجعة'!C159-'ميزان المراجعة'!D159))</f>
        <v/>
      </c>
      <c r="K159" s="22" t="str">
        <f aca="false">IF(A159="","",IF(COUNTIF('شجرة الحسابات'!$A$9:$A$208,A159)&gt;1,"⚠ رقم مكرر",IF(OR(B159="",C159="",E159="",F159=""),"⚠ بيانات ناقصة",IF(C159&lt;&gt;"تحليلي","● حساب تجميعي",IF(H159="","⚠ حدد بند القائمة",IF(COUNTIF(L_LINES,H159)=0,"⚠ بند غير معروف","✔ سليم"))))))</f>
        <v/>
      </c>
    </row>
    <row r="160" customFormat="false" ht="15" hidden="false" customHeight="false" outlineLevel="0" collapsed="false">
      <c r="A160" s="32"/>
      <c r="B160" s="36"/>
      <c r="C160" s="32"/>
      <c r="D160" s="32"/>
      <c r="E160" s="33"/>
      <c r="F160" s="32"/>
      <c r="G160" s="22" t="str">
        <f aca="false">IF(E160="","",IF(OR(E160="الأصول",E160="الخصوم",E160="حقوق الملكية"),"المركز المالي","قائمة الدخل"))</f>
        <v/>
      </c>
      <c r="H160" s="33"/>
      <c r="I160" s="33"/>
      <c r="J160" s="34" t="str">
        <f aca="false">IF(A160="","",IF(F160="دائن",'ميزان المراجعة'!D160-'ميزان المراجعة'!C160,'ميزان المراجعة'!C160-'ميزان المراجعة'!D160))</f>
        <v/>
      </c>
      <c r="K160" s="22" t="str">
        <f aca="false">IF(A160="","",IF(COUNTIF('شجرة الحسابات'!$A$9:$A$208,A160)&gt;1,"⚠ رقم مكرر",IF(OR(B160="",C160="",E160="",F160=""),"⚠ بيانات ناقصة",IF(C160&lt;&gt;"تحليلي","● حساب تجميعي",IF(H160="","⚠ حدد بند القائمة",IF(COUNTIF(L_LINES,H160)=0,"⚠ بند غير معروف","✔ سليم"))))))</f>
        <v/>
      </c>
    </row>
    <row r="161" customFormat="false" ht="15" hidden="false" customHeight="false" outlineLevel="0" collapsed="false">
      <c r="A161" s="32"/>
      <c r="B161" s="36"/>
      <c r="C161" s="32"/>
      <c r="D161" s="32"/>
      <c r="E161" s="33"/>
      <c r="F161" s="32"/>
      <c r="G161" s="22" t="str">
        <f aca="false">IF(E161="","",IF(OR(E161="الأصول",E161="الخصوم",E161="حقوق الملكية"),"المركز المالي","قائمة الدخل"))</f>
        <v/>
      </c>
      <c r="H161" s="33"/>
      <c r="I161" s="33"/>
      <c r="J161" s="34" t="str">
        <f aca="false">IF(A161="","",IF(F161="دائن",'ميزان المراجعة'!D161-'ميزان المراجعة'!C161,'ميزان المراجعة'!C161-'ميزان المراجعة'!D161))</f>
        <v/>
      </c>
      <c r="K161" s="22" t="str">
        <f aca="false">IF(A161="","",IF(COUNTIF('شجرة الحسابات'!$A$9:$A$208,A161)&gt;1,"⚠ رقم مكرر",IF(OR(B161="",C161="",E161="",F161=""),"⚠ بيانات ناقصة",IF(C161&lt;&gt;"تحليلي","● حساب تجميعي",IF(H161="","⚠ حدد بند القائمة",IF(COUNTIF(L_LINES,H161)=0,"⚠ بند غير معروف","✔ سليم"))))))</f>
        <v/>
      </c>
    </row>
    <row r="162" customFormat="false" ht="15" hidden="false" customHeight="false" outlineLevel="0" collapsed="false">
      <c r="A162" s="32"/>
      <c r="B162" s="36"/>
      <c r="C162" s="32"/>
      <c r="D162" s="32"/>
      <c r="E162" s="33"/>
      <c r="F162" s="32"/>
      <c r="G162" s="22" t="str">
        <f aca="false">IF(E162="","",IF(OR(E162="الأصول",E162="الخصوم",E162="حقوق الملكية"),"المركز المالي","قائمة الدخل"))</f>
        <v/>
      </c>
      <c r="H162" s="33"/>
      <c r="I162" s="33"/>
      <c r="J162" s="34" t="str">
        <f aca="false">IF(A162="","",IF(F162="دائن",'ميزان المراجعة'!D162-'ميزان المراجعة'!C162,'ميزان المراجعة'!C162-'ميزان المراجعة'!D162))</f>
        <v/>
      </c>
      <c r="K162" s="22" t="str">
        <f aca="false">IF(A162="","",IF(COUNTIF('شجرة الحسابات'!$A$9:$A$208,A162)&gt;1,"⚠ رقم مكرر",IF(OR(B162="",C162="",E162="",F162=""),"⚠ بيانات ناقصة",IF(C162&lt;&gt;"تحليلي","● حساب تجميعي",IF(H162="","⚠ حدد بند القائمة",IF(COUNTIF(L_LINES,H162)=0,"⚠ بند غير معروف","✔ سليم"))))))</f>
        <v/>
      </c>
    </row>
    <row r="163" customFormat="false" ht="15" hidden="false" customHeight="false" outlineLevel="0" collapsed="false">
      <c r="A163" s="32"/>
      <c r="B163" s="36"/>
      <c r="C163" s="32"/>
      <c r="D163" s="32"/>
      <c r="E163" s="33"/>
      <c r="F163" s="32"/>
      <c r="G163" s="22" t="str">
        <f aca="false">IF(E163="","",IF(OR(E163="الأصول",E163="الخصوم",E163="حقوق الملكية"),"المركز المالي","قائمة الدخل"))</f>
        <v/>
      </c>
      <c r="H163" s="33"/>
      <c r="I163" s="33"/>
      <c r="J163" s="34" t="str">
        <f aca="false">IF(A163="","",IF(F163="دائن",'ميزان المراجعة'!D163-'ميزان المراجعة'!C163,'ميزان المراجعة'!C163-'ميزان المراجعة'!D163))</f>
        <v/>
      </c>
      <c r="K163" s="22" t="str">
        <f aca="false">IF(A163="","",IF(COUNTIF('شجرة الحسابات'!$A$9:$A$208,A163)&gt;1,"⚠ رقم مكرر",IF(OR(B163="",C163="",E163="",F163=""),"⚠ بيانات ناقصة",IF(C163&lt;&gt;"تحليلي","● حساب تجميعي",IF(H163="","⚠ حدد بند القائمة",IF(COUNTIF(L_LINES,H163)=0,"⚠ بند غير معروف","✔ سليم"))))))</f>
        <v/>
      </c>
    </row>
    <row r="164" customFormat="false" ht="15" hidden="false" customHeight="false" outlineLevel="0" collapsed="false">
      <c r="A164" s="32"/>
      <c r="B164" s="36"/>
      <c r="C164" s="32"/>
      <c r="D164" s="32"/>
      <c r="E164" s="33"/>
      <c r="F164" s="32"/>
      <c r="G164" s="22" t="str">
        <f aca="false">IF(E164="","",IF(OR(E164="الأصول",E164="الخصوم",E164="حقوق الملكية"),"المركز المالي","قائمة الدخل"))</f>
        <v/>
      </c>
      <c r="H164" s="33"/>
      <c r="I164" s="33"/>
      <c r="J164" s="34" t="str">
        <f aca="false">IF(A164="","",IF(F164="دائن",'ميزان المراجعة'!D164-'ميزان المراجعة'!C164,'ميزان المراجعة'!C164-'ميزان المراجعة'!D164))</f>
        <v/>
      </c>
      <c r="K164" s="22" t="str">
        <f aca="false">IF(A164="","",IF(COUNTIF('شجرة الحسابات'!$A$9:$A$208,A164)&gt;1,"⚠ رقم مكرر",IF(OR(B164="",C164="",E164="",F164=""),"⚠ بيانات ناقصة",IF(C164&lt;&gt;"تحليلي","● حساب تجميعي",IF(H164="","⚠ حدد بند القائمة",IF(COUNTIF(L_LINES,H164)=0,"⚠ بند غير معروف","✔ سليم"))))))</f>
        <v/>
      </c>
    </row>
    <row r="165" customFormat="false" ht="15" hidden="false" customHeight="false" outlineLevel="0" collapsed="false">
      <c r="A165" s="32"/>
      <c r="B165" s="36"/>
      <c r="C165" s="32"/>
      <c r="D165" s="32"/>
      <c r="E165" s="33"/>
      <c r="F165" s="32"/>
      <c r="G165" s="22" t="str">
        <f aca="false">IF(E165="","",IF(OR(E165="الأصول",E165="الخصوم",E165="حقوق الملكية"),"المركز المالي","قائمة الدخل"))</f>
        <v/>
      </c>
      <c r="H165" s="33"/>
      <c r="I165" s="33"/>
      <c r="J165" s="34" t="str">
        <f aca="false">IF(A165="","",IF(F165="دائن",'ميزان المراجعة'!D165-'ميزان المراجعة'!C165,'ميزان المراجعة'!C165-'ميزان المراجعة'!D165))</f>
        <v/>
      </c>
      <c r="K165" s="22" t="str">
        <f aca="false">IF(A165="","",IF(COUNTIF('شجرة الحسابات'!$A$9:$A$208,A165)&gt;1,"⚠ رقم مكرر",IF(OR(B165="",C165="",E165="",F165=""),"⚠ بيانات ناقصة",IF(C165&lt;&gt;"تحليلي","● حساب تجميعي",IF(H165="","⚠ حدد بند القائمة",IF(COUNTIF(L_LINES,H165)=0,"⚠ بند غير معروف","✔ سليم"))))))</f>
        <v/>
      </c>
    </row>
    <row r="166" customFormat="false" ht="15" hidden="false" customHeight="false" outlineLevel="0" collapsed="false">
      <c r="A166" s="32"/>
      <c r="B166" s="36"/>
      <c r="C166" s="32"/>
      <c r="D166" s="32"/>
      <c r="E166" s="33"/>
      <c r="F166" s="32"/>
      <c r="G166" s="22" t="str">
        <f aca="false">IF(E166="","",IF(OR(E166="الأصول",E166="الخصوم",E166="حقوق الملكية"),"المركز المالي","قائمة الدخل"))</f>
        <v/>
      </c>
      <c r="H166" s="33"/>
      <c r="I166" s="33"/>
      <c r="J166" s="34" t="str">
        <f aca="false">IF(A166="","",IF(F166="دائن",'ميزان المراجعة'!D166-'ميزان المراجعة'!C166,'ميزان المراجعة'!C166-'ميزان المراجعة'!D166))</f>
        <v/>
      </c>
      <c r="K166" s="22" t="str">
        <f aca="false">IF(A166="","",IF(COUNTIF('شجرة الحسابات'!$A$9:$A$208,A166)&gt;1,"⚠ رقم مكرر",IF(OR(B166="",C166="",E166="",F166=""),"⚠ بيانات ناقصة",IF(C166&lt;&gt;"تحليلي","● حساب تجميعي",IF(H166="","⚠ حدد بند القائمة",IF(COUNTIF(L_LINES,H166)=0,"⚠ بند غير معروف","✔ سليم"))))))</f>
        <v/>
      </c>
    </row>
    <row r="167" customFormat="false" ht="15" hidden="false" customHeight="false" outlineLevel="0" collapsed="false">
      <c r="A167" s="32"/>
      <c r="B167" s="36"/>
      <c r="C167" s="32"/>
      <c r="D167" s="32"/>
      <c r="E167" s="33"/>
      <c r="F167" s="32"/>
      <c r="G167" s="22" t="str">
        <f aca="false">IF(E167="","",IF(OR(E167="الأصول",E167="الخصوم",E167="حقوق الملكية"),"المركز المالي","قائمة الدخل"))</f>
        <v/>
      </c>
      <c r="H167" s="33"/>
      <c r="I167" s="33"/>
      <c r="J167" s="34" t="str">
        <f aca="false">IF(A167="","",IF(F167="دائن",'ميزان المراجعة'!D167-'ميزان المراجعة'!C167,'ميزان المراجعة'!C167-'ميزان المراجعة'!D167))</f>
        <v/>
      </c>
      <c r="K167" s="22" t="str">
        <f aca="false">IF(A167="","",IF(COUNTIF('شجرة الحسابات'!$A$9:$A$208,A167)&gt;1,"⚠ رقم مكرر",IF(OR(B167="",C167="",E167="",F167=""),"⚠ بيانات ناقصة",IF(C167&lt;&gt;"تحليلي","● حساب تجميعي",IF(H167="","⚠ حدد بند القائمة",IF(COUNTIF(L_LINES,H167)=0,"⚠ بند غير معروف","✔ سليم"))))))</f>
        <v/>
      </c>
    </row>
    <row r="168" customFormat="false" ht="15" hidden="false" customHeight="false" outlineLevel="0" collapsed="false">
      <c r="A168" s="32"/>
      <c r="B168" s="36"/>
      <c r="C168" s="32"/>
      <c r="D168" s="32"/>
      <c r="E168" s="33"/>
      <c r="F168" s="32"/>
      <c r="G168" s="22" t="str">
        <f aca="false">IF(E168="","",IF(OR(E168="الأصول",E168="الخصوم",E168="حقوق الملكية"),"المركز المالي","قائمة الدخل"))</f>
        <v/>
      </c>
      <c r="H168" s="33"/>
      <c r="I168" s="33"/>
      <c r="J168" s="34" t="str">
        <f aca="false">IF(A168="","",IF(F168="دائن",'ميزان المراجعة'!D168-'ميزان المراجعة'!C168,'ميزان المراجعة'!C168-'ميزان المراجعة'!D168))</f>
        <v/>
      </c>
      <c r="K168" s="22" t="str">
        <f aca="false">IF(A168="","",IF(COUNTIF('شجرة الحسابات'!$A$9:$A$208,A168)&gt;1,"⚠ رقم مكرر",IF(OR(B168="",C168="",E168="",F168=""),"⚠ بيانات ناقصة",IF(C168&lt;&gt;"تحليلي","● حساب تجميعي",IF(H168="","⚠ حدد بند القائمة",IF(COUNTIF(L_LINES,H168)=0,"⚠ بند غير معروف","✔ سليم"))))))</f>
        <v/>
      </c>
    </row>
    <row r="169" customFormat="false" ht="15" hidden="false" customHeight="false" outlineLevel="0" collapsed="false">
      <c r="A169" s="32"/>
      <c r="B169" s="36"/>
      <c r="C169" s="32"/>
      <c r="D169" s="32"/>
      <c r="E169" s="33"/>
      <c r="F169" s="32"/>
      <c r="G169" s="22" t="str">
        <f aca="false">IF(E169="","",IF(OR(E169="الأصول",E169="الخصوم",E169="حقوق الملكية"),"المركز المالي","قائمة الدخل"))</f>
        <v/>
      </c>
      <c r="H169" s="33"/>
      <c r="I169" s="33"/>
      <c r="J169" s="34" t="str">
        <f aca="false">IF(A169="","",IF(F169="دائن",'ميزان المراجعة'!D169-'ميزان المراجعة'!C169,'ميزان المراجعة'!C169-'ميزان المراجعة'!D169))</f>
        <v/>
      </c>
      <c r="K169" s="22" t="str">
        <f aca="false">IF(A169="","",IF(COUNTIF('شجرة الحسابات'!$A$9:$A$208,A169)&gt;1,"⚠ رقم مكرر",IF(OR(B169="",C169="",E169="",F169=""),"⚠ بيانات ناقصة",IF(C169&lt;&gt;"تحليلي","● حساب تجميعي",IF(H169="","⚠ حدد بند القائمة",IF(COUNTIF(L_LINES,H169)=0,"⚠ بند غير معروف","✔ سليم"))))))</f>
        <v/>
      </c>
    </row>
    <row r="170" customFormat="false" ht="15" hidden="false" customHeight="false" outlineLevel="0" collapsed="false">
      <c r="A170" s="32"/>
      <c r="B170" s="36"/>
      <c r="C170" s="32"/>
      <c r="D170" s="32"/>
      <c r="E170" s="33"/>
      <c r="F170" s="32"/>
      <c r="G170" s="22" t="str">
        <f aca="false">IF(E170="","",IF(OR(E170="الأصول",E170="الخصوم",E170="حقوق الملكية"),"المركز المالي","قائمة الدخل"))</f>
        <v/>
      </c>
      <c r="H170" s="33"/>
      <c r="I170" s="33"/>
      <c r="J170" s="34" t="str">
        <f aca="false">IF(A170="","",IF(F170="دائن",'ميزان المراجعة'!D170-'ميزان المراجعة'!C170,'ميزان المراجعة'!C170-'ميزان المراجعة'!D170))</f>
        <v/>
      </c>
      <c r="K170" s="22" t="str">
        <f aca="false">IF(A170="","",IF(COUNTIF('شجرة الحسابات'!$A$9:$A$208,A170)&gt;1,"⚠ رقم مكرر",IF(OR(B170="",C170="",E170="",F170=""),"⚠ بيانات ناقصة",IF(C170&lt;&gt;"تحليلي","● حساب تجميعي",IF(H170="","⚠ حدد بند القائمة",IF(COUNTIF(L_LINES,H170)=0,"⚠ بند غير معروف","✔ سليم"))))))</f>
        <v/>
      </c>
    </row>
    <row r="171" customFormat="false" ht="15" hidden="false" customHeight="false" outlineLevel="0" collapsed="false">
      <c r="A171" s="32"/>
      <c r="B171" s="36"/>
      <c r="C171" s="32"/>
      <c r="D171" s="32"/>
      <c r="E171" s="33"/>
      <c r="F171" s="32"/>
      <c r="G171" s="22" t="str">
        <f aca="false">IF(E171="","",IF(OR(E171="الأصول",E171="الخصوم",E171="حقوق الملكية"),"المركز المالي","قائمة الدخل"))</f>
        <v/>
      </c>
      <c r="H171" s="33"/>
      <c r="I171" s="33"/>
      <c r="J171" s="34" t="str">
        <f aca="false">IF(A171="","",IF(F171="دائن",'ميزان المراجعة'!D171-'ميزان المراجعة'!C171,'ميزان المراجعة'!C171-'ميزان المراجعة'!D171))</f>
        <v/>
      </c>
      <c r="K171" s="22" t="str">
        <f aca="false">IF(A171="","",IF(COUNTIF('شجرة الحسابات'!$A$9:$A$208,A171)&gt;1,"⚠ رقم مكرر",IF(OR(B171="",C171="",E171="",F171=""),"⚠ بيانات ناقصة",IF(C171&lt;&gt;"تحليلي","● حساب تجميعي",IF(H171="","⚠ حدد بند القائمة",IF(COUNTIF(L_LINES,H171)=0,"⚠ بند غير معروف","✔ سليم"))))))</f>
        <v/>
      </c>
    </row>
    <row r="172" customFormat="false" ht="15" hidden="false" customHeight="false" outlineLevel="0" collapsed="false">
      <c r="A172" s="32"/>
      <c r="B172" s="36"/>
      <c r="C172" s="32"/>
      <c r="D172" s="32"/>
      <c r="E172" s="33"/>
      <c r="F172" s="32"/>
      <c r="G172" s="22" t="str">
        <f aca="false">IF(E172="","",IF(OR(E172="الأصول",E172="الخصوم",E172="حقوق الملكية"),"المركز المالي","قائمة الدخل"))</f>
        <v/>
      </c>
      <c r="H172" s="33"/>
      <c r="I172" s="33"/>
      <c r="J172" s="34" t="str">
        <f aca="false">IF(A172="","",IF(F172="دائن",'ميزان المراجعة'!D172-'ميزان المراجعة'!C172,'ميزان المراجعة'!C172-'ميزان المراجعة'!D172))</f>
        <v/>
      </c>
      <c r="K172" s="22" t="str">
        <f aca="false">IF(A172="","",IF(COUNTIF('شجرة الحسابات'!$A$9:$A$208,A172)&gt;1,"⚠ رقم مكرر",IF(OR(B172="",C172="",E172="",F172=""),"⚠ بيانات ناقصة",IF(C172&lt;&gt;"تحليلي","● حساب تجميعي",IF(H172="","⚠ حدد بند القائمة",IF(COUNTIF(L_LINES,H172)=0,"⚠ بند غير معروف","✔ سليم"))))))</f>
        <v/>
      </c>
    </row>
    <row r="173" customFormat="false" ht="15" hidden="false" customHeight="false" outlineLevel="0" collapsed="false">
      <c r="A173" s="32"/>
      <c r="B173" s="36"/>
      <c r="C173" s="32"/>
      <c r="D173" s="32"/>
      <c r="E173" s="33"/>
      <c r="F173" s="32"/>
      <c r="G173" s="22" t="str">
        <f aca="false">IF(E173="","",IF(OR(E173="الأصول",E173="الخصوم",E173="حقوق الملكية"),"المركز المالي","قائمة الدخل"))</f>
        <v/>
      </c>
      <c r="H173" s="33"/>
      <c r="I173" s="33"/>
      <c r="J173" s="34" t="str">
        <f aca="false">IF(A173="","",IF(F173="دائن",'ميزان المراجعة'!D173-'ميزان المراجعة'!C173,'ميزان المراجعة'!C173-'ميزان المراجعة'!D173))</f>
        <v/>
      </c>
      <c r="K173" s="22" t="str">
        <f aca="false">IF(A173="","",IF(COUNTIF('شجرة الحسابات'!$A$9:$A$208,A173)&gt;1,"⚠ رقم مكرر",IF(OR(B173="",C173="",E173="",F173=""),"⚠ بيانات ناقصة",IF(C173&lt;&gt;"تحليلي","● حساب تجميعي",IF(H173="","⚠ حدد بند القائمة",IF(COUNTIF(L_LINES,H173)=0,"⚠ بند غير معروف","✔ سليم"))))))</f>
        <v/>
      </c>
    </row>
    <row r="174" customFormat="false" ht="15" hidden="false" customHeight="false" outlineLevel="0" collapsed="false">
      <c r="A174" s="32"/>
      <c r="B174" s="36"/>
      <c r="C174" s="32"/>
      <c r="D174" s="32"/>
      <c r="E174" s="33"/>
      <c r="F174" s="32"/>
      <c r="G174" s="22" t="str">
        <f aca="false">IF(E174="","",IF(OR(E174="الأصول",E174="الخصوم",E174="حقوق الملكية"),"المركز المالي","قائمة الدخل"))</f>
        <v/>
      </c>
      <c r="H174" s="33"/>
      <c r="I174" s="33"/>
      <c r="J174" s="34" t="str">
        <f aca="false">IF(A174="","",IF(F174="دائن",'ميزان المراجعة'!D174-'ميزان المراجعة'!C174,'ميزان المراجعة'!C174-'ميزان المراجعة'!D174))</f>
        <v/>
      </c>
      <c r="K174" s="22" t="str">
        <f aca="false">IF(A174="","",IF(COUNTIF('شجرة الحسابات'!$A$9:$A$208,A174)&gt;1,"⚠ رقم مكرر",IF(OR(B174="",C174="",E174="",F174=""),"⚠ بيانات ناقصة",IF(C174&lt;&gt;"تحليلي","● حساب تجميعي",IF(H174="","⚠ حدد بند القائمة",IF(COUNTIF(L_LINES,H174)=0,"⚠ بند غير معروف","✔ سليم"))))))</f>
        <v/>
      </c>
    </row>
    <row r="175" customFormat="false" ht="15" hidden="false" customHeight="false" outlineLevel="0" collapsed="false">
      <c r="A175" s="32"/>
      <c r="B175" s="36"/>
      <c r="C175" s="32"/>
      <c r="D175" s="32"/>
      <c r="E175" s="33"/>
      <c r="F175" s="32"/>
      <c r="G175" s="22" t="str">
        <f aca="false">IF(E175="","",IF(OR(E175="الأصول",E175="الخصوم",E175="حقوق الملكية"),"المركز المالي","قائمة الدخل"))</f>
        <v/>
      </c>
      <c r="H175" s="33"/>
      <c r="I175" s="33"/>
      <c r="J175" s="34" t="str">
        <f aca="false">IF(A175="","",IF(F175="دائن",'ميزان المراجعة'!D175-'ميزان المراجعة'!C175,'ميزان المراجعة'!C175-'ميزان المراجعة'!D175))</f>
        <v/>
      </c>
      <c r="K175" s="22" t="str">
        <f aca="false">IF(A175="","",IF(COUNTIF('شجرة الحسابات'!$A$9:$A$208,A175)&gt;1,"⚠ رقم مكرر",IF(OR(B175="",C175="",E175="",F175=""),"⚠ بيانات ناقصة",IF(C175&lt;&gt;"تحليلي","● حساب تجميعي",IF(H175="","⚠ حدد بند القائمة",IF(COUNTIF(L_LINES,H175)=0,"⚠ بند غير معروف","✔ سليم"))))))</f>
        <v/>
      </c>
    </row>
    <row r="176" customFormat="false" ht="15" hidden="false" customHeight="false" outlineLevel="0" collapsed="false">
      <c r="A176" s="32"/>
      <c r="B176" s="36"/>
      <c r="C176" s="32"/>
      <c r="D176" s="32"/>
      <c r="E176" s="33"/>
      <c r="F176" s="32"/>
      <c r="G176" s="22" t="str">
        <f aca="false">IF(E176="","",IF(OR(E176="الأصول",E176="الخصوم",E176="حقوق الملكية"),"المركز المالي","قائمة الدخل"))</f>
        <v/>
      </c>
      <c r="H176" s="33"/>
      <c r="I176" s="33"/>
      <c r="J176" s="34" t="str">
        <f aca="false">IF(A176="","",IF(F176="دائن",'ميزان المراجعة'!D176-'ميزان المراجعة'!C176,'ميزان المراجعة'!C176-'ميزان المراجعة'!D176))</f>
        <v/>
      </c>
      <c r="K176" s="22" t="str">
        <f aca="false">IF(A176="","",IF(COUNTIF('شجرة الحسابات'!$A$9:$A$208,A176)&gt;1,"⚠ رقم مكرر",IF(OR(B176="",C176="",E176="",F176=""),"⚠ بيانات ناقصة",IF(C176&lt;&gt;"تحليلي","● حساب تجميعي",IF(H176="","⚠ حدد بند القائمة",IF(COUNTIF(L_LINES,H176)=0,"⚠ بند غير معروف","✔ سليم"))))))</f>
        <v/>
      </c>
    </row>
    <row r="177" customFormat="false" ht="15" hidden="false" customHeight="false" outlineLevel="0" collapsed="false">
      <c r="A177" s="32"/>
      <c r="B177" s="36"/>
      <c r="C177" s="32"/>
      <c r="D177" s="32"/>
      <c r="E177" s="33"/>
      <c r="F177" s="32"/>
      <c r="G177" s="22" t="str">
        <f aca="false">IF(E177="","",IF(OR(E177="الأصول",E177="الخصوم",E177="حقوق الملكية"),"المركز المالي","قائمة الدخل"))</f>
        <v/>
      </c>
      <c r="H177" s="33"/>
      <c r="I177" s="33"/>
      <c r="J177" s="34" t="str">
        <f aca="false">IF(A177="","",IF(F177="دائن",'ميزان المراجعة'!D177-'ميزان المراجعة'!C177,'ميزان المراجعة'!C177-'ميزان المراجعة'!D177))</f>
        <v/>
      </c>
      <c r="K177" s="22" t="str">
        <f aca="false">IF(A177="","",IF(COUNTIF('شجرة الحسابات'!$A$9:$A$208,A177)&gt;1,"⚠ رقم مكرر",IF(OR(B177="",C177="",E177="",F177=""),"⚠ بيانات ناقصة",IF(C177&lt;&gt;"تحليلي","● حساب تجميعي",IF(H177="","⚠ حدد بند القائمة",IF(COUNTIF(L_LINES,H177)=0,"⚠ بند غير معروف","✔ سليم"))))))</f>
        <v/>
      </c>
    </row>
    <row r="178" customFormat="false" ht="15" hidden="false" customHeight="false" outlineLevel="0" collapsed="false">
      <c r="A178" s="32"/>
      <c r="B178" s="36"/>
      <c r="C178" s="32"/>
      <c r="D178" s="32"/>
      <c r="E178" s="33"/>
      <c r="F178" s="32"/>
      <c r="G178" s="22" t="str">
        <f aca="false">IF(E178="","",IF(OR(E178="الأصول",E178="الخصوم",E178="حقوق الملكية"),"المركز المالي","قائمة الدخل"))</f>
        <v/>
      </c>
      <c r="H178" s="33"/>
      <c r="I178" s="33"/>
      <c r="J178" s="34" t="str">
        <f aca="false">IF(A178="","",IF(F178="دائن",'ميزان المراجعة'!D178-'ميزان المراجعة'!C178,'ميزان المراجعة'!C178-'ميزان المراجعة'!D178))</f>
        <v/>
      </c>
      <c r="K178" s="22" t="str">
        <f aca="false">IF(A178="","",IF(COUNTIF('شجرة الحسابات'!$A$9:$A$208,A178)&gt;1,"⚠ رقم مكرر",IF(OR(B178="",C178="",E178="",F178=""),"⚠ بيانات ناقصة",IF(C178&lt;&gt;"تحليلي","● حساب تجميعي",IF(H178="","⚠ حدد بند القائمة",IF(COUNTIF(L_LINES,H178)=0,"⚠ بند غير معروف","✔ سليم"))))))</f>
        <v/>
      </c>
    </row>
    <row r="179" customFormat="false" ht="15" hidden="false" customHeight="false" outlineLevel="0" collapsed="false">
      <c r="A179" s="32"/>
      <c r="B179" s="36"/>
      <c r="C179" s="32"/>
      <c r="D179" s="32"/>
      <c r="E179" s="33"/>
      <c r="F179" s="32"/>
      <c r="G179" s="22" t="str">
        <f aca="false">IF(E179="","",IF(OR(E179="الأصول",E179="الخصوم",E179="حقوق الملكية"),"المركز المالي","قائمة الدخل"))</f>
        <v/>
      </c>
      <c r="H179" s="33"/>
      <c r="I179" s="33"/>
      <c r="J179" s="34" t="str">
        <f aca="false">IF(A179="","",IF(F179="دائن",'ميزان المراجعة'!D179-'ميزان المراجعة'!C179,'ميزان المراجعة'!C179-'ميزان المراجعة'!D179))</f>
        <v/>
      </c>
      <c r="K179" s="22" t="str">
        <f aca="false">IF(A179="","",IF(COUNTIF('شجرة الحسابات'!$A$9:$A$208,A179)&gt;1,"⚠ رقم مكرر",IF(OR(B179="",C179="",E179="",F179=""),"⚠ بيانات ناقصة",IF(C179&lt;&gt;"تحليلي","● حساب تجميعي",IF(H179="","⚠ حدد بند القائمة",IF(COUNTIF(L_LINES,H179)=0,"⚠ بند غير معروف","✔ سليم"))))))</f>
        <v/>
      </c>
    </row>
    <row r="180" customFormat="false" ht="15" hidden="false" customHeight="false" outlineLevel="0" collapsed="false">
      <c r="A180" s="32"/>
      <c r="B180" s="36"/>
      <c r="C180" s="32"/>
      <c r="D180" s="32"/>
      <c r="E180" s="33"/>
      <c r="F180" s="32"/>
      <c r="G180" s="22" t="str">
        <f aca="false">IF(E180="","",IF(OR(E180="الأصول",E180="الخصوم",E180="حقوق الملكية"),"المركز المالي","قائمة الدخل"))</f>
        <v/>
      </c>
      <c r="H180" s="33"/>
      <c r="I180" s="33"/>
      <c r="J180" s="34" t="str">
        <f aca="false">IF(A180="","",IF(F180="دائن",'ميزان المراجعة'!D180-'ميزان المراجعة'!C180,'ميزان المراجعة'!C180-'ميزان المراجعة'!D180))</f>
        <v/>
      </c>
      <c r="K180" s="22" t="str">
        <f aca="false">IF(A180="","",IF(COUNTIF('شجرة الحسابات'!$A$9:$A$208,A180)&gt;1,"⚠ رقم مكرر",IF(OR(B180="",C180="",E180="",F180=""),"⚠ بيانات ناقصة",IF(C180&lt;&gt;"تحليلي","● حساب تجميعي",IF(H180="","⚠ حدد بند القائمة",IF(COUNTIF(L_LINES,H180)=0,"⚠ بند غير معروف","✔ سليم"))))))</f>
        <v/>
      </c>
    </row>
    <row r="181" customFormat="false" ht="15" hidden="false" customHeight="false" outlineLevel="0" collapsed="false">
      <c r="A181" s="32"/>
      <c r="B181" s="36"/>
      <c r="C181" s="32"/>
      <c r="D181" s="32"/>
      <c r="E181" s="33"/>
      <c r="F181" s="32"/>
      <c r="G181" s="22" t="str">
        <f aca="false">IF(E181="","",IF(OR(E181="الأصول",E181="الخصوم",E181="حقوق الملكية"),"المركز المالي","قائمة الدخل"))</f>
        <v/>
      </c>
      <c r="H181" s="33"/>
      <c r="I181" s="33"/>
      <c r="J181" s="34" t="str">
        <f aca="false">IF(A181="","",IF(F181="دائن",'ميزان المراجعة'!D181-'ميزان المراجعة'!C181,'ميزان المراجعة'!C181-'ميزان المراجعة'!D181))</f>
        <v/>
      </c>
      <c r="K181" s="22" t="str">
        <f aca="false">IF(A181="","",IF(COUNTIF('شجرة الحسابات'!$A$9:$A$208,A181)&gt;1,"⚠ رقم مكرر",IF(OR(B181="",C181="",E181="",F181=""),"⚠ بيانات ناقصة",IF(C181&lt;&gt;"تحليلي","● حساب تجميعي",IF(H181="","⚠ حدد بند القائمة",IF(COUNTIF(L_LINES,H181)=0,"⚠ بند غير معروف","✔ سليم"))))))</f>
        <v/>
      </c>
    </row>
    <row r="182" customFormat="false" ht="15" hidden="false" customHeight="false" outlineLevel="0" collapsed="false">
      <c r="A182" s="32"/>
      <c r="B182" s="36"/>
      <c r="C182" s="32"/>
      <c r="D182" s="32"/>
      <c r="E182" s="33"/>
      <c r="F182" s="32"/>
      <c r="G182" s="22" t="str">
        <f aca="false">IF(E182="","",IF(OR(E182="الأصول",E182="الخصوم",E182="حقوق الملكية"),"المركز المالي","قائمة الدخل"))</f>
        <v/>
      </c>
      <c r="H182" s="33"/>
      <c r="I182" s="33"/>
      <c r="J182" s="34" t="str">
        <f aca="false">IF(A182="","",IF(F182="دائن",'ميزان المراجعة'!D182-'ميزان المراجعة'!C182,'ميزان المراجعة'!C182-'ميزان المراجعة'!D182))</f>
        <v/>
      </c>
      <c r="K182" s="22" t="str">
        <f aca="false">IF(A182="","",IF(COUNTIF('شجرة الحسابات'!$A$9:$A$208,A182)&gt;1,"⚠ رقم مكرر",IF(OR(B182="",C182="",E182="",F182=""),"⚠ بيانات ناقصة",IF(C182&lt;&gt;"تحليلي","● حساب تجميعي",IF(H182="","⚠ حدد بند القائمة",IF(COUNTIF(L_LINES,H182)=0,"⚠ بند غير معروف","✔ سليم"))))))</f>
        <v/>
      </c>
    </row>
    <row r="183" customFormat="false" ht="15" hidden="false" customHeight="false" outlineLevel="0" collapsed="false">
      <c r="A183" s="32"/>
      <c r="B183" s="36"/>
      <c r="C183" s="32"/>
      <c r="D183" s="32"/>
      <c r="E183" s="33"/>
      <c r="F183" s="32"/>
      <c r="G183" s="22" t="str">
        <f aca="false">IF(E183="","",IF(OR(E183="الأصول",E183="الخصوم",E183="حقوق الملكية"),"المركز المالي","قائمة الدخل"))</f>
        <v/>
      </c>
      <c r="H183" s="33"/>
      <c r="I183" s="33"/>
      <c r="J183" s="34" t="str">
        <f aca="false">IF(A183="","",IF(F183="دائن",'ميزان المراجعة'!D183-'ميزان المراجعة'!C183,'ميزان المراجعة'!C183-'ميزان المراجعة'!D183))</f>
        <v/>
      </c>
      <c r="K183" s="22" t="str">
        <f aca="false">IF(A183="","",IF(COUNTIF('شجرة الحسابات'!$A$9:$A$208,A183)&gt;1,"⚠ رقم مكرر",IF(OR(B183="",C183="",E183="",F183=""),"⚠ بيانات ناقصة",IF(C183&lt;&gt;"تحليلي","● حساب تجميعي",IF(H183="","⚠ حدد بند القائمة",IF(COUNTIF(L_LINES,H183)=0,"⚠ بند غير معروف","✔ سليم"))))))</f>
        <v/>
      </c>
    </row>
    <row r="184" customFormat="false" ht="15" hidden="false" customHeight="false" outlineLevel="0" collapsed="false">
      <c r="A184" s="32"/>
      <c r="B184" s="36"/>
      <c r="C184" s="32"/>
      <c r="D184" s="32"/>
      <c r="E184" s="33"/>
      <c r="F184" s="32"/>
      <c r="G184" s="22" t="str">
        <f aca="false">IF(E184="","",IF(OR(E184="الأصول",E184="الخصوم",E184="حقوق الملكية"),"المركز المالي","قائمة الدخل"))</f>
        <v/>
      </c>
      <c r="H184" s="33"/>
      <c r="I184" s="33"/>
      <c r="J184" s="34" t="str">
        <f aca="false">IF(A184="","",IF(F184="دائن",'ميزان المراجعة'!D184-'ميزان المراجعة'!C184,'ميزان المراجعة'!C184-'ميزان المراجعة'!D184))</f>
        <v/>
      </c>
      <c r="K184" s="22" t="str">
        <f aca="false">IF(A184="","",IF(COUNTIF('شجرة الحسابات'!$A$9:$A$208,A184)&gt;1,"⚠ رقم مكرر",IF(OR(B184="",C184="",E184="",F184=""),"⚠ بيانات ناقصة",IF(C184&lt;&gt;"تحليلي","● حساب تجميعي",IF(H184="","⚠ حدد بند القائمة",IF(COUNTIF(L_LINES,H184)=0,"⚠ بند غير معروف","✔ سليم"))))))</f>
        <v/>
      </c>
    </row>
    <row r="185" customFormat="false" ht="15" hidden="false" customHeight="false" outlineLevel="0" collapsed="false">
      <c r="A185" s="32"/>
      <c r="B185" s="36"/>
      <c r="C185" s="32"/>
      <c r="D185" s="32"/>
      <c r="E185" s="33"/>
      <c r="F185" s="32"/>
      <c r="G185" s="22" t="str">
        <f aca="false">IF(E185="","",IF(OR(E185="الأصول",E185="الخصوم",E185="حقوق الملكية"),"المركز المالي","قائمة الدخل"))</f>
        <v/>
      </c>
      <c r="H185" s="33"/>
      <c r="I185" s="33"/>
      <c r="J185" s="34" t="str">
        <f aca="false">IF(A185="","",IF(F185="دائن",'ميزان المراجعة'!D185-'ميزان المراجعة'!C185,'ميزان المراجعة'!C185-'ميزان المراجعة'!D185))</f>
        <v/>
      </c>
      <c r="K185" s="22" t="str">
        <f aca="false">IF(A185="","",IF(COUNTIF('شجرة الحسابات'!$A$9:$A$208,A185)&gt;1,"⚠ رقم مكرر",IF(OR(B185="",C185="",E185="",F185=""),"⚠ بيانات ناقصة",IF(C185&lt;&gt;"تحليلي","● حساب تجميعي",IF(H185="","⚠ حدد بند القائمة",IF(COUNTIF(L_LINES,H185)=0,"⚠ بند غير معروف","✔ سليم"))))))</f>
        <v/>
      </c>
    </row>
    <row r="186" customFormat="false" ht="15" hidden="false" customHeight="false" outlineLevel="0" collapsed="false">
      <c r="A186" s="32"/>
      <c r="B186" s="36"/>
      <c r="C186" s="32"/>
      <c r="D186" s="32"/>
      <c r="E186" s="33"/>
      <c r="F186" s="32"/>
      <c r="G186" s="22" t="str">
        <f aca="false">IF(E186="","",IF(OR(E186="الأصول",E186="الخصوم",E186="حقوق الملكية"),"المركز المالي","قائمة الدخل"))</f>
        <v/>
      </c>
      <c r="H186" s="33"/>
      <c r="I186" s="33"/>
      <c r="J186" s="34" t="str">
        <f aca="false">IF(A186="","",IF(F186="دائن",'ميزان المراجعة'!D186-'ميزان المراجعة'!C186,'ميزان المراجعة'!C186-'ميزان المراجعة'!D186))</f>
        <v/>
      </c>
      <c r="K186" s="22" t="str">
        <f aca="false">IF(A186="","",IF(COUNTIF('شجرة الحسابات'!$A$9:$A$208,A186)&gt;1,"⚠ رقم مكرر",IF(OR(B186="",C186="",E186="",F186=""),"⚠ بيانات ناقصة",IF(C186&lt;&gt;"تحليلي","● حساب تجميعي",IF(H186="","⚠ حدد بند القائمة",IF(COUNTIF(L_LINES,H186)=0,"⚠ بند غير معروف","✔ سليم"))))))</f>
        <v/>
      </c>
    </row>
    <row r="187" customFormat="false" ht="15" hidden="false" customHeight="false" outlineLevel="0" collapsed="false">
      <c r="A187" s="32"/>
      <c r="B187" s="36"/>
      <c r="C187" s="32"/>
      <c r="D187" s="32"/>
      <c r="E187" s="33"/>
      <c r="F187" s="32"/>
      <c r="G187" s="22" t="str">
        <f aca="false">IF(E187="","",IF(OR(E187="الأصول",E187="الخصوم",E187="حقوق الملكية"),"المركز المالي","قائمة الدخل"))</f>
        <v/>
      </c>
      <c r="H187" s="33"/>
      <c r="I187" s="33"/>
      <c r="J187" s="34" t="str">
        <f aca="false">IF(A187="","",IF(F187="دائن",'ميزان المراجعة'!D187-'ميزان المراجعة'!C187,'ميزان المراجعة'!C187-'ميزان المراجعة'!D187))</f>
        <v/>
      </c>
      <c r="K187" s="22" t="str">
        <f aca="false">IF(A187="","",IF(COUNTIF('شجرة الحسابات'!$A$9:$A$208,A187)&gt;1,"⚠ رقم مكرر",IF(OR(B187="",C187="",E187="",F187=""),"⚠ بيانات ناقصة",IF(C187&lt;&gt;"تحليلي","● حساب تجميعي",IF(H187="","⚠ حدد بند القائمة",IF(COUNTIF(L_LINES,H187)=0,"⚠ بند غير معروف","✔ سليم"))))))</f>
        <v/>
      </c>
    </row>
    <row r="188" customFormat="false" ht="15" hidden="false" customHeight="false" outlineLevel="0" collapsed="false">
      <c r="A188" s="32"/>
      <c r="B188" s="36"/>
      <c r="C188" s="32"/>
      <c r="D188" s="32"/>
      <c r="E188" s="33"/>
      <c r="F188" s="32"/>
      <c r="G188" s="22" t="str">
        <f aca="false">IF(E188="","",IF(OR(E188="الأصول",E188="الخصوم",E188="حقوق الملكية"),"المركز المالي","قائمة الدخل"))</f>
        <v/>
      </c>
      <c r="H188" s="33"/>
      <c r="I188" s="33"/>
      <c r="J188" s="34" t="str">
        <f aca="false">IF(A188="","",IF(F188="دائن",'ميزان المراجعة'!D188-'ميزان المراجعة'!C188,'ميزان المراجعة'!C188-'ميزان المراجعة'!D188))</f>
        <v/>
      </c>
      <c r="K188" s="22" t="str">
        <f aca="false">IF(A188="","",IF(COUNTIF('شجرة الحسابات'!$A$9:$A$208,A188)&gt;1,"⚠ رقم مكرر",IF(OR(B188="",C188="",E188="",F188=""),"⚠ بيانات ناقصة",IF(C188&lt;&gt;"تحليلي","● حساب تجميعي",IF(H188="","⚠ حدد بند القائمة",IF(COUNTIF(L_LINES,H188)=0,"⚠ بند غير معروف","✔ سليم"))))))</f>
        <v/>
      </c>
    </row>
    <row r="189" customFormat="false" ht="15" hidden="false" customHeight="false" outlineLevel="0" collapsed="false">
      <c r="A189" s="32"/>
      <c r="B189" s="36"/>
      <c r="C189" s="32"/>
      <c r="D189" s="32"/>
      <c r="E189" s="33"/>
      <c r="F189" s="32"/>
      <c r="G189" s="22" t="str">
        <f aca="false">IF(E189="","",IF(OR(E189="الأصول",E189="الخصوم",E189="حقوق الملكية"),"المركز المالي","قائمة الدخل"))</f>
        <v/>
      </c>
      <c r="H189" s="33"/>
      <c r="I189" s="33"/>
      <c r="J189" s="34" t="str">
        <f aca="false">IF(A189="","",IF(F189="دائن",'ميزان المراجعة'!D189-'ميزان المراجعة'!C189,'ميزان المراجعة'!C189-'ميزان المراجعة'!D189))</f>
        <v/>
      </c>
      <c r="K189" s="22" t="str">
        <f aca="false">IF(A189="","",IF(COUNTIF('شجرة الحسابات'!$A$9:$A$208,A189)&gt;1,"⚠ رقم مكرر",IF(OR(B189="",C189="",E189="",F189=""),"⚠ بيانات ناقصة",IF(C189&lt;&gt;"تحليلي","● حساب تجميعي",IF(H189="","⚠ حدد بند القائمة",IF(COUNTIF(L_LINES,H189)=0,"⚠ بند غير معروف","✔ سليم"))))))</f>
        <v/>
      </c>
    </row>
    <row r="190" customFormat="false" ht="15" hidden="false" customHeight="false" outlineLevel="0" collapsed="false">
      <c r="A190" s="32"/>
      <c r="B190" s="36"/>
      <c r="C190" s="32"/>
      <c r="D190" s="32"/>
      <c r="E190" s="33"/>
      <c r="F190" s="32"/>
      <c r="G190" s="22" t="str">
        <f aca="false">IF(E190="","",IF(OR(E190="الأصول",E190="الخصوم",E190="حقوق الملكية"),"المركز المالي","قائمة الدخل"))</f>
        <v/>
      </c>
      <c r="H190" s="33"/>
      <c r="I190" s="33"/>
      <c r="J190" s="34" t="str">
        <f aca="false">IF(A190="","",IF(F190="دائن",'ميزان المراجعة'!D190-'ميزان المراجعة'!C190,'ميزان المراجعة'!C190-'ميزان المراجعة'!D190))</f>
        <v/>
      </c>
      <c r="K190" s="22" t="str">
        <f aca="false">IF(A190="","",IF(COUNTIF('شجرة الحسابات'!$A$9:$A$208,A190)&gt;1,"⚠ رقم مكرر",IF(OR(B190="",C190="",E190="",F190=""),"⚠ بيانات ناقصة",IF(C190&lt;&gt;"تحليلي","● حساب تجميعي",IF(H190="","⚠ حدد بند القائمة",IF(COUNTIF(L_LINES,H190)=0,"⚠ بند غير معروف","✔ سليم"))))))</f>
        <v/>
      </c>
    </row>
    <row r="191" customFormat="false" ht="15" hidden="false" customHeight="false" outlineLevel="0" collapsed="false">
      <c r="A191" s="32"/>
      <c r="B191" s="36"/>
      <c r="C191" s="32"/>
      <c r="D191" s="32"/>
      <c r="E191" s="33"/>
      <c r="F191" s="32"/>
      <c r="G191" s="22" t="str">
        <f aca="false">IF(E191="","",IF(OR(E191="الأصول",E191="الخصوم",E191="حقوق الملكية"),"المركز المالي","قائمة الدخل"))</f>
        <v/>
      </c>
      <c r="H191" s="33"/>
      <c r="I191" s="33"/>
      <c r="J191" s="34" t="str">
        <f aca="false">IF(A191="","",IF(F191="دائن",'ميزان المراجعة'!D191-'ميزان المراجعة'!C191,'ميزان المراجعة'!C191-'ميزان المراجعة'!D191))</f>
        <v/>
      </c>
      <c r="K191" s="22" t="str">
        <f aca="false">IF(A191="","",IF(COUNTIF('شجرة الحسابات'!$A$9:$A$208,A191)&gt;1,"⚠ رقم مكرر",IF(OR(B191="",C191="",E191="",F191=""),"⚠ بيانات ناقصة",IF(C191&lt;&gt;"تحليلي","● حساب تجميعي",IF(H191="","⚠ حدد بند القائمة",IF(COUNTIF(L_LINES,H191)=0,"⚠ بند غير معروف","✔ سليم"))))))</f>
        <v/>
      </c>
    </row>
    <row r="192" customFormat="false" ht="15" hidden="false" customHeight="false" outlineLevel="0" collapsed="false">
      <c r="A192" s="32"/>
      <c r="B192" s="36"/>
      <c r="C192" s="32"/>
      <c r="D192" s="32"/>
      <c r="E192" s="33"/>
      <c r="F192" s="32"/>
      <c r="G192" s="22" t="str">
        <f aca="false">IF(E192="","",IF(OR(E192="الأصول",E192="الخصوم",E192="حقوق الملكية"),"المركز المالي","قائمة الدخل"))</f>
        <v/>
      </c>
      <c r="H192" s="33"/>
      <c r="I192" s="33"/>
      <c r="J192" s="34" t="str">
        <f aca="false">IF(A192="","",IF(F192="دائن",'ميزان المراجعة'!D192-'ميزان المراجعة'!C192,'ميزان المراجعة'!C192-'ميزان المراجعة'!D192))</f>
        <v/>
      </c>
      <c r="K192" s="22" t="str">
        <f aca="false">IF(A192="","",IF(COUNTIF('شجرة الحسابات'!$A$9:$A$208,A192)&gt;1,"⚠ رقم مكرر",IF(OR(B192="",C192="",E192="",F192=""),"⚠ بيانات ناقصة",IF(C192&lt;&gt;"تحليلي","● حساب تجميعي",IF(H192="","⚠ حدد بند القائمة",IF(COUNTIF(L_LINES,H192)=0,"⚠ بند غير معروف","✔ سليم"))))))</f>
        <v/>
      </c>
    </row>
    <row r="193" customFormat="false" ht="15" hidden="false" customHeight="false" outlineLevel="0" collapsed="false">
      <c r="A193" s="32"/>
      <c r="B193" s="36"/>
      <c r="C193" s="32"/>
      <c r="D193" s="32"/>
      <c r="E193" s="33"/>
      <c r="F193" s="32"/>
      <c r="G193" s="22" t="str">
        <f aca="false">IF(E193="","",IF(OR(E193="الأصول",E193="الخصوم",E193="حقوق الملكية"),"المركز المالي","قائمة الدخل"))</f>
        <v/>
      </c>
      <c r="H193" s="33"/>
      <c r="I193" s="33"/>
      <c r="J193" s="34" t="str">
        <f aca="false">IF(A193="","",IF(F193="دائن",'ميزان المراجعة'!D193-'ميزان المراجعة'!C193,'ميزان المراجعة'!C193-'ميزان المراجعة'!D193))</f>
        <v/>
      </c>
      <c r="K193" s="22" t="str">
        <f aca="false">IF(A193="","",IF(COUNTIF('شجرة الحسابات'!$A$9:$A$208,A193)&gt;1,"⚠ رقم مكرر",IF(OR(B193="",C193="",E193="",F193=""),"⚠ بيانات ناقصة",IF(C193&lt;&gt;"تحليلي","● حساب تجميعي",IF(H193="","⚠ حدد بند القائمة",IF(COUNTIF(L_LINES,H193)=0,"⚠ بند غير معروف","✔ سليم"))))))</f>
        <v/>
      </c>
    </row>
    <row r="194" customFormat="false" ht="15" hidden="false" customHeight="false" outlineLevel="0" collapsed="false">
      <c r="A194" s="32"/>
      <c r="B194" s="36"/>
      <c r="C194" s="32"/>
      <c r="D194" s="32"/>
      <c r="E194" s="33"/>
      <c r="F194" s="32"/>
      <c r="G194" s="22" t="str">
        <f aca="false">IF(E194="","",IF(OR(E194="الأصول",E194="الخصوم",E194="حقوق الملكية"),"المركز المالي","قائمة الدخل"))</f>
        <v/>
      </c>
      <c r="H194" s="33"/>
      <c r="I194" s="33"/>
      <c r="J194" s="34" t="str">
        <f aca="false">IF(A194="","",IF(F194="دائن",'ميزان المراجعة'!D194-'ميزان المراجعة'!C194,'ميزان المراجعة'!C194-'ميزان المراجعة'!D194))</f>
        <v/>
      </c>
      <c r="K194" s="22" t="str">
        <f aca="false">IF(A194="","",IF(COUNTIF('شجرة الحسابات'!$A$9:$A$208,A194)&gt;1,"⚠ رقم مكرر",IF(OR(B194="",C194="",E194="",F194=""),"⚠ بيانات ناقصة",IF(C194&lt;&gt;"تحليلي","● حساب تجميعي",IF(H194="","⚠ حدد بند القائمة",IF(COUNTIF(L_LINES,H194)=0,"⚠ بند غير معروف","✔ سليم"))))))</f>
        <v/>
      </c>
    </row>
    <row r="195" customFormat="false" ht="15" hidden="false" customHeight="false" outlineLevel="0" collapsed="false">
      <c r="A195" s="32"/>
      <c r="B195" s="36"/>
      <c r="C195" s="32"/>
      <c r="D195" s="32"/>
      <c r="E195" s="33"/>
      <c r="F195" s="32"/>
      <c r="G195" s="22" t="str">
        <f aca="false">IF(E195="","",IF(OR(E195="الأصول",E195="الخصوم",E195="حقوق الملكية"),"المركز المالي","قائمة الدخل"))</f>
        <v/>
      </c>
      <c r="H195" s="33"/>
      <c r="I195" s="33"/>
      <c r="J195" s="34" t="str">
        <f aca="false">IF(A195="","",IF(F195="دائن",'ميزان المراجعة'!D195-'ميزان المراجعة'!C195,'ميزان المراجعة'!C195-'ميزان المراجعة'!D195))</f>
        <v/>
      </c>
      <c r="K195" s="22" t="str">
        <f aca="false">IF(A195="","",IF(COUNTIF('شجرة الحسابات'!$A$9:$A$208,A195)&gt;1,"⚠ رقم مكرر",IF(OR(B195="",C195="",E195="",F195=""),"⚠ بيانات ناقصة",IF(C195&lt;&gt;"تحليلي","● حساب تجميعي",IF(H195="","⚠ حدد بند القائمة",IF(COUNTIF(L_LINES,H195)=0,"⚠ بند غير معروف","✔ سليم"))))))</f>
        <v/>
      </c>
    </row>
    <row r="196" customFormat="false" ht="15" hidden="false" customHeight="false" outlineLevel="0" collapsed="false">
      <c r="A196" s="32"/>
      <c r="B196" s="36"/>
      <c r="C196" s="32"/>
      <c r="D196" s="32"/>
      <c r="E196" s="33"/>
      <c r="F196" s="32"/>
      <c r="G196" s="22" t="str">
        <f aca="false">IF(E196="","",IF(OR(E196="الأصول",E196="الخصوم",E196="حقوق الملكية"),"المركز المالي","قائمة الدخل"))</f>
        <v/>
      </c>
      <c r="H196" s="33"/>
      <c r="I196" s="33"/>
      <c r="J196" s="34" t="str">
        <f aca="false">IF(A196="","",IF(F196="دائن",'ميزان المراجعة'!D196-'ميزان المراجعة'!C196,'ميزان المراجعة'!C196-'ميزان المراجعة'!D196))</f>
        <v/>
      </c>
      <c r="K196" s="22" t="str">
        <f aca="false">IF(A196="","",IF(COUNTIF('شجرة الحسابات'!$A$9:$A$208,A196)&gt;1,"⚠ رقم مكرر",IF(OR(B196="",C196="",E196="",F196=""),"⚠ بيانات ناقصة",IF(C196&lt;&gt;"تحليلي","● حساب تجميعي",IF(H196="","⚠ حدد بند القائمة",IF(COUNTIF(L_LINES,H196)=0,"⚠ بند غير معروف","✔ سليم"))))))</f>
        <v/>
      </c>
    </row>
    <row r="197" customFormat="false" ht="15" hidden="false" customHeight="false" outlineLevel="0" collapsed="false">
      <c r="A197" s="32"/>
      <c r="B197" s="36"/>
      <c r="C197" s="32"/>
      <c r="D197" s="32"/>
      <c r="E197" s="33"/>
      <c r="F197" s="32"/>
      <c r="G197" s="22" t="str">
        <f aca="false">IF(E197="","",IF(OR(E197="الأصول",E197="الخصوم",E197="حقوق الملكية"),"المركز المالي","قائمة الدخل"))</f>
        <v/>
      </c>
      <c r="H197" s="33"/>
      <c r="I197" s="33"/>
      <c r="J197" s="34" t="str">
        <f aca="false">IF(A197="","",IF(F197="دائن",'ميزان المراجعة'!D197-'ميزان المراجعة'!C197,'ميزان المراجعة'!C197-'ميزان المراجعة'!D197))</f>
        <v/>
      </c>
      <c r="K197" s="22" t="str">
        <f aca="false">IF(A197="","",IF(COUNTIF('شجرة الحسابات'!$A$9:$A$208,A197)&gt;1,"⚠ رقم مكرر",IF(OR(B197="",C197="",E197="",F197=""),"⚠ بيانات ناقصة",IF(C197&lt;&gt;"تحليلي","● حساب تجميعي",IF(H197="","⚠ حدد بند القائمة",IF(COUNTIF(L_LINES,H197)=0,"⚠ بند غير معروف","✔ سليم"))))))</f>
        <v/>
      </c>
    </row>
    <row r="198" customFormat="false" ht="15" hidden="false" customHeight="false" outlineLevel="0" collapsed="false">
      <c r="A198" s="32"/>
      <c r="B198" s="36"/>
      <c r="C198" s="32"/>
      <c r="D198" s="32"/>
      <c r="E198" s="33"/>
      <c r="F198" s="32"/>
      <c r="G198" s="22" t="str">
        <f aca="false">IF(E198="","",IF(OR(E198="الأصول",E198="الخصوم",E198="حقوق الملكية"),"المركز المالي","قائمة الدخل"))</f>
        <v/>
      </c>
      <c r="H198" s="33"/>
      <c r="I198" s="33"/>
      <c r="J198" s="34" t="str">
        <f aca="false">IF(A198="","",IF(F198="دائن",'ميزان المراجعة'!D198-'ميزان المراجعة'!C198,'ميزان المراجعة'!C198-'ميزان المراجعة'!D198))</f>
        <v/>
      </c>
      <c r="K198" s="22" t="str">
        <f aca="false">IF(A198="","",IF(COUNTIF('شجرة الحسابات'!$A$9:$A$208,A198)&gt;1,"⚠ رقم مكرر",IF(OR(B198="",C198="",E198="",F198=""),"⚠ بيانات ناقصة",IF(C198&lt;&gt;"تحليلي","● حساب تجميعي",IF(H198="","⚠ حدد بند القائمة",IF(COUNTIF(L_LINES,H198)=0,"⚠ بند غير معروف","✔ سليم"))))))</f>
        <v/>
      </c>
    </row>
    <row r="199" customFormat="false" ht="15" hidden="false" customHeight="false" outlineLevel="0" collapsed="false">
      <c r="A199" s="32"/>
      <c r="B199" s="36"/>
      <c r="C199" s="32"/>
      <c r="D199" s="32"/>
      <c r="E199" s="33"/>
      <c r="F199" s="32"/>
      <c r="G199" s="22" t="str">
        <f aca="false">IF(E199="","",IF(OR(E199="الأصول",E199="الخصوم",E199="حقوق الملكية"),"المركز المالي","قائمة الدخل"))</f>
        <v/>
      </c>
      <c r="H199" s="33"/>
      <c r="I199" s="33"/>
      <c r="J199" s="34" t="str">
        <f aca="false">IF(A199="","",IF(F199="دائن",'ميزان المراجعة'!D199-'ميزان المراجعة'!C199,'ميزان المراجعة'!C199-'ميزان المراجعة'!D199))</f>
        <v/>
      </c>
      <c r="K199" s="22" t="str">
        <f aca="false">IF(A199="","",IF(COUNTIF('شجرة الحسابات'!$A$9:$A$208,A199)&gt;1,"⚠ رقم مكرر",IF(OR(B199="",C199="",E199="",F199=""),"⚠ بيانات ناقصة",IF(C199&lt;&gt;"تحليلي","● حساب تجميعي",IF(H199="","⚠ حدد بند القائمة",IF(COUNTIF(L_LINES,H199)=0,"⚠ بند غير معروف","✔ سليم"))))))</f>
        <v/>
      </c>
    </row>
    <row r="200" customFormat="false" ht="15" hidden="false" customHeight="false" outlineLevel="0" collapsed="false">
      <c r="A200" s="32"/>
      <c r="B200" s="36"/>
      <c r="C200" s="32"/>
      <c r="D200" s="32"/>
      <c r="E200" s="33"/>
      <c r="F200" s="32"/>
      <c r="G200" s="22" t="str">
        <f aca="false">IF(E200="","",IF(OR(E200="الأصول",E200="الخصوم",E200="حقوق الملكية"),"المركز المالي","قائمة الدخل"))</f>
        <v/>
      </c>
      <c r="H200" s="33"/>
      <c r="I200" s="33"/>
      <c r="J200" s="34" t="str">
        <f aca="false">IF(A200="","",IF(F200="دائن",'ميزان المراجعة'!D200-'ميزان المراجعة'!C200,'ميزان المراجعة'!C200-'ميزان المراجعة'!D200))</f>
        <v/>
      </c>
      <c r="K200" s="22" t="str">
        <f aca="false">IF(A200="","",IF(COUNTIF('شجرة الحسابات'!$A$9:$A$208,A200)&gt;1,"⚠ رقم مكرر",IF(OR(B200="",C200="",E200="",F200=""),"⚠ بيانات ناقصة",IF(C200&lt;&gt;"تحليلي","● حساب تجميعي",IF(H200="","⚠ حدد بند القائمة",IF(COUNTIF(L_LINES,H200)=0,"⚠ بند غير معروف","✔ سليم"))))))</f>
        <v/>
      </c>
    </row>
    <row r="201" customFormat="false" ht="15" hidden="false" customHeight="false" outlineLevel="0" collapsed="false">
      <c r="A201" s="32"/>
      <c r="B201" s="36"/>
      <c r="C201" s="32"/>
      <c r="D201" s="32"/>
      <c r="E201" s="33"/>
      <c r="F201" s="32"/>
      <c r="G201" s="22" t="str">
        <f aca="false">IF(E201="","",IF(OR(E201="الأصول",E201="الخصوم",E201="حقوق الملكية"),"المركز المالي","قائمة الدخل"))</f>
        <v/>
      </c>
      <c r="H201" s="33"/>
      <c r="I201" s="33"/>
      <c r="J201" s="34" t="str">
        <f aca="false">IF(A201="","",IF(F201="دائن",'ميزان المراجعة'!D201-'ميزان المراجعة'!C201,'ميزان المراجعة'!C201-'ميزان المراجعة'!D201))</f>
        <v/>
      </c>
      <c r="K201" s="22" t="str">
        <f aca="false">IF(A201="","",IF(COUNTIF('شجرة الحسابات'!$A$9:$A$208,A201)&gt;1,"⚠ رقم مكرر",IF(OR(B201="",C201="",E201="",F201=""),"⚠ بيانات ناقصة",IF(C201&lt;&gt;"تحليلي","● حساب تجميعي",IF(H201="","⚠ حدد بند القائمة",IF(COUNTIF(L_LINES,H201)=0,"⚠ بند غير معروف","✔ سليم"))))))</f>
        <v/>
      </c>
    </row>
    <row r="202" customFormat="false" ht="15" hidden="false" customHeight="false" outlineLevel="0" collapsed="false">
      <c r="A202" s="32"/>
      <c r="B202" s="36"/>
      <c r="C202" s="32"/>
      <c r="D202" s="32"/>
      <c r="E202" s="33"/>
      <c r="F202" s="32"/>
      <c r="G202" s="22" t="str">
        <f aca="false">IF(E202="","",IF(OR(E202="الأصول",E202="الخصوم",E202="حقوق الملكية"),"المركز المالي","قائمة الدخل"))</f>
        <v/>
      </c>
      <c r="H202" s="33"/>
      <c r="I202" s="33"/>
      <c r="J202" s="34" t="str">
        <f aca="false">IF(A202="","",IF(F202="دائن",'ميزان المراجعة'!D202-'ميزان المراجعة'!C202,'ميزان المراجعة'!C202-'ميزان المراجعة'!D202))</f>
        <v/>
      </c>
      <c r="K202" s="22" t="str">
        <f aca="false">IF(A202="","",IF(COUNTIF('شجرة الحسابات'!$A$9:$A$208,A202)&gt;1,"⚠ رقم مكرر",IF(OR(B202="",C202="",E202="",F202=""),"⚠ بيانات ناقصة",IF(C202&lt;&gt;"تحليلي","● حساب تجميعي",IF(H202="","⚠ حدد بند القائمة",IF(COUNTIF(L_LINES,H202)=0,"⚠ بند غير معروف","✔ سليم"))))))</f>
        <v/>
      </c>
    </row>
    <row r="203" customFormat="false" ht="15" hidden="false" customHeight="false" outlineLevel="0" collapsed="false">
      <c r="A203" s="32"/>
      <c r="B203" s="36"/>
      <c r="C203" s="32"/>
      <c r="D203" s="32"/>
      <c r="E203" s="33"/>
      <c r="F203" s="32"/>
      <c r="G203" s="22" t="str">
        <f aca="false">IF(E203="","",IF(OR(E203="الأصول",E203="الخصوم",E203="حقوق الملكية"),"المركز المالي","قائمة الدخل"))</f>
        <v/>
      </c>
      <c r="H203" s="33"/>
      <c r="I203" s="33"/>
      <c r="J203" s="34" t="str">
        <f aca="false">IF(A203="","",IF(F203="دائن",'ميزان المراجعة'!D203-'ميزان المراجعة'!C203,'ميزان المراجعة'!C203-'ميزان المراجعة'!D203))</f>
        <v/>
      </c>
      <c r="K203" s="22" t="str">
        <f aca="false">IF(A203="","",IF(COUNTIF('شجرة الحسابات'!$A$9:$A$208,A203)&gt;1,"⚠ رقم مكرر",IF(OR(B203="",C203="",E203="",F203=""),"⚠ بيانات ناقصة",IF(C203&lt;&gt;"تحليلي","● حساب تجميعي",IF(H203="","⚠ حدد بند القائمة",IF(COUNTIF(L_LINES,H203)=0,"⚠ بند غير معروف","✔ سليم"))))))</f>
        <v/>
      </c>
    </row>
    <row r="204" customFormat="false" ht="15" hidden="false" customHeight="false" outlineLevel="0" collapsed="false">
      <c r="A204" s="32"/>
      <c r="B204" s="36"/>
      <c r="C204" s="32"/>
      <c r="D204" s="32"/>
      <c r="E204" s="33"/>
      <c r="F204" s="32"/>
      <c r="G204" s="22" t="str">
        <f aca="false">IF(E204="","",IF(OR(E204="الأصول",E204="الخصوم",E204="حقوق الملكية"),"المركز المالي","قائمة الدخل"))</f>
        <v/>
      </c>
      <c r="H204" s="33"/>
      <c r="I204" s="33"/>
      <c r="J204" s="34" t="str">
        <f aca="false">IF(A204="","",IF(F204="دائن",'ميزان المراجعة'!D204-'ميزان المراجعة'!C204,'ميزان المراجعة'!C204-'ميزان المراجعة'!D204))</f>
        <v/>
      </c>
      <c r="K204" s="22" t="str">
        <f aca="false">IF(A204="","",IF(COUNTIF('شجرة الحسابات'!$A$9:$A$208,A204)&gt;1,"⚠ رقم مكرر",IF(OR(B204="",C204="",E204="",F204=""),"⚠ بيانات ناقصة",IF(C204&lt;&gt;"تحليلي","● حساب تجميعي",IF(H204="","⚠ حدد بند القائمة",IF(COUNTIF(L_LINES,H204)=0,"⚠ بند غير معروف","✔ سليم"))))))</f>
        <v/>
      </c>
    </row>
    <row r="205" customFormat="false" ht="15" hidden="false" customHeight="false" outlineLevel="0" collapsed="false">
      <c r="A205" s="32"/>
      <c r="B205" s="36"/>
      <c r="C205" s="32"/>
      <c r="D205" s="32"/>
      <c r="E205" s="33"/>
      <c r="F205" s="32"/>
      <c r="G205" s="22" t="str">
        <f aca="false">IF(E205="","",IF(OR(E205="الأصول",E205="الخصوم",E205="حقوق الملكية"),"المركز المالي","قائمة الدخل"))</f>
        <v/>
      </c>
      <c r="H205" s="33"/>
      <c r="I205" s="33"/>
      <c r="J205" s="34" t="str">
        <f aca="false">IF(A205="","",IF(F205="دائن",'ميزان المراجعة'!D205-'ميزان المراجعة'!C205,'ميزان المراجعة'!C205-'ميزان المراجعة'!D205))</f>
        <v/>
      </c>
      <c r="K205" s="22" t="str">
        <f aca="false">IF(A205="","",IF(COUNTIF('شجرة الحسابات'!$A$9:$A$208,A205)&gt;1,"⚠ رقم مكرر",IF(OR(B205="",C205="",E205="",F205=""),"⚠ بيانات ناقصة",IF(C205&lt;&gt;"تحليلي","● حساب تجميعي",IF(H205="","⚠ حدد بند القائمة",IF(COUNTIF(L_LINES,H205)=0,"⚠ بند غير معروف","✔ سليم"))))))</f>
        <v/>
      </c>
    </row>
    <row r="206" customFormat="false" ht="15" hidden="false" customHeight="false" outlineLevel="0" collapsed="false">
      <c r="A206" s="32"/>
      <c r="B206" s="36"/>
      <c r="C206" s="32"/>
      <c r="D206" s="32"/>
      <c r="E206" s="33"/>
      <c r="F206" s="32"/>
      <c r="G206" s="22" t="str">
        <f aca="false">IF(E206="","",IF(OR(E206="الأصول",E206="الخصوم",E206="حقوق الملكية"),"المركز المالي","قائمة الدخل"))</f>
        <v/>
      </c>
      <c r="H206" s="33"/>
      <c r="I206" s="33"/>
      <c r="J206" s="34" t="str">
        <f aca="false">IF(A206="","",IF(F206="دائن",'ميزان المراجعة'!D206-'ميزان المراجعة'!C206,'ميزان المراجعة'!C206-'ميزان المراجعة'!D206))</f>
        <v/>
      </c>
      <c r="K206" s="22" t="str">
        <f aca="false">IF(A206="","",IF(COUNTIF('شجرة الحسابات'!$A$9:$A$208,A206)&gt;1,"⚠ رقم مكرر",IF(OR(B206="",C206="",E206="",F206=""),"⚠ بيانات ناقصة",IF(C206&lt;&gt;"تحليلي","● حساب تجميعي",IF(H206="","⚠ حدد بند القائمة",IF(COUNTIF(L_LINES,H206)=0,"⚠ بند غير معروف","✔ سليم"))))))</f>
        <v/>
      </c>
    </row>
    <row r="207" customFormat="false" ht="15" hidden="false" customHeight="false" outlineLevel="0" collapsed="false">
      <c r="A207" s="32"/>
      <c r="B207" s="36"/>
      <c r="C207" s="32"/>
      <c r="D207" s="32"/>
      <c r="E207" s="33"/>
      <c r="F207" s="32"/>
      <c r="G207" s="22" t="str">
        <f aca="false">IF(E207="","",IF(OR(E207="الأصول",E207="الخصوم",E207="حقوق الملكية"),"المركز المالي","قائمة الدخل"))</f>
        <v/>
      </c>
      <c r="H207" s="33"/>
      <c r="I207" s="33"/>
      <c r="J207" s="34" t="str">
        <f aca="false">IF(A207="","",IF(F207="دائن",'ميزان المراجعة'!D207-'ميزان المراجعة'!C207,'ميزان المراجعة'!C207-'ميزان المراجعة'!D207))</f>
        <v/>
      </c>
      <c r="K207" s="22" t="str">
        <f aca="false">IF(A207="","",IF(COUNTIF('شجرة الحسابات'!$A$9:$A$208,A207)&gt;1,"⚠ رقم مكرر",IF(OR(B207="",C207="",E207="",F207=""),"⚠ بيانات ناقصة",IF(C207&lt;&gt;"تحليلي","● حساب تجميعي",IF(H207="","⚠ حدد بند القائمة",IF(COUNTIF(L_LINES,H207)=0,"⚠ بند غير معروف","✔ سليم"))))))</f>
        <v/>
      </c>
    </row>
    <row r="208" customFormat="false" ht="15" hidden="false" customHeight="false" outlineLevel="0" collapsed="false">
      <c r="A208" s="32"/>
      <c r="B208" s="36"/>
      <c r="C208" s="32"/>
      <c r="D208" s="32"/>
      <c r="E208" s="33"/>
      <c r="F208" s="32"/>
      <c r="G208" s="22" t="str">
        <f aca="false">IF(E208="","",IF(OR(E208="الأصول",E208="الخصوم",E208="حقوق الملكية"),"المركز المالي","قائمة الدخل"))</f>
        <v/>
      </c>
      <c r="H208" s="33"/>
      <c r="I208" s="33"/>
      <c r="J208" s="34" t="str">
        <f aca="false">IF(A208="","",IF(F208="دائن",'ميزان المراجعة'!D208-'ميزان المراجعة'!C208,'ميزان المراجعة'!C208-'ميزان المراجعة'!D208))</f>
        <v/>
      </c>
      <c r="K208" s="22" t="str">
        <f aca="false">IF(A208="","",IF(COUNTIF('شجرة الحسابات'!$A$9:$A$208,A208)&gt;1,"⚠ رقم مكرر",IF(OR(B208="",C208="",E208="",F208=""),"⚠ بيانات ناقصة",IF(C208&lt;&gt;"تحليلي","● حساب تجميعي",IF(H208="","⚠ حدد بند القائمة",IF(COUNTIF(L_LINES,H208)=0,"⚠ بند غير معروف","✔ سليم"))))))</f>
        <v/>
      </c>
    </row>
  </sheetData>
  <autoFilter ref="A8:K208"/>
  <mergeCells count="11">
    <mergeCell ref="A1:K1"/>
    <mergeCell ref="A2:K2"/>
    <mergeCell ref="A5:B5"/>
    <mergeCell ref="C5:D5"/>
    <mergeCell ref="F5:G5"/>
    <mergeCell ref="J5:K5"/>
    <mergeCell ref="A6:B6"/>
    <mergeCell ref="C6:D6"/>
    <mergeCell ref="F6:G6"/>
    <mergeCell ref="J6:K6"/>
    <mergeCell ref="A7:K7"/>
  </mergeCells>
  <conditionalFormatting sqref="A9:I208">
    <cfRule type="expression" priority="2" aboveAverage="0" equalAverage="0" bottom="0" percent="0" rank="0" text="" dxfId="14">
      <formula>$C9="رئيسي"</formula>
    </cfRule>
    <cfRule type="expression" priority="3" aboveAverage="0" equalAverage="0" bottom="0" percent="0" rank="0" text="" dxfId="15">
      <formula>$C9="فرعي"</formula>
    </cfRule>
  </conditionalFormatting>
  <conditionalFormatting sqref="K9:K208">
    <cfRule type="expression" priority="4" aboveAverage="0" equalAverage="0" bottom="0" percent="0" rank="0" text="" dxfId="0">
      <formula>ISNUMBER(SEARCH("✔",K9))</formula>
    </cfRule>
    <cfRule type="expression" priority="5" aboveAverage="0" equalAverage="0" bottom="0" percent="0" rank="0" text="" dxfId="1">
      <formula>ISNUMBER(SEARCH("✖",K9))</formula>
    </cfRule>
    <cfRule type="expression" priority="6" aboveAverage="0" equalAverage="0" bottom="0" percent="0" rank="0" text="" dxfId="2">
      <formula>ISNUMBER(SEARCH("⚠",K9))</formula>
    </cfRule>
  </conditionalFormatting>
  <dataValidations count="6">
    <dataValidation allowBlank="true" error="من فضلك اختر قيمة من القائمة المنسدلة." errorStyle="stop" errorTitle="قيمة غير مسموحة" operator="between" prompt="رئيسي / فرعي / تحليلي (التحليلي فقط يقبل الترحيل)" promptTitle="المستوى" showDropDown="false" showErrorMessage="true" showInputMessage="true" sqref="C9:C208" type="list">
      <formula1>L_LEVEL</formula1>
      <formula2>0</formula2>
    </dataValidation>
    <dataValidation allowBlank="true" error="من فضلك اختر قيمة من القائمة المنسدلة." errorStyle="stop" errorTitle="قيمة غير مسموحة" operator="between" prompt="اختر نوع الحساب" promptTitle="نوع الحساب" showDropDown="false" showErrorMessage="true" showInputMessage="true" sqref="E9:E208" type="list">
      <formula1>L_TYPES</formula1>
      <formula2>0</formula2>
    </dataValidation>
    <dataValidation allowBlank="true" error="من فضلك اختر قيمة من القائمة المنسدلة." errorStyle="stop" errorTitle="قيمة غير مسموحة" operator="between" prompt="مدين أو دائن" promptTitle="الطبيعة" showDropDown="false" showErrorMessage="true" showInputMessage="true" sqref="F9:F208" type="list">
      <formula1>L_NATURE</formula1>
      <formula2>0</formula2>
    </dataValidation>
    <dataValidation allowBlank="true" error="من فضلك اختر قيمة من القائمة المنسدلة." errorStyle="stop" errorTitle="قيمة غير مسموحة" operator="between" prompt="البند الذي يظهر فيه الحساب بالقوائم المالية" promptTitle="بند القائمة" showDropDown="false" showErrorMessage="true" showInputMessage="true" sqref="H9:H208" type="list">
      <formula1>L_LINES</formula1>
      <formula2>0</formula2>
    </dataValidation>
    <dataValidation allowBlank="true" error="من فضلك اختر قيمة من القائمة المنسدلة." errorStyle="stop" errorTitle="قيمة غير مسموحة" operator="between" prompt="لحسابات تكاليف المشروعات فقط" promptTitle="عنصر التكلفة" showDropDown="false" showErrorMessage="true" showInputMessage="true" sqref="I9:I208" type="list">
      <formula1>L_ELEM</formula1>
      <formula2>0</formula2>
    </dataValidation>
    <dataValidation allowBlank="false" error="رقم الحساب يجب أن يكون رقماً صحيحاً موجباً." errorStyle="stop" errorTitle="رقم حساب غير صحيح" operator="greaterThan" showDropDown="false" showErrorMessage="true" showInputMessage="false" sqref="A9:A208" type="whole">
      <formula1>0</formula1>
      <formula2>0</formula2>
    </dataValidation>
  </dataValidations>
  <hyperlinks>
    <hyperlink ref="A3" location="'الرئيسية'!A1" display="🏠 الرئيسية"/>
    <hyperlink ref="B3" location="'قيود اليومية'!A1" display="✍ القيود"/>
    <hyperlink ref="C3" location="'تجميع المشروعات'!A1" display="🏗 المشروعات"/>
    <hyperlink ref="D3" location="'كشف حساب مشروع'!A1" display="📄 كشف مشروع"/>
    <hyperlink ref="E3" location="'دفتر الأستاذ'!A1" display="📒 الأستاذ"/>
    <hyperlink ref="F3" location="'ميزان المراجعة'!A1" display="⚖ الميزان"/>
    <hyperlink ref="G3" location="'قائمة الدخل'!A1" display="📈 الدخل"/>
    <hyperlink ref="H3" location="'المركز المالي'!A1" display="🏦 المركز المالي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3E8"/>
    <pageSetUpPr fitToPage="true"/>
  </sheetPr>
  <dimension ref="A1:O1010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9" min="7" style="0" width="17"/>
    <col collapsed="false" customWidth="true" hidden="true" outlineLevel="1" max="11" min="10" style="0" width="12"/>
    <col collapsed="false" customWidth="true" hidden="true" outlineLevel="1" max="12" min="12" style="0" width="10"/>
    <col collapsed="false" customWidth="true" hidden="true" outlineLevel="1" max="13" min="13" style="0" width="16"/>
    <col collapsed="false" customWidth="true" hidden="true" outlineLevel="1" max="15" min="14" style="0" width="8"/>
  </cols>
  <sheetData>
    <row r="1" customFormat="false" ht="37.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tr">
        <f aca="false">الرئيسية!$C$6&amp;"   |   الفترة المنتهية في: "&amp;TEXT(الرئيسية!$C$7,"yyyy/mm/dd")&amp;"   |   المبالغ بـ "&amp;الرئيسية!$G$7</f>
        <v>شركة الإعمار الحديثة للمقاولات العامة   |   الفترة المنتهية في: 2026/03/31   |   المبالغ بـ ريال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26" t="s">
        <v>42</v>
      </c>
      <c r="B3" s="16" t="s">
        <v>149</v>
      </c>
      <c r="C3" s="16" t="s">
        <v>44</v>
      </c>
      <c r="D3" s="16" t="s">
        <v>45</v>
      </c>
      <c r="E3" s="16" t="s">
        <v>46</v>
      </c>
      <c r="F3" s="16" t="s">
        <v>47</v>
      </c>
      <c r="G3" s="16" t="s">
        <v>48</v>
      </c>
      <c r="H3" s="16" t="s">
        <v>49</v>
      </c>
    </row>
    <row r="4" customFormat="false" ht="7.5" hidden="false" customHeight="true" outlineLevel="0" collapsed="false"/>
    <row r="5" customFormat="false" ht="21.75" hidden="false" customHeight="true" outlineLevel="0" collapsed="false">
      <c r="A5" s="37" t="s">
        <v>150</v>
      </c>
      <c r="B5" s="37"/>
      <c r="C5" s="8" t="s">
        <v>151</v>
      </c>
      <c r="D5" s="8" t="s">
        <v>152</v>
      </c>
      <c r="E5" s="13" t="s">
        <v>153</v>
      </c>
      <c r="F5" s="38" t="s">
        <v>154</v>
      </c>
      <c r="G5" s="7" t="s">
        <v>155</v>
      </c>
      <c r="H5" s="7" t="s">
        <v>156</v>
      </c>
      <c r="I5" s="13" t="s">
        <v>17</v>
      </c>
    </row>
    <row r="6" customFormat="false" ht="30" hidden="false" customHeight="true" outlineLevel="0" collapsed="false">
      <c r="A6" s="39" t="s">
        <v>157</v>
      </c>
      <c r="B6" s="40" t="n">
        <v>12</v>
      </c>
      <c r="C6" s="41" t="n">
        <f aca="false">SUMIFS('قيود اليومية'!$G$11:$G$1010,'قيود اليومية'!$A$11:$A$1010,$B$6)</f>
        <v>1500000</v>
      </c>
      <c r="D6" s="41" t="n">
        <f aca="false">SUMIFS('قيود اليومية'!$H$11:$H$1010,'قيود اليومية'!$A$11:$A$1010,$B$6)</f>
        <v>1500000</v>
      </c>
      <c r="E6" s="42" t="n">
        <f aca="false">ROUND(C6-D6,2)</f>
        <v>0</v>
      </c>
      <c r="F6" s="43" t="str">
        <f aca="false">IF($B$6="","— أدخل رقم القيد —",IF(COUNTIF('قيود اليومية'!$A$11:$A$1010,$B$6)=0,"⚠ القيد غير موجود",IF(COUNTIFS('قيود اليومية'!$A$11:$A$1010,$B$6,'قيود اليومية'!$I$11:$I$1010,"مرحل ✔")&gt;0,"✔ القيد متوازن وتم ترحيله",IF(E6&lt;&gt;0,"✖ غير متوازن - لن يُرحّل (الفرق "&amp;TEXT(ABS(E6),"#,##0.00")&amp;")","✖ به خطأ في الحسابات - راجع عمود الفحص"))))</f>
        <v>✔ القيد متوازن وتم ترحيله</v>
      </c>
      <c r="G6" s="44" t="n">
        <f aca="false">SUM('قيود اليومية'!$G$11:$G$1010)</f>
        <v>13413700</v>
      </c>
      <c r="H6" s="44" t="n">
        <f aca="false">SUM('قيود اليومية'!$H$11:$H$1010)</f>
        <v>13410700</v>
      </c>
      <c r="I6" s="45" t="n">
        <f aca="false">SUMPRODUCT(('قيود اليومية'!$A$11:$A$1010&lt;&gt;"")*('قيود اليومية'!$I$11:$I$1010&lt;&gt;"مرحل ✔")/COUNTIF('قيود اليومية'!$A$11:$A$1010,'قيود اليومية'!$A$11:$A$1010&amp;""))</f>
        <v>1</v>
      </c>
    </row>
    <row r="7" customFormat="false" ht="17.35" hidden="false" customHeight="false" outlineLevel="0" collapsed="false">
      <c r="A7" s="39" t="s">
        <v>158</v>
      </c>
      <c r="B7" s="46" t="n">
        <f aca="false">MAX('قيود اليومية'!$A$11:$A$1010)+1</f>
        <v>29</v>
      </c>
    </row>
    <row r="8" customFormat="false" ht="25.5" hidden="false" customHeight="true" outlineLevel="0" collapsed="false">
      <c r="A8" s="47" t="str">
        <f aca="false">IF(I6&gt;0,"⚠ تنبيه: يوجد "&amp;TEXT(I6,"0")&amp;" قيد غير متوازن أو به خطأ — هذه القيود لا تُرحّل للميزان والقوائم حتى تصحيحها (الأسطر المظللة بالأحمر).","✔ جميع القيود متوازنة ومرحّلة للميزان والقوائم المالية.")</f>
        <v>⚠ تنبيه: يوجد 1 قيد غير متوازن أو به خطأ — هذه القيود لا تُرحّل للميزان والقوائم حتى تصحيحها (الأسطر المظللة بالأحمر).</v>
      </c>
      <c r="B8" s="47"/>
      <c r="C8" s="47"/>
      <c r="D8" s="47"/>
      <c r="E8" s="47"/>
      <c r="F8" s="47"/>
      <c r="G8" s="47"/>
      <c r="H8" s="47"/>
      <c r="I8" s="47"/>
    </row>
    <row r="9" customFormat="false" ht="27.75" hidden="false" customHeight="true" outlineLevel="0" collapsed="false">
      <c r="A9" s="30" t="s">
        <v>159</v>
      </c>
      <c r="B9" s="30"/>
      <c r="C9" s="30"/>
      <c r="D9" s="30"/>
      <c r="E9" s="30"/>
      <c r="F9" s="30"/>
      <c r="G9" s="30"/>
      <c r="H9" s="30"/>
      <c r="I9" s="30"/>
    </row>
    <row r="10" customFormat="false" ht="33.75" hidden="false" customHeight="true" outlineLevel="0" collapsed="false">
      <c r="A10" s="31" t="s">
        <v>160</v>
      </c>
      <c r="B10" s="31" t="s">
        <v>161</v>
      </c>
      <c r="C10" s="31" t="s">
        <v>58</v>
      </c>
      <c r="D10" s="31" t="s">
        <v>59</v>
      </c>
      <c r="E10" s="31" t="s">
        <v>162</v>
      </c>
      <c r="F10" s="31" t="s">
        <v>163</v>
      </c>
      <c r="G10" s="31" t="s">
        <v>71</v>
      </c>
      <c r="H10" s="31" t="s">
        <v>94</v>
      </c>
      <c r="I10" s="31" t="s">
        <v>164</v>
      </c>
      <c r="J10" s="48" t="s">
        <v>62</v>
      </c>
      <c r="K10" s="48" t="s">
        <v>165</v>
      </c>
      <c r="L10" s="48" t="s">
        <v>60</v>
      </c>
      <c r="M10" s="48" t="s">
        <v>166</v>
      </c>
      <c r="N10" s="48" t="s">
        <v>167</v>
      </c>
      <c r="O10" s="48" t="s">
        <v>168</v>
      </c>
    </row>
    <row r="11" customFormat="false" ht="15" hidden="false" customHeight="false" outlineLevel="0" collapsed="false">
      <c r="A11" s="49" t="n">
        <v>1</v>
      </c>
      <c r="B11" s="50" t="n">
        <v>46023</v>
      </c>
      <c r="C11" s="49" t="n">
        <v>1102</v>
      </c>
      <c r="D11" s="51" t="str">
        <f aca="false">IF(C11="","",IFERROR(INDEX('شجرة الحسابات'!$B$9:$B$208,MATCH(C11,'شجرة الحسابات'!$A$9:$A$208,0)),"⚠ حساب غير معرف"))</f>
        <v>البنك - الحساب الجاري</v>
      </c>
      <c r="E11" s="52"/>
      <c r="F11" s="52" t="s">
        <v>169</v>
      </c>
      <c r="G11" s="53" t="n">
        <v>3000000</v>
      </c>
      <c r="H11" s="53"/>
      <c r="I11" s="54" t="str">
        <f aca="false">IF(A11="",IF(M11="فارغ","","✖ بدون رقم قيد"),IF(COUNTIFS('قيود اليومية'!$A$11:$A$1010,A11,'قيود اليومية'!$M$11:$M$1010,"&lt;&gt;OK",'قيود اليومية'!$M$11:$M$1010,"&lt;&gt;فارغ")&gt;0,"✖ خطأ بالحساب",IF(ROUND(SUMIFS('قيود اليومية'!$G$11:$G$1010,'قيود اليومية'!$A$11:$A$1010,A11)-SUMIFS('قيود اليومية'!$H$11:$H$1010,'قيود اليومية'!$A$11:$A$1010,A11),2)&lt;&gt;0,"✖ غير متوازن","مرحل ✔")))</f>
        <v>مرحل ✔</v>
      </c>
      <c r="J11" s="55" t="str">
        <f aca="false">IF(C11="","",IFERROR(INDEX('شجرة الحسابات'!$E$9:$E$208,MATCH(C11,'شجرة الحسابات'!$A$9:$A$208,0))&amp;"",""))</f>
        <v>الأصول</v>
      </c>
      <c r="K11" s="55" t="str">
        <f aca="false">IF(C11="","",IFERROR(INDEX('شجرة الحسابات'!$I$9:$I$208,MATCH(C11,'شجرة الحسابات'!$A$9:$A$208,0))&amp;"",""))</f>
        <v/>
      </c>
      <c r="L11" s="55" t="str">
        <f aca="false">IF(C11="","",IFERROR(INDEX('شجرة الحسابات'!$C$9:$C$208,MATCH(C11,'شجرة الحسابات'!$A$9:$A$208,0))&amp;"",""))</f>
        <v>تحليلي</v>
      </c>
      <c r="M11" s="55" t="str">
        <f aca="false">IF(AND(C11="",G11="",H11=""),"فارغ",IF(ISNA(MATCH(C11,'شجرة الحسابات'!$A$9:$A$208,0)),"حساب غير معرف",IF(L11&lt;&gt;"تحليلي","حساب تجميعي",IF(AND(N(G11)&gt;0,N(H11)&gt;0),"مدين ودائن معاً",IF(N(G11)+N(H11)=0,"بدون قيمة","OK")))))</f>
        <v>OK</v>
      </c>
      <c r="N11" s="55" t="str">
        <f aca="false">IF(AND(E11&lt;&gt;"",E11='كشف حساب مشروع'!$C$6,I11="مرحل ✔"),COUNTIFS($E$11:E11,'كشف حساب مشروع'!$C$6,$I$11:I11,"مرحل ✔"),"")</f>
        <v/>
      </c>
      <c r="O11" s="55" t="n">
        <f aca="false">IF(AND(C11&lt;&gt;"",C11='دفتر الأستاذ'!$C$6,I11="مرحل ✔"),COUNTIFS($C$11:C11,'دفتر الأستاذ'!$C$6,$I$11:I11,"مرحل ✔"),"")</f>
        <v>1</v>
      </c>
    </row>
    <row r="12" customFormat="false" ht="15" hidden="false" customHeight="false" outlineLevel="0" collapsed="false">
      <c r="A12" s="49" t="n">
        <v>1</v>
      </c>
      <c r="B12" s="50" t="n">
        <v>46023</v>
      </c>
      <c r="C12" s="49" t="n">
        <v>3101</v>
      </c>
      <c r="D12" s="51" t="str">
        <f aca="false">IF(C12="","",IFERROR(INDEX('شجرة الحسابات'!$B$9:$B$208,MATCH(C12,'شجرة الحسابات'!$A$9:$A$208,0)),"⚠ حساب غير معرف"))</f>
        <v>رأس المال المدفوع</v>
      </c>
      <c r="E12" s="52"/>
      <c r="F12" s="52" t="s">
        <v>169</v>
      </c>
      <c r="G12" s="53"/>
      <c r="H12" s="53" t="n">
        <v>3000000</v>
      </c>
      <c r="I12" s="54" t="str">
        <f aca="false">IF(A12="",IF(M12="فارغ","","✖ بدون رقم قيد"),IF(COUNTIFS('قيود اليومية'!$A$11:$A$1010,A12,'قيود اليومية'!$M$11:$M$1010,"&lt;&gt;OK",'قيود اليومية'!$M$11:$M$1010,"&lt;&gt;فارغ")&gt;0,"✖ خطأ بالحساب",IF(ROUND(SUMIFS('قيود اليومية'!$G$11:$G$1010,'قيود اليومية'!$A$11:$A$1010,A12)-SUMIFS('قيود اليومية'!$H$11:$H$1010,'قيود اليومية'!$A$11:$A$1010,A12),2)&lt;&gt;0,"✖ غير متوازن","مرحل ✔")))</f>
        <v>مرحل ✔</v>
      </c>
      <c r="J12" s="55" t="str">
        <f aca="false">IF(C12="","",IFERROR(INDEX('شجرة الحسابات'!$E$9:$E$208,MATCH(C12,'شجرة الحسابات'!$A$9:$A$208,0))&amp;"",""))</f>
        <v>حقوق الملكية</v>
      </c>
      <c r="K12" s="55" t="str">
        <f aca="false">IF(C12="","",IFERROR(INDEX('شجرة الحسابات'!$I$9:$I$208,MATCH(C12,'شجرة الحسابات'!$A$9:$A$208,0))&amp;"",""))</f>
        <v/>
      </c>
      <c r="L12" s="55" t="str">
        <f aca="false">IF(C12="","",IFERROR(INDEX('شجرة الحسابات'!$C$9:$C$208,MATCH(C12,'شجرة الحسابات'!$A$9:$A$208,0))&amp;"",""))</f>
        <v>تحليلي</v>
      </c>
      <c r="M12" s="55" t="str">
        <f aca="false">IF(AND(C12="",G12="",H12=""),"فارغ",IF(ISNA(MATCH(C12,'شجرة الحسابات'!$A$9:$A$208,0)),"حساب غير معرف",IF(L12&lt;&gt;"تحليلي","حساب تجميعي",IF(AND(N(G12)&gt;0,N(H12)&gt;0),"مدين ودائن معاً",IF(N(G12)+N(H12)=0,"بدون قيمة","OK")))))</f>
        <v>OK</v>
      </c>
      <c r="N12" s="55" t="str">
        <f aca="false">IF(AND(E12&lt;&gt;"",E12='كشف حساب مشروع'!$C$6,I12="مرحل ✔"),COUNTIFS($E$11:E12,'كشف حساب مشروع'!$C$6,$I$11:I12,"مرحل ✔"),"")</f>
        <v/>
      </c>
      <c r="O12" s="55" t="str">
        <f aca="false">IF(AND(C12&lt;&gt;"",C12='دفتر الأستاذ'!$C$6,I12="مرحل ✔"),COUNTIFS($C$11:C12,'دفتر الأستاذ'!$C$6,$I$11:I12,"مرحل ✔"),"")</f>
        <v/>
      </c>
    </row>
    <row r="13" customFormat="false" ht="15" hidden="false" customHeight="false" outlineLevel="0" collapsed="false">
      <c r="A13" s="49" t="n">
        <v>2</v>
      </c>
      <c r="B13" s="50" t="n">
        <v>46027</v>
      </c>
      <c r="C13" s="49" t="n">
        <v>1201</v>
      </c>
      <c r="D13" s="51" t="str">
        <f aca="false">IF(C13="","",IFERROR(INDEX('شجرة الحسابات'!$B$9:$B$208,MATCH(C13,'شجرة الحسابات'!$A$9:$A$208,0)),"⚠ حساب غير معرف"))</f>
        <v>المعدات والآلات الثقيلة</v>
      </c>
      <c r="E13" s="52"/>
      <c r="F13" s="52" t="s">
        <v>170</v>
      </c>
      <c r="G13" s="53" t="n">
        <v>1200000</v>
      </c>
      <c r="H13" s="53"/>
      <c r="I13" s="54" t="str">
        <f aca="false">IF(A13="",IF(M13="فارغ","","✖ بدون رقم قيد"),IF(COUNTIFS('قيود اليومية'!$A$11:$A$1010,A13,'قيود اليومية'!$M$11:$M$1010,"&lt;&gt;OK",'قيود اليومية'!$M$11:$M$1010,"&lt;&gt;فارغ")&gt;0,"✖ خطأ بالحساب",IF(ROUND(SUMIFS('قيود اليومية'!$G$11:$G$1010,'قيود اليومية'!$A$11:$A$1010,A13)-SUMIFS('قيود اليومية'!$H$11:$H$1010,'قيود اليومية'!$A$11:$A$1010,A13),2)&lt;&gt;0,"✖ غير متوازن","مرحل ✔")))</f>
        <v>مرحل ✔</v>
      </c>
      <c r="J13" s="55" t="str">
        <f aca="false">IF(C13="","",IFERROR(INDEX('شجرة الحسابات'!$E$9:$E$208,MATCH(C13,'شجرة الحسابات'!$A$9:$A$208,0))&amp;"",""))</f>
        <v>الأصول</v>
      </c>
      <c r="K13" s="55" t="str">
        <f aca="false">IF(C13="","",IFERROR(INDEX('شجرة الحسابات'!$I$9:$I$208,MATCH(C13,'شجرة الحسابات'!$A$9:$A$208,0))&amp;"",""))</f>
        <v/>
      </c>
      <c r="L13" s="55" t="str">
        <f aca="false">IF(C13="","",IFERROR(INDEX('شجرة الحسابات'!$C$9:$C$208,MATCH(C13,'شجرة الحسابات'!$A$9:$A$208,0))&amp;"",""))</f>
        <v>تحليلي</v>
      </c>
      <c r="M13" s="55" t="str">
        <f aca="false">IF(AND(C13="",G13="",H13=""),"فارغ",IF(ISNA(MATCH(C13,'شجرة الحسابات'!$A$9:$A$208,0)),"حساب غير معرف",IF(L13&lt;&gt;"تحليلي","حساب تجميعي",IF(AND(N(G13)&gt;0,N(H13)&gt;0),"مدين ودائن معاً",IF(N(G13)+N(H13)=0,"بدون قيمة","OK")))))</f>
        <v>OK</v>
      </c>
      <c r="N13" s="55" t="str">
        <f aca="false">IF(AND(E13&lt;&gt;"",E13='كشف حساب مشروع'!$C$6,I13="مرحل ✔"),COUNTIFS($E$11:E13,'كشف حساب مشروع'!$C$6,$I$11:I13,"مرحل ✔"),"")</f>
        <v/>
      </c>
      <c r="O13" s="55" t="str">
        <f aca="false">IF(AND(C13&lt;&gt;"",C13='دفتر الأستاذ'!$C$6,I13="مرحل ✔"),COUNTIFS($C$11:C13,'دفتر الأستاذ'!$C$6,$I$11:I13,"مرحل ✔"),"")</f>
        <v/>
      </c>
    </row>
    <row r="14" customFormat="false" ht="15" hidden="false" customHeight="false" outlineLevel="0" collapsed="false">
      <c r="A14" s="49" t="n">
        <v>2</v>
      </c>
      <c r="B14" s="50" t="n">
        <v>46027</v>
      </c>
      <c r="C14" s="49" t="n">
        <v>1202</v>
      </c>
      <c r="D14" s="51" t="str">
        <f aca="false">IF(C14="","",IFERROR(INDEX('شجرة الحسابات'!$B$9:$B$208,MATCH(C14,'شجرة الحسابات'!$A$9:$A$208,0)),"⚠ حساب غير معرف"))</f>
        <v>السيارات ووسائل النقل</v>
      </c>
      <c r="E14" s="52"/>
      <c r="F14" s="52" t="s">
        <v>171</v>
      </c>
      <c r="G14" s="53" t="n">
        <v>250000</v>
      </c>
      <c r="H14" s="53"/>
      <c r="I14" s="54" t="str">
        <f aca="false">IF(A14="",IF(M14="فارغ","","✖ بدون رقم قيد"),IF(COUNTIFS('قيود اليومية'!$A$11:$A$1010,A14,'قيود اليومية'!$M$11:$M$1010,"&lt;&gt;OK",'قيود اليومية'!$M$11:$M$1010,"&lt;&gt;فارغ")&gt;0,"✖ خطأ بالحساب",IF(ROUND(SUMIFS('قيود اليومية'!$G$11:$G$1010,'قيود اليومية'!$A$11:$A$1010,A14)-SUMIFS('قيود اليومية'!$H$11:$H$1010,'قيود اليومية'!$A$11:$A$1010,A14),2)&lt;&gt;0,"✖ غير متوازن","مرحل ✔")))</f>
        <v>مرحل ✔</v>
      </c>
      <c r="J14" s="55" t="str">
        <f aca="false">IF(C14="","",IFERROR(INDEX('شجرة الحسابات'!$E$9:$E$208,MATCH(C14,'شجرة الحسابات'!$A$9:$A$208,0))&amp;"",""))</f>
        <v>الأصول</v>
      </c>
      <c r="K14" s="55" t="str">
        <f aca="false">IF(C14="","",IFERROR(INDEX('شجرة الحسابات'!$I$9:$I$208,MATCH(C14,'شجرة الحسابات'!$A$9:$A$208,0))&amp;"",""))</f>
        <v/>
      </c>
      <c r="L14" s="55" t="str">
        <f aca="false">IF(C14="","",IFERROR(INDEX('شجرة الحسابات'!$C$9:$C$208,MATCH(C14,'شجرة الحسابات'!$A$9:$A$208,0))&amp;"",""))</f>
        <v>تحليلي</v>
      </c>
      <c r="M14" s="55" t="str">
        <f aca="false">IF(AND(C14="",G14="",H14=""),"فارغ",IF(ISNA(MATCH(C14,'شجرة الحسابات'!$A$9:$A$208,0)),"حساب غير معرف",IF(L14&lt;&gt;"تحليلي","حساب تجميعي",IF(AND(N(G14)&gt;0,N(H14)&gt;0),"مدين ودائن معاً",IF(N(G14)+N(H14)=0,"بدون قيمة","OK")))))</f>
        <v>OK</v>
      </c>
      <c r="N14" s="55" t="str">
        <f aca="false">IF(AND(E14&lt;&gt;"",E14='كشف حساب مشروع'!$C$6,I14="مرحل ✔"),COUNTIFS($E$11:E14,'كشف حساب مشروع'!$C$6,$I$11:I14,"مرحل ✔"),"")</f>
        <v/>
      </c>
      <c r="O14" s="55" t="str">
        <f aca="false">IF(AND(C14&lt;&gt;"",C14='دفتر الأستاذ'!$C$6,I14="مرحل ✔"),COUNTIFS($C$11:C14,'دفتر الأستاذ'!$C$6,$I$11:I14,"مرحل ✔"),"")</f>
        <v/>
      </c>
    </row>
    <row r="15" customFormat="false" ht="15" hidden="false" customHeight="false" outlineLevel="0" collapsed="false">
      <c r="A15" s="49" t="n">
        <v>2</v>
      </c>
      <c r="B15" s="50" t="n">
        <v>46027</v>
      </c>
      <c r="C15" s="49" t="n">
        <v>1203</v>
      </c>
      <c r="D15" s="51" t="str">
        <f aca="false">IF(C15="","",IFERROR(INDEX('شجرة الحسابات'!$B$9:$B$208,MATCH(C15,'شجرة الحسابات'!$A$9:$A$208,0)),"⚠ حساب غير معرف"))</f>
        <v>الأثاث والتجهيزات المكتبية</v>
      </c>
      <c r="E15" s="52"/>
      <c r="F15" s="52" t="s">
        <v>172</v>
      </c>
      <c r="G15" s="53" t="n">
        <v>80000</v>
      </c>
      <c r="H15" s="53"/>
      <c r="I15" s="54" t="str">
        <f aca="false">IF(A15="",IF(M15="فارغ","","✖ بدون رقم قيد"),IF(COUNTIFS('قيود اليومية'!$A$11:$A$1010,A15,'قيود اليومية'!$M$11:$M$1010,"&lt;&gt;OK",'قيود اليومية'!$M$11:$M$1010,"&lt;&gt;فارغ")&gt;0,"✖ خطأ بالحساب",IF(ROUND(SUMIFS('قيود اليومية'!$G$11:$G$1010,'قيود اليومية'!$A$11:$A$1010,A15)-SUMIFS('قيود اليومية'!$H$11:$H$1010,'قيود اليومية'!$A$11:$A$1010,A15),2)&lt;&gt;0,"✖ غير متوازن","مرحل ✔")))</f>
        <v>مرحل ✔</v>
      </c>
      <c r="J15" s="55" t="str">
        <f aca="false">IF(C15="","",IFERROR(INDEX('شجرة الحسابات'!$E$9:$E$208,MATCH(C15,'شجرة الحسابات'!$A$9:$A$208,0))&amp;"",""))</f>
        <v>الأصول</v>
      </c>
      <c r="K15" s="55" t="str">
        <f aca="false">IF(C15="","",IFERROR(INDEX('شجرة الحسابات'!$I$9:$I$208,MATCH(C15,'شجرة الحسابات'!$A$9:$A$208,0))&amp;"",""))</f>
        <v/>
      </c>
      <c r="L15" s="55" t="str">
        <f aca="false">IF(C15="","",IFERROR(INDEX('شجرة الحسابات'!$C$9:$C$208,MATCH(C15,'شجرة الحسابات'!$A$9:$A$208,0))&amp;"",""))</f>
        <v>تحليلي</v>
      </c>
      <c r="M15" s="55" t="str">
        <f aca="false">IF(AND(C15="",G15="",H15=""),"فارغ",IF(ISNA(MATCH(C15,'شجرة الحسابات'!$A$9:$A$208,0)),"حساب غير معرف",IF(L15&lt;&gt;"تحليلي","حساب تجميعي",IF(AND(N(G15)&gt;0,N(H15)&gt;0),"مدين ودائن معاً",IF(N(G15)+N(H15)=0,"بدون قيمة","OK")))))</f>
        <v>OK</v>
      </c>
      <c r="N15" s="55" t="str">
        <f aca="false">IF(AND(E15&lt;&gt;"",E15='كشف حساب مشروع'!$C$6,I15="مرحل ✔"),COUNTIFS($E$11:E15,'كشف حساب مشروع'!$C$6,$I$11:I15,"مرحل ✔"),"")</f>
        <v/>
      </c>
      <c r="O15" s="55" t="str">
        <f aca="false">IF(AND(C15&lt;&gt;"",C15='دفتر الأستاذ'!$C$6,I15="مرحل ✔"),COUNTIFS($C$11:C15,'دفتر الأستاذ'!$C$6,$I$11:I15,"مرحل ✔"),"")</f>
        <v/>
      </c>
    </row>
    <row r="16" customFormat="false" ht="15" hidden="false" customHeight="false" outlineLevel="0" collapsed="false">
      <c r="A16" s="49" t="n">
        <v>2</v>
      </c>
      <c r="B16" s="50" t="n">
        <v>46027</v>
      </c>
      <c r="C16" s="49" t="n">
        <v>1102</v>
      </c>
      <c r="D16" s="51" t="str">
        <f aca="false">IF(C16="","",IFERROR(INDEX('شجرة الحسابات'!$B$9:$B$208,MATCH(C16,'شجرة الحسابات'!$A$9:$A$208,0)),"⚠ حساب غير معرف"))</f>
        <v>البنك - الحساب الجاري</v>
      </c>
      <c r="E16" s="52"/>
      <c r="F16" s="52" t="s">
        <v>173</v>
      </c>
      <c r="G16" s="53"/>
      <c r="H16" s="53" t="n">
        <v>1030000</v>
      </c>
      <c r="I16" s="54" t="str">
        <f aca="false">IF(A16="",IF(M16="فارغ","","✖ بدون رقم قيد"),IF(COUNTIFS('قيود اليومية'!$A$11:$A$1010,A16,'قيود اليومية'!$M$11:$M$1010,"&lt;&gt;OK",'قيود اليومية'!$M$11:$M$1010,"&lt;&gt;فارغ")&gt;0,"✖ خطأ بالحساب",IF(ROUND(SUMIFS('قيود اليومية'!$G$11:$G$1010,'قيود اليومية'!$A$11:$A$1010,A16)-SUMIFS('قيود اليومية'!$H$11:$H$1010,'قيود اليومية'!$A$11:$A$1010,A16),2)&lt;&gt;0,"✖ غير متوازن","مرحل ✔")))</f>
        <v>مرحل ✔</v>
      </c>
      <c r="J16" s="55" t="str">
        <f aca="false">IF(C16="","",IFERROR(INDEX('شجرة الحسابات'!$E$9:$E$208,MATCH(C16,'شجرة الحسابات'!$A$9:$A$208,0))&amp;"",""))</f>
        <v>الأصول</v>
      </c>
      <c r="K16" s="55" t="str">
        <f aca="false">IF(C16="","",IFERROR(INDEX('شجرة الحسابات'!$I$9:$I$208,MATCH(C16,'شجرة الحسابات'!$A$9:$A$208,0))&amp;"",""))</f>
        <v/>
      </c>
      <c r="L16" s="55" t="str">
        <f aca="false">IF(C16="","",IFERROR(INDEX('شجرة الحسابات'!$C$9:$C$208,MATCH(C16,'شجرة الحسابات'!$A$9:$A$208,0))&amp;"",""))</f>
        <v>تحليلي</v>
      </c>
      <c r="M16" s="55" t="str">
        <f aca="false">IF(AND(C16="",G16="",H16=""),"فارغ",IF(ISNA(MATCH(C16,'شجرة الحسابات'!$A$9:$A$208,0)),"حساب غير معرف",IF(L16&lt;&gt;"تحليلي","حساب تجميعي",IF(AND(N(G16)&gt;0,N(H16)&gt;0),"مدين ودائن معاً",IF(N(G16)+N(H16)=0,"بدون قيمة","OK")))))</f>
        <v>OK</v>
      </c>
      <c r="N16" s="55" t="str">
        <f aca="false">IF(AND(E16&lt;&gt;"",E16='كشف حساب مشروع'!$C$6,I16="مرحل ✔"),COUNTIFS($E$11:E16,'كشف حساب مشروع'!$C$6,$I$11:I16,"مرحل ✔"),"")</f>
        <v/>
      </c>
      <c r="O16" s="55" t="n">
        <f aca="false">IF(AND(C16&lt;&gt;"",C16='دفتر الأستاذ'!$C$6,I16="مرحل ✔"),COUNTIFS($C$11:C16,'دفتر الأستاذ'!$C$6,$I$11:I16,"مرحل ✔"),"")</f>
        <v>2</v>
      </c>
    </row>
    <row r="17" customFormat="false" ht="15" hidden="false" customHeight="false" outlineLevel="0" collapsed="false">
      <c r="A17" s="49" t="n">
        <v>2</v>
      </c>
      <c r="B17" s="50" t="n">
        <v>46027</v>
      </c>
      <c r="C17" s="49" t="n">
        <v>2201</v>
      </c>
      <c r="D17" s="51" t="str">
        <f aca="false">IF(C17="","",IFERROR(INDEX('شجرة الحسابات'!$B$9:$B$208,MATCH(C17,'شجرة الحسابات'!$A$9:$A$208,0)),"⚠ حساب غير معرف"))</f>
        <v>قروض بنكية طويلة الأجل</v>
      </c>
      <c r="E17" s="52"/>
      <c r="F17" s="52" t="s">
        <v>174</v>
      </c>
      <c r="G17" s="53"/>
      <c r="H17" s="53" t="n">
        <v>500000</v>
      </c>
      <c r="I17" s="54" t="str">
        <f aca="false">IF(A17="",IF(M17="فارغ","","✖ بدون رقم قيد"),IF(COUNTIFS('قيود اليومية'!$A$11:$A$1010,A17,'قيود اليومية'!$M$11:$M$1010,"&lt;&gt;OK",'قيود اليومية'!$M$11:$M$1010,"&lt;&gt;فارغ")&gt;0,"✖ خطأ بالحساب",IF(ROUND(SUMIFS('قيود اليومية'!$G$11:$G$1010,'قيود اليومية'!$A$11:$A$1010,A17)-SUMIFS('قيود اليومية'!$H$11:$H$1010,'قيود اليومية'!$A$11:$A$1010,A17),2)&lt;&gt;0,"✖ غير متوازن","مرحل ✔")))</f>
        <v>مرحل ✔</v>
      </c>
      <c r="J17" s="55" t="str">
        <f aca="false">IF(C17="","",IFERROR(INDEX('شجرة الحسابات'!$E$9:$E$208,MATCH(C17,'شجرة الحسابات'!$A$9:$A$208,0))&amp;"",""))</f>
        <v>الخصوم</v>
      </c>
      <c r="K17" s="55" t="str">
        <f aca="false">IF(C17="","",IFERROR(INDEX('شجرة الحسابات'!$I$9:$I$208,MATCH(C17,'شجرة الحسابات'!$A$9:$A$208,0))&amp;"",""))</f>
        <v/>
      </c>
      <c r="L17" s="55" t="str">
        <f aca="false">IF(C17="","",IFERROR(INDEX('شجرة الحسابات'!$C$9:$C$208,MATCH(C17,'شجرة الحسابات'!$A$9:$A$208,0))&amp;"",""))</f>
        <v>تحليلي</v>
      </c>
      <c r="M17" s="55" t="str">
        <f aca="false">IF(AND(C17="",G17="",H17=""),"فارغ",IF(ISNA(MATCH(C17,'شجرة الحسابات'!$A$9:$A$208,0)),"حساب غير معرف",IF(L17&lt;&gt;"تحليلي","حساب تجميعي",IF(AND(N(G17)&gt;0,N(H17)&gt;0),"مدين ودائن معاً",IF(N(G17)+N(H17)=0,"بدون قيمة","OK")))))</f>
        <v>OK</v>
      </c>
      <c r="N17" s="55" t="str">
        <f aca="false">IF(AND(E17&lt;&gt;"",E17='كشف حساب مشروع'!$C$6,I17="مرحل ✔"),COUNTIFS($E$11:E17,'كشف حساب مشروع'!$C$6,$I$11:I17,"مرحل ✔"),"")</f>
        <v/>
      </c>
      <c r="O17" s="55" t="str">
        <f aca="false">IF(AND(C17&lt;&gt;"",C17='دفتر الأستاذ'!$C$6,I17="مرحل ✔"),COUNTIFS($C$11:C17,'دفتر الأستاذ'!$C$6,$I$11:I17,"مرحل ✔"),"")</f>
        <v/>
      </c>
    </row>
    <row r="18" customFormat="false" ht="15" hidden="false" customHeight="false" outlineLevel="0" collapsed="false">
      <c r="A18" s="49" t="n">
        <v>3</v>
      </c>
      <c r="B18" s="50" t="n">
        <v>46030</v>
      </c>
      <c r="C18" s="49" t="n">
        <v>1101</v>
      </c>
      <c r="D18" s="51" t="str">
        <f aca="false">IF(C18="","",IFERROR(INDEX('شجرة الحسابات'!$B$9:$B$208,MATCH(C18,'شجرة الحسابات'!$A$9:$A$208,0)),"⚠ حساب غير معرف"))</f>
        <v>الصندوق (النقدية بالخزينة)</v>
      </c>
      <c r="E18" s="52"/>
      <c r="F18" s="52" t="s">
        <v>175</v>
      </c>
      <c r="G18" s="53" t="n">
        <v>80000</v>
      </c>
      <c r="H18" s="53"/>
      <c r="I18" s="54" t="str">
        <f aca="false">IF(A18="",IF(M18="فارغ","","✖ بدون رقم قيد"),IF(COUNTIFS('قيود اليومية'!$A$11:$A$1010,A18,'قيود اليومية'!$M$11:$M$1010,"&lt;&gt;OK",'قيود اليومية'!$M$11:$M$1010,"&lt;&gt;فارغ")&gt;0,"✖ خطأ بالحساب",IF(ROUND(SUMIFS('قيود اليومية'!$G$11:$G$1010,'قيود اليومية'!$A$11:$A$1010,A18)-SUMIFS('قيود اليومية'!$H$11:$H$1010,'قيود اليومية'!$A$11:$A$1010,A18),2)&lt;&gt;0,"✖ غير متوازن","مرحل ✔")))</f>
        <v>مرحل ✔</v>
      </c>
      <c r="J18" s="55" t="str">
        <f aca="false">IF(C18="","",IFERROR(INDEX('شجرة الحسابات'!$E$9:$E$208,MATCH(C18,'شجرة الحسابات'!$A$9:$A$208,0))&amp;"",""))</f>
        <v>الأصول</v>
      </c>
      <c r="K18" s="55" t="str">
        <f aca="false">IF(C18="","",IFERROR(INDEX('شجرة الحسابات'!$I$9:$I$208,MATCH(C18,'شجرة الحسابات'!$A$9:$A$208,0))&amp;"",""))</f>
        <v/>
      </c>
      <c r="L18" s="55" t="str">
        <f aca="false">IF(C18="","",IFERROR(INDEX('شجرة الحسابات'!$C$9:$C$208,MATCH(C18,'شجرة الحسابات'!$A$9:$A$208,0))&amp;"",""))</f>
        <v>تحليلي</v>
      </c>
      <c r="M18" s="55" t="str">
        <f aca="false">IF(AND(C18="",G18="",H18=""),"فارغ",IF(ISNA(MATCH(C18,'شجرة الحسابات'!$A$9:$A$208,0)),"حساب غير معرف",IF(L18&lt;&gt;"تحليلي","حساب تجميعي",IF(AND(N(G18)&gt;0,N(H18)&gt;0),"مدين ودائن معاً",IF(N(G18)+N(H18)=0,"بدون قيمة","OK")))))</f>
        <v>OK</v>
      </c>
      <c r="N18" s="55" t="str">
        <f aca="false">IF(AND(E18&lt;&gt;"",E18='كشف حساب مشروع'!$C$6,I18="مرحل ✔"),COUNTIFS($E$11:E18,'كشف حساب مشروع'!$C$6,$I$11:I18,"مرحل ✔"),"")</f>
        <v/>
      </c>
      <c r="O18" s="55" t="str">
        <f aca="false">IF(AND(C18&lt;&gt;"",C18='دفتر الأستاذ'!$C$6,I18="مرحل ✔"),COUNTIFS($C$11:C18,'دفتر الأستاذ'!$C$6,$I$11:I18,"مرحل ✔"),"")</f>
        <v/>
      </c>
    </row>
    <row r="19" customFormat="false" ht="15" hidden="false" customHeight="false" outlineLevel="0" collapsed="false">
      <c r="A19" s="49" t="n">
        <v>3</v>
      </c>
      <c r="B19" s="50" t="n">
        <v>46030</v>
      </c>
      <c r="C19" s="49" t="n">
        <v>1102</v>
      </c>
      <c r="D19" s="51" t="str">
        <f aca="false">IF(C19="","",IFERROR(INDEX('شجرة الحسابات'!$B$9:$B$208,MATCH(C19,'شجرة الحسابات'!$A$9:$A$208,0)),"⚠ حساب غير معرف"))</f>
        <v>البنك - الحساب الجاري</v>
      </c>
      <c r="E19" s="52"/>
      <c r="F19" s="52" t="s">
        <v>175</v>
      </c>
      <c r="G19" s="53"/>
      <c r="H19" s="53" t="n">
        <v>80000</v>
      </c>
      <c r="I19" s="54" t="str">
        <f aca="false">IF(A19="",IF(M19="فارغ","","✖ بدون رقم قيد"),IF(COUNTIFS('قيود اليومية'!$A$11:$A$1010,A19,'قيود اليومية'!$M$11:$M$1010,"&lt;&gt;OK",'قيود اليومية'!$M$11:$M$1010,"&lt;&gt;فارغ")&gt;0,"✖ خطأ بالحساب",IF(ROUND(SUMIFS('قيود اليومية'!$G$11:$G$1010,'قيود اليومية'!$A$11:$A$1010,A19)-SUMIFS('قيود اليومية'!$H$11:$H$1010,'قيود اليومية'!$A$11:$A$1010,A19),2)&lt;&gt;0,"✖ غير متوازن","مرحل ✔")))</f>
        <v>مرحل ✔</v>
      </c>
      <c r="J19" s="55" t="str">
        <f aca="false">IF(C19="","",IFERROR(INDEX('شجرة الحسابات'!$E$9:$E$208,MATCH(C19,'شجرة الحسابات'!$A$9:$A$208,0))&amp;"",""))</f>
        <v>الأصول</v>
      </c>
      <c r="K19" s="55" t="str">
        <f aca="false">IF(C19="","",IFERROR(INDEX('شجرة الحسابات'!$I$9:$I$208,MATCH(C19,'شجرة الحسابات'!$A$9:$A$208,0))&amp;"",""))</f>
        <v/>
      </c>
      <c r="L19" s="55" t="str">
        <f aca="false">IF(C19="","",IFERROR(INDEX('شجرة الحسابات'!$C$9:$C$208,MATCH(C19,'شجرة الحسابات'!$A$9:$A$208,0))&amp;"",""))</f>
        <v>تحليلي</v>
      </c>
      <c r="M19" s="55" t="str">
        <f aca="false">IF(AND(C19="",G19="",H19=""),"فارغ",IF(ISNA(MATCH(C19,'شجرة الحسابات'!$A$9:$A$208,0)),"حساب غير معرف",IF(L19&lt;&gt;"تحليلي","حساب تجميعي",IF(AND(N(G19)&gt;0,N(H19)&gt;0),"مدين ودائن معاً",IF(N(G19)+N(H19)=0,"بدون قيمة","OK")))))</f>
        <v>OK</v>
      </c>
      <c r="N19" s="55" t="str">
        <f aca="false">IF(AND(E19&lt;&gt;"",E19='كشف حساب مشروع'!$C$6,I19="مرحل ✔"),COUNTIFS($E$11:E19,'كشف حساب مشروع'!$C$6,$I$11:I19,"مرحل ✔"),"")</f>
        <v/>
      </c>
      <c r="O19" s="55" t="n">
        <f aca="false">IF(AND(C19&lt;&gt;"",C19='دفتر الأستاذ'!$C$6,I19="مرحل ✔"),COUNTIFS($C$11:C19,'دفتر الأستاذ'!$C$6,$I$11:I19,"مرحل ✔"),"")</f>
        <v>3</v>
      </c>
    </row>
    <row r="20" customFormat="false" ht="15" hidden="false" customHeight="false" outlineLevel="0" collapsed="false">
      <c r="A20" s="49" t="n">
        <v>4</v>
      </c>
      <c r="B20" s="50" t="n">
        <v>46032</v>
      </c>
      <c r="C20" s="49" t="n">
        <v>1102</v>
      </c>
      <c r="D20" s="51" t="str">
        <f aca="false">IF(C20="","",IFERROR(INDEX('شجرة الحسابات'!$B$9:$B$208,MATCH(C20,'شجرة الحسابات'!$A$9:$A$208,0)),"⚠ حساب غير معرف"))</f>
        <v>البنك - الحساب الجاري</v>
      </c>
      <c r="E20" s="52" t="s">
        <v>176</v>
      </c>
      <c r="F20" s="52" t="s">
        <v>177</v>
      </c>
      <c r="G20" s="53" t="n">
        <v>750000</v>
      </c>
      <c r="H20" s="53"/>
      <c r="I20" s="54" t="str">
        <f aca="false">IF(A20="",IF(M20="فارغ","","✖ بدون رقم قيد"),IF(COUNTIFS('قيود اليومية'!$A$11:$A$1010,A20,'قيود اليومية'!$M$11:$M$1010,"&lt;&gt;OK",'قيود اليومية'!$M$11:$M$1010,"&lt;&gt;فارغ")&gt;0,"✖ خطأ بالحساب",IF(ROUND(SUMIFS('قيود اليومية'!$G$11:$G$1010,'قيود اليومية'!$A$11:$A$1010,A20)-SUMIFS('قيود اليومية'!$H$11:$H$1010,'قيود اليومية'!$A$11:$A$1010,A20),2)&lt;&gt;0,"✖ غير متوازن","مرحل ✔")))</f>
        <v>مرحل ✔</v>
      </c>
      <c r="J20" s="55" t="str">
        <f aca="false">IF(C20="","",IFERROR(INDEX('شجرة الحسابات'!$E$9:$E$208,MATCH(C20,'شجرة الحسابات'!$A$9:$A$208,0))&amp;"",""))</f>
        <v>الأصول</v>
      </c>
      <c r="K20" s="55" t="str">
        <f aca="false">IF(C20="","",IFERROR(INDEX('شجرة الحسابات'!$I$9:$I$208,MATCH(C20,'شجرة الحسابات'!$A$9:$A$208,0))&amp;"",""))</f>
        <v/>
      </c>
      <c r="L20" s="55" t="str">
        <f aca="false">IF(C20="","",IFERROR(INDEX('شجرة الحسابات'!$C$9:$C$208,MATCH(C20,'شجرة الحسابات'!$A$9:$A$208,0))&amp;"",""))</f>
        <v>تحليلي</v>
      </c>
      <c r="M20" s="55" t="str">
        <f aca="false">IF(AND(C20="",G20="",H20=""),"فارغ",IF(ISNA(MATCH(C20,'شجرة الحسابات'!$A$9:$A$208,0)),"حساب غير معرف",IF(L20&lt;&gt;"تحليلي","حساب تجميعي",IF(AND(N(G20)&gt;0,N(H20)&gt;0),"مدين ودائن معاً",IF(N(G20)+N(H20)=0,"بدون قيمة","OK")))))</f>
        <v>OK</v>
      </c>
      <c r="N20" s="55" t="n">
        <f aca="false">IF(AND(E20&lt;&gt;"",E20='كشف حساب مشروع'!$C$6,I20="مرحل ✔"),COUNTIFS($E$11:E20,'كشف حساب مشروع'!$C$6,$I$11:I20,"مرحل ✔"),"")</f>
        <v>1</v>
      </c>
      <c r="O20" s="55" t="n">
        <f aca="false">IF(AND(C20&lt;&gt;"",C20='دفتر الأستاذ'!$C$6,I20="مرحل ✔"),COUNTIFS($C$11:C20,'دفتر الأستاذ'!$C$6,$I$11:I20,"مرحل ✔"),"")</f>
        <v>4</v>
      </c>
    </row>
    <row r="21" customFormat="false" ht="15" hidden="false" customHeight="false" outlineLevel="0" collapsed="false">
      <c r="A21" s="49" t="n">
        <v>4</v>
      </c>
      <c r="B21" s="50" t="n">
        <v>46032</v>
      </c>
      <c r="C21" s="49" t="n">
        <v>2104</v>
      </c>
      <c r="D21" s="51" t="str">
        <f aca="false">IF(C21="","",IFERROR(INDEX('شجرة الحسابات'!$B$9:$B$208,MATCH(C21,'شجرة الحسابات'!$A$9:$A$208,0)),"⚠ حساب غير معرف"))</f>
        <v>دفعات مقدمة من العملاء</v>
      </c>
      <c r="E21" s="52" t="s">
        <v>176</v>
      </c>
      <c r="F21" s="52" t="s">
        <v>177</v>
      </c>
      <c r="G21" s="53"/>
      <c r="H21" s="53" t="n">
        <v>750000</v>
      </c>
      <c r="I21" s="54" t="str">
        <f aca="false">IF(A21="",IF(M21="فارغ","","✖ بدون رقم قيد"),IF(COUNTIFS('قيود اليومية'!$A$11:$A$1010,A21,'قيود اليومية'!$M$11:$M$1010,"&lt;&gt;OK",'قيود اليومية'!$M$11:$M$1010,"&lt;&gt;فارغ")&gt;0,"✖ خطأ بالحساب",IF(ROUND(SUMIFS('قيود اليومية'!$G$11:$G$1010,'قيود اليومية'!$A$11:$A$1010,A21)-SUMIFS('قيود اليومية'!$H$11:$H$1010,'قيود اليومية'!$A$11:$A$1010,A21),2)&lt;&gt;0,"✖ غير متوازن","مرحل ✔")))</f>
        <v>مرحل ✔</v>
      </c>
      <c r="J21" s="55" t="str">
        <f aca="false">IF(C21="","",IFERROR(INDEX('شجرة الحسابات'!$E$9:$E$208,MATCH(C21,'شجرة الحسابات'!$A$9:$A$208,0))&amp;"",""))</f>
        <v>الخصوم</v>
      </c>
      <c r="K21" s="55" t="str">
        <f aca="false">IF(C21="","",IFERROR(INDEX('شجرة الحسابات'!$I$9:$I$208,MATCH(C21,'شجرة الحسابات'!$A$9:$A$208,0))&amp;"",""))</f>
        <v/>
      </c>
      <c r="L21" s="55" t="str">
        <f aca="false">IF(C21="","",IFERROR(INDEX('شجرة الحسابات'!$C$9:$C$208,MATCH(C21,'شجرة الحسابات'!$A$9:$A$208,0))&amp;"",""))</f>
        <v>تحليلي</v>
      </c>
      <c r="M21" s="55" t="str">
        <f aca="false">IF(AND(C21="",G21="",H21=""),"فارغ",IF(ISNA(MATCH(C21,'شجرة الحسابات'!$A$9:$A$208,0)),"حساب غير معرف",IF(L21&lt;&gt;"تحليلي","حساب تجميعي",IF(AND(N(G21)&gt;0,N(H21)&gt;0),"مدين ودائن معاً",IF(N(G21)+N(H21)=0,"بدون قيمة","OK")))))</f>
        <v>OK</v>
      </c>
      <c r="N21" s="55" t="n">
        <f aca="false">IF(AND(E21&lt;&gt;"",E21='كشف حساب مشروع'!$C$6,I21="مرحل ✔"),COUNTIFS($E$11:E21,'كشف حساب مشروع'!$C$6,$I$11:I21,"مرحل ✔"),"")</f>
        <v>2</v>
      </c>
      <c r="O21" s="55" t="str">
        <f aca="false">IF(AND(C21&lt;&gt;"",C21='دفتر الأستاذ'!$C$6,I21="مرحل ✔"),COUNTIFS($C$11:C21,'دفتر الأستاذ'!$C$6,$I$11:I21,"مرحل ✔"),"")</f>
        <v/>
      </c>
    </row>
    <row r="22" customFormat="false" ht="15" hidden="false" customHeight="false" outlineLevel="0" collapsed="false">
      <c r="A22" s="49" t="n">
        <v>5</v>
      </c>
      <c r="B22" s="50" t="n">
        <v>46034</v>
      </c>
      <c r="C22" s="49" t="n">
        <v>1102</v>
      </c>
      <c r="D22" s="51" t="str">
        <f aca="false">IF(C22="","",IFERROR(INDEX('شجرة الحسابات'!$B$9:$B$208,MATCH(C22,'شجرة الحسابات'!$A$9:$A$208,0)),"⚠ حساب غير معرف"))</f>
        <v>البنك - الحساب الجاري</v>
      </c>
      <c r="E22" s="52" t="s">
        <v>178</v>
      </c>
      <c r="F22" s="52" t="s">
        <v>179</v>
      </c>
      <c r="G22" s="53" t="n">
        <v>320000</v>
      </c>
      <c r="H22" s="53"/>
      <c r="I22" s="54" t="str">
        <f aca="false">IF(A22="",IF(M22="فارغ","","✖ بدون رقم قيد"),IF(COUNTIFS('قيود اليومية'!$A$11:$A$1010,A22,'قيود اليومية'!$M$11:$M$1010,"&lt;&gt;OK",'قيود اليومية'!$M$11:$M$1010,"&lt;&gt;فارغ")&gt;0,"✖ خطأ بالحساب",IF(ROUND(SUMIFS('قيود اليومية'!$G$11:$G$1010,'قيود اليومية'!$A$11:$A$1010,A22)-SUMIFS('قيود اليومية'!$H$11:$H$1010,'قيود اليومية'!$A$11:$A$1010,A22),2)&lt;&gt;0,"✖ غير متوازن","مرحل ✔")))</f>
        <v>مرحل ✔</v>
      </c>
      <c r="J22" s="55" t="str">
        <f aca="false">IF(C22="","",IFERROR(INDEX('شجرة الحسابات'!$E$9:$E$208,MATCH(C22,'شجرة الحسابات'!$A$9:$A$208,0))&amp;"",""))</f>
        <v>الأصول</v>
      </c>
      <c r="K22" s="55" t="str">
        <f aca="false">IF(C22="","",IFERROR(INDEX('شجرة الحسابات'!$I$9:$I$208,MATCH(C22,'شجرة الحسابات'!$A$9:$A$208,0))&amp;"",""))</f>
        <v/>
      </c>
      <c r="L22" s="55" t="str">
        <f aca="false">IF(C22="","",IFERROR(INDEX('شجرة الحسابات'!$C$9:$C$208,MATCH(C22,'شجرة الحسابات'!$A$9:$A$208,0))&amp;"",""))</f>
        <v>تحليلي</v>
      </c>
      <c r="M22" s="55" t="str">
        <f aca="false">IF(AND(C22="",G22="",H22=""),"فارغ",IF(ISNA(MATCH(C22,'شجرة الحسابات'!$A$9:$A$208,0)),"حساب غير معرف",IF(L22&lt;&gt;"تحليلي","حساب تجميعي",IF(AND(N(G22)&gt;0,N(H22)&gt;0),"مدين ودائن معاً",IF(N(G22)+N(H22)=0,"بدون قيمة","OK")))))</f>
        <v>OK</v>
      </c>
      <c r="N22" s="55" t="str">
        <f aca="false">IF(AND(E22&lt;&gt;"",E22='كشف حساب مشروع'!$C$6,I22="مرحل ✔"),COUNTIFS($E$11:E22,'كشف حساب مشروع'!$C$6,$I$11:I22,"مرحل ✔"),"")</f>
        <v/>
      </c>
      <c r="O22" s="55" t="n">
        <f aca="false">IF(AND(C22&lt;&gt;"",C22='دفتر الأستاذ'!$C$6,I22="مرحل ✔"),COUNTIFS($C$11:C22,'دفتر الأستاذ'!$C$6,$I$11:I22,"مرحل ✔"),"")</f>
        <v>5</v>
      </c>
    </row>
    <row r="23" customFormat="false" ht="15" hidden="false" customHeight="false" outlineLevel="0" collapsed="false">
      <c r="A23" s="49" t="n">
        <v>5</v>
      </c>
      <c r="B23" s="50" t="n">
        <v>46034</v>
      </c>
      <c r="C23" s="49" t="n">
        <v>2104</v>
      </c>
      <c r="D23" s="51" t="str">
        <f aca="false">IF(C23="","",IFERROR(INDEX('شجرة الحسابات'!$B$9:$B$208,MATCH(C23,'شجرة الحسابات'!$A$9:$A$208,0)),"⚠ حساب غير معرف"))</f>
        <v>دفعات مقدمة من العملاء</v>
      </c>
      <c r="E23" s="52" t="s">
        <v>178</v>
      </c>
      <c r="F23" s="52" t="s">
        <v>179</v>
      </c>
      <c r="G23" s="53"/>
      <c r="H23" s="53" t="n">
        <v>320000</v>
      </c>
      <c r="I23" s="54" t="str">
        <f aca="false">IF(A23="",IF(M23="فارغ","","✖ بدون رقم قيد"),IF(COUNTIFS('قيود اليومية'!$A$11:$A$1010,A23,'قيود اليومية'!$M$11:$M$1010,"&lt;&gt;OK",'قيود اليومية'!$M$11:$M$1010,"&lt;&gt;فارغ")&gt;0,"✖ خطأ بالحساب",IF(ROUND(SUMIFS('قيود اليومية'!$G$11:$G$1010,'قيود اليومية'!$A$11:$A$1010,A23)-SUMIFS('قيود اليومية'!$H$11:$H$1010,'قيود اليومية'!$A$11:$A$1010,A23),2)&lt;&gt;0,"✖ غير متوازن","مرحل ✔")))</f>
        <v>مرحل ✔</v>
      </c>
      <c r="J23" s="55" t="str">
        <f aca="false">IF(C23="","",IFERROR(INDEX('شجرة الحسابات'!$E$9:$E$208,MATCH(C23,'شجرة الحسابات'!$A$9:$A$208,0))&amp;"",""))</f>
        <v>الخصوم</v>
      </c>
      <c r="K23" s="55" t="str">
        <f aca="false">IF(C23="","",IFERROR(INDEX('شجرة الحسابات'!$I$9:$I$208,MATCH(C23,'شجرة الحسابات'!$A$9:$A$208,0))&amp;"",""))</f>
        <v/>
      </c>
      <c r="L23" s="55" t="str">
        <f aca="false">IF(C23="","",IFERROR(INDEX('شجرة الحسابات'!$C$9:$C$208,MATCH(C23,'شجرة الحسابات'!$A$9:$A$208,0))&amp;"",""))</f>
        <v>تحليلي</v>
      </c>
      <c r="M23" s="55" t="str">
        <f aca="false">IF(AND(C23="",G23="",H23=""),"فارغ",IF(ISNA(MATCH(C23,'شجرة الحسابات'!$A$9:$A$208,0)),"حساب غير معرف",IF(L23&lt;&gt;"تحليلي","حساب تجميعي",IF(AND(N(G23)&gt;0,N(H23)&gt;0),"مدين ودائن معاً",IF(N(G23)+N(H23)=0,"بدون قيمة","OK")))))</f>
        <v>OK</v>
      </c>
      <c r="N23" s="55" t="str">
        <f aca="false">IF(AND(E23&lt;&gt;"",E23='كشف حساب مشروع'!$C$6,I23="مرحل ✔"),COUNTIFS($E$11:E23,'كشف حساب مشروع'!$C$6,$I$11:I23,"مرحل ✔"),"")</f>
        <v/>
      </c>
      <c r="O23" s="55" t="str">
        <f aca="false">IF(AND(C23&lt;&gt;"",C23='دفتر الأستاذ'!$C$6,I23="مرحل ✔"),COUNTIFS($C$11:C23,'دفتر الأستاذ'!$C$6,$I$11:I23,"مرحل ✔"),"")</f>
        <v/>
      </c>
    </row>
    <row r="24" customFormat="false" ht="15" hidden="false" customHeight="false" outlineLevel="0" collapsed="false">
      <c r="A24" s="49" t="n">
        <v>6</v>
      </c>
      <c r="B24" s="50" t="n">
        <v>46037</v>
      </c>
      <c r="C24" s="49" t="n">
        <v>5101</v>
      </c>
      <c r="D24" s="51" t="str">
        <f aca="false">IF(C24="","",IFERROR(INDEX('شجرة الحسابات'!$B$9:$B$208,MATCH(C24,'شجرة الحسابات'!$A$9:$A$208,0)),"⚠ حساب غير معرف"))</f>
        <v>تكلفة المواد المستخدمة</v>
      </c>
      <c r="E24" s="52" t="s">
        <v>176</v>
      </c>
      <c r="F24" s="52" t="s">
        <v>180</v>
      </c>
      <c r="G24" s="53" t="n">
        <v>420000</v>
      </c>
      <c r="H24" s="53"/>
      <c r="I24" s="54" t="str">
        <f aca="false">IF(A24="",IF(M24="فارغ","","✖ بدون رقم قيد"),IF(COUNTIFS('قيود اليومية'!$A$11:$A$1010,A24,'قيود اليومية'!$M$11:$M$1010,"&lt;&gt;OK",'قيود اليومية'!$M$11:$M$1010,"&lt;&gt;فارغ")&gt;0,"✖ خطأ بالحساب",IF(ROUND(SUMIFS('قيود اليومية'!$G$11:$G$1010,'قيود اليومية'!$A$11:$A$1010,A24)-SUMIFS('قيود اليومية'!$H$11:$H$1010,'قيود اليومية'!$A$11:$A$1010,A24),2)&lt;&gt;0,"✖ غير متوازن","مرحل ✔")))</f>
        <v>مرحل ✔</v>
      </c>
      <c r="J24" s="55" t="str">
        <f aca="false">IF(C24="","",IFERROR(INDEX('شجرة الحسابات'!$E$9:$E$208,MATCH(C24,'شجرة الحسابات'!$A$9:$A$208,0))&amp;"",""))</f>
        <v>المصروفات</v>
      </c>
      <c r="K24" s="55" t="str">
        <f aca="false">IF(C24="","",IFERROR(INDEX('شجرة الحسابات'!$I$9:$I$208,MATCH(C24,'شجرة الحسابات'!$A$9:$A$208,0))&amp;"",""))</f>
        <v>مواد</v>
      </c>
      <c r="L24" s="55" t="str">
        <f aca="false">IF(C24="","",IFERROR(INDEX('شجرة الحسابات'!$C$9:$C$208,MATCH(C24,'شجرة الحسابات'!$A$9:$A$208,0))&amp;"",""))</f>
        <v>تحليلي</v>
      </c>
      <c r="M24" s="55" t="str">
        <f aca="false">IF(AND(C24="",G24="",H24=""),"فارغ",IF(ISNA(MATCH(C24,'شجرة الحسابات'!$A$9:$A$208,0)),"حساب غير معرف",IF(L24&lt;&gt;"تحليلي","حساب تجميعي",IF(AND(N(G24)&gt;0,N(H24)&gt;0),"مدين ودائن معاً",IF(N(G24)+N(H24)=0,"بدون قيمة","OK")))))</f>
        <v>OK</v>
      </c>
      <c r="N24" s="55" t="n">
        <f aca="false">IF(AND(E24&lt;&gt;"",E24='كشف حساب مشروع'!$C$6,I24="مرحل ✔"),COUNTIFS($E$11:E24,'كشف حساب مشروع'!$C$6,$I$11:I24,"مرحل ✔"),"")</f>
        <v>3</v>
      </c>
      <c r="O24" s="55" t="str">
        <f aca="false">IF(AND(C24&lt;&gt;"",C24='دفتر الأستاذ'!$C$6,I24="مرحل ✔"),COUNTIFS($C$11:C24,'دفتر الأستاذ'!$C$6,$I$11:I24,"مرحل ✔"),"")</f>
        <v/>
      </c>
    </row>
    <row r="25" customFormat="false" ht="15" hidden="false" customHeight="false" outlineLevel="0" collapsed="false">
      <c r="A25" s="49" t="n">
        <v>6</v>
      </c>
      <c r="B25" s="50" t="n">
        <v>46037</v>
      </c>
      <c r="C25" s="49" t="n">
        <v>2101</v>
      </c>
      <c r="D25" s="51" t="str">
        <f aca="false">IF(C25="","",IFERROR(INDEX('شجرة الحسابات'!$B$9:$B$208,MATCH(C25,'شجرة الحسابات'!$A$9:$A$208,0)),"⚠ حساب غير معرف"))</f>
        <v>الموردون</v>
      </c>
      <c r="E25" s="52" t="s">
        <v>176</v>
      </c>
      <c r="F25" s="52" t="s">
        <v>181</v>
      </c>
      <c r="G25" s="53"/>
      <c r="H25" s="53" t="n">
        <v>420000</v>
      </c>
      <c r="I25" s="54" t="str">
        <f aca="false">IF(A25="",IF(M25="فارغ","","✖ بدون رقم قيد"),IF(COUNTIFS('قيود اليومية'!$A$11:$A$1010,A25,'قيود اليومية'!$M$11:$M$1010,"&lt;&gt;OK",'قيود اليومية'!$M$11:$M$1010,"&lt;&gt;فارغ")&gt;0,"✖ خطأ بالحساب",IF(ROUND(SUMIFS('قيود اليومية'!$G$11:$G$1010,'قيود اليومية'!$A$11:$A$1010,A25)-SUMIFS('قيود اليومية'!$H$11:$H$1010,'قيود اليومية'!$A$11:$A$1010,A25),2)&lt;&gt;0,"✖ غير متوازن","مرحل ✔")))</f>
        <v>مرحل ✔</v>
      </c>
      <c r="J25" s="55" t="str">
        <f aca="false">IF(C25="","",IFERROR(INDEX('شجرة الحسابات'!$E$9:$E$208,MATCH(C25,'شجرة الحسابات'!$A$9:$A$208,0))&amp;"",""))</f>
        <v>الخصوم</v>
      </c>
      <c r="K25" s="55" t="str">
        <f aca="false">IF(C25="","",IFERROR(INDEX('شجرة الحسابات'!$I$9:$I$208,MATCH(C25,'شجرة الحسابات'!$A$9:$A$208,0))&amp;"",""))</f>
        <v/>
      </c>
      <c r="L25" s="55" t="str">
        <f aca="false">IF(C25="","",IFERROR(INDEX('شجرة الحسابات'!$C$9:$C$208,MATCH(C25,'شجرة الحسابات'!$A$9:$A$208,0))&amp;"",""))</f>
        <v>تحليلي</v>
      </c>
      <c r="M25" s="55" t="str">
        <f aca="false">IF(AND(C25="",G25="",H25=""),"فارغ",IF(ISNA(MATCH(C25,'شجرة الحسابات'!$A$9:$A$208,0)),"حساب غير معرف",IF(L25&lt;&gt;"تحليلي","حساب تجميعي",IF(AND(N(G25)&gt;0,N(H25)&gt;0),"مدين ودائن معاً",IF(N(G25)+N(H25)=0,"بدون قيمة","OK")))))</f>
        <v>OK</v>
      </c>
      <c r="N25" s="55" t="n">
        <f aca="false">IF(AND(E25&lt;&gt;"",E25='كشف حساب مشروع'!$C$6,I25="مرحل ✔"),COUNTIFS($E$11:E25,'كشف حساب مشروع'!$C$6,$I$11:I25,"مرحل ✔"),"")</f>
        <v>4</v>
      </c>
      <c r="O25" s="55" t="str">
        <f aca="false">IF(AND(C25&lt;&gt;"",C25='دفتر الأستاذ'!$C$6,I25="مرحل ✔"),COUNTIFS($C$11:C25,'دفتر الأستاذ'!$C$6,$I$11:I25,"مرحل ✔"),"")</f>
        <v/>
      </c>
    </row>
    <row r="26" customFormat="false" ht="15" hidden="false" customHeight="false" outlineLevel="0" collapsed="false">
      <c r="A26" s="49" t="n">
        <v>7</v>
      </c>
      <c r="B26" s="50" t="n">
        <v>46042</v>
      </c>
      <c r="C26" s="49" t="n">
        <v>1106</v>
      </c>
      <c r="D26" s="51" t="str">
        <f aca="false">IF(C26="","",IFERROR(INDEX('شجرة الحسابات'!$B$9:$B$208,MATCH(C26,'شجرة الحسابات'!$A$9:$A$208,0)),"⚠ حساب غير معرف"))</f>
        <v>دفعات مقدمة لمقاولي الباطن</v>
      </c>
      <c r="E26" s="52" t="s">
        <v>176</v>
      </c>
      <c r="F26" s="52" t="s">
        <v>182</v>
      </c>
      <c r="G26" s="53" t="n">
        <v>150000</v>
      </c>
      <c r="H26" s="53"/>
      <c r="I26" s="54" t="str">
        <f aca="false">IF(A26="",IF(M26="فارغ","","✖ بدون رقم قيد"),IF(COUNTIFS('قيود اليومية'!$A$11:$A$1010,A26,'قيود اليومية'!$M$11:$M$1010,"&lt;&gt;OK",'قيود اليومية'!$M$11:$M$1010,"&lt;&gt;فارغ")&gt;0,"✖ خطأ بالحساب",IF(ROUND(SUMIFS('قيود اليومية'!$G$11:$G$1010,'قيود اليومية'!$A$11:$A$1010,A26)-SUMIFS('قيود اليومية'!$H$11:$H$1010,'قيود اليومية'!$A$11:$A$1010,A26),2)&lt;&gt;0,"✖ غير متوازن","مرحل ✔")))</f>
        <v>مرحل ✔</v>
      </c>
      <c r="J26" s="55" t="str">
        <f aca="false">IF(C26="","",IFERROR(INDEX('شجرة الحسابات'!$E$9:$E$208,MATCH(C26,'شجرة الحسابات'!$A$9:$A$208,0))&amp;"",""))</f>
        <v>الأصول</v>
      </c>
      <c r="K26" s="55" t="str">
        <f aca="false">IF(C26="","",IFERROR(INDEX('شجرة الحسابات'!$I$9:$I$208,MATCH(C26,'شجرة الحسابات'!$A$9:$A$208,0))&amp;"",""))</f>
        <v/>
      </c>
      <c r="L26" s="55" t="str">
        <f aca="false">IF(C26="","",IFERROR(INDEX('شجرة الحسابات'!$C$9:$C$208,MATCH(C26,'شجرة الحسابات'!$A$9:$A$208,0))&amp;"",""))</f>
        <v>تحليلي</v>
      </c>
      <c r="M26" s="55" t="str">
        <f aca="false">IF(AND(C26="",G26="",H26=""),"فارغ",IF(ISNA(MATCH(C26,'شجرة الحسابات'!$A$9:$A$208,0)),"حساب غير معرف",IF(L26&lt;&gt;"تحليلي","حساب تجميعي",IF(AND(N(G26)&gt;0,N(H26)&gt;0),"مدين ودائن معاً",IF(N(G26)+N(H26)=0,"بدون قيمة","OK")))))</f>
        <v>OK</v>
      </c>
      <c r="N26" s="55" t="n">
        <f aca="false">IF(AND(E26&lt;&gt;"",E26='كشف حساب مشروع'!$C$6,I26="مرحل ✔"),COUNTIFS($E$11:E26,'كشف حساب مشروع'!$C$6,$I$11:I26,"مرحل ✔"),"")</f>
        <v>5</v>
      </c>
      <c r="O26" s="55" t="str">
        <f aca="false">IF(AND(C26&lt;&gt;"",C26='دفتر الأستاذ'!$C$6,I26="مرحل ✔"),COUNTIFS($C$11:C26,'دفتر الأستاذ'!$C$6,$I$11:I26,"مرحل ✔"),"")</f>
        <v/>
      </c>
    </row>
    <row r="27" customFormat="false" ht="15" hidden="false" customHeight="false" outlineLevel="0" collapsed="false">
      <c r="A27" s="49" t="n">
        <v>7</v>
      </c>
      <c r="B27" s="50" t="n">
        <v>46042</v>
      </c>
      <c r="C27" s="49" t="n">
        <v>1102</v>
      </c>
      <c r="D27" s="51" t="str">
        <f aca="false">IF(C27="","",IFERROR(INDEX('شجرة الحسابات'!$B$9:$B$208,MATCH(C27,'شجرة الحسابات'!$A$9:$A$208,0)),"⚠ حساب غير معرف"))</f>
        <v>البنك - الحساب الجاري</v>
      </c>
      <c r="E27" s="52" t="s">
        <v>176</v>
      </c>
      <c r="F27" s="52" t="s">
        <v>182</v>
      </c>
      <c r="G27" s="53"/>
      <c r="H27" s="53" t="n">
        <v>150000</v>
      </c>
      <c r="I27" s="54" t="str">
        <f aca="false">IF(A27="",IF(M27="فارغ","","✖ بدون رقم قيد"),IF(COUNTIFS('قيود اليومية'!$A$11:$A$1010,A27,'قيود اليومية'!$M$11:$M$1010,"&lt;&gt;OK",'قيود اليومية'!$M$11:$M$1010,"&lt;&gt;فارغ")&gt;0,"✖ خطأ بالحساب",IF(ROUND(SUMIFS('قيود اليومية'!$G$11:$G$1010,'قيود اليومية'!$A$11:$A$1010,A27)-SUMIFS('قيود اليومية'!$H$11:$H$1010,'قيود اليومية'!$A$11:$A$1010,A27),2)&lt;&gt;0,"✖ غير متوازن","مرحل ✔")))</f>
        <v>مرحل ✔</v>
      </c>
      <c r="J27" s="55" t="str">
        <f aca="false">IF(C27="","",IFERROR(INDEX('شجرة الحسابات'!$E$9:$E$208,MATCH(C27,'شجرة الحسابات'!$A$9:$A$208,0))&amp;"",""))</f>
        <v>الأصول</v>
      </c>
      <c r="K27" s="55" t="str">
        <f aca="false">IF(C27="","",IFERROR(INDEX('شجرة الحسابات'!$I$9:$I$208,MATCH(C27,'شجرة الحسابات'!$A$9:$A$208,0))&amp;"",""))</f>
        <v/>
      </c>
      <c r="L27" s="55" t="str">
        <f aca="false">IF(C27="","",IFERROR(INDEX('شجرة الحسابات'!$C$9:$C$208,MATCH(C27,'شجرة الحسابات'!$A$9:$A$208,0))&amp;"",""))</f>
        <v>تحليلي</v>
      </c>
      <c r="M27" s="55" t="str">
        <f aca="false">IF(AND(C27="",G27="",H27=""),"فارغ",IF(ISNA(MATCH(C27,'شجرة الحسابات'!$A$9:$A$208,0)),"حساب غير معرف",IF(L27&lt;&gt;"تحليلي","حساب تجميعي",IF(AND(N(G27)&gt;0,N(H27)&gt;0),"مدين ودائن معاً",IF(N(G27)+N(H27)=0,"بدون قيمة","OK")))))</f>
        <v>OK</v>
      </c>
      <c r="N27" s="55" t="n">
        <f aca="false">IF(AND(E27&lt;&gt;"",E27='كشف حساب مشروع'!$C$6,I27="مرحل ✔"),COUNTIFS($E$11:E27,'كشف حساب مشروع'!$C$6,$I$11:I27,"مرحل ✔"),"")</f>
        <v>6</v>
      </c>
      <c r="O27" s="55" t="n">
        <f aca="false">IF(AND(C27&lt;&gt;"",C27='دفتر الأستاذ'!$C$6,I27="مرحل ✔"),COUNTIFS($C$11:C27,'دفتر الأستاذ'!$C$6,$I$11:I27,"مرحل ✔"),"")</f>
        <v>6</v>
      </c>
    </row>
    <row r="28" customFormat="false" ht="15" hidden="false" customHeight="false" outlineLevel="0" collapsed="false">
      <c r="A28" s="49" t="n">
        <v>8</v>
      </c>
      <c r="B28" s="50" t="n">
        <v>46053</v>
      </c>
      <c r="C28" s="49" t="n">
        <v>5102</v>
      </c>
      <c r="D28" s="51" t="str">
        <f aca="false">IF(C28="","",IFERROR(INDEX('شجرة الحسابات'!$B$9:$B$208,MATCH(C28,'شجرة الحسابات'!$A$9:$A$208,0)),"⚠ حساب غير معرف"))</f>
        <v>أجور العمالة المباشرة</v>
      </c>
      <c r="E28" s="52" t="s">
        <v>176</v>
      </c>
      <c r="F28" s="52" t="s">
        <v>183</v>
      </c>
      <c r="G28" s="53" t="n">
        <v>180000</v>
      </c>
      <c r="H28" s="53"/>
      <c r="I28" s="54" t="str">
        <f aca="false">IF(A28="",IF(M28="فارغ","","✖ بدون رقم قيد"),IF(COUNTIFS('قيود اليومية'!$A$11:$A$1010,A28,'قيود اليومية'!$M$11:$M$1010,"&lt;&gt;OK",'قيود اليومية'!$M$11:$M$1010,"&lt;&gt;فارغ")&gt;0,"✖ خطأ بالحساب",IF(ROUND(SUMIFS('قيود اليومية'!$G$11:$G$1010,'قيود اليومية'!$A$11:$A$1010,A28)-SUMIFS('قيود اليومية'!$H$11:$H$1010,'قيود اليومية'!$A$11:$A$1010,A28),2)&lt;&gt;0,"✖ غير متوازن","مرحل ✔")))</f>
        <v>مرحل ✔</v>
      </c>
      <c r="J28" s="55" t="str">
        <f aca="false">IF(C28="","",IFERROR(INDEX('شجرة الحسابات'!$E$9:$E$208,MATCH(C28,'شجرة الحسابات'!$A$9:$A$208,0))&amp;"",""))</f>
        <v>المصروفات</v>
      </c>
      <c r="K28" s="55" t="str">
        <f aca="false">IF(C28="","",IFERROR(INDEX('شجرة الحسابات'!$I$9:$I$208,MATCH(C28,'شجرة الحسابات'!$A$9:$A$208,0))&amp;"",""))</f>
        <v>أجور عمال</v>
      </c>
      <c r="L28" s="55" t="str">
        <f aca="false">IF(C28="","",IFERROR(INDEX('شجرة الحسابات'!$C$9:$C$208,MATCH(C28,'شجرة الحسابات'!$A$9:$A$208,0))&amp;"",""))</f>
        <v>تحليلي</v>
      </c>
      <c r="M28" s="55" t="str">
        <f aca="false">IF(AND(C28="",G28="",H28=""),"فارغ",IF(ISNA(MATCH(C28,'شجرة الحسابات'!$A$9:$A$208,0)),"حساب غير معرف",IF(L28&lt;&gt;"تحليلي","حساب تجميعي",IF(AND(N(G28)&gt;0,N(H28)&gt;0),"مدين ودائن معاً",IF(N(G28)+N(H28)=0,"بدون قيمة","OK")))))</f>
        <v>OK</v>
      </c>
      <c r="N28" s="55" t="n">
        <f aca="false">IF(AND(E28&lt;&gt;"",E28='كشف حساب مشروع'!$C$6,I28="مرحل ✔"),COUNTIFS($E$11:E28,'كشف حساب مشروع'!$C$6,$I$11:I28,"مرحل ✔"),"")</f>
        <v>7</v>
      </c>
      <c r="O28" s="55" t="str">
        <f aca="false">IF(AND(C28&lt;&gt;"",C28='دفتر الأستاذ'!$C$6,I28="مرحل ✔"),COUNTIFS($C$11:C28,'دفتر الأستاذ'!$C$6,$I$11:I28,"مرحل ✔"),"")</f>
        <v/>
      </c>
    </row>
    <row r="29" customFormat="false" ht="15" hidden="false" customHeight="false" outlineLevel="0" collapsed="false">
      <c r="A29" s="49" t="n">
        <v>8</v>
      </c>
      <c r="B29" s="50" t="n">
        <v>46053</v>
      </c>
      <c r="C29" s="49" t="n">
        <v>5102</v>
      </c>
      <c r="D29" s="51" t="str">
        <f aca="false">IF(C29="","",IFERROR(INDEX('شجرة الحسابات'!$B$9:$B$208,MATCH(C29,'شجرة الحسابات'!$A$9:$A$208,0)),"⚠ حساب غير معرف"))</f>
        <v>أجور العمالة المباشرة</v>
      </c>
      <c r="E29" s="52" t="s">
        <v>178</v>
      </c>
      <c r="F29" s="52" t="s">
        <v>184</v>
      </c>
      <c r="G29" s="53" t="n">
        <v>120000</v>
      </c>
      <c r="H29" s="53"/>
      <c r="I29" s="54" t="str">
        <f aca="false">IF(A29="",IF(M29="فارغ","","✖ بدون رقم قيد"),IF(COUNTIFS('قيود اليومية'!$A$11:$A$1010,A29,'قيود اليومية'!$M$11:$M$1010,"&lt;&gt;OK",'قيود اليومية'!$M$11:$M$1010,"&lt;&gt;فارغ")&gt;0,"✖ خطأ بالحساب",IF(ROUND(SUMIFS('قيود اليومية'!$G$11:$G$1010,'قيود اليومية'!$A$11:$A$1010,A29)-SUMIFS('قيود اليومية'!$H$11:$H$1010,'قيود اليومية'!$A$11:$A$1010,A29),2)&lt;&gt;0,"✖ غير متوازن","مرحل ✔")))</f>
        <v>مرحل ✔</v>
      </c>
      <c r="J29" s="55" t="str">
        <f aca="false">IF(C29="","",IFERROR(INDEX('شجرة الحسابات'!$E$9:$E$208,MATCH(C29,'شجرة الحسابات'!$A$9:$A$208,0))&amp;"",""))</f>
        <v>المصروفات</v>
      </c>
      <c r="K29" s="55" t="str">
        <f aca="false">IF(C29="","",IFERROR(INDEX('شجرة الحسابات'!$I$9:$I$208,MATCH(C29,'شجرة الحسابات'!$A$9:$A$208,0))&amp;"",""))</f>
        <v>أجور عمال</v>
      </c>
      <c r="L29" s="55" t="str">
        <f aca="false">IF(C29="","",IFERROR(INDEX('شجرة الحسابات'!$C$9:$C$208,MATCH(C29,'شجرة الحسابات'!$A$9:$A$208,0))&amp;"",""))</f>
        <v>تحليلي</v>
      </c>
      <c r="M29" s="55" t="str">
        <f aca="false">IF(AND(C29="",G29="",H29=""),"فارغ",IF(ISNA(MATCH(C29,'شجرة الحسابات'!$A$9:$A$208,0)),"حساب غير معرف",IF(L29&lt;&gt;"تحليلي","حساب تجميعي",IF(AND(N(G29)&gt;0,N(H29)&gt;0),"مدين ودائن معاً",IF(N(G29)+N(H29)=0,"بدون قيمة","OK")))))</f>
        <v>OK</v>
      </c>
      <c r="N29" s="55" t="str">
        <f aca="false">IF(AND(E29&lt;&gt;"",E29='كشف حساب مشروع'!$C$6,I29="مرحل ✔"),COUNTIFS($E$11:E29,'كشف حساب مشروع'!$C$6,$I$11:I29,"مرحل ✔"),"")</f>
        <v/>
      </c>
      <c r="O29" s="55" t="str">
        <f aca="false">IF(AND(C29&lt;&gt;"",C29='دفتر الأستاذ'!$C$6,I29="مرحل ✔"),COUNTIFS($C$11:C29,'دفتر الأستاذ'!$C$6,$I$11:I29,"مرحل ✔"),"")</f>
        <v/>
      </c>
    </row>
    <row r="30" customFormat="false" ht="15" hidden="false" customHeight="false" outlineLevel="0" collapsed="false">
      <c r="A30" s="49" t="n">
        <v>8</v>
      </c>
      <c r="B30" s="50" t="n">
        <v>46053</v>
      </c>
      <c r="C30" s="49" t="n">
        <v>6101</v>
      </c>
      <c r="D30" s="51" t="str">
        <f aca="false">IF(C30="","",IFERROR(INDEX('شجرة الحسابات'!$B$9:$B$208,MATCH(C30,'شجرة الحسابات'!$A$9:$A$208,0)),"⚠ حساب غير معرف"))</f>
        <v>رواتب الإدارة العامة</v>
      </c>
      <c r="E30" s="52"/>
      <c r="F30" s="52" t="s">
        <v>185</v>
      </c>
      <c r="G30" s="53" t="n">
        <v>60000</v>
      </c>
      <c r="H30" s="53"/>
      <c r="I30" s="54" t="str">
        <f aca="false">IF(A30="",IF(M30="فارغ","","✖ بدون رقم قيد"),IF(COUNTIFS('قيود اليومية'!$A$11:$A$1010,A30,'قيود اليومية'!$M$11:$M$1010,"&lt;&gt;OK",'قيود اليومية'!$M$11:$M$1010,"&lt;&gt;فارغ")&gt;0,"✖ خطأ بالحساب",IF(ROUND(SUMIFS('قيود اليومية'!$G$11:$G$1010,'قيود اليومية'!$A$11:$A$1010,A30)-SUMIFS('قيود اليومية'!$H$11:$H$1010,'قيود اليومية'!$A$11:$A$1010,A30),2)&lt;&gt;0,"✖ غير متوازن","مرحل ✔")))</f>
        <v>مرحل ✔</v>
      </c>
      <c r="J30" s="55" t="str">
        <f aca="false">IF(C30="","",IFERROR(INDEX('شجرة الحسابات'!$E$9:$E$208,MATCH(C30,'شجرة الحسابات'!$A$9:$A$208,0))&amp;"",""))</f>
        <v>المصروفات</v>
      </c>
      <c r="K30" s="55" t="str">
        <f aca="false">IF(C30="","",IFERROR(INDEX('شجرة الحسابات'!$I$9:$I$208,MATCH(C30,'شجرة الحسابات'!$A$9:$A$208,0))&amp;"",""))</f>
        <v/>
      </c>
      <c r="L30" s="55" t="str">
        <f aca="false">IF(C30="","",IFERROR(INDEX('شجرة الحسابات'!$C$9:$C$208,MATCH(C30,'شجرة الحسابات'!$A$9:$A$208,0))&amp;"",""))</f>
        <v>تحليلي</v>
      </c>
      <c r="M30" s="55" t="str">
        <f aca="false">IF(AND(C30="",G30="",H30=""),"فارغ",IF(ISNA(MATCH(C30,'شجرة الحسابات'!$A$9:$A$208,0)),"حساب غير معرف",IF(L30&lt;&gt;"تحليلي","حساب تجميعي",IF(AND(N(G30)&gt;0,N(H30)&gt;0),"مدين ودائن معاً",IF(N(G30)+N(H30)=0,"بدون قيمة","OK")))))</f>
        <v>OK</v>
      </c>
      <c r="N30" s="55" t="str">
        <f aca="false">IF(AND(E30&lt;&gt;"",E30='كشف حساب مشروع'!$C$6,I30="مرحل ✔"),COUNTIFS($E$11:E30,'كشف حساب مشروع'!$C$6,$I$11:I30,"مرحل ✔"),"")</f>
        <v/>
      </c>
      <c r="O30" s="55" t="str">
        <f aca="false">IF(AND(C30&lt;&gt;"",C30='دفتر الأستاذ'!$C$6,I30="مرحل ✔"),COUNTIFS($C$11:C30,'دفتر الأستاذ'!$C$6,$I$11:I30,"مرحل ✔"),"")</f>
        <v/>
      </c>
    </row>
    <row r="31" customFormat="false" ht="15" hidden="false" customHeight="false" outlineLevel="0" collapsed="false">
      <c r="A31" s="49" t="n">
        <v>8</v>
      </c>
      <c r="B31" s="50" t="n">
        <v>46053</v>
      </c>
      <c r="C31" s="49" t="n">
        <v>1102</v>
      </c>
      <c r="D31" s="51" t="str">
        <f aca="false">IF(C31="","",IFERROR(INDEX('شجرة الحسابات'!$B$9:$B$208,MATCH(C31,'شجرة الحسابات'!$A$9:$A$208,0)),"⚠ حساب غير معرف"))</f>
        <v>البنك - الحساب الجاري</v>
      </c>
      <c r="E31" s="52"/>
      <c r="F31" s="52" t="s">
        <v>186</v>
      </c>
      <c r="G31" s="53"/>
      <c r="H31" s="53" t="n">
        <v>360000</v>
      </c>
      <c r="I31" s="54" t="str">
        <f aca="false">IF(A31="",IF(M31="فارغ","","✖ بدون رقم قيد"),IF(COUNTIFS('قيود اليومية'!$A$11:$A$1010,A31,'قيود اليومية'!$M$11:$M$1010,"&lt;&gt;OK",'قيود اليومية'!$M$11:$M$1010,"&lt;&gt;فارغ")&gt;0,"✖ خطأ بالحساب",IF(ROUND(SUMIFS('قيود اليومية'!$G$11:$G$1010,'قيود اليومية'!$A$11:$A$1010,A31)-SUMIFS('قيود اليومية'!$H$11:$H$1010,'قيود اليومية'!$A$11:$A$1010,A31),2)&lt;&gt;0,"✖ غير متوازن","مرحل ✔")))</f>
        <v>مرحل ✔</v>
      </c>
      <c r="J31" s="55" t="str">
        <f aca="false">IF(C31="","",IFERROR(INDEX('شجرة الحسابات'!$E$9:$E$208,MATCH(C31,'شجرة الحسابات'!$A$9:$A$208,0))&amp;"",""))</f>
        <v>الأصول</v>
      </c>
      <c r="K31" s="55" t="str">
        <f aca="false">IF(C31="","",IFERROR(INDEX('شجرة الحسابات'!$I$9:$I$208,MATCH(C31,'شجرة الحسابات'!$A$9:$A$208,0))&amp;"",""))</f>
        <v/>
      </c>
      <c r="L31" s="55" t="str">
        <f aca="false">IF(C31="","",IFERROR(INDEX('شجرة الحسابات'!$C$9:$C$208,MATCH(C31,'شجرة الحسابات'!$A$9:$A$208,0))&amp;"",""))</f>
        <v>تحليلي</v>
      </c>
      <c r="M31" s="55" t="str">
        <f aca="false">IF(AND(C31="",G31="",H31=""),"فارغ",IF(ISNA(MATCH(C31,'شجرة الحسابات'!$A$9:$A$208,0)),"حساب غير معرف",IF(L31&lt;&gt;"تحليلي","حساب تجميعي",IF(AND(N(G31)&gt;0,N(H31)&gt;0),"مدين ودائن معاً",IF(N(G31)+N(H31)=0,"بدون قيمة","OK")))))</f>
        <v>OK</v>
      </c>
      <c r="N31" s="55" t="str">
        <f aca="false">IF(AND(E31&lt;&gt;"",E31='كشف حساب مشروع'!$C$6,I31="مرحل ✔"),COUNTIFS($E$11:E31,'كشف حساب مشروع'!$C$6,$I$11:I31,"مرحل ✔"),"")</f>
        <v/>
      </c>
      <c r="O31" s="55" t="n">
        <f aca="false">IF(AND(C31&lt;&gt;"",C31='دفتر الأستاذ'!$C$6,I31="مرحل ✔"),COUNTIFS($C$11:C31,'دفتر الأستاذ'!$C$6,$I$11:I31,"مرحل ✔"),"")</f>
        <v>7</v>
      </c>
    </row>
    <row r="32" customFormat="false" ht="15" hidden="false" customHeight="false" outlineLevel="0" collapsed="false">
      <c r="A32" s="49" t="n">
        <v>9</v>
      </c>
      <c r="B32" s="50" t="n">
        <v>46058</v>
      </c>
      <c r="C32" s="49" t="n">
        <v>5104</v>
      </c>
      <c r="D32" s="51" t="str">
        <f aca="false">IF(C32="","",IFERROR(INDEX('شجرة الحسابات'!$B$9:$B$208,MATCH(C32,'شجرة الحسابات'!$A$9:$A$208,0)),"⚠ حساب غير معرف"))</f>
        <v>إيجار وتشغيل المعدات</v>
      </c>
      <c r="E32" s="52" t="s">
        <v>178</v>
      </c>
      <c r="F32" s="52" t="s">
        <v>187</v>
      </c>
      <c r="G32" s="53" t="n">
        <v>85000</v>
      </c>
      <c r="H32" s="53"/>
      <c r="I32" s="54" t="str">
        <f aca="false">IF(A32="",IF(M32="فارغ","","✖ بدون رقم قيد"),IF(COUNTIFS('قيود اليومية'!$A$11:$A$1010,A32,'قيود اليومية'!$M$11:$M$1010,"&lt;&gt;OK",'قيود اليومية'!$M$11:$M$1010,"&lt;&gt;فارغ")&gt;0,"✖ خطأ بالحساب",IF(ROUND(SUMIFS('قيود اليومية'!$G$11:$G$1010,'قيود اليومية'!$A$11:$A$1010,A32)-SUMIFS('قيود اليومية'!$H$11:$H$1010,'قيود اليومية'!$A$11:$A$1010,A32),2)&lt;&gt;0,"✖ غير متوازن","مرحل ✔")))</f>
        <v>مرحل ✔</v>
      </c>
      <c r="J32" s="55" t="str">
        <f aca="false">IF(C32="","",IFERROR(INDEX('شجرة الحسابات'!$E$9:$E$208,MATCH(C32,'شجرة الحسابات'!$A$9:$A$208,0))&amp;"",""))</f>
        <v>المصروفات</v>
      </c>
      <c r="K32" s="55" t="str">
        <f aca="false">IF(C32="","",IFERROR(INDEX('شجرة الحسابات'!$I$9:$I$208,MATCH(C32,'شجرة الحسابات'!$A$9:$A$208,0))&amp;"",""))</f>
        <v>معدات</v>
      </c>
      <c r="L32" s="55" t="str">
        <f aca="false">IF(C32="","",IFERROR(INDEX('شجرة الحسابات'!$C$9:$C$208,MATCH(C32,'شجرة الحسابات'!$A$9:$A$208,0))&amp;"",""))</f>
        <v>تحليلي</v>
      </c>
      <c r="M32" s="55" t="str">
        <f aca="false">IF(AND(C32="",G32="",H32=""),"فارغ",IF(ISNA(MATCH(C32,'شجرة الحسابات'!$A$9:$A$208,0)),"حساب غير معرف",IF(L32&lt;&gt;"تحليلي","حساب تجميعي",IF(AND(N(G32)&gt;0,N(H32)&gt;0),"مدين ودائن معاً",IF(N(G32)+N(H32)=0,"بدون قيمة","OK")))))</f>
        <v>OK</v>
      </c>
      <c r="N32" s="55" t="str">
        <f aca="false">IF(AND(E32&lt;&gt;"",E32='كشف حساب مشروع'!$C$6,I32="مرحل ✔"),COUNTIFS($E$11:E32,'كشف حساب مشروع'!$C$6,$I$11:I32,"مرحل ✔"),"")</f>
        <v/>
      </c>
      <c r="O32" s="55" t="str">
        <f aca="false">IF(AND(C32&lt;&gt;"",C32='دفتر الأستاذ'!$C$6,I32="مرحل ✔"),COUNTIFS($C$11:C32,'دفتر الأستاذ'!$C$6,$I$11:I32,"مرحل ✔"),"")</f>
        <v/>
      </c>
    </row>
    <row r="33" customFormat="false" ht="15" hidden="false" customHeight="false" outlineLevel="0" collapsed="false">
      <c r="A33" s="49" t="n">
        <v>9</v>
      </c>
      <c r="B33" s="50" t="n">
        <v>46058</v>
      </c>
      <c r="C33" s="49" t="n">
        <v>5104</v>
      </c>
      <c r="D33" s="51" t="str">
        <f aca="false">IF(C33="","",IFERROR(INDEX('شجرة الحسابات'!$B$9:$B$208,MATCH(C33,'شجرة الحسابات'!$A$9:$A$208,0)),"⚠ حساب غير معرف"))</f>
        <v>إيجار وتشغيل المعدات</v>
      </c>
      <c r="E33" s="52" t="s">
        <v>176</v>
      </c>
      <c r="F33" s="52" t="s">
        <v>188</v>
      </c>
      <c r="G33" s="53" t="n">
        <v>40000</v>
      </c>
      <c r="H33" s="53"/>
      <c r="I33" s="54" t="str">
        <f aca="false">IF(A33="",IF(M33="فارغ","","✖ بدون رقم قيد"),IF(COUNTIFS('قيود اليومية'!$A$11:$A$1010,A33,'قيود اليومية'!$M$11:$M$1010,"&lt;&gt;OK",'قيود اليومية'!$M$11:$M$1010,"&lt;&gt;فارغ")&gt;0,"✖ خطأ بالحساب",IF(ROUND(SUMIFS('قيود اليومية'!$G$11:$G$1010,'قيود اليومية'!$A$11:$A$1010,A33)-SUMIFS('قيود اليومية'!$H$11:$H$1010,'قيود اليومية'!$A$11:$A$1010,A33),2)&lt;&gt;0,"✖ غير متوازن","مرحل ✔")))</f>
        <v>مرحل ✔</v>
      </c>
      <c r="J33" s="55" t="str">
        <f aca="false">IF(C33="","",IFERROR(INDEX('شجرة الحسابات'!$E$9:$E$208,MATCH(C33,'شجرة الحسابات'!$A$9:$A$208,0))&amp;"",""))</f>
        <v>المصروفات</v>
      </c>
      <c r="K33" s="55" t="str">
        <f aca="false">IF(C33="","",IFERROR(INDEX('شجرة الحسابات'!$I$9:$I$208,MATCH(C33,'شجرة الحسابات'!$A$9:$A$208,0))&amp;"",""))</f>
        <v>معدات</v>
      </c>
      <c r="L33" s="55" t="str">
        <f aca="false">IF(C33="","",IFERROR(INDEX('شجرة الحسابات'!$C$9:$C$208,MATCH(C33,'شجرة الحسابات'!$A$9:$A$208,0))&amp;"",""))</f>
        <v>تحليلي</v>
      </c>
      <c r="M33" s="55" t="str">
        <f aca="false">IF(AND(C33="",G33="",H33=""),"فارغ",IF(ISNA(MATCH(C33,'شجرة الحسابات'!$A$9:$A$208,0)),"حساب غير معرف",IF(L33&lt;&gt;"تحليلي","حساب تجميعي",IF(AND(N(G33)&gt;0,N(H33)&gt;0),"مدين ودائن معاً",IF(N(G33)+N(H33)=0,"بدون قيمة","OK")))))</f>
        <v>OK</v>
      </c>
      <c r="N33" s="55" t="n">
        <f aca="false">IF(AND(E33&lt;&gt;"",E33='كشف حساب مشروع'!$C$6,I33="مرحل ✔"),COUNTIFS($E$11:E33,'كشف حساب مشروع'!$C$6,$I$11:I33,"مرحل ✔"),"")</f>
        <v>8</v>
      </c>
      <c r="O33" s="55" t="str">
        <f aca="false">IF(AND(C33&lt;&gt;"",C33='دفتر الأستاذ'!$C$6,I33="مرحل ✔"),COUNTIFS($C$11:C33,'دفتر الأستاذ'!$C$6,$I$11:I33,"مرحل ✔"),"")</f>
        <v/>
      </c>
    </row>
    <row r="34" customFormat="false" ht="15" hidden="false" customHeight="false" outlineLevel="0" collapsed="false">
      <c r="A34" s="49" t="n">
        <v>9</v>
      </c>
      <c r="B34" s="50" t="n">
        <v>46058</v>
      </c>
      <c r="C34" s="49" t="n">
        <v>1102</v>
      </c>
      <c r="D34" s="51" t="str">
        <f aca="false">IF(C34="","",IFERROR(INDEX('شجرة الحسابات'!$B$9:$B$208,MATCH(C34,'شجرة الحسابات'!$A$9:$A$208,0)),"⚠ حساب غير معرف"))</f>
        <v>البنك - الحساب الجاري</v>
      </c>
      <c r="E34" s="52"/>
      <c r="F34" s="52" t="s">
        <v>189</v>
      </c>
      <c r="G34" s="53"/>
      <c r="H34" s="53" t="n">
        <v>125000</v>
      </c>
      <c r="I34" s="54" t="str">
        <f aca="false">IF(A34="",IF(M34="فارغ","","✖ بدون رقم قيد"),IF(COUNTIFS('قيود اليومية'!$A$11:$A$1010,A34,'قيود اليومية'!$M$11:$M$1010,"&lt;&gt;OK",'قيود اليومية'!$M$11:$M$1010,"&lt;&gt;فارغ")&gt;0,"✖ خطأ بالحساب",IF(ROUND(SUMIFS('قيود اليومية'!$G$11:$G$1010,'قيود اليومية'!$A$11:$A$1010,A34)-SUMIFS('قيود اليومية'!$H$11:$H$1010,'قيود اليومية'!$A$11:$A$1010,A34),2)&lt;&gt;0,"✖ غير متوازن","مرحل ✔")))</f>
        <v>مرحل ✔</v>
      </c>
      <c r="J34" s="55" t="str">
        <f aca="false">IF(C34="","",IFERROR(INDEX('شجرة الحسابات'!$E$9:$E$208,MATCH(C34,'شجرة الحسابات'!$A$9:$A$208,0))&amp;"",""))</f>
        <v>الأصول</v>
      </c>
      <c r="K34" s="55" t="str">
        <f aca="false">IF(C34="","",IFERROR(INDEX('شجرة الحسابات'!$I$9:$I$208,MATCH(C34,'شجرة الحسابات'!$A$9:$A$208,0))&amp;"",""))</f>
        <v/>
      </c>
      <c r="L34" s="55" t="str">
        <f aca="false">IF(C34="","",IFERROR(INDEX('شجرة الحسابات'!$C$9:$C$208,MATCH(C34,'شجرة الحسابات'!$A$9:$A$208,0))&amp;"",""))</f>
        <v>تحليلي</v>
      </c>
      <c r="M34" s="55" t="str">
        <f aca="false">IF(AND(C34="",G34="",H34=""),"فارغ",IF(ISNA(MATCH(C34,'شجرة الحسابات'!$A$9:$A$208,0)),"حساب غير معرف",IF(L34&lt;&gt;"تحليلي","حساب تجميعي",IF(AND(N(G34)&gt;0,N(H34)&gt;0),"مدين ودائن معاً",IF(N(G34)+N(H34)=0,"بدون قيمة","OK")))))</f>
        <v>OK</v>
      </c>
      <c r="N34" s="55" t="str">
        <f aca="false">IF(AND(E34&lt;&gt;"",E34='كشف حساب مشروع'!$C$6,I34="مرحل ✔"),COUNTIFS($E$11:E34,'كشف حساب مشروع'!$C$6,$I$11:I34,"مرحل ✔"),"")</f>
        <v/>
      </c>
      <c r="O34" s="55" t="n">
        <f aca="false">IF(AND(C34&lt;&gt;"",C34='دفتر الأستاذ'!$C$6,I34="مرحل ✔"),COUNTIFS($C$11:C34,'دفتر الأستاذ'!$C$6,$I$11:I34,"مرحل ✔"),"")</f>
        <v>8</v>
      </c>
    </row>
    <row r="35" customFormat="false" ht="15" hidden="false" customHeight="false" outlineLevel="0" collapsed="false">
      <c r="A35" s="49" t="n">
        <v>10</v>
      </c>
      <c r="B35" s="50" t="n">
        <v>46063</v>
      </c>
      <c r="C35" s="49" t="n">
        <v>5105</v>
      </c>
      <c r="D35" s="51" t="str">
        <f aca="false">IF(C35="","",IFERROR(INDEX('شجرة الحسابات'!$B$9:$B$208,MATCH(C35,'شجرة الحسابات'!$A$9:$A$208,0)),"⚠ حساب غير معرف"))</f>
        <v>مصاريف الموقع الإدارية</v>
      </c>
      <c r="E35" s="52" t="s">
        <v>176</v>
      </c>
      <c r="F35" s="52" t="s">
        <v>190</v>
      </c>
      <c r="G35" s="53" t="n">
        <v>32000</v>
      </c>
      <c r="H35" s="53"/>
      <c r="I35" s="54" t="str">
        <f aca="false">IF(A35="",IF(M35="فارغ","","✖ بدون رقم قيد"),IF(COUNTIFS('قيود اليومية'!$A$11:$A$1010,A35,'قيود اليومية'!$M$11:$M$1010,"&lt;&gt;OK",'قيود اليومية'!$M$11:$M$1010,"&lt;&gt;فارغ")&gt;0,"✖ خطأ بالحساب",IF(ROUND(SUMIFS('قيود اليومية'!$G$11:$G$1010,'قيود اليومية'!$A$11:$A$1010,A35)-SUMIFS('قيود اليومية'!$H$11:$H$1010,'قيود اليومية'!$A$11:$A$1010,A35),2)&lt;&gt;0,"✖ غير متوازن","مرحل ✔")))</f>
        <v>مرحل ✔</v>
      </c>
      <c r="J35" s="55" t="str">
        <f aca="false">IF(C35="","",IFERROR(INDEX('شجرة الحسابات'!$E$9:$E$208,MATCH(C35,'شجرة الحسابات'!$A$9:$A$208,0))&amp;"",""))</f>
        <v>المصروفات</v>
      </c>
      <c r="K35" s="55" t="str">
        <f aca="false">IF(C35="","",IFERROR(INDEX('شجرة الحسابات'!$I$9:$I$208,MATCH(C35,'شجرة الحسابات'!$A$9:$A$208,0))&amp;"",""))</f>
        <v>مصاريف موقع</v>
      </c>
      <c r="L35" s="55" t="str">
        <f aca="false">IF(C35="","",IFERROR(INDEX('شجرة الحسابات'!$C$9:$C$208,MATCH(C35,'شجرة الحسابات'!$A$9:$A$208,0))&amp;"",""))</f>
        <v>تحليلي</v>
      </c>
      <c r="M35" s="55" t="str">
        <f aca="false">IF(AND(C35="",G35="",H35=""),"فارغ",IF(ISNA(MATCH(C35,'شجرة الحسابات'!$A$9:$A$208,0)),"حساب غير معرف",IF(L35&lt;&gt;"تحليلي","حساب تجميعي",IF(AND(N(G35)&gt;0,N(H35)&gt;0),"مدين ودائن معاً",IF(N(G35)+N(H35)=0,"بدون قيمة","OK")))))</f>
        <v>OK</v>
      </c>
      <c r="N35" s="55" t="n">
        <f aca="false">IF(AND(E35&lt;&gt;"",E35='كشف حساب مشروع'!$C$6,I35="مرحل ✔"),COUNTIFS($E$11:E35,'كشف حساب مشروع'!$C$6,$I$11:I35,"مرحل ✔"),"")</f>
        <v>9</v>
      </c>
      <c r="O35" s="55" t="str">
        <f aca="false">IF(AND(C35&lt;&gt;"",C35='دفتر الأستاذ'!$C$6,I35="مرحل ✔"),COUNTIFS($C$11:C35,'دفتر الأستاذ'!$C$6,$I$11:I35,"مرحل ✔"),"")</f>
        <v/>
      </c>
    </row>
    <row r="36" customFormat="false" ht="15" hidden="false" customHeight="false" outlineLevel="0" collapsed="false">
      <c r="A36" s="49" t="n">
        <v>10</v>
      </c>
      <c r="B36" s="50" t="n">
        <v>46063</v>
      </c>
      <c r="C36" s="49" t="n">
        <v>5105</v>
      </c>
      <c r="D36" s="51" t="str">
        <f aca="false">IF(C36="","",IFERROR(INDEX('شجرة الحسابات'!$B$9:$B$208,MATCH(C36,'شجرة الحسابات'!$A$9:$A$208,0)),"⚠ حساب غير معرف"))</f>
        <v>مصاريف الموقع الإدارية</v>
      </c>
      <c r="E36" s="52" t="s">
        <v>178</v>
      </c>
      <c r="F36" s="52" t="s">
        <v>191</v>
      </c>
      <c r="G36" s="53" t="n">
        <v>18000</v>
      </c>
      <c r="H36" s="53"/>
      <c r="I36" s="54" t="str">
        <f aca="false">IF(A36="",IF(M36="فارغ","","✖ بدون رقم قيد"),IF(COUNTIFS('قيود اليومية'!$A$11:$A$1010,A36,'قيود اليومية'!$M$11:$M$1010,"&lt;&gt;OK",'قيود اليومية'!$M$11:$M$1010,"&lt;&gt;فارغ")&gt;0,"✖ خطأ بالحساب",IF(ROUND(SUMIFS('قيود اليومية'!$G$11:$G$1010,'قيود اليومية'!$A$11:$A$1010,A36)-SUMIFS('قيود اليومية'!$H$11:$H$1010,'قيود اليومية'!$A$11:$A$1010,A36),2)&lt;&gt;0,"✖ غير متوازن","مرحل ✔")))</f>
        <v>مرحل ✔</v>
      </c>
      <c r="J36" s="55" t="str">
        <f aca="false">IF(C36="","",IFERROR(INDEX('شجرة الحسابات'!$E$9:$E$208,MATCH(C36,'شجرة الحسابات'!$A$9:$A$208,0))&amp;"",""))</f>
        <v>المصروفات</v>
      </c>
      <c r="K36" s="55" t="str">
        <f aca="false">IF(C36="","",IFERROR(INDEX('شجرة الحسابات'!$I$9:$I$208,MATCH(C36,'شجرة الحسابات'!$A$9:$A$208,0))&amp;"",""))</f>
        <v>مصاريف موقع</v>
      </c>
      <c r="L36" s="55" t="str">
        <f aca="false">IF(C36="","",IFERROR(INDEX('شجرة الحسابات'!$C$9:$C$208,MATCH(C36,'شجرة الحسابات'!$A$9:$A$208,0))&amp;"",""))</f>
        <v>تحليلي</v>
      </c>
      <c r="M36" s="55" t="str">
        <f aca="false">IF(AND(C36="",G36="",H36=""),"فارغ",IF(ISNA(MATCH(C36,'شجرة الحسابات'!$A$9:$A$208,0)),"حساب غير معرف",IF(L36&lt;&gt;"تحليلي","حساب تجميعي",IF(AND(N(G36)&gt;0,N(H36)&gt;0),"مدين ودائن معاً",IF(N(G36)+N(H36)=0,"بدون قيمة","OK")))))</f>
        <v>OK</v>
      </c>
      <c r="N36" s="55" t="str">
        <f aca="false">IF(AND(E36&lt;&gt;"",E36='كشف حساب مشروع'!$C$6,I36="مرحل ✔"),COUNTIFS($E$11:E36,'كشف حساب مشروع'!$C$6,$I$11:I36,"مرحل ✔"),"")</f>
        <v/>
      </c>
      <c r="O36" s="55" t="str">
        <f aca="false">IF(AND(C36&lt;&gt;"",C36='دفتر الأستاذ'!$C$6,I36="مرحل ✔"),COUNTIFS($C$11:C36,'دفتر الأستاذ'!$C$6,$I$11:I36,"مرحل ✔"),"")</f>
        <v/>
      </c>
    </row>
    <row r="37" customFormat="false" ht="15" hidden="false" customHeight="false" outlineLevel="0" collapsed="false">
      <c r="A37" s="49" t="n">
        <v>10</v>
      </c>
      <c r="B37" s="50" t="n">
        <v>46063</v>
      </c>
      <c r="C37" s="49" t="n">
        <v>1101</v>
      </c>
      <c r="D37" s="51" t="str">
        <f aca="false">IF(C37="","",IFERROR(INDEX('شجرة الحسابات'!$B$9:$B$208,MATCH(C37,'شجرة الحسابات'!$A$9:$A$208,0)),"⚠ حساب غير معرف"))</f>
        <v>الصندوق (النقدية بالخزينة)</v>
      </c>
      <c r="E37" s="52"/>
      <c r="F37" s="52" t="s">
        <v>192</v>
      </c>
      <c r="G37" s="53"/>
      <c r="H37" s="53" t="n">
        <v>50000</v>
      </c>
      <c r="I37" s="54" t="str">
        <f aca="false">IF(A37="",IF(M37="فارغ","","✖ بدون رقم قيد"),IF(COUNTIFS('قيود اليومية'!$A$11:$A$1010,A37,'قيود اليومية'!$M$11:$M$1010,"&lt;&gt;OK",'قيود اليومية'!$M$11:$M$1010,"&lt;&gt;فارغ")&gt;0,"✖ خطأ بالحساب",IF(ROUND(SUMIFS('قيود اليومية'!$G$11:$G$1010,'قيود اليومية'!$A$11:$A$1010,A37)-SUMIFS('قيود اليومية'!$H$11:$H$1010,'قيود اليومية'!$A$11:$A$1010,A37),2)&lt;&gt;0,"✖ غير متوازن","مرحل ✔")))</f>
        <v>مرحل ✔</v>
      </c>
      <c r="J37" s="55" t="str">
        <f aca="false">IF(C37="","",IFERROR(INDEX('شجرة الحسابات'!$E$9:$E$208,MATCH(C37,'شجرة الحسابات'!$A$9:$A$208,0))&amp;"",""))</f>
        <v>الأصول</v>
      </c>
      <c r="K37" s="55" t="str">
        <f aca="false">IF(C37="","",IFERROR(INDEX('شجرة الحسابات'!$I$9:$I$208,MATCH(C37,'شجرة الحسابات'!$A$9:$A$208,0))&amp;"",""))</f>
        <v/>
      </c>
      <c r="L37" s="55" t="str">
        <f aca="false">IF(C37="","",IFERROR(INDEX('شجرة الحسابات'!$C$9:$C$208,MATCH(C37,'شجرة الحسابات'!$A$9:$A$208,0))&amp;"",""))</f>
        <v>تحليلي</v>
      </c>
      <c r="M37" s="55" t="str">
        <f aca="false">IF(AND(C37="",G37="",H37=""),"فارغ",IF(ISNA(MATCH(C37,'شجرة الحسابات'!$A$9:$A$208,0)),"حساب غير معرف",IF(L37&lt;&gt;"تحليلي","حساب تجميعي",IF(AND(N(G37)&gt;0,N(H37)&gt;0),"مدين ودائن معاً",IF(N(G37)+N(H37)=0,"بدون قيمة","OK")))))</f>
        <v>OK</v>
      </c>
      <c r="N37" s="55" t="str">
        <f aca="false">IF(AND(E37&lt;&gt;"",E37='كشف حساب مشروع'!$C$6,I37="مرحل ✔"),COUNTIFS($E$11:E37,'كشف حساب مشروع'!$C$6,$I$11:I37,"مرحل ✔"),"")</f>
        <v/>
      </c>
      <c r="O37" s="55" t="str">
        <f aca="false">IF(AND(C37&lt;&gt;"",C37='دفتر الأستاذ'!$C$6,I37="مرحل ✔"),COUNTIFS($C$11:C37,'دفتر الأستاذ'!$C$6,$I$11:I37,"مرحل ✔"),"")</f>
        <v/>
      </c>
    </row>
    <row r="38" customFormat="false" ht="15" hidden="false" customHeight="false" outlineLevel="0" collapsed="false">
      <c r="A38" s="49" t="n">
        <v>11</v>
      </c>
      <c r="B38" s="50" t="n">
        <v>46068</v>
      </c>
      <c r="C38" s="49" t="n">
        <v>5103</v>
      </c>
      <c r="D38" s="51" t="str">
        <f aca="false">IF(C38="","",IFERROR(INDEX('شجرة الحسابات'!$B$9:$B$208,MATCH(C38,'شجرة الحسابات'!$A$9:$A$208,0)),"⚠ حساب غير معرف"))</f>
        <v>تكلفة مقاولي الباطن</v>
      </c>
      <c r="E38" s="52" t="s">
        <v>176</v>
      </c>
      <c r="F38" s="52" t="s">
        <v>193</v>
      </c>
      <c r="G38" s="53" t="n">
        <v>600000</v>
      </c>
      <c r="H38" s="53"/>
      <c r="I38" s="54" t="str">
        <f aca="false">IF(A38="",IF(M38="فارغ","","✖ بدون رقم قيد"),IF(COUNTIFS('قيود اليومية'!$A$11:$A$1010,A38,'قيود اليومية'!$M$11:$M$1010,"&lt;&gt;OK",'قيود اليومية'!$M$11:$M$1010,"&lt;&gt;فارغ")&gt;0,"✖ خطأ بالحساب",IF(ROUND(SUMIFS('قيود اليومية'!$G$11:$G$1010,'قيود اليومية'!$A$11:$A$1010,A38)-SUMIFS('قيود اليومية'!$H$11:$H$1010,'قيود اليومية'!$A$11:$A$1010,A38),2)&lt;&gt;0,"✖ غير متوازن","مرحل ✔")))</f>
        <v>مرحل ✔</v>
      </c>
      <c r="J38" s="55" t="str">
        <f aca="false">IF(C38="","",IFERROR(INDEX('شجرة الحسابات'!$E$9:$E$208,MATCH(C38,'شجرة الحسابات'!$A$9:$A$208,0))&amp;"",""))</f>
        <v>المصروفات</v>
      </c>
      <c r="K38" s="55" t="str">
        <f aca="false">IF(C38="","",IFERROR(INDEX('شجرة الحسابات'!$I$9:$I$208,MATCH(C38,'شجرة الحسابات'!$A$9:$A$208,0))&amp;"",""))</f>
        <v>مقاولو باطن</v>
      </c>
      <c r="L38" s="55" t="str">
        <f aca="false">IF(C38="","",IFERROR(INDEX('شجرة الحسابات'!$C$9:$C$208,MATCH(C38,'شجرة الحسابات'!$A$9:$A$208,0))&amp;"",""))</f>
        <v>تحليلي</v>
      </c>
      <c r="M38" s="55" t="str">
        <f aca="false">IF(AND(C38="",G38="",H38=""),"فارغ",IF(ISNA(MATCH(C38,'شجرة الحسابات'!$A$9:$A$208,0)),"حساب غير معرف",IF(L38&lt;&gt;"تحليلي","حساب تجميعي",IF(AND(N(G38)&gt;0,N(H38)&gt;0),"مدين ودائن معاً",IF(N(G38)+N(H38)=0,"بدون قيمة","OK")))))</f>
        <v>OK</v>
      </c>
      <c r="N38" s="55" t="n">
        <f aca="false">IF(AND(E38&lt;&gt;"",E38='كشف حساب مشروع'!$C$6,I38="مرحل ✔"),COUNTIFS($E$11:E38,'كشف حساب مشروع'!$C$6,$I$11:I38,"مرحل ✔"),"")</f>
        <v>10</v>
      </c>
      <c r="O38" s="55" t="str">
        <f aca="false">IF(AND(C38&lt;&gt;"",C38='دفتر الأستاذ'!$C$6,I38="مرحل ✔"),COUNTIFS($C$11:C38,'دفتر الأستاذ'!$C$6,$I$11:I38,"مرحل ✔"),"")</f>
        <v/>
      </c>
    </row>
    <row r="39" customFormat="false" ht="15" hidden="false" customHeight="false" outlineLevel="0" collapsed="false">
      <c r="A39" s="49" t="n">
        <v>11</v>
      </c>
      <c r="B39" s="50" t="n">
        <v>46068</v>
      </c>
      <c r="C39" s="49" t="n">
        <v>1106</v>
      </c>
      <c r="D39" s="51" t="str">
        <f aca="false">IF(C39="","",IFERROR(INDEX('شجرة الحسابات'!$B$9:$B$208,MATCH(C39,'شجرة الحسابات'!$A$9:$A$208,0)),"⚠ حساب غير معرف"))</f>
        <v>دفعات مقدمة لمقاولي الباطن</v>
      </c>
      <c r="E39" s="52" t="s">
        <v>176</v>
      </c>
      <c r="F39" s="52" t="s">
        <v>194</v>
      </c>
      <c r="G39" s="53"/>
      <c r="H39" s="53" t="n">
        <v>60000</v>
      </c>
      <c r="I39" s="54" t="str">
        <f aca="false">IF(A39="",IF(M39="فارغ","","✖ بدون رقم قيد"),IF(COUNTIFS('قيود اليومية'!$A$11:$A$1010,A39,'قيود اليومية'!$M$11:$M$1010,"&lt;&gt;OK",'قيود اليومية'!$M$11:$M$1010,"&lt;&gt;فارغ")&gt;0,"✖ خطأ بالحساب",IF(ROUND(SUMIFS('قيود اليومية'!$G$11:$G$1010,'قيود اليومية'!$A$11:$A$1010,A39)-SUMIFS('قيود اليومية'!$H$11:$H$1010,'قيود اليومية'!$A$11:$A$1010,A39),2)&lt;&gt;0,"✖ غير متوازن","مرحل ✔")))</f>
        <v>مرحل ✔</v>
      </c>
      <c r="J39" s="55" t="str">
        <f aca="false">IF(C39="","",IFERROR(INDEX('شجرة الحسابات'!$E$9:$E$208,MATCH(C39,'شجرة الحسابات'!$A$9:$A$208,0))&amp;"",""))</f>
        <v>الأصول</v>
      </c>
      <c r="K39" s="55" t="str">
        <f aca="false">IF(C39="","",IFERROR(INDEX('شجرة الحسابات'!$I$9:$I$208,MATCH(C39,'شجرة الحسابات'!$A$9:$A$208,0))&amp;"",""))</f>
        <v/>
      </c>
      <c r="L39" s="55" t="str">
        <f aca="false">IF(C39="","",IFERROR(INDEX('شجرة الحسابات'!$C$9:$C$208,MATCH(C39,'شجرة الحسابات'!$A$9:$A$208,0))&amp;"",""))</f>
        <v>تحليلي</v>
      </c>
      <c r="M39" s="55" t="str">
        <f aca="false">IF(AND(C39="",G39="",H39=""),"فارغ",IF(ISNA(MATCH(C39,'شجرة الحسابات'!$A$9:$A$208,0)),"حساب غير معرف",IF(L39&lt;&gt;"تحليلي","حساب تجميعي",IF(AND(N(G39)&gt;0,N(H39)&gt;0),"مدين ودائن معاً",IF(N(G39)+N(H39)=0,"بدون قيمة","OK")))))</f>
        <v>OK</v>
      </c>
      <c r="N39" s="55" t="n">
        <f aca="false">IF(AND(E39&lt;&gt;"",E39='كشف حساب مشروع'!$C$6,I39="مرحل ✔"),COUNTIFS($E$11:E39,'كشف حساب مشروع'!$C$6,$I$11:I39,"مرحل ✔"),"")</f>
        <v>11</v>
      </c>
      <c r="O39" s="55" t="str">
        <f aca="false">IF(AND(C39&lt;&gt;"",C39='دفتر الأستاذ'!$C$6,I39="مرحل ✔"),COUNTIFS($C$11:C39,'دفتر الأستاذ'!$C$6,$I$11:I39,"مرحل ✔"),"")</f>
        <v/>
      </c>
    </row>
    <row r="40" customFormat="false" ht="15" hidden="false" customHeight="false" outlineLevel="0" collapsed="false">
      <c r="A40" s="49" t="n">
        <v>11</v>
      </c>
      <c r="B40" s="50" t="n">
        <v>46068</v>
      </c>
      <c r="C40" s="49" t="n">
        <v>2103</v>
      </c>
      <c r="D40" s="51" t="str">
        <f aca="false">IF(C40="","",IFERROR(INDEX('شجرة الحسابات'!$B$9:$B$208,MATCH(C40,'شجرة الحسابات'!$A$9:$A$208,0)),"⚠ حساب غير معرف"))</f>
        <v>محتجزات ضمان مقاولي الباطن</v>
      </c>
      <c r="E40" s="52" t="s">
        <v>176</v>
      </c>
      <c r="F40" s="52" t="s">
        <v>195</v>
      </c>
      <c r="G40" s="53"/>
      <c r="H40" s="53" t="n">
        <v>30000</v>
      </c>
      <c r="I40" s="54" t="str">
        <f aca="false">IF(A40="",IF(M40="فارغ","","✖ بدون رقم قيد"),IF(COUNTIFS('قيود اليومية'!$A$11:$A$1010,A40,'قيود اليومية'!$M$11:$M$1010,"&lt;&gt;OK",'قيود اليومية'!$M$11:$M$1010,"&lt;&gt;فارغ")&gt;0,"✖ خطأ بالحساب",IF(ROUND(SUMIFS('قيود اليومية'!$G$11:$G$1010,'قيود اليومية'!$A$11:$A$1010,A40)-SUMIFS('قيود اليومية'!$H$11:$H$1010,'قيود اليومية'!$A$11:$A$1010,A40),2)&lt;&gt;0,"✖ غير متوازن","مرحل ✔")))</f>
        <v>مرحل ✔</v>
      </c>
      <c r="J40" s="55" t="str">
        <f aca="false">IF(C40="","",IFERROR(INDEX('شجرة الحسابات'!$E$9:$E$208,MATCH(C40,'شجرة الحسابات'!$A$9:$A$208,0))&amp;"",""))</f>
        <v>الخصوم</v>
      </c>
      <c r="K40" s="55" t="str">
        <f aca="false">IF(C40="","",IFERROR(INDEX('شجرة الحسابات'!$I$9:$I$208,MATCH(C40,'شجرة الحسابات'!$A$9:$A$208,0))&amp;"",""))</f>
        <v/>
      </c>
      <c r="L40" s="55" t="str">
        <f aca="false">IF(C40="","",IFERROR(INDEX('شجرة الحسابات'!$C$9:$C$208,MATCH(C40,'شجرة الحسابات'!$A$9:$A$208,0))&amp;"",""))</f>
        <v>تحليلي</v>
      </c>
      <c r="M40" s="55" t="str">
        <f aca="false">IF(AND(C40="",G40="",H40=""),"فارغ",IF(ISNA(MATCH(C40,'شجرة الحسابات'!$A$9:$A$208,0)),"حساب غير معرف",IF(L40&lt;&gt;"تحليلي","حساب تجميعي",IF(AND(N(G40)&gt;0,N(H40)&gt;0),"مدين ودائن معاً",IF(N(G40)+N(H40)=0,"بدون قيمة","OK")))))</f>
        <v>OK</v>
      </c>
      <c r="N40" s="55" t="n">
        <f aca="false">IF(AND(E40&lt;&gt;"",E40='كشف حساب مشروع'!$C$6,I40="مرحل ✔"),COUNTIFS($E$11:E40,'كشف حساب مشروع'!$C$6,$I$11:I40,"مرحل ✔"),"")</f>
        <v>12</v>
      </c>
      <c r="O40" s="55" t="str">
        <f aca="false">IF(AND(C40&lt;&gt;"",C40='دفتر الأستاذ'!$C$6,I40="مرحل ✔"),COUNTIFS($C$11:C40,'دفتر الأستاذ'!$C$6,$I$11:I40,"مرحل ✔"),"")</f>
        <v/>
      </c>
    </row>
    <row r="41" customFormat="false" ht="15" hidden="false" customHeight="false" outlineLevel="0" collapsed="false">
      <c r="A41" s="49" t="n">
        <v>11</v>
      </c>
      <c r="B41" s="50" t="n">
        <v>46068</v>
      </c>
      <c r="C41" s="49" t="n">
        <v>2102</v>
      </c>
      <c r="D41" s="51" t="str">
        <f aca="false">IF(C41="","",IFERROR(INDEX('شجرة الحسابات'!$B$9:$B$208,MATCH(C41,'شجرة الحسابات'!$A$9:$A$208,0)),"⚠ حساب غير معرف"))</f>
        <v>مقاولو الباطن</v>
      </c>
      <c r="E41" s="52" t="s">
        <v>176</v>
      </c>
      <c r="F41" s="52" t="s">
        <v>196</v>
      </c>
      <c r="G41" s="53"/>
      <c r="H41" s="53" t="n">
        <v>510000</v>
      </c>
      <c r="I41" s="54" t="str">
        <f aca="false">IF(A41="",IF(M41="فارغ","","✖ بدون رقم قيد"),IF(COUNTIFS('قيود اليومية'!$A$11:$A$1010,A41,'قيود اليومية'!$M$11:$M$1010,"&lt;&gt;OK",'قيود اليومية'!$M$11:$M$1010,"&lt;&gt;فارغ")&gt;0,"✖ خطأ بالحساب",IF(ROUND(SUMIFS('قيود اليومية'!$G$11:$G$1010,'قيود اليومية'!$A$11:$A$1010,A41)-SUMIFS('قيود اليومية'!$H$11:$H$1010,'قيود اليومية'!$A$11:$A$1010,A41),2)&lt;&gt;0,"✖ غير متوازن","مرحل ✔")))</f>
        <v>مرحل ✔</v>
      </c>
      <c r="J41" s="55" t="str">
        <f aca="false">IF(C41="","",IFERROR(INDEX('شجرة الحسابات'!$E$9:$E$208,MATCH(C41,'شجرة الحسابات'!$A$9:$A$208,0))&amp;"",""))</f>
        <v>الخصوم</v>
      </c>
      <c r="K41" s="55" t="str">
        <f aca="false">IF(C41="","",IFERROR(INDEX('شجرة الحسابات'!$I$9:$I$208,MATCH(C41,'شجرة الحسابات'!$A$9:$A$208,0))&amp;"",""))</f>
        <v/>
      </c>
      <c r="L41" s="55" t="str">
        <f aca="false">IF(C41="","",IFERROR(INDEX('شجرة الحسابات'!$C$9:$C$208,MATCH(C41,'شجرة الحسابات'!$A$9:$A$208,0))&amp;"",""))</f>
        <v>تحليلي</v>
      </c>
      <c r="M41" s="55" t="str">
        <f aca="false">IF(AND(C41="",G41="",H41=""),"فارغ",IF(ISNA(MATCH(C41,'شجرة الحسابات'!$A$9:$A$208,0)),"حساب غير معرف",IF(L41&lt;&gt;"تحليلي","حساب تجميعي",IF(AND(N(G41)&gt;0,N(H41)&gt;0),"مدين ودائن معاً",IF(N(G41)+N(H41)=0,"بدون قيمة","OK")))))</f>
        <v>OK</v>
      </c>
      <c r="N41" s="55" t="n">
        <f aca="false">IF(AND(E41&lt;&gt;"",E41='كشف حساب مشروع'!$C$6,I41="مرحل ✔"),COUNTIFS($E$11:E41,'كشف حساب مشروع'!$C$6,$I$11:I41,"مرحل ✔"),"")</f>
        <v>13</v>
      </c>
      <c r="O41" s="55" t="str">
        <f aca="false">IF(AND(C41&lt;&gt;"",C41='دفتر الأستاذ'!$C$6,I41="مرحل ✔"),COUNTIFS($C$11:C41,'دفتر الأستاذ'!$C$6,$I$11:I41,"مرحل ✔"),"")</f>
        <v/>
      </c>
    </row>
    <row r="42" customFormat="false" ht="15" hidden="false" customHeight="false" outlineLevel="0" collapsed="false">
      <c r="A42" s="49" t="n">
        <v>12</v>
      </c>
      <c r="B42" s="50" t="n">
        <v>46081</v>
      </c>
      <c r="C42" s="49" t="n">
        <v>1103</v>
      </c>
      <c r="D42" s="51" t="str">
        <f aca="false">IF(C42="","",IFERROR(INDEX('شجرة الحسابات'!$B$9:$B$208,MATCH(C42,'شجرة الحسابات'!$A$9:$A$208,0)),"⚠ حساب غير معرف"))</f>
        <v>عملاء المقاولات</v>
      </c>
      <c r="E42" s="52" t="s">
        <v>176</v>
      </c>
      <c r="F42" s="52" t="s">
        <v>197</v>
      </c>
      <c r="G42" s="53" t="n">
        <v>1125000</v>
      </c>
      <c r="H42" s="53"/>
      <c r="I42" s="54" t="str">
        <f aca="false">IF(A42="",IF(M42="فارغ","","✖ بدون رقم قيد"),IF(COUNTIFS('قيود اليومية'!$A$11:$A$1010,A42,'قيود اليومية'!$M$11:$M$1010,"&lt;&gt;OK",'قيود اليومية'!$M$11:$M$1010,"&lt;&gt;فارغ")&gt;0,"✖ خطأ بالحساب",IF(ROUND(SUMIFS('قيود اليومية'!$G$11:$G$1010,'قيود اليومية'!$A$11:$A$1010,A42)-SUMIFS('قيود اليومية'!$H$11:$H$1010,'قيود اليومية'!$A$11:$A$1010,A42),2)&lt;&gt;0,"✖ غير متوازن","مرحل ✔")))</f>
        <v>مرحل ✔</v>
      </c>
      <c r="J42" s="55" t="str">
        <f aca="false">IF(C42="","",IFERROR(INDEX('شجرة الحسابات'!$E$9:$E$208,MATCH(C42,'شجرة الحسابات'!$A$9:$A$208,0))&amp;"",""))</f>
        <v>الأصول</v>
      </c>
      <c r="K42" s="55" t="str">
        <f aca="false">IF(C42="","",IFERROR(INDEX('شجرة الحسابات'!$I$9:$I$208,MATCH(C42,'شجرة الحسابات'!$A$9:$A$208,0))&amp;"",""))</f>
        <v/>
      </c>
      <c r="L42" s="55" t="str">
        <f aca="false">IF(C42="","",IFERROR(INDEX('شجرة الحسابات'!$C$9:$C$208,MATCH(C42,'شجرة الحسابات'!$A$9:$A$208,0))&amp;"",""))</f>
        <v>تحليلي</v>
      </c>
      <c r="M42" s="55" t="str">
        <f aca="false">IF(AND(C42="",G42="",H42=""),"فارغ",IF(ISNA(MATCH(C42,'شجرة الحسابات'!$A$9:$A$208,0)),"حساب غير معرف",IF(L42&lt;&gt;"تحليلي","حساب تجميعي",IF(AND(N(G42)&gt;0,N(H42)&gt;0),"مدين ودائن معاً",IF(N(G42)+N(H42)=0,"بدون قيمة","OK")))))</f>
        <v>OK</v>
      </c>
      <c r="N42" s="55" t="n">
        <f aca="false">IF(AND(E42&lt;&gt;"",E42='كشف حساب مشروع'!$C$6,I42="مرحل ✔"),COUNTIFS($E$11:E42,'كشف حساب مشروع'!$C$6,$I$11:I42,"مرحل ✔"),"")</f>
        <v>14</v>
      </c>
      <c r="O42" s="55" t="str">
        <f aca="false">IF(AND(C42&lt;&gt;"",C42='دفتر الأستاذ'!$C$6,I42="مرحل ✔"),COUNTIFS($C$11:C42,'دفتر الأستاذ'!$C$6,$I$11:I42,"مرحل ✔"),"")</f>
        <v/>
      </c>
    </row>
    <row r="43" customFormat="false" ht="15" hidden="false" customHeight="false" outlineLevel="0" collapsed="false">
      <c r="A43" s="49" t="n">
        <v>12</v>
      </c>
      <c r="B43" s="50" t="n">
        <v>46081</v>
      </c>
      <c r="C43" s="49" t="n">
        <v>2104</v>
      </c>
      <c r="D43" s="51" t="str">
        <f aca="false">IF(C43="","",IFERROR(INDEX('شجرة الحسابات'!$B$9:$B$208,MATCH(C43,'شجرة الحسابات'!$A$9:$A$208,0)),"⚠ حساب غير معرف"))</f>
        <v>دفعات مقدمة من العملاء</v>
      </c>
      <c r="E43" s="52" t="s">
        <v>176</v>
      </c>
      <c r="F43" s="52" t="s">
        <v>198</v>
      </c>
      <c r="G43" s="53" t="n">
        <v>225000</v>
      </c>
      <c r="H43" s="53"/>
      <c r="I43" s="54" t="str">
        <f aca="false">IF(A43="",IF(M43="فارغ","","✖ بدون رقم قيد"),IF(COUNTIFS('قيود اليومية'!$A$11:$A$1010,A43,'قيود اليومية'!$M$11:$M$1010,"&lt;&gt;OK",'قيود اليومية'!$M$11:$M$1010,"&lt;&gt;فارغ")&gt;0,"✖ خطأ بالحساب",IF(ROUND(SUMIFS('قيود اليومية'!$G$11:$G$1010,'قيود اليومية'!$A$11:$A$1010,A43)-SUMIFS('قيود اليومية'!$H$11:$H$1010,'قيود اليومية'!$A$11:$A$1010,A43),2)&lt;&gt;0,"✖ غير متوازن","مرحل ✔")))</f>
        <v>مرحل ✔</v>
      </c>
      <c r="J43" s="55" t="str">
        <f aca="false">IF(C43="","",IFERROR(INDEX('شجرة الحسابات'!$E$9:$E$208,MATCH(C43,'شجرة الحسابات'!$A$9:$A$208,0))&amp;"",""))</f>
        <v>الخصوم</v>
      </c>
      <c r="K43" s="55" t="str">
        <f aca="false">IF(C43="","",IFERROR(INDEX('شجرة الحسابات'!$I$9:$I$208,MATCH(C43,'شجرة الحسابات'!$A$9:$A$208,0))&amp;"",""))</f>
        <v/>
      </c>
      <c r="L43" s="55" t="str">
        <f aca="false">IF(C43="","",IFERROR(INDEX('شجرة الحسابات'!$C$9:$C$208,MATCH(C43,'شجرة الحسابات'!$A$9:$A$208,0))&amp;"",""))</f>
        <v>تحليلي</v>
      </c>
      <c r="M43" s="55" t="str">
        <f aca="false">IF(AND(C43="",G43="",H43=""),"فارغ",IF(ISNA(MATCH(C43,'شجرة الحسابات'!$A$9:$A$208,0)),"حساب غير معرف",IF(L43&lt;&gt;"تحليلي","حساب تجميعي",IF(AND(N(G43)&gt;0,N(H43)&gt;0),"مدين ودائن معاً",IF(N(G43)+N(H43)=0,"بدون قيمة","OK")))))</f>
        <v>OK</v>
      </c>
      <c r="N43" s="55" t="n">
        <f aca="false">IF(AND(E43&lt;&gt;"",E43='كشف حساب مشروع'!$C$6,I43="مرحل ✔"),COUNTIFS($E$11:E43,'كشف حساب مشروع'!$C$6,$I$11:I43,"مرحل ✔"),"")</f>
        <v>15</v>
      </c>
      <c r="O43" s="55" t="str">
        <f aca="false">IF(AND(C43&lt;&gt;"",C43='دفتر الأستاذ'!$C$6,I43="مرحل ✔"),COUNTIFS($C$11:C43,'دفتر الأستاذ'!$C$6,$I$11:I43,"مرحل ✔"),"")</f>
        <v/>
      </c>
    </row>
    <row r="44" customFormat="false" ht="15" hidden="false" customHeight="false" outlineLevel="0" collapsed="false">
      <c r="A44" s="49" t="n">
        <v>12</v>
      </c>
      <c r="B44" s="50" t="n">
        <v>46081</v>
      </c>
      <c r="C44" s="49" t="n">
        <v>1104</v>
      </c>
      <c r="D44" s="51" t="str">
        <f aca="false">IF(C44="","",IFERROR(INDEX('شجرة الحسابات'!$B$9:$B$208,MATCH(C44,'شجرة الحسابات'!$A$9:$A$208,0)),"⚠ حساب غير معرف"))</f>
        <v>محتجزات ضمان لدى العملاء</v>
      </c>
      <c r="E44" s="52" t="s">
        <v>176</v>
      </c>
      <c r="F44" s="52" t="s">
        <v>199</v>
      </c>
      <c r="G44" s="53" t="n">
        <v>150000</v>
      </c>
      <c r="H44" s="53"/>
      <c r="I44" s="54" t="str">
        <f aca="false">IF(A44="",IF(M44="فارغ","","✖ بدون رقم قيد"),IF(COUNTIFS('قيود اليومية'!$A$11:$A$1010,A44,'قيود اليومية'!$M$11:$M$1010,"&lt;&gt;OK",'قيود اليومية'!$M$11:$M$1010,"&lt;&gt;فارغ")&gt;0,"✖ خطأ بالحساب",IF(ROUND(SUMIFS('قيود اليومية'!$G$11:$G$1010,'قيود اليومية'!$A$11:$A$1010,A44)-SUMIFS('قيود اليومية'!$H$11:$H$1010,'قيود اليومية'!$A$11:$A$1010,A44),2)&lt;&gt;0,"✖ غير متوازن","مرحل ✔")))</f>
        <v>مرحل ✔</v>
      </c>
      <c r="J44" s="55" t="str">
        <f aca="false">IF(C44="","",IFERROR(INDEX('شجرة الحسابات'!$E$9:$E$208,MATCH(C44,'شجرة الحسابات'!$A$9:$A$208,0))&amp;"",""))</f>
        <v>الأصول</v>
      </c>
      <c r="K44" s="55" t="str">
        <f aca="false">IF(C44="","",IFERROR(INDEX('شجرة الحسابات'!$I$9:$I$208,MATCH(C44,'شجرة الحسابات'!$A$9:$A$208,0))&amp;"",""))</f>
        <v/>
      </c>
      <c r="L44" s="55" t="str">
        <f aca="false">IF(C44="","",IFERROR(INDEX('شجرة الحسابات'!$C$9:$C$208,MATCH(C44,'شجرة الحسابات'!$A$9:$A$208,0))&amp;"",""))</f>
        <v>تحليلي</v>
      </c>
      <c r="M44" s="55" t="str">
        <f aca="false">IF(AND(C44="",G44="",H44=""),"فارغ",IF(ISNA(MATCH(C44,'شجرة الحسابات'!$A$9:$A$208,0)),"حساب غير معرف",IF(L44&lt;&gt;"تحليلي","حساب تجميعي",IF(AND(N(G44)&gt;0,N(H44)&gt;0),"مدين ودائن معاً",IF(N(G44)+N(H44)=0,"بدون قيمة","OK")))))</f>
        <v>OK</v>
      </c>
      <c r="N44" s="55" t="n">
        <f aca="false">IF(AND(E44&lt;&gt;"",E44='كشف حساب مشروع'!$C$6,I44="مرحل ✔"),COUNTIFS($E$11:E44,'كشف حساب مشروع'!$C$6,$I$11:I44,"مرحل ✔"),"")</f>
        <v>16</v>
      </c>
      <c r="O44" s="55" t="str">
        <f aca="false">IF(AND(C44&lt;&gt;"",C44='دفتر الأستاذ'!$C$6,I44="مرحل ✔"),COUNTIFS($C$11:C44,'دفتر الأستاذ'!$C$6,$I$11:I44,"مرحل ✔"),"")</f>
        <v/>
      </c>
    </row>
    <row r="45" customFormat="false" ht="15" hidden="false" customHeight="false" outlineLevel="0" collapsed="false">
      <c r="A45" s="49" t="n">
        <v>12</v>
      </c>
      <c r="B45" s="50" t="n">
        <v>46081</v>
      </c>
      <c r="C45" s="49" t="n">
        <v>4101</v>
      </c>
      <c r="D45" s="51" t="str">
        <f aca="false">IF(C45="","",IFERROR(INDEX('شجرة الحسابات'!$B$9:$B$208,MATCH(C45,'شجرة الحسابات'!$A$9:$A$208,0)),"⚠ حساب غير معرف"))</f>
        <v>إيرادات المستخلصات</v>
      </c>
      <c r="E45" s="52" t="s">
        <v>176</v>
      </c>
      <c r="F45" s="52" t="s">
        <v>200</v>
      </c>
      <c r="G45" s="53"/>
      <c r="H45" s="53" t="n">
        <v>1500000</v>
      </c>
      <c r="I45" s="54" t="str">
        <f aca="false">IF(A45="",IF(M45="فارغ","","✖ بدون رقم قيد"),IF(COUNTIFS('قيود اليومية'!$A$11:$A$1010,A45,'قيود اليومية'!$M$11:$M$1010,"&lt;&gt;OK",'قيود اليومية'!$M$11:$M$1010,"&lt;&gt;فارغ")&gt;0,"✖ خطأ بالحساب",IF(ROUND(SUMIFS('قيود اليومية'!$G$11:$G$1010,'قيود اليومية'!$A$11:$A$1010,A45)-SUMIFS('قيود اليومية'!$H$11:$H$1010,'قيود اليومية'!$A$11:$A$1010,A45),2)&lt;&gt;0,"✖ غير متوازن","مرحل ✔")))</f>
        <v>مرحل ✔</v>
      </c>
      <c r="J45" s="55" t="str">
        <f aca="false">IF(C45="","",IFERROR(INDEX('شجرة الحسابات'!$E$9:$E$208,MATCH(C45,'شجرة الحسابات'!$A$9:$A$208,0))&amp;"",""))</f>
        <v>الإيرادات</v>
      </c>
      <c r="K45" s="55" t="str">
        <f aca="false">IF(C45="","",IFERROR(INDEX('شجرة الحسابات'!$I$9:$I$208,MATCH(C45,'شجرة الحسابات'!$A$9:$A$208,0))&amp;"",""))</f>
        <v/>
      </c>
      <c r="L45" s="55" t="str">
        <f aca="false">IF(C45="","",IFERROR(INDEX('شجرة الحسابات'!$C$9:$C$208,MATCH(C45,'شجرة الحسابات'!$A$9:$A$208,0))&amp;"",""))</f>
        <v>تحليلي</v>
      </c>
      <c r="M45" s="55" t="str">
        <f aca="false">IF(AND(C45="",G45="",H45=""),"فارغ",IF(ISNA(MATCH(C45,'شجرة الحسابات'!$A$9:$A$208,0)),"حساب غير معرف",IF(L45&lt;&gt;"تحليلي","حساب تجميعي",IF(AND(N(G45)&gt;0,N(H45)&gt;0),"مدين ودائن معاً",IF(N(G45)+N(H45)=0,"بدون قيمة","OK")))))</f>
        <v>OK</v>
      </c>
      <c r="N45" s="55" t="n">
        <f aca="false">IF(AND(E45&lt;&gt;"",E45='كشف حساب مشروع'!$C$6,I45="مرحل ✔"),COUNTIFS($E$11:E45,'كشف حساب مشروع'!$C$6,$I$11:I45,"مرحل ✔"),"")</f>
        <v>17</v>
      </c>
      <c r="O45" s="55" t="str">
        <f aca="false">IF(AND(C45&lt;&gt;"",C45='دفتر الأستاذ'!$C$6,I45="مرحل ✔"),COUNTIFS($C$11:C45,'دفتر الأستاذ'!$C$6,$I$11:I45,"مرحل ✔"),"")</f>
        <v/>
      </c>
    </row>
    <row r="46" customFormat="false" ht="15" hidden="false" customHeight="false" outlineLevel="0" collapsed="false">
      <c r="A46" s="49" t="n">
        <v>13</v>
      </c>
      <c r="B46" s="50" t="n">
        <v>46086</v>
      </c>
      <c r="C46" s="49" t="n">
        <v>1102</v>
      </c>
      <c r="D46" s="51" t="str">
        <f aca="false">IF(C46="","",IFERROR(INDEX('شجرة الحسابات'!$B$9:$B$208,MATCH(C46,'شجرة الحسابات'!$A$9:$A$208,0)),"⚠ حساب غير معرف"))</f>
        <v>البنك - الحساب الجاري</v>
      </c>
      <c r="E46" s="52" t="s">
        <v>176</v>
      </c>
      <c r="F46" s="52" t="s">
        <v>201</v>
      </c>
      <c r="G46" s="53" t="n">
        <v>1125000</v>
      </c>
      <c r="H46" s="53"/>
      <c r="I46" s="54" t="str">
        <f aca="false">IF(A46="",IF(M46="فارغ","","✖ بدون رقم قيد"),IF(COUNTIFS('قيود اليومية'!$A$11:$A$1010,A46,'قيود اليومية'!$M$11:$M$1010,"&lt;&gt;OK",'قيود اليومية'!$M$11:$M$1010,"&lt;&gt;فارغ")&gt;0,"✖ خطأ بالحساب",IF(ROUND(SUMIFS('قيود اليومية'!$G$11:$G$1010,'قيود اليومية'!$A$11:$A$1010,A46)-SUMIFS('قيود اليومية'!$H$11:$H$1010,'قيود اليومية'!$A$11:$A$1010,A46),2)&lt;&gt;0,"✖ غير متوازن","مرحل ✔")))</f>
        <v>مرحل ✔</v>
      </c>
      <c r="J46" s="55" t="str">
        <f aca="false">IF(C46="","",IFERROR(INDEX('شجرة الحسابات'!$E$9:$E$208,MATCH(C46,'شجرة الحسابات'!$A$9:$A$208,0))&amp;"",""))</f>
        <v>الأصول</v>
      </c>
      <c r="K46" s="55" t="str">
        <f aca="false">IF(C46="","",IFERROR(INDEX('شجرة الحسابات'!$I$9:$I$208,MATCH(C46,'شجرة الحسابات'!$A$9:$A$208,0))&amp;"",""))</f>
        <v/>
      </c>
      <c r="L46" s="55" t="str">
        <f aca="false">IF(C46="","",IFERROR(INDEX('شجرة الحسابات'!$C$9:$C$208,MATCH(C46,'شجرة الحسابات'!$A$9:$A$208,0))&amp;"",""))</f>
        <v>تحليلي</v>
      </c>
      <c r="M46" s="55" t="str">
        <f aca="false">IF(AND(C46="",G46="",H46=""),"فارغ",IF(ISNA(MATCH(C46,'شجرة الحسابات'!$A$9:$A$208,0)),"حساب غير معرف",IF(L46&lt;&gt;"تحليلي","حساب تجميعي",IF(AND(N(G46)&gt;0,N(H46)&gt;0),"مدين ودائن معاً",IF(N(G46)+N(H46)=0,"بدون قيمة","OK")))))</f>
        <v>OK</v>
      </c>
      <c r="N46" s="55" t="n">
        <f aca="false">IF(AND(E46&lt;&gt;"",E46='كشف حساب مشروع'!$C$6,I46="مرحل ✔"),COUNTIFS($E$11:E46,'كشف حساب مشروع'!$C$6,$I$11:I46,"مرحل ✔"),"")</f>
        <v>18</v>
      </c>
      <c r="O46" s="55" t="n">
        <f aca="false">IF(AND(C46&lt;&gt;"",C46='دفتر الأستاذ'!$C$6,I46="مرحل ✔"),COUNTIFS($C$11:C46,'دفتر الأستاذ'!$C$6,$I$11:I46,"مرحل ✔"),"")</f>
        <v>9</v>
      </c>
    </row>
    <row r="47" customFormat="false" ht="15" hidden="false" customHeight="false" outlineLevel="0" collapsed="false">
      <c r="A47" s="49" t="n">
        <v>13</v>
      </c>
      <c r="B47" s="50" t="n">
        <v>46086</v>
      </c>
      <c r="C47" s="49" t="n">
        <v>1103</v>
      </c>
      <c r="D47" s="51" t="str">
        <f aca="false">IF(C47="","",IFERROR(INDEX('شجرة الحسابات'!$B$9:$B$208,MATCH(C47,'شجرة الحسابات'!$A$9:$A$208,0)),"⚠ حساب غير معرف"))</f>
        <v>عملاء المقاولات</v>
      </c>
      <c r="E47" s="52" t="s">
        <v>176</v>
      </c>
      <c r="F47" s="52" t="s">
        <v>201</v>
      </c>
      <c r="G47" s="53"/>
      <c r="H47" s="53" t="n">
        <v>1125000</v>
      </c>
      <c r="I47" s="54" t="str">
        <f aca="false">IF(A47="",IF(M47="فارغ","","✖ بدون رقم قيد"),IF(COUNTIFS('قيود اليومية'!$A$11:$A$1010,A47,'قيود اليومية'!$M$11:$M$1010,"&lt;&gt;OK",'قيود اليومية'!$M$11:$M$1010,"&lt;&gt;فارغ")&gt;0,"✖ خطأ بالحساب",IF(ROUND(SUMIFS('قيود اليومية'!$G$11:$G$1010,'قيود اليومية'!$A$11:$A$1010,A47)-SUMIFS('قيود اليومية'!$H$11:$H$1010,'قيود اليومية'!$A$11:$A$1010,A47),2)&lt;&gt;0,"✖ غير متوازن","مرحل ✔")))</f>
        <v>مرحل ✔</v>
      </c>
      <c r="J47" s="55" t="str">
        <f aca="false">IF(C47="","",IFERROR(INDEX('شجرة الحسابات'!$E$9:$E$208,MATCH(C47,'شجرة الحسابات'!$A$9:$A$208,0))&amp;"",""))</f>
        <v>الأصول</v>
      </c>
      <c r="K47" s="55" t="str">
        <f aca="false">IF(C47="","",IFERROR(INDEX('شجرة الحسابات'!$I$9:$I$208,MATCH(C47,'شجرة الحسابات'!$A$9:$A$208,0))&amp;"",""))</f>
        <v/>
      </c>
      <c r="L47" s="55" t="str">
        <f aca="false">IF(C47="","",IFERROR(INDEX('شجرة الحسابات'!$C$9:$C$208,MATCH(C47,'شجرة الحسابات'!$A$9:$A$208,0))&amp;"",""))</f>
        <v>تحليلي</v>
      </c>
      <c r="M47" s="55" t="str">
        <f aca="false">IF(AND(C47="",G47="",H47=""),"فارغ",IF(ISNA(MATCH(C47,'شجرة الحسابات'!$A$9:$A$208,0)),"حساب غير معرف",IF(L47&lt;&gt;"تحليلي","حساب تجميعي",IF(AND(N(G47)&gt;0,N(H47)&gt;0),"مدين ودائن معاً",IF(N(G47)+N(H47)=0,"بدون قيمة","OK")))))</f>
        <v>OK</v>
      </c>
      <c r="N47" s="55" t="n">
        <f aca="false">IF(AND(E47&lt;&gt;"",E47='كشف حساب مشروع'!$C$6,I47="مرحل ✔"),COUNTIFS($E$11:E47,'كشف حساب مشروع'!$C$6,$I$11:I47,"مرحل ✔"),"")</f>
        <v>19</v>
      </c>
      <c r="O47" s="55" t="str">
        <f aca="false">IF(AND(C47&lt;&gt;"",C47='دفتر الأستاذ'!$C$6,I47="مرحل ✔"),COUNTIFS($C$11:C47,'دفتر الأستاذ'!$C$6,$I$11:I47,"مرحل ✔"),"")</f>
        <v/>
      </c>
    </row>
    <row r="48" customFormat="false" ht="15" hidden="false" customHeight="false" outlineLevel="0" collapsed="false">
      <c r="A48" s="49" t="n">
        <v>14</v>
      </c>
      <c r="B48" s="50" t="n">
        <v>46091</v>
      </c>
      <c r="C48" s="49" t="n">
        <v>1103</v>
      </c>
      <c r="D48" s="51" t="str">
        <f aca="false">IF(C48="","",IFERROR(INDEX('شجرة الحسابات'!$B$9:$B$208,MATCH(C48,'شجرة الحسابات'!$A$9:$A$208,0)),"⚠ حساب غير معرف"))</f>
        <v>عملاء المقاولات</v>
      </c>
      <c r="E48" s="52" t="s">
        <v>178</v>
      </c>
      <c r="F48" s="52" t="s">
        <v>202</v>
      </c>
      <c r="G48" s="53" t="n">
        <v>765000</v>
      </c>
      <c r="H48" s="53"/>
      <c r="I48" s="54" t="str">
        <f aca="false">IF(A48="",IF(M48="فارغ","","✖ بدون رقم قيد"),IF(COUNTIFS('قيود اليومية'!$A$11:$A$1010,A48,'قيود اليومية'!$M$11:$M$1010,"&lt;&gt;OK",'قيود اليومية'!$M$11:$M$1010,"&lt;&gt;فارغ")&gt;0,"✖ خطأ بالحساب",IF(ROUND(SUMIFS('قيود اليومية'!$G$11:$G$1010,'قيود اليومية'!$A$11:$A$1010,A48)-SUMIFS('قيود اليومية'!$H$11:$H$1010,'قيود اليومية'!$A$11:$A$1010,A48),2)&lt;&gt;0,"✖ غير متوازن","مرحل ✔")))</f>
        <v>مرحل ✔</v>
      </c>
      <c r="J48" s="55" t="str">
        <f aca="false">IF(C48="","",IFERROR(INDEX('شجرة الحسابات'!$E$9:$E$208,MATCH(C48,'شجرة الحسابات'!$A$9:$A$208,0))&amp;"",""))</f>
        <v>الأصول</v>
      </c>
      <c r="K48" s="55" t="str">
        <f aca="false">IF(C48="","",IFERROR(INDEX('شجرة الحسابات'!$I$9:$I$208,MATCH(C48,'شجرة الحسابات'!$A$9:$A$208,0))&amp;"",""))</f>
        <v/>
      </c>
      <c r="L48" s="55" t="str">
        <f aca="false">IF(C48="","",IFERROR(INDEX('شجرة الحسابات'!$C$9:$C$208,MATCH(C48,'شجرة الحسابات'!$A$9:$A$208,0))&amp;"",""))</f>
        <v>تحليلي</v>
      </c>
      <c r="M48" s="55" t="str">
        <f aca="false">IF(AND(C48="",G48="",H48=""),"فارغ",IF(ISNA(MATCH(C48,'شجرة الحسابات'!$A$9:$A$208,0)),"حساب غير معرف",IF(L48&lt;&gt;"تحليلي","حساب تجميعي",IF(AND(N(G48)&gt;0,N(H48)&gt;0),"مدين ودائن معاً",IF(N(G48)+N(H48)=0,"بدون قيمة","OK")))))</f>
        <v>OK</v>
      </c>
      <c r="N48" s="55" t="str">
        <f aca="false">IF(AND(E48&lt;&gt;"",E48='كشف حساب مشروع'!$C$6,I48="مرحل ✔"),COUNTIFS($E$11:E48,'كشف حساب مشروع'!$C$6,$I$11:I48,"مرحل ✔"),"")</f>
        <v/>
      </c>
      <c r="O48" s="55" t="str">
        <f aca="false">IF(AND(C48&lt;&gt;"",C48='دفتر الأستاذ'!$C$6,I48="مرحل ✔"),COUNTIFS($C$11:C48,'دفتر الأستاذ'!$C$6,$I$11:I48,"مرحل ✔"),"")</f>
        <v/>
      </c>
    </row>
    <row r="49" customFormat="false" ht="15" hidden="false" customHeight="false" outlineLevel="0" collapsed="false">
      <c r="A49" s="49" t="n">
        <v>14</v>
      </c>
      <c r="B49" s="50" t="n">
        <v>46091</v>
      </c>
      <c r="C49" s="49" t="n">
        <v>2104</v>
      </c>
      <c r="D49" s="51" t="str">
        <f aca="false">IF(C49="","",IFERROR(INDEX('شجرة الحسابات'!$B$9:$B$208,MATCH(C49,'شجرة الحسابات'!$A$9:$A$208,0)),"⚠ حساب غير معرف"))</f>
        <v>دفعات مقدمة من العملاء</v>
      </c>
      <c r="E49" s="52" t="s">
        <v>178</v>
      </c>
      <c r="F49" s="52" t="s">
        <v>203</v>
      </c>
      <c r="G49" s="53" t="n">
        <v>90000</v>
      </c>
      <c r="H49" s="53"/>
      <c r="I49" s="54" t="str">
        <f aca="false">IF(A49="",IF(M49="فارغ","","✖ بدون رقم قيد"),IF(COUNTIFS('قيود اليومية'!$A$11:$A$1010,A49,'قيود اليومية'!$M$11:$M$1010,"&lt;&gt;OK",'قيود اليومية'!$M$11:$M$1010,"&lt;&gt;فارغ")&gt;0,"✖ خطأ بالحساب",IF(ROUND(SUMIFS('قيود اليومية'!$G$11:$G$1010,'قيود اليومية'!$A$11:$A$1010,A49)-SUMIFS('قيود اليومية'!$H$11:$H$1010,'قيود اليومية'!$A$11:$A$1010,A49),2)&lt;&gt;0,"✖ غير متوازن","مرحل ✔")))</f>
        <v>مرحل ✔</v>
      </c>
      <c r="J49" s="55" t="str">
        <f aca="false">IF(C49="","",IFERROR(INDEX('شجرة الحسابات'!$E$9:$E$208,MATCH(C49,'شجرة الحسابات'!$A$9:$A$208,0))&amp;"",""))</f>
        <v>الخصوم</v>
      </c>
      <c r="K49" s="55" t="str">
        <f aca="false">IF(C49="","",IFERROR(INDEX('شجرة الحسابات'!$I$9:$I$208,MATCH(C49,'شجرة الحسابات'!$A$9:$A$208,0))&amp;"",""))</f>
        <v/>
      </c>
      <c r="L49" s="55" t="str">
        <f aca="false">IF(C49="","",IFERROR(INDEX('شجرة الحسابات'!$C$9:$C$208,MATCH(C49,'شجرة الحسابات'!$A$9:$A$208,0))&amp;"",""))</f>
        <v>تحليلي</v>
      </c>
      <c r="M49" s="55" t="str">
        <f aca="false">IF(AND(C49="",G49="",H49=""),"فارغ",IF(ISNA(MATCH(C49,'شجرة الحسابات'!$A$9:$A$208,0)),"حساب غير معرف",IF(L49&lt;&gt;"تحليلي","حساب تجميعي",IF(AND(N(G49)&gt;0,N(H49)&gt;0),"مدين ودائن معاً",IF(N(G49)+N(H49)=0,"بدون قيمة","OK")))))</f>
        <v>OK</v>
      </c>
      <c r="N49" s="55" t="str">
        <f aca="false">IF(AND(E49&lt;&gt;"",E49='كشف حساب مشروع'!$C$6,I49="مرحل ✔"),COUNTIFS($E$11:E49,'كشف حساب مشروع'!$C$6,$I$11:I49,"مرحل ✔"),"")</f>
        <v/>
      </c>
      <c r="O49" s="55" t="str">
        <f aca="false">IF(AND(C49&lt;&gt;"",C49='دفتر الأستاذ'!$C$6,I49="مرحل ✔"),COUNTIFS($C$11:C49,'دفتر الأستاذ'!$C$6,$I$11:I49,"مرحل ✔"),"")</f>
        <v/>
      </c>
    </row>
    <row r="50" customFormat="false" ht="15" hidden="false" customHeight="false" outlineLevel="0" collapsed="false">
      <c r="A50" s="49" t="n">
        <v>14</v>
      </c>
      <c r="B50" s="50" t="n">
        <v>46091</v>
      </c>
      <c r="C50" s="49" t="n">
        <v>1104</v>
      </c>
      <c r="D50" s="51" t="str">
        <f aca="false">IF(C50="","",IFERROR(INDEX('شجرة الحسابات'!$B$9:$B$208,MATCH(C50,'شجرة الحسابات'!$A$9:$A$208,0)),"⚠ حساب غير معرف"))</f>
        <v>محتجزات ضمان لدى العملاء</v>
      </c>
      <c r="E50" s="52" t="s">
        <v>178</v>
      </c>
      <c r="F50" s="52" t="s">
        <v>204</v>
      </c>
      <c r="G50" s="53" t="n">
        <v>45000</v>
      </c>
      <c r="H50" s="53"/>
      <c r="I50" s="54" t="str">
        <f aca="false">IF(A50="",IF(M50="فارغ","","✖ بدون رقم قيد"),IF(COUNTIFS('قيود اليومية'!$A$11:$A$1010,A50,'قيود اليومية'!$M$11:$M$1010,"&lt;&gt;OK",'قيود اليومية'!$M$11:$M$1010,"&lt;&gt;فارغ")&gt;0,"✖ خطأ بالحساب",IF(ROUND(SUMIFS('قيود اليومية'!$G$11:$G$1010,'قيود اليومية'!$A$11:$A$1010,A50)-SUMIFS('قيود اليومية'!$H$11:$H$1010,'قيود اليومية'!$A$11:$A$1010,A50),2)&lt;&gt;0,"✖ غير متوازن","مرحل ✔")))</f>
        <v>مرحل ✔</v>
      </c>
      <c r="J50" s="55" t="str">
        <f aca="false">IF(C50="","",IFERROR(INDEX('شجرة الحسابات'!$E$9:$E$208,MATCH(C50,'شجرة الحسابات'!$A$9:$A$208,0))&amp;"",""))</f>
        <v>الأصول</v>
      </c>
      <c r="K50" s="55" t="str">
        <f aca="false">IF(C50="","",IFERROR(INDEX('شجرة الحسابات'!$I$9:$I$208,MATCH(C50,'شجرة الحسابات'!$A$9:$A$208,0))&amp;"",""))</f>
        <v/>
      </c>
      <c r="L50" s="55" t="str">
        <f aca="false">IF(C50="","",IFERROR(INDEX('شجرة الحسابات'!$C$9:$C$208,MATCH(C50,'شجرة الحسابات'!$A$9:$A$208,0))&amp;"",""))</f>
        <v>تحليلي</v>
      </c>
      <c r="M50" s="55" t="str">
        <f aca="false">IF(AND(C50="",G50="",H50=""),"فارغ",IF(ISNA(MATCH(C50,'شجرة الحسابات'!$A$9:$A$208,0)),"حساب غير معرف",IF(L50&lt;&gt;"تحليلي","حساب تجميعي",IF(AND(N(G50)&gt;0,N(H50)&gt;0),"مدين ودائن معاً",IF(N(G50)+N(H50)=0,"بدون قيمة","OK")))))</f>
        <v>OK</v>
      </c>
      <c r="N50" s="55" t="str">
        <f aca="false">IF(AND(E50&lt;&gt;"",E50='كشف حساب مشروع'!$C$6,I50="مرحل ✔"),COUNTIFS($E$11:E50,'كشف حساب مشروع'!$C$6,$I$11:I50,"مرحل ✔"),"")</f>
        <v/>
      </c>
      <c r="O50" s="55" t="str">
        <f aca="false">IF(AND(C50&lt;&gt;"",C50='دفتر الأستاذ'!$C$6,I50="مرحل ✔"),COUNTIFS($C$11:C50,'دفتر الأستاذ'!$C$6,$I$11:I50,"مرحل ✔"),"")</f>
        <v/>
      </c>
    </row>
    <row r="51" customFormat="false" ht="15" hidden="false" customHeight="false" outlineLevel="0" collapsed="false">
      <c r="A51" s="49" t="n">
        <v>14</v>
      </c>
      <c r="B51" s="50" t="n">
        <v>46091</v>
      </c>
      <c r="C51" s="49" t="n">
        <v>4101</v>
      </c>
      <c r="D51" s="51" t="str">
        <f aca="false">IF(C51="","",IFERROR(INDEX('شجرة الحسابات'!$B$9:$B$208,MATCH(C51,'شجرة الحسابات'!$A$9:$A$208,0)),"⚠ حساب غير معرف"))</f>
        <v>إيرادات المستخلصات</v>
      </c>
      <c r="E51" s="52" t="s">
        <v>178</v>
      </c>
      <c r="F51" s="52" t="s">
        <v>205</v>
      </c>
      <c r="G51" s="53"/>
      <c r="H51" s="53" t="n">
        <v>900000</v>
      </c>
      <c r="I51" s="54" t="str">
        <f aca="false">IF(A51="",IF(M51="فارغ","","✖ بدون رقم قيد"),IF(COUNTIFS('قيود اليومية'!$A$11:$A$1010,A51,'قيود اليومية'!$M$11:$M$1010,"&lt;&gt;OK",'قيود اليومية'!$M$11:$M$1010,"&lt;&gt;فارغ")&gt;0,"✖ خطأ بالحساب",IF(ROUND(SUMIFS('قيود اليومية'!$G$11:$G$1010,'قيود اليومية'!$A$11:$A$1010,A51)-SUMIFS('قيود اليومية'!$H$11:$H$1010,'قيود اليومية'!$A$11:$A$1010,A51),2)&lt;&gt;0,"✖ غير متوازن","مرحل ✔")))</f>
        <v>مرحل ✔</v>
      </c>
      <c r="J51" s="55" t="str">
        <f aca="false">IF(C51="","",IFERROR(INDEX('شجرة الحسابات'!$E$9:$E$208,MATCH(C51,'شجرة الحسابات'!$A$9:$A$208,0))&amp;"",""))</f>
        <v>الإيرادات</v>
      </c>
      <c r="K51" s="55" t="str">
        <f aca="false">IF(C51="","",IFERROR(INDEX('شجرة الحسابات'!$I$9:$I$208,MATCH(C51,'شجرة الحسابات'!$A$9:$A$208,0))&amp;"",""))</f>
        <v/>
      </c>
      <c r="L51" s="55" t="str">
        <f aca="false">IF(C51="","",IFERROR(INDEX('شجرة الحسابات'!$C$9:$C$208,MATCH(C51,'شجرة الحسابات'!$A$9:$A$208,0))&amp;"",""))</f>
        <v>تحليلي</v>
      </c>
      <c r="M51" s="55" t="str">
        <f aca="false">IF(AND(C51="",G51="",H51=""),"فارغ",IF(ISNA(MATCH(C51,'شجرة الحسابات'!$A$9:$A$208,0)),"حساب غير معرف",IF(L51&lt;&gt;"تحليلي","حساب تجميعي",IF(AND(N(G51)&gt;0,N(H51)&gt;0),"مدين ودائن معاً",IF(N(G51)+N(H51)=0,"بدون قيمة","OK")))))</f>
        <v>OK</v>
      </c>
      <c r="N51" s="55" t="str">
        <f aca="false">IF(AND(E51&lt;&gt;"",E51='كشف حساب مشروع'!$C$6,I51="مرحل ✔"),COUNTIFS($E$11:E51,'كشف حساب مشروع'!$C$6,$I$11:I51,"مرحل ✔"),"")</f>
        <v/>
      </c>
      <c r="O51" s="55" t="str">
        <f aca="false">IF(AND(C51&lt;&gt;"",C51='دفتر الأستاذ'!$C$6,I51="مرحل ✔"),COUNTIFS($C$11:C51,'دفتر الأستاذ'!$C$6,$I$11:I51,"مرحل ✔"),"")</f>
        <v/>
      </c>
    </row>
    <row r="52" customFormat="false" ht="15" hidden="false" customHeight="false" outlineLevel="0" collapsed="false">
      <c r="A52" s="49" t="n">
        <v>15</v>
      </c>
      <c r="B52" s="50" t="n">
        <v>46096</v>
      </c>
      <c r="C52" s="49" t="n">
        <v>5101</v>
      </c>
      <c r="D52" s="51" t="str">
        <f aca="false">IF(C52="","",IFERROR(INDEX('شجرة الحسابات'!$B$9:$B$208,MATCH(C52,'شجرة الحسابات'!$A$9:$A$208,0)),"⚠ حساب غير معرف"))</f>
        <v>تكلفة المواد المستخدمة</v>
      </c>
      <c r="E52" s="52" t="s">
        <v>178</v>
      </c>
      <c r="F52" s="52" t="s">
        <v>206</v>
      </c>
      <c r="G52" s="53" t="n">
        <v>260000</v>
      </c>
      <c r="H52" s="53"/>
      <c r="I52" s="54" t="str">
        <f aca="false">IF(A52="",IF(M52="فارغ","","✖ بدون رقم قيد"),IF(COUNTIFS('قيود اليومية'!$A$11:$A$1010,A52,'قيود اليومية'!$M$11:$M$1010,"&lt;&gt;OK",'قيود اليومية'!$M$11:$M$1010,"&lt;&gt;فارغ")&gt;0,"✖ خطأ بالحساب",IF(ROUND(SUMIFS('قيود اليومية'!$G$11:$G$1010,'قيود اليومية'!$A$11:$A$1010,A52)-SUMIFS('قيود اليومية'!$H$11:$H$1010,'قيود اليومية'!$A$11:$A$1010,A52),2)&lt;&gt;0,"✖ غير متوازن","مرحل ✔")))</f>
        <v>مرحل ✔</v>
      </c>
      <c r="J52" s="55" t="str">
        <f aca="false">IF(C52="","",IFERROR(INDEX('شجرة الحسابات'!$E$9:$E$208,MATCH(C52,'شجرة الحسابات'!$A$9:$A$208,0))&amp;"",""))</f>
        <v>المصروفات</v>
      </c>
      <c r="K52" s="55" t="str">
        <f aca="false">IF(C52="","",IFERROR(INDEX('شجرة الحسابات'!$I$9:$I$208,MATCH(C52,'شجرة الحسابات'!$A$9:$A$208,0))&amp;"",""))</f>
        <v>مواد</v>
      </c>
      <c r="L52" s="55" t="str">
        <f aca="false">IF(C52="","",IFERROR(INDEX('شجرة الحسابات'!$C$9:$C$208,MATCH(C52,'شجرة الحسابات'!$A$9:$A$208,0))&amp;"",""))</f>
        <v>تحليلي</v>
      </c>
      <c r="M52" s="55" t="str">
        <f aca="false">IF(AND(C52="",G52="",H52=""),"فارغ",IF(ISNA(MATCH(C52,'شجرة الحسابات'!$A$9:$A$208,0)),"حساب غير معرف",IF(L52&lt;&gt;"تحليلي","حساب تجميعي",IF(AND(N(G52)&gt;0,N(H52)&gt;0),"مدين ودائن معاً",IF(N(G52)+N(H52)=0,"بدون قيمة","OK")))))</f>
        <v>OK</v>
      </c>
      <c r="N52" s="55" t="str">
        <f aca="false">IF(AND(E52&lt;&gt;"",E52='كشف حساب مشروع'!$C$6,I52="مرحل ✔"),COUNTIFS($E$11:E52,'كشف حساب مشروع'!$C$6,$I$11:I52,"مرحل ✔"),"")</f>
        <v/>
      </c>
      <c r="O52" s="55" t="str">
        <f aca="false">IF(AND(C52&lt;&gt;"",C52='دفتر الأستاذ'!$C$6,I52="مرحل ✔"),COUNTIFS($C$11:C52,'دفتر الأستاذ'!$C$6,$I$11:I52,"مرحل ✔"),"")</f>
        <v/>
      </c>
    </row>
    <row r="53" customFormat="false" ht="15" hidden="false" customHeight="false" outlineLevel="0" collapsed="false">
      <c r="A53" s="49" t="n">
        <v>15</v>
      </c>
      <c r="B53" s="50" t="n">
        <v>46096</v>
      </c>
      <c r="C53" s="49" t="n">
        <v>2101</v>
      </c>
      <c r="D53" s="51" t="str">
        <f aca="false">IF(C53="","",IFERROR(INDEX('شجرة الحسابات'!$B$9:$B$208,MATCH(C53,'شجرة الحسابات'!$A$9:$A$208,0)),"⚠ حساب غير معرف"))</f>
        <v>الموردون</v>
      </c>
      <c r="E53" s="52" t="s">
        <v>178</v>
      </c>
      <c r="F53" s="52" t="s">
        <v>181</v>
      </c>
      <c r="G53" s="53"/>
      <c r="H53" s="53" t="n">
        <v>260000</v>
      </c>
      <c r="I53" s="54" t="str">
        <f aca="false">IF(A53="",IF(M53="فارغ","","✖ بدون رقم قيد"),IF(COUNTIFS('قيود اليومية'!$A$11:$A$1010,A53,'قيود اليومية'!$M$11:$M$1010,"&lt;&gt;OK",'قيود اليومية'!$M$11:$M$1010,"&lt;&gt;فارغ")&gt;0,"✖ خطأ بالحساب",IF(ROUND(SUMIFS('قيود اليومية'!$G$11:$G$1010,'قيود اليومية'!$A$11:$A$1010,A53)-SUMIFS('قيود اليومية'!$H$11:$H$1010,'قيود اليومية'!$A$11:$A$1010,A53),2)&lt;&gt;0,"✖ غير متوازن","مرحل ✔")))</f>
        <v>مرحل ✔</v>
      </c>
      <c r="J53" s="55" t="str">
        <f aca="false">IF(C53="","",IFERROR(INDEX('شجرة الحسابات'!$E$9:$E$208,MATCH(C53,'شجرة الحسابات'!$A$9:$A$208,0))&amp;"",""))</f>
        <v>الخصوم</v>
      </c>
      <c r="K53" s="55" t="str">
        <f aca="false">IF(C53="","",IFERROR(INDEX('شجرة الحسابات'!$I$9:$I$208,MATCH(C53,'شجرة الحسابات'!$A$9:$A$208,0))&amp;"",""))</f>
        <v/>
      </c>
      <c r="L53" s="55" t="str">
        <f aca="false">IF(C53="","",IFERROR(INDEX('شجرة الحسابات'!$C$9:$C$208,MATCH(C53,'شجرة الحسابات'!$A$9:$A$208,0))&amp;"",""))</f>
        <v>تحليلي</v>
      </c>
      <c r="M53" s="55" t="str">
        <f aca="false">IF(AND(C53="",G53="",H53=""),"فارغ",IF(ISNA(MATCH(C53,'شجرة الحسابات'!$A$9:$A$208,0)),"حساب غير معرف",IF(L53&lt;&gt;"تحليلي","حساب تجميعي",IF(AND(N(G53)&gt;0,N(H53)&gt;0),"مدين ودائن معاً",IF(N(G53)+N(H53)=0,"بدون قيمة","OK")))))</f>
        <v>OK</v>
      </c>
      <c r="N53" s="55" t="str">
        <f aca="false">IF(AND(E53&lt;&gt;"",E53='كشف حساب مشروع'!$C$6,I53="مرحل ✔"),COUNTIFS($E$11:E53,'كشف حساب مشروع'!$C$6,$I$11:I53,"مرحل ✔"),"")</f>
        <v/>
      </c>
      <c r="O53" s="55" t="str">
        <f aca="false">IF(AND(C53&lt;&gt;"",C53='دفتر الأستاذ'!$C$6,I53="مرحل ✔"),COUNTIFS($C$11:C53,'دفتر الأستاذ'!$C$6,$I$11:I53,"مرحل ✔"),"")</f>
        <v/>
      </c>
    </row>
    <row r="54" customFormat="false" ht="15" hidden="false" customHeight="false" outlineLevel="0" collapsed="false">
      <c r="A54" s="49" t="n">
        <v>16</v>
      </c>
      <c r="B54" s="50" t="n">
        <v>46099</v>
      </c>
      <c r="C54" s="49" t="n">
        <v>2101</v>
      </c>
      <c r="D54" s="51" t="str">
        <f aca="false">IF(C54="","",IFERROR(INDEX('شجرة الحسابات'!$B$9:$B$208,MATCH(C54,'شجرة الحسابات'!$A$9:$A$208,0)),"⚠ حساب غير معرف"))</f>
        <v>الموردون</v>
      </c>
      <c r="E54" s="52"/>
      <c r="F54" s="52" t="s">
        <v>207</v>
      </c>
      <c r="G54" s="53" t="n">
        <v>500000</v>
      </c>
      <c r="H54" s="53"/>
      <c r="I54" s="54" t="str">
        <f aca="false">IF(A54="",IF(M54="فارغ","","✖ بدون رقم قيد"),IF(COUNTIFS('قيود اليومية'!$A$11:$A$1010,A54,'قيود اليومية'!$M$11:$M$1010,"&lt;&gt;OK",'قيود اليومية'!$M$11:$M$1010,"&lt;&gt;فارغ")&gt;0,"✖ خطأ بالحساب",IF(ROUND(SUMIFS('قيود اليومية'!$G$11:$G$1010,'قيود اليومية'!$A$11:$A$1010,A54)-SUMIFS('قيود اليومية'!$H$11:$H$1010,'قيود اليومية'!$A$11:$A$1010,A54),2)&lt;&gt;0,"✖ غير متوازن","مرحل ✔")))</f>
        <v>مرحل ✔</v>
      </c>
      <c r="J54" s="55" t="str">
        <f aca="false">IF(C54="","",IFERROR(INDEX('شجرة الحسابات'!$E$9:$E$208,MATCH(C54,'شجرة الحسابات'!$A$9:$A$208,0))&amp;"",""))</f>
        <v>الخصوم</v>
      </c>
      <c r="K54" s="55" t="str">
        <f aca="false">IF(C54="","",IFERROR(INDEX('شجرة الحسابات'!$I$9:$I$208,MATCH(C54,'شجرة الحسابات'!$A$9:$A$208,0))&amp;"",""))</f>
        <v/>
      </c>
      <c r="L54" s="55" t="str">
        <f aca="false">IF(C54="","",IFERROR(INDEX('شجرة الحسابات'!$C$9:$C$208,MATCH(C54,'شجرة الحسابات'!$A$9:$A$208,0))&amp;"",""))</f>
        <v>تحليلي</v>
      </c>
      <c r="M54" s="55" t="str">
        <f aca="false">IF(AND(C54="",G54="",H54=""),"فارغ",IF(ISNA(MATCH(C54,'شجرة الحسابات'!$A$9:$A$208,0)),"حساب غير معرف",IF(L54&lt;&gt;"تحليلي","حساب تجميعي",IF(AND(N(G54)&gt;0,N(H54)&gt;0),"مدين ودائن معاً",IF(N(G54)+N(H54)=0,"بدون قيمة","OK")))))</f>
        <v>OK</v>
      </c>
      <c r="N54" s="55" t="str">
        <f aca="false">IF(AND(E54&lt;&gt;"",E54='كشف حساب مشروع'!$C$6,I54="مرحل ✔"),COUNTIFS($E$11:E54,'كشف حساب مشروع'!$C$6,$I$11:I54,"مرحل ✔"),"")</f>
        <v/>
      </c>
      <c r="O54" s="55" t="str">
        <f aca="false">IF(AND(C54&lt;&gt;"",C54='دفتر الأستاذ'!$C$6,I54="مرحل ✔"),COUNTIFS($C$11:C54,'دفتر الأستاذ'!$C$6,$I$11:I54,"مرحل ✔"),"")</f>
        <v/>
      </c>
    </row>
    <row r="55" customFormat="false" ht="15" hidden="false" customHeight="false" outlineLevel="0" collapsed="false">
      <c r="A55" s="49" t="n">
        <v>16</v>
      </c>
      <c r="B55" s="50" t="n">
        <v>46099</v>
      </c>
      <c r="C55" s="49" t="n">
        <v>1102</v>
      </c>
      <c r="D55" s="51" t="str">
        <f aca="false">IF(C55="","",IFERROR(INDEX('شجرة الحسابات'!$B$9:$B$208,MATCH(C55,'شجرة الحسابات'!$A$9:$A$208,0)),"⚠ حساب غير معرف"))</f>
        <v>البنك - الحساب الجاري</v>
      </c>
      <c r="E55" s="52"/>
      <c r="F55" s="52" t="s">
        <v>207</v>
      </c>
      <c r="G55" s="53"/>
      <c r="H55" s="53" t="n">
        <v>500000</v>
      </c>
      <c r="I55" s="54" t="str">
        <f aca="false">IF(A55="",IF(M55="فارغ","","✖ بدون رقم قيد"),IF(COUNTIFS('قيود اليومية'!$A$11:$A$1010,A55,'قيود اليومية'!$M$11:$M$1010,"&lt;&gt;OK",'قيود اليومية'!$M$11:$M$1010,"&lt;&gt;فارغ")&gt;0,"✖ خطأ بالحساب",IF(ROUND(SUMIFS('قيود اليومية'!$G$11:$G$1010,'قيود اليومية'!$A$11:$A$1010,A55)-SUMIFS('قيود اليومية'!$H$11:$H$1010,'قيود اليومية'!$A$11:$A$1010,A55),2)&lt;&gt;0,"✖ غير متوازن","مرحل ✔")))</f>
        <v>مرحل ✔</v>
      </c>
      <c r="J55" s="55" t="str">
        <f aca="false">IF(C55="","",IFERROR(INDEX('شجرة الحسابات'!$E$9:$E$208,MATCH(C55,'شجرة الحسابات'!$A$9:$A$208,0))&amp;"",""))</f>
        <v>الأصول</v>
      </c>
      <c r="K55" s="55" t="str">
        <f aca="false">IF(C55="","",IFERROR(INDEX('شجرة الحسابات'!$I$9:$I$208,MATCH(C55,'شجرة الحسابات'!$A$9:$A$208,0))&amp;"",""))</f>
        <v/>
      </c>
      <c r="L55" s="55" t="str">
        <f aca="false">IF(C55="","",IFERROR(INDEX('شجرة الحسابات'!$C$9:$C$208,MATCH(C55,'شجرة الحسابات'!$A$9:$A$208,0))&amp;"",""))</f>
        <v>تحليلي</v>
      </c>
      <c r="M55" s="55" t="str">
        <f aca="false">IF(AND(C55="",G55="",H55=""),"فارغ",IF(ISNA(MATCH(C55,'شجرة الحسابات'!$A$9:$A$208,0)),"حساب غير معرف",IF(L55&lt;&gt;"تحليلي","حساب تجميعي",IF(AND(N(G55)&gt;0,N(H55)&gt;0),"مدين ودائن معاً",IF(N(G55)+N(H55)=0,"بدون قيمة","OK")))))</f>
        <v>OK</v>
      </c>
      <c r="N55" s="55" t="str">
        <f aca="false">IF(AND(E55&lt;&gt;"",E55='كشف حساب مشروع'!$C$6,I55="مرحل ✔"),COUNTIFS($E$11:E55,'كشف حساب مشروع'!$C$6,$I$11:I55,"مرحل ✔"),"")</f>
        <v/>
      </c>
      <c r="O55" s="55" t="n">
        <f aca="false">IF(AND(C55&lt;&gt;"",C55='دفتر الأستاذ'!$C$6,I55="مرحل ✔"),COUNTIFS($C$11:C55,'دفتر الأستاذ'!$C$6,$I$11:I55,"مرحل ✔"),"")</f>
        <v>10</v>
      </c>
    </row>
    <row r="56" customFormat="false" ht="15" hidden="false" customHeight="false" outlineLevel="0" collapsed="false">
      <c r="A56" s="49" t="n">
        <v>17</v>
      </c>
      <c r="B56" s="50" t="n">
        <v>46101</v>
      </c>
      <c r="C56" s="49" t="n">
        <v>5103</v>
      </c>
      <c r="D56" s="51" t="str">
        <f aca="false">IF(C56="","",IFERROR(INDEX('شجرة الحسابات'!$B$9:$B$208,MATCH(C56,'شجرة الحسابات'!$A$9:$A$208,0)),"⚠ حساب غير معرف"))</f>
        <v>تكلفة مقاولي الباطن</v>
      </c>
      <c r="E56" s="52" t="s">
        <v>178</v>
      </c>
      <c r="F56" s="52" t="s">
        <v>208</v>
      </c>
      <c r="G56" s="53" t="n">
        <v>250000</v>
      </c>
      <c r="H56" s="53"/>
      <c r="I56" s="54" t="str">
        <f aca="false">IF(A56="",IF(M56="فارغ","","✖ بدون رقم قيد"),IF(COUNTIFS('قيود اليومية'!$A$11:$A$1010,A56,'قيود اليومية'!$M$11:$M$1010,"&lt;&gt;OK",'قيود اليومية'!$M$11:$M$1010,"&lt;&gt;فارغ")&gt;0,"✖ خطأ بالحساب",IF(ROUND(SUMIFS('قيود اليومية'!$G$11:$G$1010,'قيود اليومية'!$A$11:$A$1010,A56)-SUMIFS('قيود اليومية'!$H$11:$H$1010,'قيود اليومية'!$A$11:$A$1010,A56),2)&lt;&gt;0,"✖ غير متوازن","مرحل ✔")))</f>
        <v>مرحل ✔</v>
      </c>
      <c r="J56" s="55" t="str">
        <f aca="false">IF(C56="","",IFERROR(INDEX('شجرة الحسابات'!$E$9:$E$208,MATCH(C56,'شجرة الحسابات'!$A$9:$A$208,0))&amp;"",""))</f>
        <v>المصروفات</v>
      </c>
      <c r="K56" s="55" t="str">
        <f aca="false">IF(C56="","",IFERROR(INDEX('شجرة الحسابات'!$I$9:$I$208,MATCH(C56,'شجرة الحسابات'!$A$9:$A$208,0))&amp;"",""))</f>
        <v>مقاولو باطن</v>
      </c>
      <c r="L56" s="55" t="str">
        <f aca="false">IF(C56="","",IFERROR(INDEX('شجرة الحسابات'!$C$9:$C$208,MATCH(C56,'شجرة الحسابات'!$A$9:$A$208,0))&amp;"",""))</f>
        <v>تحليلي</v>
      </c>
      <c r="M56" s="55" t="str">
        <f aca="false">IF(AND(C56="",G56="",H56=""),"فارغ",IF(ISNA(MATCH(C56,'شجرة الحسابات'!$A$9:$A$208,0)),"حساب غير معرف",IF(L56&lt;&gt;"تحليلي","حساب تجميعي",IF(AND(N(G56)&gt;0,N(H56)&gt;0),"مدين ودائن معاً",IF(N(G56)+N(H56)=0,"بدون قيمة","OK")))))</f>
        <v>OK</v>
      </c>
      <c r="N56" s="55" t="str">
        <f aca="false">IF(AND(E56&lt;&gt;"",E56='كشف حساب مشروع'!$C$6,I56="مرحل ✔"),COUNTIFS($E$11:E56,'كشف حساب مشروع'!$C$6,$I$11:I56,"مرحل ✔"),"")</f>
        <v/>
      </c>
      <c r="O56" s="55" t="str">
        <f aca="false">IF(AND(C56&lt;&gt;"",C56='دفتر الأستاذ'!$C$6,I56="مرحل ✔"),COUNTIFS($C$11:C56,'دفتر الأستاذ'!$C$6,$I$11:I56,"مرحل ✔"),"")</f>
        <v/>
      </c>
    </row>
    <row r="57" customFormat="false" ht="15" hidden="false" customHeight="false" outlineLevel="0" collapsed="false">
      <c r="A57" s="49" t="n">
        <v>17</v>
      </c>
      <c r="B57" s="50" t="n">
        <v>46101</v>
      </c>
      <c r="C57" s="49" t="n">
        <v>2103</v>
      </c>
      <c r="D57" s="51" t="str">
        <f aca="false">IF(C57="","",IFERROR(INDEX('شجرة الحسابات'!$B$9:$B$208,MATCH(C57,'شجرة الحسابات'!$A$9:$A$208,0)),"⚠ حساب غير معرف"))</f>
        <v>محتجزات ضمان مقاولي الباطن</v>
      </c>
      <c r="E57" s="52" t="s">
        <v>178</v>
      </c>
      <c r="F57" s="52" t="s">
        <v>195</v>
      </c>
      <c r="G57" s="53"/>
      <c r="H57" s="53" t="n">
        <v>12500</v>
      </c>
      <c r="I57" s="54" t="str">
        <f aca="false">IF(A57="",IF(M57="فارغ","","✖ بدون رقم قيد"),IF(COUNTIFS('قيود اليومية'!$A$11:$A$1010,A57,'قيود اليومية'!$M$11:$M$1010,"&lt;&gt;OK",'قيود اليومية'!$M$11:$M$1010,"&lt;&gt;فارغ")&gt;0,"✖ خطأ بالحساب",IF(ROUND(SUMIFS('قيود اليومية'!$G$11:$G$1010,'قيود اليومية'!$A$11:$A$1010,A57)-SUMIFS('قيود اليومية'!$H$11:$H$1010,'قيود اليومية'!$A$11:$A$1010,A57),2)&lt;&gt;0,"✖ غير متوازن","مرحل ✔")))</f>
        <v>مرحل ✔</v>
      </c>
      <c r="J57" s="55" t="str">
        <f aca="false">IF(C57="","",IFERROR(INDEX('شجرة الحسابات'!$E$9:$E$208,MATCH(C57,'شجرة الحسابات'!$A$9:$A$208,0))&amp;"",""))</f>
        <v>الخصوم</v>
      </c>
      <c r="K57" s="55" t="str">
        <f aca="false">IF(C57="","",IFERROR(INDEX('شجرة الحسابات'!$I$9:$I$208,MATCH(C57,'شجرة الحسابات'!$A$9:$A$208,0))&amp;"",""))</f>
        <v/>
      </c>
      <c r="L57" s="55" t="str">
        <f aca="false">IF(C57="","",IFERROR(INDEX('شجرة الحسابات'!$C$9:$C$208,MATCH(C57,'شجرة الحسابات'!$A$9:$A$208,0))&amp;"",""))</f>
        <v>تحليلي</v>
      </c>
      <c r="M57" s="55" t="str">
        <f aca="false">IF(AND(C57="",G57="",H57=""),"فارغ",IF(ISNA(MATCH(C57,'شجرة الحسابات'!$A$9:$A$208,0)),"حساب غير معرف",IF(L57&lt;&gt;"تحليلي","حساب تجميعي",IF(AND(N(G57)&gt;0,N(H57)&gt;0),"مدين ودائن معاً",IF(N(G57)+N(H57)=0,"بدون قيمة","OK")))))</f>
        <v>OK</v>
      </c>
      <c r="N57" s="55" t="str">
        <f aca="false">IF(AND(E57&lt;&gt;"",E57='كشف حساب مشروع'!$C$6,I57="مرحل ✔"),COUNTIFS($E$11:E57,'كشف حساب مشروع'!$C$6,$I$11:I57,"مرحل ✔"),"")</f>
        <v/>
      </c>
      <c r="O57" s="55" t="str">
        <f aca="false">IF(AND(C57&lt;&gt;"",C57='دفتر الأستاذ'!$C$6,I57="مرحل ✔"),COUNTIFS($C$11:C57,'دفتر الأستاذ'!$C$6,$I$11:I57,"مرحل ✔"),"")</f>
        <v/>
      </c>
    </row>
    <row r="58" customFormat="false" ht="15" hidden="false" customHeight="false" outlineLevel="0" collapsed="false">
      <c r="A58" s="49" t="n">
        <v>17</v>
      </c>
      <c r="B58" s="50" t="n">
        <v>46101</v>
      </c>
      <c r="C58" s="49" t="n">
        <v>2102</v>
      </c>
      <c r="D58" s="51" t="str">
        <f aca="false">IF(C58="","",IFERROR(INDEX('شجرة الحسابات'!$B$9:$B$208,MATCH(C58,'شجرة الحسابات'!$A$9:$A$208,0)),"⚠ حساب غير معرف"))</f>
        <v>مقاولو الباطن</v>
      </c>
      <c r="E58" s="52" t="s">
        <v>178</v>
      </c>
      <c r="F58" s="52" t="s">
        <v>196</v>
      </c>
      <c r="G58" s="53"/>
      <c r="H58" s="53" t="n">
        <v>237500</v>
      </c>
      <c r="I58" s="54" t="str">
        <f aca="false">IF(A58="",IF(M58="فارغ","","✖ بدون رقم قيد"),IF(COUNTIFS('قيود اليومية'!$A$11:$A$1010,A58,'قيود اليومية'!$M$11:$M$1010,"&lt;&gt;OK",'قيود اليومية'!$M$11:$M$1010,"&lt;&gt;فارغ")&gt;0,"✖ خطأ بالحساب",IF(ROUND(SUMIFS('قيود اليومية'!$G$11:$G$1010,'قيود اليومية'!$A$11:$A$1010,A58)-SUMIFS('قيود اليومية'!$H$11:$H$1010,'قيود اليومية'!$A$11:$A$1010,A58),2)&lt;&gt;0,"✖ غير متوازن","مرحل ✔")))</f>
        <v>مرحل ✔</v>
      </c>
      <c r="J58" s="55" t="str">
        <f aca="false">IF(C58="","",IFERROR(INDEX('شجرة الحسابات'!$E$9:$E$208,MATCH(C58,'شجرة الحسابات'!$A$9:$A$208,0))&amp;"",""))</f>
        <v>الخصوم</v>
      </c>
      <c r="K58" s="55" t="str">
        <f aca="false">IF(C58="","",IFERROR(INDEX('شجرة الحسابات'!$I$9:$I$208,MATCH(C58,'شجرة الحسابات'!$A$9:$A$208,0))&amp;"",""))</f>
        <v/>
      </c>
      <c r="L58" s="55" t="str">
        <f aca="false">IF(C58="","",IFERROR(INDEX('شجرة الحسابات'!$C$9:$C$208,MATCH(C58,'شجرة الحسابات'!$A$9:$A$208,0))&amp;"",""))</f>
        <v>تحليلي</v>
      </c>
      <c r="M58" s="55" t="str">
        <f aca="false">IF(AND(C58="",G58="",H58=""),"فارغ",IF(ISNA(MATCH(C58,'شجرة الحسابات'!$A$9:$A$208,0)),"حساب غير معرف",IF(L58&lt;&gt;"تحليلي","حساب تجميعي",IF(AND(N(G58)&gt;0,N(H58)&gt;0),"مدين ودائن معاً",IF(N(G58)+N(H58)=0,"بدون قيمة","OK")))))</f>
        <v>OK</v>
      </c>
      <c r="N58" s="55" t="str">
        <f aca="false">IF(AND(E58&lt;&gt;"",E58='كشف حساب مشروع'!$C$6,I58="مرحل ✔"),COUNTIFS($E$11:E58,'كشف حساب مشروع'!$C$6,$I$11:I58,"مرحل ✔"),"")</f>
        <v/>
      </c>
      <c r="O58" s="55" t="str">
        <f aca="false">IF(AND(C58&lt;&gt;"",C58='دفتر الأستاذ'!$C$6,I58="مرحل ✔"),COUNTIFS($C$11:C58,'دفتر الأستاذ'!$C$6,$I$11:I58,"مرحل ✔"),"")</f>
        <v/>
      </c>
    </row>
    <row r="59" customFormat="false" ht="15" hidden="false" customHeight="false" outlineLevel="0" collapsed="false">
      <c r="A59" s="49" t="n">
        <v>18</v>
      </c>
      <c r="B59" s="50" t="n">
        <v>46103</v>
      </c>
      <c r="C59" s="49" t="n">
        <v>2102</v>
      </c>
      <c r="D59" s="51" t="str">
        <f aca="false">IF(C59="","",IFERROR(INDEX('شجرة الحسابات'!$B$9:$B$208,MATCH(C59,'شجرة الحسابات'!$A$9:$A$208,0)),"⚠ حساب غير معرف"))</f>
        <v>مقاولو الباطن</v>
      </c>
      <c r="E59" s="52"/>
      <c r="F59" s="52" t="s">
        <v>209</v>
      </c>
      <c r="G59" s="53" t="n">
        <v>400000</v>
      </c>
      <c r="H59" s="53"/>
      <c r="I59" s="54" t="str">
        <f aca="false">IF(A59="",IF(M59="فارغ","","✖ بدون رقم قيد"),IF(COUNTIFS('قيود اليومية'!$A$11:$A$1010,A59,'قيود اليومية'!$M$11:$M$1010,"&lt;&gt;OK",'قيود اليومية'!$M$11:$M$1010,"&lt;&gt;فارغ")&gt;0,"✖ خطأ بالحساب",IF(ROUND(SUMIFS('قيود اليومية'!$G$11:$G$1010,'قيود اليومية'!$A$11:$A$1010,A59)-SUMIFS('قيود اليومية'!$H$11:$H$1010,'قيود اليومية'!$A$11:$A$1010,A59),2)&lt;&gt;0,"✖ غير متوازن","مرحل ✔")))</f>
        <v>مرحل ✔</v>
      </c>
      <c r="J59" s="55" t="str">
        <f aca="false">IF(C59="","",IFERROR(INDEX('شجرة الحسابات'!$E$9:$E$208,MATCH(C59,'شجرة الحسابات'!$A$9:$A$208,0))&amp;"",""))</f>
        <v>الخصوم</v>
      </c>
      <c r="K59" s="55" t="str">
        <f aca="false">IF(C59="","",IFERROR(INDEX('شجرة الحسابات'!$I$9:$I$208,MATCH(C59,'شجرة الحسابات'!$A$9:$A$208,0))&amp;"",""))</f>
        <v/>
      </c>
      <c r="L59" s="55" t="str">
        <f aca="false">IF(C59="","",IFERROR(INDEX('شجرة الحسابات'!$C$9:$C$208,MATCH(C59,'شجرة الحسابات'!$A$9:$A$208,0))&amp;"",""))</f>
        <v>تحليلي</v>
      </c>
      <c r="M59" s="55" t="str">
        <f aca="false">IF(AND(C59="",G59="",H59=""),"فارغ",IF(ISNA(MATCH(C59,'شجرة الحسابات'!$A$9:$A$208,0)),"حساب غير معرف",IF(L59&lt;&gt;"تحليلي","حساب تجميعي",IF(AND(N(G59)&gt;0,N(H59)&gt;0),"مدين ودائن معاً",IF(N(G59)+N(H59)=0,"بدون قيمة","OK")))))</f>
        <v>OK</v>
      </c>
      <c r="N59" s="55" t="str">
        <f aca="false">IF(AND(E59&lt;&gt;"",E59='كشف حساب مشروع'!$C$6,I59="مرحل ✔"),COUNTIFS($E$11:E59,'كشف حساب مشروع'!$C$6,$I$11:I59,"مرحل ✔"),"")</f>
        <v/>
      </c>
      <c r="O59" s="55" t="str">
        <f aca="false">IF(AND(C59&lt;&gt;"",C59='دفتر الأستاذ'!$C$6,I59="مرحل ✔"),COUNTIFS($C$11:C59,'دفتر الأستاذ'!$C$6,$I$11:I59,"مرحل ✔"),"")</f>
        <v/>
      </c>
    </row>
    <row r="60" customFormat="false" ht="15" hidden="false" customHeight="false" outlineLevel="0" collapsed="false">
      <c r="A60" s="49" t="n">
        <v>18</v>
      </c>
      <c r="B60" s="50" t="n">
        <v>46103</v>
      </c>
      <c r="C60" s="49" t="n">
        <v>1102</v>
      </c>
      <c r="D60" s="51" t="str">
        <f aca="false">IF(C60="","",IFERROR(INDEX('شجرة الحسابات'!$B$9:$B$208,MATCH(C60,'شجرة الحسابات'!$A$9:$A$208,0)),"⚠ حساب غير معرف"))</f>
        <v>البنك - الحساب الجاري</v>
      </c>
      <c r="E60" s="52"/>
      <c r="F60" s="52" t="s">
        <v>209</v>
      </c>
      <c r="G60" s="53"/>
      <c r="H60" s="53" t="n">
        <v>400000</v>
      </c>
      <c r="I60" s="54" t="str">
        <f aca="false">IF(A60="",IF(M60="فارغ","","✖ بدون رقم قيد"),IF(COUNTIFS('قيود اليومية'!$A$11:$A$1010,A60,'قيود اليومية'!$M$11:$M$1010,"&lt;&gt;OK",'قيود اليومية'!$M$11:$M$1010,"&lt;&gt;فارغ")&gt;0,"✖ خطأ بالحساب",IF(ROUND(SUMIFS('قيود اليومية'!$G$11:$G$1010,'قيود اليومية'!$A$11:$A$1010,A60)-SUMIFS('قيود اليومية'!$H$11:$H$1010,'قيود اليومية'!$A$11:$A$1010,A60),2)&lt;&gt;0,"✖ غير متوازن","مرحل ✔")))</f>
        <v>مرحل ✔</v>
      </c>
      <c r="J60" s="55" t="str">
        <f aca="false">IF(C60="","",IFERROR(INDEX('شجرة الحسابات'!$E$9:$E$208,MATCH(C60,'شجرة الحسابات'!$A$9:$A$208,0))&amp;"",""))</f>
        <v>الأصول</v>
      </c>
      <c r="K60" s="55" t="str">
        <f aca="false">IF(C60="","",IFERROR(INDEX('شجرة الحسابات'!$I$9:$I$208,MATCH(C60,'شجرة الحسابات'!$A$9:$A$208,0))&amp;"",""))</f>
        <v/>
      </c>
      <c r="L60" s="55" t="str">
        <f aca="false">IF(C60="","",IFERROR(INDEX('شجرة الحسابات'!$C$9:$C$208,MATCH(C60,'شجرة الحسابات'!$A$9:$A$208,0))&amp;"",""))</f>
        <v>تحليلي</v>
      </c>
      <c r="M60" s="55" t="str">
        <f aca="false">IF(AND(C60="",G60="",H60=""),"فارغ",IF(ISNA(MATCH(C60,'شجرة الحسابات'!$A$9:$A$208,0)),"حساب غير معرف",IF(L60&lt;&gt;"تحليلي","حساب تجميعي",IF(AND(N(G60)&gt;0,N(H60)&gt;0),"مدين ودائن معاً",IF(N(G60)+N(H60)=0,"بدون قيمة","OK")))))</f>
        <v>OK</v>
      </c>
      <c r="N60" s="55" t="str">
        <f aca="false">IF(AND(E60&lt;&gt;"",E60='كشف حساب مشروع'!$C$6,I60="مرحل ✔"),COUNTIFS($E$11:E60,'كشف حساب مشروع'!$C$6,$I$11:I60,"مرحل ✔"),"")</f>
        <v/>
      </c>
      <c r="O60" s="55" t="n">
        <f aca="false">IF(AND(C60&lt;&gt;"",C60='دفتر الأستاذ'!$C$6,I60="مرحل ✔"),COUNTIFS($C$11:C60,'دفتر الأستاذ'!$C$6,$I$11:I60,"مرحل ✔"),"")</f>
        <v>11</v>
      </c>
    </row>
    <row r="61" customFormat="false" ht="15" hidden="false" customHeight="false" outlineLevel="0" collapsed="false">
      <c r="A61" s="49" t="n">
        <v>19</v>
      </c>
      <c r="B61" s="50" t="n">
        <v>46106</v>
      </c>
      <c r="C61" s="49" t="n">
        <v>1103</v>
      </c>
      <c r="D61" s="51" t="str">
        <f aca="false">IF(C61="","",IFERROR(INDEX('شجرة الحسابات'!$B$9:$B$208,MATCH(C61,'شجرة الحسابات'!$A$9:$A$208,0)),"⚠ حساب غير معرف"))</f>
        <v>عملاء المقاولات</v>
      </c>
      <c r="E61" s="52" t="s">
        <v>176</v>
      </c>
      <c r="F61" s="52" t="s">
        <v>210</v>
      </c>
      <c r="G61" s="53" t="n">
        <v>120000</v>
      </c>
      <c r="H61" s="53"/>
      <c r="I61" s="54" t="str">
        <f aca="false">IF(A61="",IF(M61="فارغ","","✖ بدون رقم قيد"),IF(COUNTIFS('قيود اليومية'!$A$11:$A$1010,A61,'قيود اليومية'!$M$11:$M$1010,"&lt;&gt;OK",'قيود اليومية'!$M$11:$M$1010,"&lt;&gt;فارغ")&gt;0,"✖ خطأ بالحساب",IF(ROUND(SUMIFS('قيود اليومية'!$G$11:$G$1010,'قيود اليومية'!$A$11:$A$1010,A61)-SUMIFS('قيود اليومية'!$H$11:$H$1010,'قيود اليومية'!$A$11:$A$1010,A61),2)&lt;&gt;0,"✖ غير متوازن","مرحل ✔")))</f>
        <v>مرحل ✔</v>
      </c>
      <c r="J61" s="55" t="str">
        <f aca="false">IF(C61="","",IFERROR(INDEX('شجرة الحسابات'!$E$9:$E$208,MATCH(C61,'شجرة الحسابات'!$A$9:$A$208,0))&amp;"",""))</f>
        <v>الأصول</v>
      </c>
      <c r="K61" s="55" t="str">
        <f aca="false">IF(C61="","",IFERROR(INDEX('شجرة الحسابات'!$I$9:$I$208,MATCH(C61,'شجرة الحسابات'!$A$9:$A$208,0))&amp;"",""))</f>
        <v/>
      </c>
      <c r="L61" s="55" t="str">
        <f aca="false">IF(C61="","",IFERROR(INDEX('شجرة الحسابات'!$C$9:$C$208,MATCH(C61,'شجرة الحسابات'!$A$9:$A$208,0))&amp;"",""))</f>
        <v>تحليلي</v>
      </c>
      <c r="M61" s="55" t="str">
        <f aca="false">IF(AND(C61="",G61="",H61=""),"فارغ",IF(ISNA(MATCH(C61,'شجرة الحسابات'!$A$9:$A$208,0)),"حساب غير معرف",IF(L61&lt;&gt;"تحليلي","حساب تجميعي",IF(AND(N(G61)&gt;0,N(H61)&gt;0),"مدين ودائن معاً",IF(N(G61)+N(H61)=0,"بدون قيمة","OK")))))</f>
        <v>OK</v>
      </c>
      <c r="N61" s="55" t="n">
        <f aca="false">IF(AND(E61&lt;&gt;"",E61='كشف حساب مشروع'!$C$6,I61="مرحل ✔"),COUNTIFS($E$11:E61,'كشف حساب مشروع'!$C$6,$I$11:I61,"مرحل ✔"),"")</f>
        <v>20</v>
      </c>
      <c r="O61" s="55" t="str">
        <f aca="false">IF(AND(C61&lt;&gt;"",C61='دفتر الأستاذ'!$C$6,I61="مرحل ✔"),COUNTIFS($C$11:C61,'دفتر الأستاذ'!$C$6,$I$11:I61,"مرحل ✔"),"")</f>
        <v/>
      </c>
    </row>
    <row r="62" customFormat="false" ht="15" hidden="false" customHeight="false" outlineLevel="0" collapsed="false">
      <c r="A62" s="49" t="n">
        <v>19</v>
      </c>
      <c r="B62" s="50" t="n">
        <v>46106</v>
      </c>
      <c r="C62" s="49" t="n">
        <v>4102</v>
      </c>
      <c r="D62" s="51" t="str">
        <f aca="false">IF(C62="","",IFERROR(INDEX('شجرة الحسابات'!$B$9:$B$208,MATCH(C62,'شجرة الحسابات'!$A$9:$A$208,0)),"⚠ حساب غير معرف"))</f>
        <v>إيرادات أعمال إضافية وأوامر تغيير</v>
      </c>
      <c r="E62" s="52" t="s">
        <v>176</v>
      </c>
      <c r="F62" s="52" t="s">
        <v>210</v>
      </c>
      <c r="G62" s="53"/>
      <c r="H62" s="53" t="n">
        <v>120000</v>
      </c>
      <c r="I62" s="54" t="str">
        <f aca="false">IF(A62="",IF(M62="فارغ","","✖ بدون رقم قيد"),IF(COUNTIFS('قيود اليومية'!$A$11:$A$1010,A62,'قيود اليومية'!$M$11:$M$1010,"&lt;&gt;OK",'قيود اليومية'!$M$11:$M$1010,"&lt;&gt;فارغ")&gt;0,"✖ خطأ بالحساب",IF(ROUND(SUMIFS('قيود اليومية'!$G$11:$G$1010,'قيود اليومية'!$A$11:$A$1010,A62)-SUMIFS('قيود اليومية'!$H$11:$H$1010,'قيود اليومية'!$A$11:$A$1010,A62),2)&lt;&gt;0,"✖ غير متوازن","مرحل ✔")))</f>
        <v>مرحل ✔</v>
      </c>
      <c r="J62" s="55" t="str">
        <f aca="false">IF(C62="","",IFERROR(INDEX('شجرة الحسابات'!$E$9:$E$208,MATCH(C62,'شجرة الحسابات'!$A$9:$A$208,0))&amp;"",""))</f>
        <v>الإيرادات</v>
      </c>
      <c r="K62" s="55" t="str">
        <f aca="false">IF(C62="","",IFERROR(INDEX('شجرة الحسابات'!$I$9:$I$208,MATCH(C62,'شجرة الحسابات'!$A$9:$A$208,0))&amp;"",""))</f>
        <v/>
      </c>
      <c r="L62" s="55" t="str">
        <f aca="false">IF(C62="","",IFERROR(INDEX('شجرة الحسابات'!$C$9:$C$208,MATCH(C62,'شجرة الحسابات'!$A$9:$A$208,0))&amp;"",""))</f>
        <v>تحليلي</v>
      </c>
      <c r="M62" s="55" t="str">
        <f aca="false">IF(AND(C62="",G62="",H62=""),"فارغ",IF(ISNA(MATCH(C62,'شجرة الحسابات'!$A$9:$A$208,0)),"حساب غير معرف",IF(L62&lt;&gt;"تحليلي","حساب تجميعي",IF(AND(N(G62)&gt;0,N(H62)&gt;0),"مدين ودائن معاً",IF(N(G62)+N(H62)=0,"بدون قيمة","OK")))))</f>
        <v>OK</v>
      </c>
      <c r="N62" s="55" t="n">
        <f aca="false">IF(AND(E62&lt;&gt;"",E62='كشف حساب مشروع'!$C$6,I62="مرحل ✔"),COUNTIFS($E$11:E62,'كشف حساب مشروع'!$C$6,$I$11:I62,"مرحل ✔"),"")</f>
        <v>21</v>
      </c>
      <c r="O62" s="55" t="str">
        <f aca="false">IF(AND(C62&lt;&gt;"",C62='دفتر الأستاذ'!$C$6,I62="مرحل ✔"),COUNTIFS($C$11:C62,'دفتر الأستاذ'!$C$6,$I$11:I62,"مرحل ✔"),"")</f>
        <v/>
      </c>
    </row>
    <row r="63" customFormat="false" ht="15" hidden="false" customHeight="false" outlineLevel="0" collapsed="false">
      <c r="A63" s="49" t="n">
        <v>20</v>
      </c>
      <c r="B63" s="50" t="n">
        <v>46107</v>
      </c>
      <c r="C63" s="49" t="n">
        <v>1102</v>
      </c>
      <c r="D63" s="51" t="str">
        <f aca="false">IF(C63="","",IFERROR(INDEX('شجرة الحسابات'!$B$9:$B$208,MATCH(C63,'شجرة الحسابات'!$A$9:$A$208,0)),"⚠ حساب غير معرف"))</f>
        <v>البنك - الحساب الجاري</v>
      </c>
      <c r="E63" s="52" t="s">
        <v>178</v>
      </c>
      <c r="F63" s="52" t="s">
        <v>211</v>
      </c>
      <c r="G63" s="53" t="n">
        <v>500000</v>
      </c>
      <c r="H63" s="53"/>
      <c r="I63" s="54" t="str">
        <f aca="false">IF(A63="",IF(M63="فارغ","","✖ بدون رقم قيد"),IF(COUNTIFS('قيود اليومية'!$A$11:$A$1010,A63,'قيود اليومية'!$M$11:$M$1010,"&lt;&gt;OK",'قيود اليومية'!$M$11:$M$1010,"&lt;&gt;فارغ")&gt;0,"✖ خطأ بالحساب",IF(ROUND(SUMIFS('قيود اليومية'!$G$11:$G$1010,'قيود اليومية'!$A$11:$A$1010,A63)-SUMIFS('قيود اليومية'!$H$11:$H$1010,'قيود اليومية'!$A$11:$A$1010,A63),2)&lt;&gt;0,"✖ غير متوازن","مرحل ✔")))</f>
        <v>مرحل ✔</v>
      </c>
      <c r="J63" s="55" t="str">
        <f aca="false">IF(C63="","",IFERROR(INDEX('شجرة الحسابات'!$E$9:$E$208,MATCH(C63,'شجرة الحسابات'!$A$9:$A$208,0))&amp;"",""))</f>
        <v>الأصول</v>
      </c>
      <c r="K63" s="55" t="str">
        <f aca="false">IF(C63="","",IFERROR(INDEX('شجرة الحسابات'!$I$9:$I$208,MATCH(C63,'شجرة الحسابات'!$A$9:$A$208,0))&amp;"",""))</f>
        <v/>
      </c>
      <c r="L63" s="55" t="str">
        <f aca="false">IF(C63="","",IFERROR(INDEX('شجرة الحسابات'!$C$9:$C$208,MATCH(C63,'شجرة الحسابات'!$A$9:$A$208,0))&amp;"",""))</f>
        <v>تحليلي</v>
      </c>
      <c r="M63" s="55" t="str">
        <f aca="false">IF(AND(C63="",G63="",H63=""),"فارغ",IF(ISNA(MATCH(C63,'شجرة الحسابات'!$A$9:$A$208,0)),"حساب غير معرف",IF(L63&lt;&gt;"تحليلي","حساب تجميعي",IF(AND(N(G63)&gt;0,N(H63)&gt;0),"مدين ودائن معاً",IF(N(G63)+N(H63)=0,"بدون قيمة","OK")))))</f>
        <v>OK</v>
      </c>
      <c r="N63" s="55" t="str">
        <f aca="false">IF(AND(E63&lt;&gt;"",E63='كشف حساب مشروع'!$C$6,I63="مرحل ✔"),COUNTIFS($E$11:E63,'كشف حساب مشروع'!$C$6,$I$11:I63,"مرحل ✔"),"")</f>
        <v/>
      </c>
      <c r="O63" s="55" t="n">
        <f aca="false">IF(AND(C63&lt;&gt;"",C63='دفتر الأستاذ'!$C$6,I63="مرحل ✔"),COUNTIFS($C$11:C63,'دفتر الأستاذ'!$C$6,$I$11:I63,"مرحل ✔"),"")</f>
        <v>12</v>
      </c>
    </row>
    <row r="64" customFormat="false" ht="15" hidden="false" customHeight="false" outlineLevel="0" collapsed="false">
      <c r="A64" s="49" t="n">
        <v>20</v>
      </c>
      <c r="B64" s="50" t="n">
        <v>46107</v>
      </c>
      <c r="C64" s="49" t="n">
        <v>1103</v>
      </c>
      <c r="D64" s="51" t="str">
        <f aca="false">IF(C64="","",IFERROR(INDEX('شجرة الحسابات'!$B$9:$B$208,MATCH(C64,'شجرة الحسابات'!$A$9:$A$208,0)),"⚠ حساب غير معرف"))</f>
        <v>عملاء المقاولات</v>
      </c>
      <c r="E64" s="52" t="s">
        <v>178</v>
      </c>
      <c r="F64" s="52" t="s">
        <v>211</v>
      </c>
      <c r="G64" s="53"/>
      <c r="H64" s="53" t="n">
        <v>500000</v>
      </c>
      <c r="I64" s="54" t="str">
        <f aca="false">IF(A64="",IF(M64="فارغ","","✖ بدون رقم قيد"),IF(COUNTIFS('قيود اليومية'!$A$11:$A$1010,A64,'قيود اليومية'!$M$11:$M$1010,"&lt;&gt;OK",'قيود اليومية'!$M$11:$M$1010,"&lt;&gt;فارغ")&gt;0,"✖ خطأ بالحساب",IF(ROUND(SUMIFS('قيود اليومية'!$G$11:$G$1010,'قيود اليومية'!$A$11:$A$1010,A64)-SUMIFS('قيود اليومية'!$H$11:$H$1010,'قيود اليومية'!$A$11:$A$1010,A64),2)&lt;&gt;0,"✖ غير متوازن","مرحل ✔")))</f>
        <v>مرحل ✔</v>
      </c>
      <c r="J64" s="55" t="str">
        <f aca="false">IF(C64="","",IFERROR(INDEX('شجرة الحسابات'!$E$9:$E$208,MATCH(C64,'شجرة الحسابات'!$A$9:$A$208,0))&amp;"",""))</f>
        <v>الأصول</v>
      </c>
      <c r="K64" s="55" t="str">
        <f aca="false">IF(C64="","",IFERROR(INDEX('شجرة الحسابات'!$I$9:$I$208,MATCH(C64,'شجرة الحسابات'!$A$9:$A$208,0))&amp;"",""))</f>
        <v/>
      </c>
      <c r="L64" s="55" t="str">
        <f aca="false">IF(C64="","",IFERROR(INDEX('شجرة الحسابات'!$C$9:$C$208,MATCH(C64,'شجرة الحسابات'!$A$9:$A$208,0))&amp;"",""))</f>
        <v>تحليلي</v>
      </c>
      <c r="M64" s="55" t="str">
        <f aca="false">IF(AND(C64="",G64="",H64=""),"فارغ",IF(ISNA(MATCH(C64,'شجرة الحسابات'!$A$9:$A$208,0)),"حساب غير معرف",IF(L64&lt;&gt;"تحليلي","حساب تجميعي",IF(AND(N(G64)&gt;0,N(H64)&gt;0),"مدين ودائن معاً",IF(N(G64)+N(H64)=0,"بدون قيمة","OK")))))</f>
        <v>OK</v>
      </c>
      <c r="N64" s="55" t="str">
        <f aca="false">IF(AND(E64&lt;&gt;"",E64='كشف حساب مشروع'!$C$6,I64="مرحل ✔"),COUNTIFS($E$11:E64,'كشف حساب مشروع'!$C$6,$I$11:I64,"مرحل ✔"),"")</f>
        <v/>
      </c>
      <c r="O64" s="55" t="str">
        <f aca="false">IF(AND(C64&lt;&gt;"",C64='دفتر الأستاذ'!$C$6,I64="مرحل ✔"),COUNTIFS($C$11:C64,'دفتر الأستاذ'!$C$6,$I$11:I64,"مرحل ✔"),"")</f>
        <v/>
      </c>
    </row>
    <row r="65" customFormat="false" ht="15" hidden="false" customHeight="false" outlineLevel="0" collapsed="false">
      <c r="A65" s="49" t="n">
        <v>21</v>
      </c>
      <c r="B65" s="50" t="n">
        <v>46109</v>
      </c>
      <c r="C65" s="49" t="n">
        <v>1108</v>
      </c>
      <c r="D65" s="51" t="str">
        <f aca="false">IF(C65="","",IFERROR(INDEX('شجرة الحسابات'!$B$9:$B$208,MATCH(C65,'شجرة الحسابات'!$A$9:$A$208,0)),"⚠ حساب غير معرف"))</f>
        <v>مشروعات تحت التنفيذ</v>
      </c>
      <c r="E65" s="52" t="s">
        <v>212</v>
      </c>
      <c r="F65" s="52" t="s">
        <v>213</v>
      </c>
      <c r="G65" s="53" t="n">
        <v>95000</v>
      </c>
      <c r="H65" s="53"/>
      <c r="I65" s="54" t="str">
        <f aca="false">IF(A65="",IF(M65="فارغ","","✖ بدون رقم قيد"),IF(COUNTIFS('قيود اليومية'!$A$11:$A$1010,A65,'قيود اليومية'!$M$11:$M$1010,"&lt;&gt;OK",'قيود اليومية'!$M$11:$M$1010,"&lt;&gt;فارغ")&gt;0,"✖ خطأ بالحساب",IF(ROUND(SUMIFS('قيود اليومية'!$G$11:$G$1010,'قيود اليومية'!$A$11:$A$1010,A65)-SUMIFS('قيود اليومية'!$H$11:$H$1010,'قيود اليومية'!$A$11:$A$1010,A65),2)&lt;&gt;0,"✖ غير متوازن","مرحل ✔")))</f>
        <v>مرحل ✔</v>
      </c>
      <c r="J65" s="55" t="str">
        <f aca="false">IF(C65="","",IFERROR(INDEX('شجرة الحسابات'!$E$9:$E$208,MATCH(C65,'شجرة الحسابات'!$A$9:$A$208,0))&amp;"",""))</f>
        <v>الأصول</v>
      </c>
      <c r="K65" s="55" t="str">
        <f aca="false">IF(C65="","",IFERROR(INDEX('شجرة الحسابات'!$I$9:$I$208,MATCH(C65,'شجرة الحسابات'!$A$9:$A$208,0))&amp;"",""))</f>
        <v/>
      </c>
      <c r="L65" s="55" t="str">
        <f aca="false">IF(C65="","",IFERROR(INDEX('شجرة الحسابات'!$C$9:$C$208,MATCH(C65,'شجرة الحسابات'!$A$9:$A$208,0))&amp;"",""))</f>
        <v>تحليلي</v>
      </c>
      <c r="M65" s="55" t="str">
        <f aca="false">IF(AND(C65="",G65="",H65=""),"فارغ",IF(ISNA(MATCH(C65,'شجرة الحسابات'!$A$9:$A$208,0)),"حساب غير معرف",IF(L65&lt;&gt;"تحليلي","حساب تجميعي",IF(AND(N(G65)&gt;0,N(H65)&gt;0),"مدين ودائن معاً",IF(N(G65)+N(H65)=0,"بدون قيمة","OK")))))</f>
        <v>OK</v>
      </c>
      <c r="N65" s="55" t="str">
        <f aca="false">IF(AND(E65&lt;&gt;"",E65='كشف حساب مشروع'!$C$6,I65="مرحل ✔"),COUNTIFS($E$11:E65,'كشف حساب مشروع'!$C$6,$I$11:I65,"مرحل ✔"),"")</f>
        <v/>
      </c>
      <c r="O65" s="55" t="str">
        <f aca="false">IF(AND(C65&lt;&gt;"",C65='دفتر الأستاذ'!$C$6,I65="مرحل ✔"),COUNTIFS($C$11:C65,'دفتر الأستاذ'!$C$6,$I$11:I65,"مرحل ✔"),"")</f>
        <v/>
      </c>
    </row>
    <row r="66" customFormat="false" ht="15" hidden="false" customHeight="false" outlineLevel="0" collapsed="false">
      <c r="A66" s="49" t="n">
        <v>21</v>
      </c>
      <c r="B66" s="50" t="n">
        <v>46109</v>
      </c>
      <c r="C66" s="49" t="n">
        <v>1102</v>
      </c>
      <c r="D66" s="51" t="str">
        <f aca="false">IF(C66="","",IFERROR(INDEX('شجرة الحسابات'!$B$9:$B$208,MATCH(C66,'شجرة الحسابات'!$A$9:$A$208,0)),"⚠ حساب غير معرف"))</f>
        <v>البنك - الحساب الجاري</v>
      </c>
      <c r="E66" s="52" t="s">
        <v>212</v>
      </c>
      <c r="F66" s="52" t="s">
        <v>213</v>
      </c>
      <c r="G66" s="53"/>
      <c r="H66" s="53" t="n">
        <v>95000</v>
      </c>
      <c r="I66" s="54" t="str">
        <f aca="false">IF(A66="",IF(M66="فارغ","","✖ بدون رقم قيد"),IF(COUNTIFS('قيود اليومية'!$A$11:$A$1010,A66,'قيود اليومية'!$M$11:$M$1010,"&lt;&gt;OK",'قيود اليومية'!$M$11:$M$1010,"&lt;&gt;فارغ")&gt;0,"✖ خطأ بالحساب",IF(ROUND(SUMIFS('قيود اليومية'!$G$11:$G$1010,'قيود اليومية'!$A$11:$A$1010,A66)-SUMIFS('قيود اليومية'!$H$11:$H$1010,'قيود اليومية'!$A$11:$A$1010,A66),2)&lt;&gt;0,"✖ غير متوازن","مرحل ✔")))</f>
        <v>مرحل ✔</v>
      </c>
      <c r="J66" s="55" t="str">
        <f aca="false">IF(C66="","",IFERROR(INDEX('شجرة الحسابات'!$E$9:$E$208,MATCH(C66,'شجرة الحسابات'!$A$9:$A$208,0))&amp;"",""))</f>
        <v>الأصول</v>
      </c>
      <c r="K66" s="55" t="str">
        <f aca="false">IF(C66="","",IFERROR(INDEX('شجرة الحسابات'!$I$9:$I$208,MATCH(C66,'شجرة الحسابات'!$A$9:$A$208,0))&amp;"",""))</f>
        <v/>
      </c>
      <c r="L66" s="55" t="str">
        <f aca="false">IF(C66="","",IFERROR(INDEX('شجرة الحسابات'!$C$9:$C$208,MATCH(C66,'شجرة الحسابات'!$A$9:$A$208,0))&amp;"",""))</f>
        <v>تحليلي</v>
      </c>
      <c r="M66" s="55" t="str">
        <f aca="false">IF(AND(C66="",G66="",H66=""),"فارغ",IF(ISNA(MATCH(C66,'شجرة الحسابات'!$A$9:$A$208,0)),"حساب غير معرف",IF(L66&lt;&gt;"تحليلي","حساب تجميعي",IF(AND(N(G66)&gt;0,N(H66)&gt;0),"مدين ودائن معاً",IF(N(G66)+N(H66)=0,"بدون قيمة","OK")))))</f>
        <v>OK</v>
      </c>
      <c r="N66" s="55" t="str">
        <f aca="false">IF(AND(E66&lt;&gt;"",E66='كشف حساب مشروع'!$C$6,I66="مرحل ✔"),COUNTIFS($E$11:E66,'كشف حساب مشروع'!$C$6,$I$11:I66,"مرحل ✔"),"")</f>
        <v/>
      </c>
      <c r="O66" s="55" t="n">
        <f aca="false">IF(AND(C66&lt;&gt;"",C66='دفتر الأستاذ'!$C$6,I66="مرحل ✔"),COUNTIFS($C$11:C66,'دفتر الأستاذ'!$C$6,$I$11:I66,"مرحل ✔"),"")</f>
        <v>13</v>
      </c>
    </row>
    <row r="67" customFormat="false" ht="15" hidden="false" customHeight="false" outlineLevel="0" collapsed="false">
      <c r="A67" s="49" t="n">
        <v>22</v>
      </c>
      <c r="B67" s="50" t="n">
        <v>46110</v>
      </c>
      <c r="C67" s="49" t="n">
        <v>1101</v>
      </c>
      <c r="D67" s="51" t="str">
        <f aca="false">IF(C67="","",IFERROR(INDEX('شجرة الحسابات'!$B$9:$B$208,MATCH(C67,'شجرة الحسابات'!$A$9:$A$208,0)),"⚠ حساب غير معرف"))</f>
        <v>الصندوق (النقدية بالخزينة)</v>
      </c>
      <c r="E67" s="52" t="s">
        <v>176</v>
      </c>
      <c r="F67" s="52" t="s">
        <v>214</v>
      </c>
      <c r="G67" s="53" t="n">
        <v>8000</v>
      </c>
      <c r="H67" s="53"/>
      <c r="I67" s="54" t="str">
        <f aca="false">IF(A67="",IF(M67="فارغ","","✖ بدون رقم قيد"),IF(COUNTIFS('قيود اليومية'!$A$11:$A$1010,A67,'قيود اليومية'!$M$11:$M$1010,"&lt;&gt;OK",'قيود اليومية'!$M$11:$M$1010,"&lt;&gt;فارغ")&gt;0,"✖ خطأ بالحساب",IF(ROUND(SUMIFS('قيود اليومية'!$G$11:$G$1010,'قيود اليومية'!$A$11:$A$1010,A67)-SUMIFS('قيود اليومية'!$H$11:$H$1010,'قيود اليومية'!$A$11:$A$1010,A67),2)&lt;&gt;0,"✖ غير متوازن","مرحل ✔")))</f>
        <v>مرحل ✔</v>
      </c>
      <c r="J67" s="55" t="str">
        <f aca="false">IF(C67="","",IFERROR(INDEX('شجرة الحسابات'!$E$9:$E$208,MATCH(C67,'شجرة الحسابات'!$A$9:$A$208,0))&amp;"",""))</f>
        <v>الأصول</v>
      </c>
      <c r="K67" s="55" t="str">
        <f aca="false">IF(C67="","",IFERROR(INDEX('شجرة الحسابات'!$I$9:$I$208,MATCH(C67,'شجرة الحسابات'!$A$9:$A$208,0))&amp;"",""))</f>
        <v/>
      </c>
      <c r="L67" s="55" t="str">
        <f aca="false">IF(C67="","",IFERROR(INDEX('شجرة الحسابات'!$C$9:$C$208,MATCH(C67,'شجرة الحسابات'!$A$9:$A$208,0))&amp;"",""))</f>
        <v>تحليلي</v>
      </c>
      <c r="M67" s="55" t="str">
        <f aca="false">IF(AND(C67="",G67="",H67=""),"فارغ",IF(ISNA(MATCH(C67,'شجرة الحسابات'!$A$9:$A$208,0)),"حساب غير معرف",IF(L67&lt;&gt;"تحليلي","حساب تجميعي",IF(AND(N(G67)&gt;0,N(H67)&gt;0),"مدين ودائن معاً",IF(N(G67)+N(H67)=0,"بدون قيمة","OK")))))</f>
        <v>OK</v>
      </c>
      <c r="N67" s="55" t="n">
        <f aca="false">IF(AND(E67&lt;&gt;"",E67='كشف حساب مشروع'!$C$6,I67="مرحل ✔"),COUNTIFS($E$11:E67,'كشف حساب مشروع'!$C$6,$I$11:I67,"مرحل ✔"),"")</f>
        <v>22</v>
      </c>
      <c r="O67" s="55" t="str">
        <f aca="false">IF(AND(C67&lt;&gt;"",C67='دفتر الأستاذ'!$C$6,I67="مرحل ✔"),COUNTIFS($C$11:C67,'دفتر الأستاذ'!$C$6,$I$11:I67,"مرحل ✔"),"")</f>
        <v/>
      </c>
    </row>
    <row r="68" customFormat="false" ht="15" hidden="false" customHeight="false" outlineLevel="0" collapsed="false">
      <c r="A68" s="49" t="n">
        <v>22</v>
      </c>
      <c r="B68" s="50" t="n">
        <v>46110</v>
      </c>
      <c r="C68" s="49" t="n">
        <v>4201</v>
      </c>
      <c r="D68" s="51" t="str">
        <f aca="false">IF(C68="","",IFERROR(INDEX('شجرة الحسابات'!$B$9:$B$208,MATCH(C68,'شجرة الحسابات'!$A$9:$A$208,0)),"⚠ حساب غير معرف"))</f>
        <v>إيرادات متنوعة (بيع خردة ومخلفات)</v>
      </c>
      <c r="E68" s="52" t="s">
        <v>176</v>
      </c>
      <c r="F68" s="52" t="s">
        <v>214</v>
      </c>
      <c r="G68" s="53"/>
      <c r="H68" s="53" t="n">
        <v>8000</v>
      </c>
      <c r="I68" s="54" t="str">
        <f aca="false">IF(A68="",IF(M68="فارغ","","✖ بدون رقم قيد"),IF(COUNTIFS('قيود اليومية'!$A$11:$A$1010,A68,'قيود اليومية'!$M$11:$M$1010,"&lt;&gt;OK",'قيود اليومية'!$M$11:$M$1010,"&lt;&gt;فارغ")&gt;0,"✖ خطأ بالحساب",IF(ROUND(SUMIFS('قيود اليومية'!$G$11:$G$1010,'قيود اليومية'!$A$11:$A$1010,A68)-SUMIFS('قيود اليومية'!$H$11:$H$1010,'قيود اليومية'!$A$11:$A$1010,A68),2)&lt;&gt;0,"✖ غير متوازن","مرحل ✔")))</f>
        <v>مرحل ✔</v>
      </c>
      <c r="J68" s="55" t="str">
        <f aca="false">IF(C68="","",IFERROR(INDEX('شجرة الحسابات'!$E$9:$E$208,MATCH(C68,'شجرة الحسابات'!$A$9:$A$208,0))&amp;"",""))</f>
        <v>الإيرادات</v>
      </c>
      <c r="K68" s="55" t="str">
        <f aca="false">IF(C68="","",IFERROR(INDEX('شجرة الحسابات'!$I$9:$I$208,MATCH(C68,'شجرة الحسابات'!$A$9:$A$208,0))&amp;"",""))</f>
        <v/>
      </c>
      <c r="L68" s="55" t="str">
        <f aca="false">IF(C68="","",IFERROR(INDEX('شجرة الحسابات'!$C$9:$C$208,MATCH(C68,'شجرة الحسابات'!$A$9:$A$208,0))&amp;"",""))</f>
        <v>تحليلي</v>
      </c>
      <c r="M68" s="55" t="str">
        <f aca="false">IF(AND(C68="",G68="",H68=""),"فارغ",IF(ISNA(MATCH(C68,'شجرة الحسابات'!$A$9:$A$208,0)),"حساب غير معرف",IF(L68&lt;&gt;"تحليلي","حساب تجميعي",IF(AND(N(G68)&gt;0,N(H68)&gt;0),"مدين ودائن معاً",IF(N(G68)+N(H68)=0,"بدون قيمة","OK")))))</f>
        <v>OK</v>
      </c>
      <c r="N68" s="55" t="n">
        <f aca="false">IF(AND(E68&lt;&gt;"",E68='كشف حساب مشروع'!$C$6,I68="مرحل ✔"),COUNTIFS($E$11:E68,'كشف حساب مشروع'!$C$6,$I$11:I68,"مرحل ✔"),"")</f>
        <v>23</v>
      </c>
      <c r="O68" s="55" t="str">
        <f aca="false">IF(AND(C68&lt;&gt;"",C68='دفتر الأستاذ'!$C$6,I68="مرحل ✔"),COUNTIFS($C$11:C68,'دفتر الأستاذ'!$C$6,$I$11:I68,"مرحل ✔"),"")</f>
        <v/>
      </c>
    </row>
    <row r="69" customFormat="false" ht="15" hidden="false" customHeight="false" outlineLevel="0" collapsed="false">
      <c r="A69" s="49" t="n">
        <v>23</v>
      </c>
      <c r="B69" s="50" t="n">
        <v>46112</v>
      </c>
      <c r="C69" s="49" t="n">
        <v>6102</v>
      </c>
      <c r="D69" s="51" t="str">
        <f aca="false">IF(C69="","",IFERROR(INDEX('شجرة الحسابات'!$B$9:$B$208,MATCH(C69,'شجرة الحسابات'!$A$9:$A$208,0)),"⚠ حساب غير معرف"))</f>
        <v>إيجار المكتب الرئيسي</v>
      </c>
      <c r="E69" s="52"/>
      <c r="F69" s="52" t="s">
        <v>215</v>
      </c>
      <c r="G69" s="53" t="n">
        <v>45000</v>
      </c>
      <c r="H69" s="53"/>
      <c r="I69" s="54" t="str">
        <f aca="false">IF(A69="",IF(M69="فارغ","","✖ بدون رقم قيد"),IF(COUNTIFS('قيود اليومية'!$A$11:$A$1010,A69,'قيود اليومية'!$M$11:$M$1010,"&lt;&gt;OK",'قيود اليومية'!$M$11:$M$1010,"&lt;&gt;فارغ")&gt;0,"✖ خطأ بالحساب",IF(ROUND(SUMIFS('قيود اليومية'!$G$11:$G$1010,'قيود اليومية'!$A$11:$A$1010,A69)-SUMIFS('قيود اليومية'!$H$11:$H$1010,'قيود اليومية'!$A$11:$A$1010,A69),2)&lt;&gt;0,"✖ غير متوازن","مرحل ✔")))</f>
        <v>مرحل ✔</v>
      </c>
      <c r="J69" s="55" t="str">
        <f aca="false">IF(C69="","",IFERROR(INDEX('شجرة الحسابات'!$E$9:$E$208,MATCH(C69,'شجرة الحسابات'!$A$9:$A$208,0))&amp;"",""))</f>
        <v>المصروفات</v>
      </c>
      <c r="K69" s="55" t="str">
        <f aca="false">IF(C69="","",IFERROR(INDEX('شجرة الحسابات'!$I$9:$I$208,MATCH(C69,'شجرة الحسابات'!$A$9:$A$208,0))&amp;"",""))</f>
        <v/>
      </c>
      <c r="L69" s="55" t="str">
        <f aca="false">IF(C69="","",IFERROR(INDEX('شجرة الحسابات'!$C$9:$C$208,MATCH(C69,'شجرة الحسابات'!$A$9:$A$208,0))&amp;"",""))</f>
        <v>تحليلي</v>
      </c>
      <c r="M69" s="55" t="str">
        <f aca="false">IF(AND(C69="",G69="",H69=""),"فارغ",IF(ISNA(MATCH(C69,'شجرة الحسابات'!$A$9:$A$208,0)),"حساب غير معرف",IF(L69&lt;&gt;"تحليلي","حساب تجميعي",IF(AND(N(G69)&gt;0,N(H69)&gt;0),"مدين ودائن معاً",IF(N(G69)+N(H69)=0,"بدون قيمة","OK")))))</f>
        <v>OK</v>
      </c>
      <c r="N69" s="55" t="str">
        <f aca="false">IF(AND(E69&lt;&gt;"",E69='كشف حساب مشروع'!$C$6,I69="مرحل ✔"),COUNTIFS($E$11:E69,'كشف حساب مشروع'!$C$6,$I$11:I69,"مرحل ✔"),"")</f>
        <v/>
      </c>
      <c r="O69" s="55" t="str">
        <f aca="false">IF(AND(C69&lt;&gt;"",C69='دفتر الأستاذ'!$C$6,I69="مرحل ✔"),COUNTIFS($C$11:C69,'دفتر الأستاذ'!$C$6,$I$11:I69,"مرحل ✔"),"")</f>
        <v/>
      </c>
    </row>
    <row r="70" customFormat="false" ht="15" hidden="false" customHeight="false" outlineLevel="0" collapsed="false">
      <c r="A70" s="49" t="n">
        <v>23</v>
      </c>
      <c r="B70" s="50" t="n">
        <v>46112</v>
      </c>
      <c r="C70" s="49" t="n">
        <v>6103</v>
      </c>
      <c r="D70" s="51" t="str">
        <f aca="false">IF(C70="","",IFERROR(INDEX('شجرة الحسابات'!$B$9:$B$208,MATCH(C70,'شجرة الحسابات'!$A$9:$A$208,0)),"⚠ حساب غير معرف"))</f>
        <v>كهرباء ومياه واتصالات</v>
      </c>
      <c r="E70" s="52"/>
      <c r="F70" s="52" t="s">
        <v>216</v>
      </c>
      <c r="G70" s="53" t="n">
        <v>12500</v>
      </c>
      <c r="H70" s="53"/>
      <c r="I70" s="54" t="str">
        <f aca="false">IF(A70="",IF(M70="فارغ","","✖ بدون رقم قيد"),IF(COUNTIFS('قيود اليومية'!$A$11:$A$1010,A70,'قيود اليومية'!$M$11:$M$1010,"&lt;&gt;OK",'قيود اليومية'!$M$11:$M$1010,"&lt;&gt;فارغ")&gt;0,"✖ خطأ بالحساب",IF(ROUND(SUMIFS('قيود اليومية'!$G$11:$G$1010,'قيود اليومية'!$A$11:$A$1010,A70)-SUMIFS('قيود اليومية'!$H$11:$H$1010,'قيود اليومية'!$A$11:$A$1010,A70),2)&lt;&gt;0,"✖ غير متوازن","مرحل ✔")))</f>
        <v>مرحل ✔</v>
      </c>
      <c r="J70" s="55" t="str">
        <f aca="false">IF(C70="","",IFERROR(INDEX('شجرة الحسابات'!$E$9:$E$208,MATCH(C70,'شجرة الحسابات'!$A$9:$A$208,0))&amp;"",""))</f>
        <v>المصروفات</v>
      </c>
      <c r="K70" s="55" t="str">
        <f aca="false">IF(C70="","",IFERROR(INDEX('شجرة الحسابات'!$I$9:$I$208,MATCH(C70,'شجرة الحسابات'!$A$9:$A$208,0))&amp;"",""))</f>
        <v/>
      </c>
      <c r="L70" s="55" t="str">
        <f aca="false">IF(C70="","",IFERROR(INDEX('شجرة الحسابات'!$C$9:$C$208,MATCH(C70,'شجرة الحسابات'!$A$9:$A$208,0))&amp;"",""))</f>
        <v>تحليلي</v>
      </c>
      <c r="M70" s="55" t="str">
        <f aca="false">IF(AND(C70="",G70="",H70=""),"فارغ",IF(ISNA(MATCH(C70,'شجرة الحسابات'!$A$9:$A$208,0)),"حساب غير معرف",IF(L70&lt;&gt;"تحليلي","حساب تجميعي",IF(AND(N(G70)&gt;0,N(H70)&gt;0),"مدين ودائن معاً",IF(N(G70)+N(H70)=0,"بدون قيمة","OK")))))</f>
        <v>OK</v>
      </c>
      <c r="N70" s="55" t="str">
        <f aca="false">IF(AND(E70&lt;&gt;"",E70='كشف حساب مشروع'!$C$6,I70="مرحل ✔"),COUNTIFS($E$11:E70,'كشف حساب مشروع'!$C$6,$I$11:I70,"مرحل ✔"),"")</f>
        <v/>
      </c>
      <c r="O70" s="55" t="str">
        <f aca="false">IF(AND(C70&lt;&gt;"",C70='دفتر الأستاذ'!$C$6,I70="مرحل ✔"),COUNTIFS($C$11:C70,'دفتر الأستاذ'!$C$6,$I$11:I70,"مرحل ✔"),"")</f>
        <v/>
      </c>
    </row>
    <row r="71" customFormat="false" ht="15" hidden="false" customHeight="false" outlineLevel="0" collapsed="false">
      <c r="A71" s="49" t="n">
        <v>23</v>
      </c>
      <c r="B71" s="50" t="n">
        <v>46112</v>
      </c>
      <c r="C71" s="49" t="n">
        <v>6105</v>
      </c>
      <c r="D71" s="51" t="str">
        <f aca="false">IF(C71="","",IFERROR(INDEX('شجرة الحسابات'!$B$9:$B$208,MATCH(C71,'شجرة الحسابات'!$A$9:$A$208,0)),"⚠ حساب غير معرف"))</f>
        <v>مصاريف وعمولات بنكية</v>
      </c>
      <c r="E71" s="52"/>
      <c r="F71" s="52" t="s">
        <v>217</v>
      </c>
      <c r="G71" s="53" t="n">
        <v>3200</v>
      </c>
      <c r="H71" s="53"/>
      <c r="I71" s="54" t="str">
        <f aca="false">IF(A71="",IF(M71="فارغ","","✖ بدون رقم قيد"),IF(COUNTIFS('قيود اليومية'!$A$11:$A$1010,A71,'قيود اليومية'!$M$11:$M$1010,"&lt;&gt;OK",'قيود اليومية'!$M$11:$M$1010,"&lt;&gt;فارغ")&gt;0,"✖ خطأ بالحساب",IF(ROUND(SUMIFS('قيود اليومية'!$G$11:$G$1010,'قيود اليومية'!$A$11:$A$1010,A71)-SUMIFS('قيود اليومية'!$H$11:$H$1010,'قيود اليومية'!$A$11:$A$1010,A71),2)&lt;&gt;0,"✖ غير متوازن","مرحل ✔")))</f>
        <v>مرحل ✔</v>
      </c>
      <c r="J71" s="55" t="str">
        <f aca="false">IF(C71="","",IFERROR(INDEX('شجرة الحسابات'!$E$9:$E$208,MATCH(C71,'شجرة الحسابات'!$A$9:$A$208,0))&amp;"",""))</f>
        <v>المصروفات</v>
      </c>
      <c r="K71" s="55" t="str">
        <f aca="false">IF(C71="","",IFERROR(INDEX('شجرة الحسابات'!$I$9:$I$208,MATCH(C71,'شجرة الحسابات'!$A$9:$A$208,0))&amp;"",""))</f>
        <v/>
      </c>
      <c r="L71" s="55" t="str">
        <f aca="false">IF(C71="","",IFERROR(INDEX('شجرة الحسابات'!$C$9:$C$208,MATCH(C71,'شجرة الحسابات'!$A$9:$A$208,0))&amp;"",""))</f>
        <v>تحليلي</v>
      </c>
      <c r="M71" s="55" t="str">
        <f aca="false">IF(AND(C71="",G71="",H71=""),"فارغ",IF(ISNA(MATCH(C71,'شجرة الحسابات'!$A$9:$A$208,0)),"حساب غير معرف",IF(L71&lt;&gt;"تحليلي","حساب تجميعي",IF(AND(N(G71)&gt;0,N(H71)&gt;0),"مدين ودائن معاً",IF(N(G71)+N(H71)=0,"بدون قيمة","OK")))))</f>
        <v>OK</v>
      </c>
      <c r="N71" s="55" t="str">
        <f aca="false">IF(AND(E71&lt;&gt;"",E71='كشف حساب مشروع'!$C$6,I71="مرحل ✔"),COUNTIFS($E$11:E71,'كشف حساب مشروع'!$C$6,$I$11:I71,"مرحل ✔"),"")</f>
        <v/>
      </c>
      <c r="O71" s="55" t="str">
        <f aca="false">IF(AND(C71&lt;&gt;"",C71='دفتر الأستاذ'!$C$6,I71="مرحل ✔"),COUNTIFS($C$11:C71,'دفتر الأستاذ'!$C$6,$I$11:I71,"مرحل ✔"),"")</f>
        <v/>
      </c>
    </row>
    <row r="72" customFormat="false" ht="15" hidden="false" customHeight="false" outlineLevel="0" collapsed="false">
      <c r="A72" s="49" t="n">
        <v>23</v>
      </c>
      <c r="B72" s="50" t="n">
        <v>46112</v>
      </c>
      <c r="C72" s="49" t="n">
        <v>1102</v>
      </c>
      <c r="D72" s="51" t="str">
        <f aca="false">IF(C72="","",IFERROR(INDEX('شجرة الحسابات'!$B$9:$B$208,MATCH(C72,'شجرة الحسابات'!$A$9:$A$208,0)),"⚠ حساب غير معرف"))</f>
        <v>البنك - الحساب الجاري</v>
      </c>
      <c r="E72" s="52"/>
      <c r="F72" s="52" t="s">
        <v>218</v>
      </c>
      <c r="G72" s="53"/>
      <c r="H72" s="53" t="n">
        <v>48200</v>
      </c>
      <c r="I72" s="54" t="str">
        <f aca="false">IF(A72="",IF(M72="فارغ","","✖ بدون رقم قيد"),IF(COUNTIFS('قيود اليومية'!$A$11:$A$1010,A72,'قيود اليومية'!$M$11:$M$1010,"&lt;&gt;OK",'قيود اليومية'!$M$11:$M$1010,"&lt;&gt;فارغ")&gt;0,"✖ خطأ بالحساب",IF(ROUND(SUMIFS('قيود اليومية'!$G$11:$G$1010,'قيود اليومية'!$A$11:$A$1010,A72)-SUMIFS('قيود اليومية'!$H$11:$H$1010,'قيود اليومية'!$A$11:$A$1010,A72),2)&lt;&gt;0,"✖ غير متوازن","مرحل ✔")))</f>
        <v>مرحل ✔</v>
      </c>
      <c r="J72" s="55" t="str">
        <f aca="false">IF(C72="","",IFERROR(INDEX('شجرة الحسابات'!$E$9:$E$208,MATCH(C72,'شجرة الحسابات'!$A$9:$A$208,0))&amp;"",""))</f>
        <v>الأصول</v>
      </c>
      <c r="K72" s="55" t="str">
        <f aca="false">IF(C72="","",IFERROR(INDEX('شجرة الحسابات'!$I$9:$I$208,MATCH(C72,'شجرة الحسابات'!$A$9:$A$208,0))&amp;"",""))</f>
        <v/>
      </c>
      <c r="L72" s="55" t="str">
        <f aca="false">IF(C72="","",IFERROR(INDEX('شجرة الحسابات'!$C$9:$C$208,MATCH(C72,'شجرة الحسابات'!$A$9:$A$208,0))&amp;"",""))</f>
        <v>تحليلي</v>
      </c>
      <c r="M72" s="55" t="str">
        <f aca="false">IF(AND(C72="",G72="",H72=""),"فارغ",IF(ISNA(MATCH(C72,'شجرة الحسابات'!$A$9:$A$208,0)),"حساب غير معرف",IF(L72&lt;&gt;"تحليلي","حساب تجميعي",IF(AND(N(G72)&gt;0,N(H72)&gt;0),"مدين ودائن معاً",IF(N(G72)+N(H72)=0,"بدون قيمة","OK")))))</f>
        <v>OK</v>
      </c>
      <c r="N72" s="55" t="str">
        <f aca="false">IF(AND(E72&lt;&gt;"",E72='كشف حساب مشروع'!$C$6,I72="مرحل ✔"),COUNTIFS($E$11:E72,'كشف حساب مشروع'!$C$6,$I$11:I72,"مرحل ✔"),"")</f>
        <v/>
      </c>
      <c r="O72" s="55" t="n">
        <f aca="false">IF(AND(C72&lt;&gt;"",C72='دفتر الأستاذ'!$C$6,I72="مرحل ✔"),COUNTIFS($C$11:C72,'دفتر الأستاذ'!$C$6,$I$11:I72,"مرحل ✔"),"")</f>
        <v>14</v>
      </c>
    </row>
    <row r="73" customFormat="false" ht="15" hidden="false" customHeight="false" outlineLevel="0" collapsed="false">
      <c r="A73" s="49" t="n">
        <v>23</v>
      </c>
      <c r="B73" s="50" t="n">
        <v>46112</v>
      </c>
      <c r="C73" s="49" t="n">
        <v>1101</v>
      </c>
      <c r="D73" s="51" t="str">
        <f aca="false">IF(C73="","",IFERROR(INDEX('شجرة الحسابات'!$B$9:$B$208,MATCH(C73,'شجرة الحسابات'!$A$9:$A$208,0)),"⚠ حساب غير معرف"))</f>
        <v>الصندوق (النقدية بالخزينة)</v>
      </c>
      <c r="E73" s="52"/>
      <c r="F73" s="52" t="s">
        <v>218</v>
      </c>
      <c r="G73" s="53"/>
      <c r="H73" s="53" t="n">
        <v>12500</v>
      </c>
      <c r="I73" s="54" t="str">
        <f aca="false">IF(A73="",IF(M73="فارغ","","✖ بدون رقم قيد"),IF(COUNTIFS('قيود اليومية'!$A$11:$A$1010,A73,'قيود اليومية'!$M$11:$M$1010,"&lt;&gt;OK",'قيود اليومية'!$M$11:$M$1010,"&lt;&gt;فارغ")&gt;0,"✖ خطأ بالحساب",IF(ROUND(SUMIFS('قيود اليومية'!$G$11:$G$1010,'قيود اليومية'!$A$11:$A$1010,A73)-SUMIFS('قيود اليومية'!$H$11:$H$1010,'قيود اليومية'!$A$11:$A$1010,A73),2)&lt;&gt;0,"✖ غير متوازن","مرحل ✔")))</f>
        <v>مرحل ✔</v>
      </c>
      <c r="J73" s="55" t="str">
        <f aca="false">IF(C73="","",IFERROR(INDEX('شجرة الحسابات'!$E$9:$E$208,MATCH(C73,'شجرة الحسابات'!$A$9:$A$208,0))&amp;"",""))</f>
        <v>الأصول</v>
      </c>
      <c r="K73" s="55" t="str">
        <f aca="false">IF(C73="","",IFERROR(INDEX('شجرة الحسابات'!$I$9:$I$208,MATCH(C73,'شجرة الحسابات'!$A$9:$A$208,0))&amp;"",""))</f>
        <v/>
      </c>
      <c r="L73" s="55" t="str">
        <f aca="false">IF(C73="","",IFERROR(INDEX('شجرة الحسابات'!$C$9:$C$208,MATCH(C73,'شجرة الحسابات'!$A$9:$A$208,0))&amp;"",""))</f>
        <v>تحليلي</v>
      </c>
      <c r="M73" s="55" t="str">
        <f aca="false">IF(AND(C73="",G73="",H73=""),"فارغ",IF(ISNA(MATCH(C73,'شجرة الحسابات'!$A$9:$A$208,0)),"حساب غير معرف",IF(L73&lt;&gt;"تحليلي","حساب تجميعي",IF(AND(N(G73)&gt;0,N(H73)&gt;0),"مدين ودائن معاً",IF(N(G73)+N(H73)=0,"بدون قيمة","OK")))))</f>
        <v>OK</v>
      </c>
      <c r="N73" s="55" t="str">
        <f aca="false">IF(AND(E73&lt;&gt;"",E73='كشف حساب مشروع'!$C$6,I73="مرحل ✔"),COUNTIFS($E$11:E73,'كشف حساب مشروع'!$C$6,$I$11:I73,"مرحل ✔"),"")</f>
        <v/>
      </c>
      <c r="O73" s="55" t="str">
        <f aca="false">IF(AND(C73&lt;&gt;"",C73='دفتر الأستاذ'!$C$6,I73="مرحل ✔"),COUNTIFS($C$11:C73,'دفتر الأستاذ'!$C$6,$I$11:I73,"مرحل ✔"),"")</f>
        <v/>
      </c>
    </row>
    <row r="74" customFormat="false" ht="15" hidden="false" customHeight="false" outlineLevel="0" collapsed="false">
      <c r="A74" s="49" t="n">
        <v>24</v>
      </c>
      <c r="B74" s="50" t="n">
        <v>46112</v>
      </c>
      <c r="C74" s="49" t="n">
        <v>5106</v>
      </c>
      <c r="D74" s="51" t="str">
        <f aca="false">IF(C74="","",IFERROR(INDEX('شجرة الحسابات'!$B$9:$B$208,MATCH(C74,'شجرة الحسابات'!$A$9:$A$208,0)),"⚠ حساب غير معرف"))</f>
        <v>إهلاك معدات المشروعات</v>
      </c>
      <c r="E74" s="52" t="s">
        <v>176</v>
      </c>
      <c r="F74" s="52" t="s">
        <v>219</v>
      </c>
      <c r="G74" s="53" t="n">
        <v>20000</v>
      </c>
      <c r="H74" s="53"/>
      <c r="I74" s="54" t="str">
        <f aca="false">IF(A74="",IF(M74="فارغ","","✖ بدون رقم قيد"),IF(COUNTIFS('قيود اليومية'!$A$11:$A$1010,A74,'قيود اليومية'!$M$11:$M$1010,"&lt;&gt;OK",'قيود اليومية'!$M$11:$M$1010,"&lt;&gt;فارغ")&gt;0,"✖ خطأ بالحساب",IF(ROUND(SUMIFS('قيود اليومية'!$G$11:$G$1010,'قيود اليومية'!$A$11:$A$1010,A74)-SUMIFS('قيود اليومية'!$H$11:$H$1010,'قيود اليومية'!$A$11:$A$1010,A74),2)&lt;&gt;0,"✖ غير متوازن","مرحل ✔")))</f>
        <v>مرحل ✔</v>
      </c>
      <c r="J74" s="55" t="str">
        <f aca="false">IF(C74="","",IFERROR(INDEX('شجرة الحسابات'!$E$9:$E$208,MATCH(C74,'شجرة الحسابات'!$A$9:$A$208,0))&amp;"",""))</f>
        <v>المصروفات</v>
      </c>
      <c r="K74" s="55" t="str">
        <f aca="false">IF(C74="","",IFERROR(INDEX('شجرة الحسابات'!$I$9:$I$208,MATCH(C74,'شجرة الحسابات'!$A$9:$A$208,0))&amp;"",""))</f>
        <v>معدات</v>
      </c>
      <c r="L74" s="55" t="str">
        <f aca="false">IF(C74="","",IFERROR(INDEX('شجرة الحسابات'!$C$9:$C$208,MATCH(C74,'شجرة الحسابات'!$A$9:$A$208,0))&amp;"",""))</f>
        <v>تحليلي</v>
      </c>
      <c r="M74" s="55" t="str">
        <f aca="false">IF(AND(C74="",G74="",H74=""),"فارغ",IF(ISNA(MATCH(C74,'شجرة الحسابات'!$A$9:$A$208,0)),"حساب غير معرف",IF(L74&lt;&gt;"تحليلي","حساب تجميعي",IF(AND(N(G74)&gt;0,N(H74)&gt;0),"مدين ودائن معاً",IF(N(G74)+N(H74)=0,"بدون قيمة","OK")))))</f>
        <v>OK</v>
      </c>
      <c r="N74" s="55" t="n">
        <f aca="false">IF(AND(E74&lt;&gt;"",E74='كشف حساب مشروع'!$C$6,I74="مرحل ✔"),COUNTIFS($E$11:E74,'كشف حساب مشروع'!$C$6,$I$11:I74,"مرحل ✔"),"")</f>
        <v>24</v>
      </c>
      <c r="O74" s="55" t="str">
        <f aca="false">IF(AND(C74&lt;&gt;"",C74='دفتر الأستاذ'!$C$6,I74="مرحل ✔"),COUNTIFS($C$11:C74,'دفتر الأستاذ'!$C$6,$I$11:I74,"مرحل ✔"),"")</f>
        <v/>
      </c>
    </row>
    <row r="75" customFormat="false" ht="15" hidden="false" customHeight="false" outlineLevel="0" collapsed="false">
      <c r="A75" s="49" t="n">
        <v>24</v>
      </c>
      <c r="B75" s="50" t="n">
        <v>46112</v>
      </c>
      <c r="C75" s="49" t="n">
        <v>5106</v>
      </c>
      <c r="D75" s="51" t="str">
        <f aca="false">IF(C75="","",IFERROR(INDEX('شجرة الحسابات'!$B$9:$B$208,MATCH(C75,'شجرة الحسابات'!$A$9:$A$208,0)),"⚠ حساب غير معرف"))</f>
        <v>إهلاك معدات المشروعات</v>
      </c>
      <c r="E75" s="52" t="s">
        <v>178</v>
      </c>
      <c r="F75" s="52" t="s">
        <v>219</v>
      </c>
      <c r="G75" s="53" t="n">
        <v>10000</v>
      </c>
      <c r="H75" s="53"/>
      <c r="I75" s="54" t="str">
        <f aca="false">IF(A75="",IF(M75="فارغ","","✖ بدون رقم قيد"),IF(COUNTIFS('قيود اليومية'!$A$11:$A$1010,A75,'قيود اليومية'!$M$11:$M$1010,"&lt;&gt;OK",'قيود اليومية'!$M$11:$M$1010,"&lt;&gt;فارغ")&gt;0,"✖ خطأ بالحساب",IF(ROUND(SUMIFS('قيود اليومية'!$G$11:$G$1010,'قيود اليومية'!$A$11:$A$1010,A75)-SUMIFS('قيود اليومية'!$H$11:$H$1010,'قيود اليومية'!$A$11:$A$1010,A75),2)&lt;&gt;0,"✖ غير متوازن","مرحل ✔")))</f>
        <v>مرحل ✔</v>
      </c>
      <c r="J75" s="55" t="str">
        <f aca="false">IF(C75="","",IFERROR(INDEX('شجرة الحسابات'!$E$9:$E$208,MATCH(C75,'شجرة الحسابات'!$A$9:$A$208,0))&amp;"",""))</f>
        <v>المصروفات</v>
      </c>
      <c r="K75" s="55" t="str">
        <f aca="false">IF(C75="","",IFERROR(INDEX('شجرة الحسابات'!$I$9:$I$208,MATCH(C75,'شجرة الحسابات'!$A$9:$A$208,0))&amp;"",""))</f>
        <v>معدات</v>
      </c>
      <c r="L75" s="55" t="str">
        <f aca="false">IF(C75="","",IFERROR(INDEX('شجرة الحسابات'!$C$9:$C$208,MATCH(C75,'شجرة الحسابات'!$A$9:$A$208,0))&amp;"",""))</f>
        <v>تحليلي</v>
      </c>
      <c r="M75" s="55" t="str">
        <f aca="false">IF(AND(C75="",G75="",H75=""),"فارغ",IF(ISNA(MATCH(C75,'شجرة الحسابات'!$A$9:$A$208,0)),"حساب غير معرف",IF(L75&lt;&gt;"تحليلي","حساب تجميعي",IF(AND(N(G75)&gt;0,N(H75)&gt;0),"مدين ودائن معاً",IF(N(G75)+N(H75)=0,"بدون قيمة","OK")))))</f>
        <v>OK</v>
      </c>
      <c r="N75" s="55" t="str">
        <f aca="false">IF(AND(E75&lt;&gt;"",E75='كشف حساب مشروع'!$C$6,I75="مرحل ✔"),COUNTIFS($E$11:E75,'كشف حساب مشروع'!$C$6,$I$11:I75,"مرحل ✔"),"")</f>
        <v/>
      </c>
      <c r="O75" s="55" t="str">
        <f aca="false">IF(AND(C75&lt;&gt;"",C75='دفتر الأستاذ'!$C$6,I75="مرحل ✔"),COUNTIFS($C$11:C75,'دفتر الأستاذ'!$C$6,$I$11:I75,"مرحل ✔"),"")</f>
        <v/>
      </c>
    </row>
    <row r="76" customFormat="false" ht="15" hidden="false" customHeight="false" outlineLevel="0" collapsed="false">
      <c r="A76" s="49" t="n">
        <v>24</v>
      </c>
      <c r="B76" s="50" t="n">
        <v>46112</v>
      </c>
      <c r="C76" s="49" t="n">
        <v>6104</v>
      </c>
      <c r="D76" s="51" t="str">
        <f aca="false">IF(C76="","",IFERROR(INDEX('شجرة الحسابات'!$B$9:$B$208,MATCH(C76,'شجرة الحسابات'!$A$9:$A$208,0)),"⚠ حساب غير معرف"))</f>
        <v>إهلاك الأصول الإدارية</v>
      </c>
      <c r="E76" s="52"/>
      <c r="F76" s="52" t="s">
        <v>220</v>
      </c>
      <c r="G76" s="53" t="n">
        <v>5000</v>
      </c>
      <c r="H76" s="53"/>
      <c r="I76" s="54" t="str">
        <f aca="false">IF(A76="",IF(M76="فارغ","","✖ بدون رقم قيد"),IF(COUNTIFS('قيود اليومية'!$A$11:$A$1010,A76,'قيود اليومية'!$M$11:$M$1010,"&lt;&gt;OK",'قيود اليومية'!$M$11:$M$1010,"&lt;&gt;فارغ")&gt;0,"✖ خطأ بالحساب",IF(ROUND(SUMIFS('قيود اليومية'!$G$11:$G$1010,'قيود اليومية'!$A$11:$A$1010,A76)-SUMIFS('قيود اليومية'!$H$11:$H$1010,'قيود اليومية'!$A$11:$A$1010,A76),2)&lt;&gt;0,"✖ غير متوازن","مرحل ✔")))</f>
        <v>مرحل ✔</v>
      </c>
      <c r="J76" s="55" t="str">
        <f aca="false">IF(C76="","",IFERROR(INDEX('شجرة الحسابات'!$E$9:$E$208,MATCH(C76,'شجرة الحسابات'!$A$9:$A$208,0))&amp;"",""))</f>
        <v>المصروفات</v>
      </c>
      <c r="K76" s="55" t="str">
        <f aca="false">IF(C76="","",IFERROR(INDEX('شجرة الحسابات'!$I$9:$I$208,MATCH(C76,'شجرة الحسابات'!$A$9:$A$208,0))&amp;"",""))</f>
        <v/>
      </c>
      <c r="L76" s="55" t="str">
        <f aca="false">IF(C76="","",IFERROR(INDEX('شجرة الحسابات'!$C$9:$C$208,MATCH(C76,'شجرة الحسابات'!$A$9:$A$208,0))&amp;"",""))</f>
        <v>تحليلي</v>
      </c>
      <c r="M76" s="55" t="str">
        <f aca="false">IF(AND(C76="",G76="",H76=""),"فارغ",IF(ISNA(MATCH(C76,'شجرة الحسابات'!$A$9:$A$208,0)),"حساب غير معرف",IF(L76&lt;&gt;"تحليلي","حساب تجميعي",IF(AND(N(G76)&gt;0,N(H76)&gt;0),"مدين ودائن معاً",IF(N(G76)+N(H76)=0,"بدون قيمة","OK")))))</f>
        <v>OK</v>
      </c>
      <c r="N76" s="55" t="str">
        <f aca="false">IF(AND(E76&lt;&gt;"",E76='كشف حساب مشروع'!$C$6,I76="مرحل ✔"),COUNTIFS($E$11:E76,'كشف حساب مشروع'!$C$6,$I$11:I76,"مرحل ✔"),"")</f>
        <v/>
      </c>
      <c r="O76" s="55" t="str">
        <f aca="false">IF(AND(C76&lt;&gt;"",C76='دفتر الأستاذ'!$C$6,I76="مرحل ✔"),COUNTIFS($C$11:C76,'دفتر الأستاذ'!$C$6,$I$11:I76,"مرحل ✔"),"")</f>
        <v/>
      </c>
    </row>
    <row r="77" customFormat="false" ht="15" hidden="false" customHeight="false" outlineLevel="0" collapsed="false">
      <c r="A77" s="49" t="n">
        <v>24</v>
      </c>
      <c r="B77" s="50" t="n">
        <v>46112</v>
      </c>
      <c r="C77" s="49" t="n">
        <v>1204</v>
      </c>
      <c r="D77" s="51" t="str">
        <f aca="false">IF(C77="","",IFERROR(INDEX('شجرة الحسابات'!$B$9:$B$208,MATCH(C77,'شجرة الحسابات'!$A$9:$A$208,0)),"⚠ حساب غير معرف"))</f>
        <v>مجمع إهلاك الأصول الثابتة</v>
      </c>
      <c r="E77" s="52"/>
      <c r="F77" s="52" t="s">
        <v>221</v>
      </c>
      <c r="G77" s="53"/>
      <c r="H77" s="53" t="n">
        <v>35000</v>
      </c>
      <c r="I77" s="54" t="str">
        <f aca="false">IF(A77="",IF(M77="فارغ","","✖ بدون رقم قيد"),IF(COUNTIFS('قيود اليومية'!$A$11:$A$1010,A77,'قيود اليومية'!$M$11:$M$1010,"&lt;&gt;OK",'قيود اليومية'!$M$11:$M$1010,"&lt;&gt;فارغ")&gt;0,"✖ خطأ بالحساب",IF(ROUND(SUMIFS('قيود اليومية'!$G$11:$G$1010,'قيود اليومية'!$A$11:$A$1010,A77)-SUMIFS('قيود اليومية'!$H$11:$H$1010,'قيود اليومية'!$A$11:$A$1010,A77),2)&lt;&gt;0,"✖ غير متوازن","مرحل ✔")))</f>
        <v>مرحل ✔</v>
      </c>
      <c r="J77" s="55" t="str">
        <f aca="false">IF(C77="","",IFERROR(INDEX('شجرة الحسابات'!$E$9:$E$208,MATCH(C77,'شجرة الحسابات'!$A$9:$A$208,0))&amp;"",""))</f>
        <v>الأصول</v>
      </c>
      <c r="K77" s="55" t="str">
        <f aca="false">IF(C77="","",IFERROR(INDEX('شجرة الحسابات'!$I$9:$I$208,MATCH(C77,'شجرة الحسابات'!$A$9:$A$208,0))&amp;"",""))</f>
        <v/>
      </c>
      <c r="L77" s="55" t="str">
        <f aca="false">IF(C77="","",IFERROR(INDEX('شجرة الحسابات'!$C$9:$C$208,MATCH(C77,'شجرة الحسابات'!$A$9:$A$208,0))&amp;"",""))</f>
        <v>تحليلي</v>
      </c>
      <c r="M77" s="55" t="str">
        <f aca="false">IF(AND(C77="",G77="",H77=""),"فارغ",IF(ISNA(MATCH(C77,'شجرة الحسابات'!$A$9:$A$208,0)),"حساب غير معرف",IF(L77&lt;&gt;"تحليلي","حساب تجميعي",IF(AND(N(G77)&gt;0,N(H77)&gt;0),"مدين ودائن معاً",IF(N(G77)+N(H77)=0,"بدون قيمة","OK")))))</f>
        <v>OK</v>
      </c>
      <c r="N77" s="55" t="str">
        <f aca="false">IF(AND(E77&lt;&gt;"",E77='كشف حساب مشروع'!$C$6,I77="مرحل ✔"),COUNTIFS($E$11:E77,'كشف حساب مشروع'!$C$6,$I$11:I77,"مرحل ✔"),"")</f>
        <v/>
      </c>
      <c r="O77" s="55" t="str">
        <f aca="false">IF(AND(C77&lt;&gt;"",C77='دفتر الأستاذ'!$C$6,I77="مرحل ✔"),COUNTIFS($C$11:C77,'دفتر الأستاذ'!$C$6,$I$11:I77,"مرحل ✔"),"")</f>
        <v/>
      </c>
    </row>
    <row r="78" customFormat="false" ht="15" hidden="false" customHeight="false" outlineLevel="0" collapsed="false">
      <c r="A78" s="49" t="n">
        <v>25</v>
      </c>
      <c r="B78" s="50" t="n">
        <v>46112</v>
      </c>
      <c r="C78" s="49" t="n">
        <v>5102</v>
      </c>
      <c r="D78" s="51" t="str">
        <f aca="false">IF(C78="","",IFERROR(INDEX('شجرة الحسابات'!$B$9:$B$208,MATCH(C78,'شجرة الحسابات'!$A$9:$A$208,0)),"⚠ حساب غير معرف"))</f>
        <v>أجور العمالة المباشرة</v>
      </c>
      <c r="E78" s="52" t="s">
        <v>178</v>
      </c>
      <c r="F78" s="52" t="s">
        <v>222</v>
      </c>
      <c r="G78" s="53" t="n">
        <v>40000</v>
      </c>
      <c r="H78" s="53"/>
      <c r="I78" s="54" t="str">
        <f aca="false">IF(A78="",IF(M78="فارغ","","✖ بدون رقم قيد"),IF(COUNTIFS('قيود اليومية'!$A$11:$A$1010,A78,'قيود اليومية'!$M$11:$M$1010,"&lt;&gt;OK",'قيود اليومية'!$M$11:$M$1010,"&lt;&gt;فارغ")&gt;0,"✖ خطأ بالحساب",IF(ROUND(SUMIFS('قيود اليومية'!$G$11:$G$1010,'قيود اليومية'!$A$11:$A$1010,A78)-SUMIFS('قيود اليومية'!$H$11:$H$1010,'قيود اليومية'!$A$11:$A$1010,A78),2)&lt;&gt;0,"✖ غير متوازن","مرحل ✔")))</f>
        <v>مرحل ✔</v>
      </c>
      <c r="J78" s="55" t="str">
        <f aca="false">IF(C78="","",IFERROR(INDEX('شجرة الحسابات'!$E$9:$E$208,MATCH(C78,'شجرة الحسابات'!$A$9:$A$208,0))&amp;"",""))</f>
        <v>المصروفات</v>
      </c>
      <c r="K78" s="55" t="str">
        <f aca="false">IF(C78="","",IFERROR(INDEX('شجرة الحسابات'!$I$9:$I$208,MATCH(C78,'شجرة الحسابات'!$A$9:$A$208,0))&amp;"",""))</f>
        <v>أجور عمال</v>
      </c>
      <c r="L78" s="55" t="str">
        <f aca="false">IF(C78="","",IFERROR(INDEX('شجرة الحسابات'!$C$9:$C$208,MATCH(C78,'شجرة الحسابات'!$A$9:$A$208,0))&amp;"",""))</f>
        <v>تحليلي</v>
      </c>
      <c r="M78" s="55" t="str">
        <f aca="false">IF(AND(C78="",G78="",H78=""),"فارغ",IF(ISNA(MATCH(C78,'شجرة الحسابات'!$A$9:$A$208,0)),"حساب غير معرف",IF(L78&lt;&gt;"تحليلي","حساب تجميعي",IF(AND(N(G78)&gt;0,N(H78)&gt;0),"مدين ودائن معاً",IF(N(G78)+N(H78)=0,"بدون قيمة","OK")))))</f>
        <v>OK</v>
      </c>
      <c r="N78" s="55" t="str">
        <f aca="false">IF(AND(E78&lt;&gt;"",E78='كشف حساب مشروع'!$C$6,I78="مرحل ✔"),COUNTIFS($E$11:E78,'كشف حساب مشروع'!$C$6,$I$11:I78,"مرحل ✔"),"")</f>
        <v/>
      </c>
      <c r="O78" s="55" t="str">
        <f aca="false">IF(AND(C78&lt;&gt;"",C78='دفتر الأستاذ'!$C$6,I78="مرحل ✔"),COUNTIFS($C$11:C78,'دفتر الأستاذ'!$C$6,$I$11:I78,"مرحل ✔"),"")</f>
        <v/>
      </c>
    </row>
    <row r="79" customFormat="false" ht="15" hidden="false" customHeight="false" outlineLevel="0" collapsed="false">
      <c r="A79" s="49" t="n">
        <v>25</v>
      </c>
      <c r="B79" s="50" t="n">
        <v>46112</v>
      </c>
      <c r="C79" s="49" t="n">
        <v>2106</v>
      </c>
      <c r="D79" s="51" t="str">
        <f aca="false">IF(C79="","",IFERROR(INDEX('شجرة الحسابات'!$B$9:$B$208,MATCH(C79,'شجرة الحسابات'!$A$9:$A$208,0)),"⚠ حساب غير معرف"))</f>
        <v>رواتب وأجور مستحقة</v>
      </c>
      <c r="E79" s="52" t="s">
        <v>178</v>
      </c>
      <c r="F79" s="52" t="s">
        <v>222</v>
      </c>
      <c r="G79" s="53"/>
      <c r="H79" s="53" t="n">
        <v>40000</v>
      </c>
      <c r="I79" s="54" t="str">
        <f aca="false">IF(A79="",IF(M79="فارغ","","✖ بدون رقم قيد"),IF(COUNTIFS('قيود اليومية'!$A$11:$A$1010,A79,'قيود اليومية'!$M$11:$M$1010,"&lt;&gt;OK",'قيود اليومية'!$M$11:$M$1010,"&lt;&gt;فارغ")&gt;0,"✖ خطأ بالحساب",IF(ROUND(SUMIFS('قيود اليومية'!$G$11:$G$1010,'قيود اليومية'!$A$11:$A$1010,A79)-SUMIFS('قيود اليومية'!$H$11:$H$1010,'قيود اليومية'!$A$11:$A$1010,A79),2)&lt;&gt;0,"✖ غير متوازن","مرحل ✔")))</f>
        <v>مرحل ✔</v>
      </c>
      <c r="J79" s="55" t="str">
        <f aca="false">IF(C79="","",IFERROR(INDEX('شجرة الحسابات'!$E$9:$E$208,MATCH(C79,'شجرة الحسابات'!$A$9:$A$208,0))&amp;"",""))</f>
        <v>الخصوم</v>
      </c>
      <c r="K79" s="55" t="str">
        <f aca="false">IF(C79="","",IFERROR(INDEX('شجرة الحسابات'!$I$9:$I$208,MATCH(C79,'شجرة الحسابات'!$A$9:$A$208,0))&amp;"",""))</f>
        <v/>
      </c>
      <c r="L79" s="55" t="str">
        <f aca="false">IF(C79="","",IFERROR(INDEX('شجرة الحسابات'!$C$9:$C$208,MATCH(C79,'شجرة الحسابات'!$A$9:$A$208,0))&amp;"",""))</f>
        <v>تحليلي</v>
      </c>
      <c r="M79" s="55" t="str">
        <f aca="false">IF(AND(C79="",G79="",H79=""),"فارغ",IF(ISNA(MATCH(C79,'شجرة الحسابات'!$A$9:$A$208,0)),"حساب غير معرف",IF(L79&lt;&gt;"تحليلي","حساب تجميعي",IF(AND(N(G79)&gt;0,N(H79)&gt;0),"مدين ودائن معاً",IF(N(G79)+N(H79)=0,"بدون قيمة","OK")))))</f>
        <v>OK</v>
      </c>
      <c r="N79" s="55" t="str">
        <f aca="false">IF(AND(E79&lt;&gt;"",E79='كشف حساب مشروع'!$C$6,I79="مرحل ✔"),COUNTIFS($E$11:E79,'كشف حساب مشروع'!$C$6,$I$11:I79,"مرحل ✔"),"")</f>
        <v/>
      </c>
      <c r="O79" s="55" t="str">
        <f aca="false">IF(AND(C79&lt;&gt;"",C79='دفتر الأستاذ'!$C$6,I79="مرحل ✔"),COUNTIFS($C$11:C79,'دفتر الأستاذ'!$C$6,$I$11:I79,"مرحل ✔"),"")</f>
        <v/>
      </c>
    </row>
    <row r="80" customFormat="false" ht="15" hidden="false" customHeight="false" outlineLevel="0" collapsed="false">
      <c r="A80" s="49" t="n">
        <v>26</v>
      </c>
      <c r="B80" s="50" t="n">
        <v>46112</v>
      </c>
      <c r="C80" s="49" t="n">
        <v>1105</v>
      </c>
      <c r="D80" s="51" t="str">
        <f aca="false">IF(C80="","",IFERROR(INDEX('شجرة الحسابات'!$B$9:$B$208,MATCH(C80,'شجرة الحسابات'!$A$9:$A$208,0)),"⚠ حساب غير معرف"))</f>
        <v>إيرادات مستحقة - أعمال منفذة غير مفوترة</v>
      </c>
      <c r="E80" s="52" t="s">
        <v>178</v>
      </c>
      <c r="F80" s="52" t="s">
        <v>223</v>
      </c>
      <c r="G80" s="53" t="n">
        <v>180000</v>
      </c>
      <c r="H80" s="53"/>
      <c r="I80" s="54" t="str">
        <f aca="false">IF(A80="",IF(M80="فارغ","","✖ بدون رقم قيد"),IF(COUNTIFS('قيود اليومية'!$A$11:$A$1010,A80,'قيود اليومية'!$M$11:$M$1010,"&lt;&gt;OK",'قيود اليومية'!$M$11:$M$1010,"&lt;&gt;فارغ")&gt;0,"✖ خطأ بالحساب",IF(ROUND(SUMIFS('قيود اليومية'!$G$11:$G$1010,'قيود اليومية'!$A$11:$A$1010,A80)-SUMIFS('قيود اليومية'!$H$11:$H$1010,'قيود اليومية'!$A$11:$A$1010,A80),2)&lt;&gt;0,"✖ غير متوازن","مرحل ✔")))</f>
        <v>مرحل ✔</v>
      </c>
      <c r="J80" s="55" t="str">
        <f aca="false">IF(C80="","",IFERROR(INDEX('شجرة الحسابات'!$E$9:$E$208,MATCH(C80,'شجرة الحسابات'!$A$9:$A$208,0))&amp;"",""))</f>
        <v>الأصول</v>
      </c>
      <c r="K80" s="55" t="str">
        <f aca="false">IF(C80="","",IFERROR(INDEX('شجرة الحسابات'!$I$9:$I$208,MATCH(C80,'شجرة الحسابات'!$A$9:$A$208,0))&amp;"",""))</f>
        <v/>
      </c>
      <c r="L80" s="55" t="str">
        <f aca="false">IF(C80="","",IFERROR(INDEX('شجرة الحسابات'!$C$9:$C$208,MATCH(C80,'شجرة الحسابات'!$A$9:$A$208,0))&amp;"",""))</f>
        <v>تحليلي</v>
      </c>
      <c r="M80" s="55" t="str">
        <f aca="false">IF(AND(C80="",G80="",H80=""),"فارغ",IF(ISNA(MATCH(C80,'شجرة الحسابات'!$A$9:$A$208,0)),"حساب غير معرف",IF(L80&lt;&gt;"تحليلي","حساب تجميعي",IF(AND(N(G80)&gt;0,N(H80)&gt;0),"مدين ودائن معاً",IF(N(G80)+N(H80)=0,"بدون قيمة","OK")))))</f>
        <v>OK</v>
      </c>
      <c r="N80" s="55" t="str">
        <f aca="false">IF(AND(E80&lt;&gt;"",E80='كشف حساب مشروع'!$C$6,I80="مرحل ✔"),COUNTIFS($E$11:E80,'كشف حساب مشروع'!$C$6,$I$11:I80,"مرحل ✔"),"")</f>
        <v/>
      </c>
      <c r="O80" s="55" t="str">
        <f aca="false">IF(AND(C80&lt;&gt;"",C80='دفتر الأستاذ'!$C$6,I80="مرحل ✔"),COUNTIFS($C$11:C80,'دفتر الأستاذ'!$C$6,$I$11:I80,"مرحل ✔"),"")</f>
        <v/>
      </c>
    </row>
    <row r="81" customFormat="false" ht="15" hidden="false" customHeight="false" outlineLevel="0" collapsed="false">
      <c r="A81" s="49" t="n">
        <v>26</v>
      </c>
      <c r="B81" s="50" t="n">
        <v>46112</v>
      </c>
      <c r="C81" s="49" t="n">
        <v>4101</v>
      </c>
      <c r="D81" s="51" t="str">
        <f aca="false">IF(C81="","",IFERROR(INDEX('شجرة الحسابات'!$B$9:$B$208,MATCH(C81,'شجرة الحسابات'!$A$9:$A$208,0)),"⚠ حساب غير معرف"))</f>
        <v>إيرادات المستخلصات</v>
      </c>
      <c r="E81" s="52" t="s">
        <v>178</v>
      </c>
      <c r="F81" s="52" t="s">
        <v>224</v>
      </c>
      <c r="G81" s="53"/>
      <c r="H81" s="53" t="n">
        <v>180000</v>
      </c>
      <c r="I81" s="54" t="str">
        <f aca="false">IF(A81="",IF(M81="فارغ","","✖ بدون رقم قيد"),IF(COUNTIFS('قيود اليومية'!$A$11:$A$1010,A81,'قيود اليومية'!$M$11:$M$1010,"&lt;&gt;OK",'قيود اليومية'!$M$11:$M$1010,"&lt;&gt;فارغ")&gt;0,"✖ خطأ بالحساب",IF(ROUND(SUMIFS('قيود اليومية'!$G$11:$G$1010,'قيود اليومية'!$A$11:$A$1010,A81)-SUMIFS('قيود اليومية'!$H$11:$H$1010,'قيود اليومية'!$A$11:$A$1010,A81),2)&lt;&gt;0,"✖ غير متوازن","مرحل ✔")))</f>
        <v>مرحل ✔</v>
      </c>
      <c r="J81" s="55" t="str">
        <f aca="false">IF(C81="","",IFERROR(INDEX('شجرة الحسابات'!$E$9:$E$208,MATCH(C81,'شجرة الحسابات'!$A$9:$A$208,0))&amp;"",""))</f>
        <v>الإيرادات</v>
      </c>
      <c r="K81" s="55" t="str">
        <f aca="false">IF(C81="","",IFERROR(INDEX('شجرة الحسابات'!$I$9:$I$208,MATCH(C81,'شجرة الحسابات'!$A$9:$A$208,0))&amp;"",""))</f>
        <v/>
      </c>
      <c r="L81" s="55" t="str">
        <f aca="false">IF(C81="","",IFERROR(INDEX('شجرة الحسابات'!$C$9:$C$208,MATCH(C81,'شجرة الحسابات'!$A$9:$A$208,0))&amp;"",""))</f>
        <v>تحليلي</v>
      </c>
      <c r="M81" s="55" t="str">
        <f aca="false">IF(AND(C81="",G81="",H81=""),"فارغ",IF(ISNA(MATCH(C81,'شجرة الحسابات'!$A$9:$A$208,0)),"حساب غير معرف",IF(L81&lt;&gt;"تحليلي","حساب تجميعي",IF(AND(N(G81)&gt;0,N(H81)&gt;0),"مدين ودائن معاً",IF(N(G81)+N(H81)=0,"بدون قيمة","OK")))))</f>
        <v>OK</v>
      </c>
      <c r="N81" s="55" t="str">
        <f aca="false">IF(AND(E81&lt;&gt;"",E81='كشف حساب مشروع'!$C$6,I81="مرحل ✔"),COUNTIFS($E$11:E81,'كشف حساب مشروع'!$C$6,$I$11:I81,"مرحل ✔"),"")</f>
        <v/>
      </c>
      <c r="O81" s="55" t="str">
        <f aca="false">IF(AND(C81&lt;&gt;"",C81='دفتر الأستاذ'!$C$6,I81="مرحل ✔"),COUNTIFS($C$11:C81,'دفتر الأستاذ'!$C$6,$I$11:I81,"مرحل ✔"),"")</f>
        <v/>
      </c>
    </row>
    <row r="82" customFormat="false" ht="15" hidden="false" customHeight="false" outlineLevel="0" collapsed="false">
      <c r="A82" s="49" t="n">
        <v>27</v>
      </c>
      <c r="B82" s="50" t="n">
        <v>46112</v>
      </c>
      <c r="C82" s="49" t="n">
        <v>3104</v>
      </c>
      <c r="D82" s="51" t="str">
        <f aca="false">IF(C82="","",IFERROR(INDEX('شجرة الحسابات'!$B$9:$B$208,MATCH(C82,'شجرة الحسابات'!$A$9:$A$208,0)),"⚠ حساب غير معرف"))</f>
        <v>جاري الشركاء (مسحوبات)</v>
      </c>
      <c r="E82" s="52"/>
      <c r="F82" s="52" t="s">
        <v>225</v>
      </c>
      <c r="G82" s="53" t="n">
        <v>40000</v>
      </c>
      <c r="H82" s="53"/>
      <c r="I82" s="54" t="str">
        <f aca="false">IF(A82="",IF(M82="فارغ","","✖ بدون رقم قيد"),IF(COUNTIFS('قيود اليومية'!$A$11:$A$1010,A82,'قيود اليومية'!$M$11:$M$1010,"&lt;&gt;OK",'قيود اليومية'!$M$11:$M$1010,"&lt;&gt;فارغ")&gt;0,"✖ خطأ بالحساب",IF(ROUND(SUMIFS('قيود اليومية'!$G$11:$G$1010,'قيود اليومية'!$A$11:$A$1010,A82)-SUMIFS('قيود اليومية'!$H$11:$H$1010,'قيود اليومية'!$A$11:$A$1010,A82),2)&lt;&gt;0,"✖ غير متوازن","مرحل ✔")))</f>
        <v>مرحل ✔</v>
      </c>
      <c r="J82" s="55" t="str">
        <f aca="false">IF(C82="","",IFERROR(INDEX('شجرة الحسابات'!$E$9:$E$208,MATCH(C82,'شجرة الحسابات'!$A$9:$A$208,0))&amp;"",""))</f>
        <v>حقوق الملكية</v>
      </c>
      <c r="K82" s="55" t="str">
        <f aca="false">IF(C82="","",IFERROR(INDEX('شجرة الحسابات'!$I$9:$I$208,MATCH(C82,'شجرة الحسابات'!$A$9:$A$208,0))&amp;"",""))</f>
        <v/>
      </c>
      <c r="L82" s="55" t="str">
        <f aca="false">IF(C82="","",IFERROR(INDEX('شجرة الحسابات'!$C$9:$C$208,MATCH(C82,'شجرة الحسابات'!$A$9:$A$208,0))&amp;"",""))</f>
        <v>تحليلي</v>
      </c>
      <c r="M82" s="55" t="str">
        <f aca="false">IF(AND(C82="",G82="",H82=""),"فارغ",IF(ISNA(MATCH(C82,'شجرة الحسابات'!$A$9:$A$208,0)),"حساب غير معرف",IF(L82&lt;&gt;"تحليلي","حساب تجميعي",IF(AND(N(G82)&gt;0,N(H82)&gt;0),"مدين ودائن معاً",IF(N(G82)+N(H82)=0,"بدون قيمة","OK")))))</f>
        <v>OK</v>
      </c>
      <c r="N82" s="55" t="str">
        <f aca="false">IF(AND(E82&lt;&gt;"",E82='كشف حساب مشروع'!$C$6,I82="مرحل ✔"),COUNTIFS($E$11:E82,'كشف حساب مشروع'!$C$6,$I$11:I82,"مرحل ✔"),"")</f>
        <v/>
      </c>
      <c r="O82" s="55" t="str">
        <f aca="false">IF(AND(C82&lt;&gt;"",C82='دفتر الأستاذ'!$C$6,I82="مرحل ✔"),COUNTIFS($C$11:C82,'دفتر الأستاذ'!$C$6,$I$11:I82,"مرحل ✔"),"")</f>
        <v/>
      </c>
    </row>
    <row r="83" customFormat="false" ht="15" hidden="false" customHeight="false" outlineLevel="0" collapsed="false">
      <c r="A83" s="49" t="n">
        <v>27</v>
      </c>
      <c r="B83" s="50" t="n">
        <v>46112</v>
      </c>
      <c r="C83" s="49" t="n">
        <v>1102</v>
      </c>
      <c r="D83" s="51" t="str">
        <f aca="false">IF(C83="","",IFERROR(INDEX('شجرة الحسابات'!$B$9:$B$208,MATCH(C83,'شجرة الحسابات'!$A$9:$A$208,0)),"⚠ حساب غير معرف"))</f>
        <v>البنك - الحساب الجاري</v>
      </c>
      <c r="E83" s="52"/>
      <c r="F83" s="52" t="s">
        <v>225</v>
      </c>
      <c r="G83" s="53"/>
      <c r="H83" s="53" t="n">
        <v>40000</v>
      </c>
      <c r="I83" s="54" t="str">
        <f aca="false">IF(A83="",IF(M83="فارغ","","✖ بدون رقم قيد"),IF(COUNTIFS('قيود اليومية'!$A$11:$A$1010,A83,'قيود اليومية'!$M$11:$M$1010,"&lt;&gt;OK",'قيود اليومية'!$M$11:$M$1010,"&lt;&gt;فارغ")&gt;0,"✖ خطأ بالحساب",IF(ROUND(SUMIFS('قيود اليومية'!$G$11:$G$1010,'قيود اليومية'!$A$11:$A$1010,A83)-SUMIFS('قيود اليومية'!$H$11:$H$1010,'قيود اليومية'!$A$11:$A$1010,A83),2)&lt;&gt;0,"✖ غير متوازن","مرحل ✔")))</f>
        <v>مرحل ✔</v>
      </c>
      <c r="J83" s="55" t="str">
        <f aca="false">IF(C83="","",IFERROR(INDEX('شجرة الحسابات'!$E$9:$E$208,MATCH(C83,'شجرة الحسابات'!$A$9:$A$208,0))&amp;"",""))</f>
        <v>الأصول</v>
      </c>
      <c r="K83" s="55" t="str">
        <f aca="false">IF(C83="","",IFERROR(INDEX('شجرة الحسابات'!$I$9:$I$208,MATCH(C83,'شجرة الحسابات'!$A$9:$A$208,0))&amp;"",""))</f>
        <v/>
      </c>
      <c r="L83" s="55" t="str">
        <f aca="false">IF(C83="","",IFERROR(INDEX('شجرة الحسابات'!$C$9:$C$208,MATCH(C83,'شجرة الحسابات'!$A$9:$A$208,0))&amp;"",""))</f>
        <v>تحليلي</v>
      </c>
      <c r="M83" s="55" t="str">
        <f aca="false">IF(AND(C83="",G83="",H83=""),"فارغ",IF(ISNA(MATCH(C83,'شجرة الحسابات'!$A$9:$A$208,0)),"حساب غير معرف",IF(L83&lt;&gt;"تحليلي","حساب تجميعي",IF(AND(N(G83)&gt;0,N(H83)&gt;0),"مدين ودائن معاً",IF(N(G83)+N(H83)=0,"بدون قيمة","OK")))))</f>
        <v>OK</v>
      </c>
      <c r="N83" s="55" t="str">
        <f aca="false">IF(AND(E83&lt;&gt;"",E83='كشف حساب مشروع'!$C$6,I83="مرحل ✔"),COUNTIFS($E$11:E83,'كشف حساب مشروع'!$C$6,$I$11:I83,"مرحل ✔"),"")</f>
        <v/>
      </c>
      <c r="O83" s="55" t="n">
        <f aca="false">IF(AND(C83&lt;&gt;"",C83='دفتر الأستاذ'!$C$6,I83="مرحل ✔"),COUNTIFS($C$11:C83,'دفتر الأستاذ'!$C$6,$I$11:I83,"مرحل ✔"),"")</f>
        <v>15</v>
      </c>
    </row>
    <row r="84" customFormat="false" ht="15" hidden="false" customHeight="false" outlineLevel="0" collapsed="false">
      <c r="A84" s="49" t="n">
        <v>28</v>
      </c>
      <c r="B84" s="50" t="n">
        <v>46112</v>
      </c>
      <c r="C84" s="49" t="n">
        <v>5101</v>
      </c>
      <c r="D84" s="51" t="str">
        <f aca="false">IF(C84="","",IFERROR(INDEX('شجرة الحسابات'!$B$9:$B$208,MATCH(C84,'شجرة الحسابات'!$A$9:$A$208,0)),"⚠ حساب غير معرف"))</f>
        <v>تكلفة المواد المستخدمة</v>
      </c>
      <c r="E84" s="52" t="s">
        <v>176</v>
      </c>
      <c r="F84" s="52" t="s">
        <v>226</v>
      </c>
      <c r="G84" s="53" t="n">
        <v>15000</v>
      </c>
      <c r="H84" s="53"/>
      <c r="I84" s="54" t="str">
        <f aca="false">IF(A84="",IF(M84="فارغ","","✖ بدون رقم قيد"),IF(COUNTIFS('قيود اليومية'!$A$11:$A$1010,A84,'قيود اليومية'!$M$11:$M$1010,"&lt;&gt;OK",'قيود اليومية'!$M$11:$M$1010,"&lt;&gt;فارغ")&gt;0,"✖ خطأ بالحساب",IF(ROUND(SUMIFS('قيود اليومية'!$G$11:$G$1010,'قيود اليومية'!$A$11:$A$1010,A84)-SUMIFS('قيود اليومية'!$H$11:$H$1010,'قيود اليومية'!$A$11:$A$1010,A84),2)&lt;&gt;0,"✖ غير متوازن","مرحل ✔")))</f>
        <v>✖ غير متوازن</v>
      </c>
      <c r="J84" s="55" t="str">
        <f aca="false">IF(C84="","",IFERROR(INDEX('شجرة الحسابات'!$E$9:$E$208,MATCH(C84,'شجرة الحسابات'!$A$9:$A$208,0))&amp;"",""))</f>
        <v>المصروفات</v>
      </c>
      <c r="K84" s="55" t="str">
        <f aca="false">IF(C84="","",IFERROR(INDEX('شجرة الحسابات'!$I$9:$I$208,MATCH(C84,'شجرة الحسابات'!$A$9:$A$208,0))&amp;"",""))</f>
        <v>مواد</v>
      </c>
      <c r="L84" s="55" t="str">
        <f aca="false">IF(C84="","",IFERROR(INDEX('شجرة الحسابات'!$C$9:$C$208,MATCH(C84,'شجرة الحسابات'!$A$9:$A$208,0))&amp;"",""))</f>
        <v>تحليلي</v>
      </c>
      <c r="M84" s="55" t="str">
        <f aca="false">IF(AND(C84="",G84="",H84=""),"فارغ",IF(ISNA(MATCH(C84,'شجرة الحسابات'!$A$9:$A$208,0)),"حساب غير معرف",IF(L84&lt;&gt;"تحليلي","حساب تجميعي",IF(AND(N(G84)&gt;0,N(H84)&gt;0),"مدين ودائن معاً",IF(N(G84)+N(H84)=0,"بدون قيمة","OK")))))</f>
        <v>OK</v>
      </c>
      <c r="N84" s="55" t="str">
        <f aca="false">IF(AND(E84&lt;&gt;"",E84='كشف حساب مشروع'!$C$6,I84="مرحل ✔"),COUNTIFS($E$11:E84,'كشف حساب مشروع'!$C$6,$I$11:I84,"مرحل ✔"),"")</f>
        <v/>
      </c>
      <c r="O84" s="55" t="str">
        <f aca="false">IF(AND(C84&lt;&gt;"",C84='دفتر الأستاذ'!$C$6,I84="مرحل ✔"),COUNTIFS($C$11:C84,'دفتر الأستاذ'!$C$6,$I$11:I84,"مرحل ✔"),"")</f>
        <v/>
      </c>
    </row>
    <row r="85" customFormat="false" ht="15" hidden="false" customHeight="false" outlineLevel="0" collapsed="false">
      <c r="A85" s="49" t="n">
        <v>28</v>
      </c>
      <c r="B85" s="50" t="n">
        <v>46112</v>
      </c>
      <c r="C85" s="49" t="n">
        <v>2101</v>
      </c>
      <c r="D85" s="51" t="str">
        <f aca="false">IF(C85="","",IFERROR(INDEX('شجرة الحسابات'!$B$9:$B$208,MATCH(C85,'شجرة الحسابات'!$A$9:$A$208,0)),"⚠ حساب غير معرف"))</f>
        <v>الموردون</v>
      </c>
      <c r="E85" s="52" t="s">
        <v>176</v>
      </c>
      <c r="F85" s="52" t="s">
        <v>226</v>
      </c>
      <c r="G85" s="53"/>
      <c r="H85" s="53" t="n">
        <v>12000</v>
      </c>
      <c r="I85" s="54" t="str">
        <f aca="false">IF(A85="",IF(M85="فارغ","","✖ بدون رقم قيد"),IF(COUNTIFS('قيود اليومية'!$A$11:$A$1010,A85,'قيود اليومية'!$M$11:$M$1010,"&lt;&gt;OK",'قيود اليومية'!$M$11:$M$1010,"&lt;&gt;فارغ")&gt;0,"✖ خطأ بالحساب",IF(ROUND(SUMIFS('قيود اليومية'!$G$11:$G$1010,'قيود اليومية'!$A$11:$A$1010,A85)-SUMIFS('قيود اليومية'!$H$11:$H$1010,'قيود اليومية'!$A$11:$A$1010,A85),2)&lt;&gt;0,"✖ غير متوازن","مرحل ✔")))</f>
        <v>✖ غير متوازن</v>
      </c>
      <c r="J85" s="55" t="str">
        <f aca="false">IF(C85="","",IFERROR(INDEX('شجرة الحسابات'!$E$9:$E$208,MATCH(C85,'شجرة الحسابات'!$A$9:$A$208,0))&amp;"",""))</f>
        <v>الخصوم</v>
      </c>
      <c r="K85" s="55" t="str">
        <f aca="false">IF(C85="","",IFERROR(INDEX('شجرة الحسابات'!$I$9:$I$208,MATCH(C85,'شجرة الحسابات'!$A$9:$A$208,0))&amp;"",""))</f>
        <v/>
      </c>
      <c r="L85" s="55" t="str">
        <f aca="false">IF(C85="","",IFERROR(INDEX('شجرة الحسابات'!$C$9:$C$208,MATCH(C85,'شجرة الحسابات'!$A$9:$A$208,0))&amp;"",""))</f>
        <v>تحليلي</v>
      </c>
      <c r="M85" s="55" t="str">
        <f aca="false">IF(AND(C85="",G85="",H85=""),"فارغ",IF(ISNA(MATCH(C85,'شجرة الحسابات'!$A$9:$A$208,0)),"حساب غير معرف",IF(L85&lt;&gt;"تحليلي","حساب تجميعي",IF(AND(N(G85)&gt;0,N(H85)&gt;0),"مدين ودائن معاً",IF(N(G85)+N(H85)=0,"بدون قيمة","OK")))))</f>
        <v>OK</v>
      </c>
      <c r="N85" s="55" t="str">
        <f aca="false">IF(AND(E85&lt;&gt;"",E85='كشف حساب مشروع'!$C$6,I85="مرحل ✔"),COUNTIFS($E$11:E85,'كشف حساب مشروع'!$C$6,$I$11:I85,"مرحل ✔"),"")</f>
        <v/>
      </c>
      <c r="O85" s="55" t="str">
        <f aca="false">IF(AND(C85&lt;&gt;"",C85='دفتر الأستاذ'!$C$6,I85="مرحل ✔"),COUNTIFS($C$11:C85,'دفتر الأستاذ'!$C$6,$I$11:I85,"مرحل ✔"),"")</f>
        <v/>
      </c>
    </row>
    <row r="86" customFormat="false" ht="15" hidden="false" customHeight="false" outlineLevel="0" collapsed="false">
      <c r="A86" s="49"/>
      <c r="B86" s="50"/>
      <c r="C86" s="49"/>
      <c r="D86" s="51" t="str">
        <f aca="false">IF(C86="","",IFERROR(INDEX('شجرة الحسابات'!$B$9:$B$208,MATCH(C86,'شجرة الحسابات'!$A$9:$A$208,0)),"⚠ حساب غير معرف"))</f>
        <v/>
      </c>
      <c r="E86" s="52"/>
      <c r="F86" s="52"/>
      <c r="G86" s="53"/>
      <c r="H86" s="53"/>
      <c r="I86" s="54" t="str">
        <f aca="false">IF(A86="",IF(M86="فارغ","","✖ بدون رقم قيد"),IF(COUNTIFS('قيود اليومية'!$A$11:$A$1010,A86,'قيود اليومية'!$M$11:$M$1010,"&lt;&gt;OK",'قيود اليومية'!$M$11:$M$1010,"&lt;&gt;فارغ")&gt;0,"✖ خطأ بالحساب",IF(ROUND(SUMIFS('قيود اليومية'!$G$11:$G$1010,'قيود اليومية'!$A$11:$A$1010,A86)-SUMIFS('قيود اليومية'!$H$11:$H$1010,'قيود اليومية'!$A$11:$A$1010,A86),2)&lt;&gt;0,"✖ غير متوازن","مرحل ✔")))</f>
        <v/>
      </c>
      <c r="J86" s="55" t="str">
        <f aca="false">IF(C86="","",IFERROR(INDEX('شجرة الحسابات'!$E$9:$E$208,MATCH(C86,'شجرة الحسابات'!$A$9:$A$208,0))&amp;"",""))</f>
        <v/>
      </c>
      <c r="K86" s="55" t="str">
        <f aca="false">IF(C86="","",IFERROR(INDEX('شجرة الحسابات'!$I$9:$I$208,MATCH(C86,'شجرة الحسابات'!$A$9:$A$208,0))&amp;"",""))</f>
        <v/>
      </c>
      <c r="L86" s="55" t="str">
        <f aca="false">IF(C86="","",IFERROR(INDEX('شجرة الحسابات'!$C$9:$C$208,MATCH(C86,'شجرة الحسابات'!$A$9:$A$208,0))&amp;"",""))</f>
        <v/>
      </c>
      <c r="M86" s="55" t="str">
        <f aca="false">IF(AND(C86="",G86="",H86=""),"فارغ",IF(ISNA(MATCH(C86,'شجرة الحسابات'!$A$9:$A$208,0)),"حساب غير معرف",IF(L86&lt;&gt;"تحليلي","حساب تجميعي",IF(AND(N(G86)&gt;0,N(H86)&gt;0),"مدين ودائن معاً",IF(N(G86)+N(H86)=0,"بدون قيمة","OK")))))</f>
        <v>فارغ</v>
      </c>
      <c r="N86" s="55" t="str">
        <f aca="false">IF(AND(E86&lt;&gt;"",E86='كشف حساب مشروع'!$C$6,I86="مرحل ✔"),COUNTIFS($E$11:E86,'كشف حساب مشروع'!$C$6,$I$11:I86,"مرحل ✔"),"")</f>
        <v/>
      </c>
      <c r="O86" s="55" t="str">
        <f aca="false">IF(AND(C86&lt;&gt;"",C86='دفتر الأستاذ'!$C$6,I86="مرحل ✔"),COUNTIFS($C$11:C86,'دفتر الأستاذ'!$C$6,$I$11:I86,"مرحل ✔"),"")</f>
        <v/>
      </c>
    </row>
    <row r="87" customFormat="false" ht="15" hidden="false" customHeight="false" outlineLevel="0" collapsed="false">
      <c r="A87" s="49"/>
      <c r="B87" s="50"/>
      <c r="C87" s="49"/>
      <c r="D87" s="51" t="str">
        <f aca="false">IF(C87="","",IFERROR(INDEX('شجرة الحسابات'!$B$9:$B$208,MATCH(C87,'شجرة الحسابات'!$A$9:$A$208,0)),"⚠ حساب غير معرف"))</f>
        <v/>
      </c>
      <c r="E87" s="52"/>
      <c r="F87" s="52"/>
      <c r="G87" s="53"/>
      <c r="H87" s="53"/>
      <c r="I87" s="54" t="str">
        <f aca="false">IF(A87="",IF(M87="فارغ","","✖ بدون رقم قيد"),IF(COUNTIFS('قيود اليومية'!$A$11:$A$1010,A87,'قيود اليومية'!$M$11:$M$1010,"&lt;&gt;OK",'قيود اليومية'!$M$11:$M$1010,"&lt;&gt;فارغ")&gt;0,"✖ خطأ بالحساب",IF(ROUND(SUMIFS('قيود اليومية'!$G$11:$G$1010,'قيود اليومية'!$A$11:$A$1010,A87)-SUMIFS('قيود اليومية'!$H$11:$H$1010,'قيود اليومية'!$A$11:$A$1010,A87),2)&lt;&gt;0,"✖ غير متوازن","مرحل ✔")))</f>
        <v/>
      </c>
      <c r="J87" s="55" t="str">
        <f aca="false">IF(C87="","",IFERROR(INDEX('شجرة الحسابات'!$E$9:$E$208,MATCH(C87,'شجرة الحسابات'!$A$9:$A$208,0))&amp;"",""))</f>
        <v/>
      </c>
      <c r="K87" s="55" t="str">
        <f aca="false">IF(C87="","",IFERROR(INDEX('شجرة الحسابات'!$I$9:$I$208,MATCH(C87,'شجرة الحسابات'!$A$9:$A$208,0))&amp;"",""))</f>
        <v/>
      </c>
      <c r="L87" s="55" t="str">
        <f aca="false">IF(C87="","",IFERROR(INDEX('شجرة الحسابات'!$C$9:$C$208,MATCH(C87,'شجرة الحسابات'!$A$9:$A$208,0))&amp;"",""))</f>
        <v/>
      </c>
      <c r="M87" s="55" t="str">
        <f aca="false">IF(AND(C87="",G87="",H87=""),"فارغ",IF(ISNA(MATCH(C87,'شجرة الحسابات'!$A$9:$A$208,0)),"حساب غير معرف",IF(L87&lt;&gt;"تحليلي","حساب تجميعي",IF(AND(N(G87)&gt;0,N(H87)&gt;0),"مدين ودائن معاً",IF(N(G87)+N(H87)=0,"بدون قيمة","OK")))))</f>
        <v>فارغ</v>
      </c>
      <c r="N87" s="55" t="str">
        <f aca="false">IF(AND(E87&lt;&gt;"",E87='كشف حساب مشروع'!$C$6,I87="مرحل ✔"),COUNTIFS($E$11:E87,'كشف حساب مشروع'!$C$6,$I$11:I87,"مرحل ✔"),"")</f>
        <v/>
      </c>
      <c r="O87" s="55" t="str">
        <f aca="false">IF(AND(C87&lt;&gt;"",C87='دفتر الأستاذ'!$C$6,I87="مرحل ✔"),COUNTIFS($C$11:C87,'دفتر الأستاذ'!$C$6,$I$11:I87,"مرحل ✔"),"")</f>
        <v/>
      </c>
    </row>
    <row r="88" customFormat="false" ht="15" hidden="false" customHeight="false" outlineLevel="0" collapsed="false">
      <c r="A88" s="49"/>
      <c r="B88" s="50"/>
      <c r="C88" s="49"/>
      <c r="D88" s="51" t="str">
        <f aca="false">IF(C88="","",IFERROR(INDEX('شجرة الحسابات'!$B$9:$B$208,MATCH(C88,'شجرة الحسابات'!$A$9:$A$208,0)),"⚠ حساب غير معرف"))</f>
        <v/>
      </c>
      <c r="E88" s="52"/>
      <c r="F88" s="52"/>
      <c r="G88" s="53"/>
      <c r="H88" s="53"/>
      <c r="I88" s="54" t="str">
        <f aca="false">IF(A88="",IF(M88="فارغ","","✖ بدون رقم قيد"),IF(COUNTIFS('قيود اليومية'!$A$11:$A$1010,A88,'قيود اليومية'!$M$11:$M$1010,"&lt;&gt;OK",'قيود اليومية'!$M$11:$M$1010,"&lt;&gt;فارغ")&gt;0,"✖ خطأ بالحساب",IF(ROUND(SUMIFS('قيود اليومية'!$G$11:$G$1010,'قيود اليومية'!$A$11:$A$1010,A88)-SUMIFS('قيود اليومية'!$H$11:$H$1010,'قيود اليومية'!$A$11:$A$1010,A88),2)&lt;&gt;0,"✖ غير متوازن","مرحل ✔")))</f>
        <v/>
      </c>
      <c r="J88" s="55" t="str">
        <f aca="false">IF(C88="","",IFERROR(INDEX('شجرة الحسابات'!$E$9:$E$208,MATCH(C88,'شجرة الحسابات'!$A$9:$A$208,0))&amp;"",""))</f>
        <v/>
      </c>
      <c r="K88" s="55" t="str">
        <f aca="false">IF(C88="","",IFERROR(INDEX('شجرة الحسابات'!$I$9:$I$208,MATCH(C88,'شجرة الحسابات'!$A$9:$A$208,0))&amp;"",""))</f>
        <v/>
      </c>
      <c r="L88" s="55" t="str">
        <f aca="false">IF(C88="","",IFERROR(INDEX('شجرة الحسابات'!$C$9:$C$208,MATCH(C88,'شجرة الحسابات'!$A$9:$A$208,0))&amp;"",""))</f>
        <v/>
      </c>
      <c r="M88" s="55" t="str">
        <f aca="false">IF(AND(C88="",G88="",H88=""),"فارغ",IF(ISNA(MATCH(C88,'شجرة الحسابات'!$A$9:$A$208,0)),"حساب غير معرف",IF(L88&lt;&gt;"تحليلي","حساب تجميعي",IF(AND(N(G88)&gt;0,N(H88)&gt;0),"مدين ودائن معاً",IF(N(G88)+N(H88)=0,"بدون قيمة","OK")))))</f>
        <v>فارغ</v>
      </c>
      <c r="N88" s="55" t="str">
        <f aca="false">IF(AND(E88&lt;&gt;"",E88='كشف حساب مشروع'!$C$6,I88="مرحل ✔"),COUNTIFS($E$11:E88,'كشف حساب مشروع'!$C$6,$I$11:I88,"مرحل ✔"),"")</f>
        <v/>
      </c>
      <c r="O88" s="55" t="str">
        <f aca="false">IF(AND(C88&lt;&gt;"",C88='دفتر الأستاذ'!$C$6,I88="مرحل ✔"),COUNTIFS($C$11:C88,'دفتر الأستاذ'!$C$6,$I$11:I88,"مرحل ✔"),"")</f>
        <v/>
      </c>
    </row>
    <row r="89" customFormat="false" ht="15" hidden="false" customHeight="false" outlineLevel="0" collapsed="false">
      <c r="A89" s="49"/>
      <c r="B89" s="50"/>
      <c r="C89" s="49"/>
      <c r="D89" s="51" t="str">
        <f aca="false">IF(C89="","",IFERROR(INDEX('شجرة الحسابات'!$B$9:$B$208,MATCH(C89,'شجرة الحسابات'!$A$9:$A$208,0)),"⚠ حساب غير معرف"))</f>
        <v/>
      </c>
      <c r="E89" s="52"/>
      <c r="F89" s="52"/>
      <c r="G89" s="53"/>
      <c r="H89" s="53"/>
      <c r="I89" s="54" t="str">
        <f aca="false">IF(A89="",IF(M89="فارغ","","✖ بدون رقم قيد"),IF(COUNTIFS('قيود اليومية'!$A$11:$A$1010,A89,'قيود اليومية'!$M$11:$M$1010,"&lt;&gt;OK",'قيود اليومية'!$M$11:$M$1010,"&lt;&gt;فارغ")&gt;0,"✖ خطأ بالحساب",IF(ROUND(SUMIFS('قيود اليومية'!$G$11:$G$1010,'قيود اليومية'!$A$11:$A$1010,A89)-SUMIFS('قيود اليومية'!$H$11:$H$1010,'قيود اليومية'!$A$11:$A$1010,A89),2)&lt;&gt;0,"✖ غير متوازن","مرحل ✔")))</f>
        <v/>
      </c>
      <c r="J89" s="55" t="str">
        <f aca="false">IF(C89="","",IFERROR(INDEX('شجرة الحسابات'!$E$9:$E$208,MATCH(C89,'شجرة الحسابات'!$A$9:$A$208,0))&amp;"",""))</f>
        <v/>
      </c>
      <c r="K89" s="55" t="str">
        <f aca="false">IF(C89="","",IFERROR(INDEX('شجرة الحسابات'!$I$9:$I$208,MATCH(C89,'شجرة الحسابات'!$A$9:$A$208,0))&amp;"",""))</f>
        <v/>
      </c>
      <c r="L89" s="55" t="str">
        <f aca="false">IF(C89="","",IFERROR(INDEX('شجرة الحسابات'!$C$9:$C$208,MATCH(C89,'شجرة الحسابات'!$A$9:$A$208,0))&amp;"",""))</f>
        <v/>
      </c>
      <c r="M89" s="55" t="str">
        <f aca="false">IF(AND(C89="",G89="",H89=""),"فارغ",IF(ISNA(MATCH(C89,'شجرة الحسابات'!$A$9:$A$208,0)),"حساب غير معرف",IF(L89&lt;&gt;"تحليلي","حساب تجميعي",IF(AND(N(G89)&gt;0,N(H89)&gt;0),"مدين ودائن معاً",IF(N(G89)+N(H89)=0,"بدون قيمة","OK")))))</f>
        <v>فارغ</v>
      </c>
      <c r="N89" s="55" t="str">
        <f aca="false">IF(AND(E89&lt;&gt;"",E89='كشف حساب مشروع'!$C$6,I89="مرحل ✔"),COUNTIFS($E$11:E89,'كشف حساب مشروع'!$C$6,$I$11:I89,"مرحل ✔"),"")</f>
        <v/>
      </c>
      <c r="O89" s="55" t="str">
        <f aca="false">IF(AND(C89&lt;&gt;"",C89='دفتر الأستاذ'!$C$6,I89="مرحل ✔"),COUNTIFS($C$11:C89,'دفتر الأستاذ'!$C$6,$I$11:I89,"مرحل ✔"),"")</f>
        <v/>
      </c>
    </row>
    <row r="90" customFormat="false" ht="15" hidden="false" customHeight="false" outlineLevel="0" collapsed="false">
      <c r="A90" s="49"/>
      <c r="B90" s="50"/>
      <c r="C90" s="49"/>
      <c r="D90" s="51" t="str">
        <f aca="false">IF(C90="","",IFERROR(INDEX('شجرة الحسابات'!$B$9:$B$208,MATCH(C90,'شجرة الحسابات'!$A$9:$A$208,0)),"⚠ حساب غير معرف"))</f>
        <v/>
      </c>
      <c r="E90" s="52"/>
      <c r="F90" s="52"/>
      <c r="G90" s="53"/>
      <c r="H90" s="53"/>
      <c r="I90" s="54" t="str">
        <f aca="false">IF(A90="",IF(M90="فارغ","","✖ بدون رقم قيد"),IF(COUNTIFS('قيود اليومية'!$A$11:$A$1010,A90,'قيود اليومية'!$M$11:$M$1010,"&lt;&gt;OK",'قيود اليومية'!$M$11:$M$1010,"&lt;&gt;فارغ")&gt;0,"✖ خطأ بالحساب",IF(ROUND(SUMIFS('قيود اليومية'!$G$11:$G$1010,'قيود اليومية'!$A$11:$A$1010,A90)-SUMIFS('قيود اليومية'!$H$11:$H$1010,'قيود اليومية'!$A$11:$A$1010,A90),2)&lt;&gt;0,"✖ غير متوازن","مرحل ✔")))</f>
        <v/>
      </c>
      <c r="J90" s="55" t="str">
        <f aca="false">IF(C90="","",IFERROR(INDEX('شجرة الحسابات'!$E$9:$E$208,MATCH(C90,'شجرة الحسابات'!$A$9:$A$208,0))&amp;"",""))</f>
        <v/>
      </c>
      <c r="K90" s="55" t="str">
        <f aca="false">IF(C90="","",IFERROR(INDEX('شجرة الحسابات'!$I$9:$I$208,MATCH(C90,'شجرة الحسابات'!$A$9:$A$208,0))&amp;"",""))</f>
        <v/>
      </c>
      <c r="L90" s="55" t="str">
        <f aca="false">IF(C90="","",IFERROR(INDEX('شجرة الحسابات'!$C$9:$C$208,MATCH(C90,'شجرة الحسابات'!$A$9:$A$208,0))&amp;"",""))</f>
        <v/>
      </c>
      <c r="M90" s="55" t="str">
        <f aca="false">IF(AND(C90="",G90="",H90=""),"فارغ",IF(ISNA(MATCH(C90,'شجرة الحسابات'!$A$9:$A$208,0)),"حساب غير معرف",IF(L90&lt;&gt;"تحليلي","حساب تجميعي",IF(AND(N(G90)&gt;0,N(H90)&gt;0),"مدين ودائن معاً",IF(N(G90)+N(H90)=0,"بدون قيمة","OK")))))</f>
        <v>فارغ</v>
      </c>
      <c r="N90" s="55" t="str">
        <f aca="false">IF(AND(E90&lt;&gt;"",E90='كشف حساب مشروع'!$C$6,I90="مرحل ✔"),COUNTIFS($E$11:E90,'كشف حساب مشروع'!$C$6,$I$11:I90,"مرحل ✔"),"")</f>
        <v/>
      </c>
      <c r="O90" s="55" t="str">
        <f aca="false">IF(AND(C90&lt;&gt;"",C90='دفتر الأستاذ'!$C$6,I90="مرحل ✔"),COUNTIFS($C$11:C90,'دفتر الأستاذ'!$C$6,$I$11:I90,"مرحل ✔"),"")</f>
        <v/>
      </c>
    </row>
    <row r="91" customFormat="false" ht="15" hidden="false" customHeight="false" outlineLevel="0" collapsed="false">
      <c r="A91" s="49"/>
      <c r="B91" s="50"/>
      <c r="C91" s="49"/>
      <c r="D91" s="51" t="str">
        <f aca="false">IF(C91="","",IFERROR(INDEX('شجرة الحسابات'!$B$9:$B$208,MATCH(C91,'شجرة الحسابات'!$A$9:$A$208,0)),"⚠ حساب غير معرف"))</f>
        <v/>
      </c>
      <c r="E91" s="52"/>
      <c r="F91" s="52"/>
      <c r="G91" s="53"/>
      <c r="H91" s="53"/>
      <c r="I91" s="54" t="str">
        <f aca="false">IF(A91="",IF(M91="فارغ","","✖ بدون رقم قيد"),IF(COUNTIFS('قيود اليومية'!$A$11:$A$1010,A91,'قيود اليومية'!$M$11:$M$1010,"&lt;&gt;OK",'قيود اليومية'!$M$11:$M$1010,"&lt;&gt;فارغ")&gt;0,"✖ خطأ بالحساب",IF(ROUND(SUMIFS('قيود اليومية'!$G$11:$G$1010,'قيود اليومية'!$A$11:$A$1010,A91)-SUMIFS('قيود اليومية'!$H$11:$H$1010,'قيود اليومية'!$A$11:$A$1010,A91),2)&lt;&gt;0,"✖ غير متوازن","مرحل ✔")))</f>
        <v/>
      </c>
      <c r="J91" s="55" t="str">
        <f aca="false">IF(C91="","",IFERROR(INDEX('شجرة الحسابات'!$E$9:$E$208,MATCH(C91,'شجرة الحسابات'!$A$9:$A$208,0))&amp;"",""))</f>
        <v/>
      </c>
      <c r="K91" s="55" t="str">
        <f aca="false">IF(C91="","",IFERROR(INDEX('شجرة الحسابات'!$I$9:$I$208,MATCH(C91,'شجرة الحسابات'!$A$9:$A$208,0))&amp;"",""))</f>
        <v/>
      </c>
      <c r="L91" s="55" t="str">
        <f aca="false">IF(C91="","",IFERROR(INDEX('شجرة الحسابات'!$C$9:$C$208,MATCH(C91,'شجرة الحسابات'!$A$9:$A$208,0))&amp;"",""))</f>
        <v/>
      </c>
      <c r="M91" s="55" t="str">
        <f aca="false">IF(AND(C91="",G91="",H91=""),"فارغ",IF(ISNA(MATCH(C91,'شجرة الحسابات'!$A$9:$A$208,0)),"حساب غير معرف",IF(L91&lt;&gt;"تحليلي","حساب تجميعي",IF(AND(N(G91)&gt;0,N(H91)&gt;0),"مدين ودائن معاً",IF(N(G91)+N(H91)=0,"بدون قيمة","OK")))))</f>
        <v>فارغ</v>
      </c>
      <c r="N91" s="55" t="str">
        <f aca="false">IF(AND(E91&lt;&gt;"",E91='كشف حساب مشروع'!$C$6,I91="مرحل ✔"),COUNTIFS($E$11:E91,'كشف حساب مشروع'!$C$6,$I$11:I91,"مرحل ✔"),"")</f>
        <v/>
      </c>
      <c r="O91" s="55" t="str">
        <f aca="false">IF(AND(C91&lt;&gt;"",C91='دفتر الأستاذ'!$C$6,I91="مرحل ✔"),COUNTIFS($C$11:C91,'دفتر الأستاذ'!$C$6,$I$11:I91,"مرحل ✔"),"")</f>
        <v/>
      </c>
    </row>
    <row r="92" customFormat="false" ht="15" hidden="false" customHeight="false" outlineLevel="0" collapsed="false">
      <c r="A92" s="49"/>
      <c r="B92" s="50"/>
      <c r="C92" s="49"/>
      <c r="D92" s="51" t="str">
        <f aca="false">IF(C92="","",IFERROR(INDEX('شجرة الحسابات'!$B$9:$B$208,MATCH(C92,'شجرة الحسابات'!$A$9:$A$208,0)),"⚠ حساب غير معرف"))</f>
        <v/>
      </c>
      <c r="E92" s="52"/>
      <c r="F92" s="52"/>
      <c r="G92" s="53"/>
      <c r="H92" s="53"/>
      <c r="I92" s="54" t="str">
        <f aca="false">IF(A92="",IF(M92="فارغ","","✖ بدون رقم قيد"),IF(COUNTIFS('قيود اليومية'!$A$11:$A$1010,A92,'قيود اليومية'!$M$11:$M$1010,"&lt;&gt;OK",'قيود اليومية'!$M$11:$M$1010,"&lt;&gt;فارغ")&gt;0,"✖ خطأ بالحساب",IF(ROUND(SUMIFS('قيود اليومية'!$G$11:$G$1010,'قيود اليومية'!$A$11:$A$1010,A92)-SUMIFS('قيود اليومية'!$H$11:$H$1010,'قيود اليومية'!$A$11:$A$1010,A92),2)&lt;&gt;0,"✖ غير متوازن","مرحل ✔")))</f>
        <v/>
      </c>
      <c r="J92" s="55" t="str">
        <f aca="false">IF(C92="","",IFERROR(INDEX('شجرة الحسابات'!$E$9:$E$208,MATCH(C92,'شجرة الحسابات'!$A$9:$A$208,0))&amp;"",""))</f>
        <v/>
      </c>
      <c r="K92" s="55" t="str">
        <f aca="false">IF(C92="","",IFERROR(INDEX('شجرة الحسابات'!$I$9:$I$208,MATCH(C92,'شجرة الحسابات'!$A$9:$A$208,0))&amp;"",""))</f>
        <v/>
      </c>
      <c r="L92" s="55" t="str">
        <f aca="false">IF(C92="","",IFERROR(INDEX('شجرة الحسابات'!$C$9:$C$208,MATCH(C92,'شجرة الحسابات'!$A$9:$A$208,0))&amp;"",""))</f>
        <v/>
      </c>
      <c r="M92" s="55" t="str">
        <f aca="false">IF(AND(C92="",G92="",H92=""),"فارغ",IF(ISNA(MATCH(C92,'شجرة الحسابات'!$A$9:$A$208,0)),"حساب غير معرف",IF(L92&lt;&gt;"تحليلي","حساب تجميعي",IF(AND(N(G92)&gt;0,N(H92)&gt;0),"مدين ودائن معاً",IF(N(G92)+N(H92)=0,"بدون قيمة","OK")))))</f>
        <v>فارغ</v>
      </c>
      <c r="N92" s="55" t="str">
        <f aca="false">IF(AND(E92&lt;&gt;"",E92='كشف حساب مشروع'!$C$6,I92="مرحل ✔"),COUNTIFS($E$11:E92,'كشف حساب مشروع'!$C$6,$I$11:I92,"مرحل ✔"),"")</f>
        <v/>
      </c>
      <c r="O92" s="55" t="str">
        <f aca="false">IF(AND(C92&lt;&gt;"",C92='دفتر الأستاذ'!$C$6,I92="مرحل ✔"),COUNTIFS($C$11:C92,'دفتر الأستاذ'!$C$6,$I$11:I92,"مرحل ✔"),"")</f>
        <v/>
      </c>
    </row>
    <row r="93" customFormat="false" ht="15" hidden="false" customHeight="false" outlineLevel="0" collapsed="false">
      <c r="A93" s="49"/>
      <c r="B93" s="50"/>
      <c r="C93" s="49"/>
      <c r="D93" s="51" t="str">
        <f aca="false">IF(C93="","",IFERROR(INDEX('شجرة الحسابات'!$B$9:$B$208,MATCH(C93,'شجرة الحسابات'!$A$9:$A$208,0)),"⚠ حساب غير معرف"))</f>
        <v/>
      </c>
      <c r="E93" s="52"/>
      <c r="F93" s="52"/>
      <c r="G93" s="53"/>
      <c r="H93" s="53"/>
      <c r="I93" s="54" t="str">
        <f aca="false">IF(A93="",IF(M93="فارغ","","✖ بدون رقم قيد"),IF(COUNTIFS('قيود اليومية'!$A$11:$A$1010,A93,'قيود اليومية'!$M$11:$M$1010,"&lt;&gt;OK",'قيود اليومية'!$M$11:$M$1010,"&lt;&gt;فارغ")&gt;0,"✖ خطأ بالحساب",IF(ROUND(SUMIFS('قيود اليومية'!$G$11:$G$1010,'قيود اليومية'!$A$11:$A$1010,A93)-SUMIFS('قيود اليومية'!$H$11:$H$1010,'قيود اليومية'!$A$11:$A$1010,A93),2)&lt;&gt;0,"✖ غير متوازن","مرحل ✔")))</f>
        <v/>
      </c>
      <c r="J93" s="55" t="str">
        <f aca="false">IF(C93="","",IFERROR(INDEX('شجرة الحسابات'!$E$9:$E$208,MATCH(C93,'شجرة الحسابات'!$A$9:$A$208,0))&amp;"",""))</f>
        <v/>
      </c>
      <c r="K93" s="55" t="str">
        <f aca="false">IF(C93="","",IFERROR(INDEX('شجرة الحسابات'!$I$9:$I$208,MATCH(C93,'شجرة الحسابات'!$A$9:$A$208,0))&amp;"",""))</f>
        <v/>
      </c>
      <c r="L93" s="55" t="str">
        <f aca="false">IF(C93="","",IFERROR(INDEX('شجرة الحسابات'!$C$9:$C$208,MATCH(C93,'شجرة الحسابات'!$A$9:$A$208,0))&amp;"",""))</f>
        <v/>
      </c>
      <c r="M93" s="55" t="str">
        <f aca="false">IF(AND(C93="",G93="",H93=""),"فارغ",IF(ISNA(MATCH(C93,'شجرة الحسابات'!$A$9:$A$208,0)),"حساب غير معرف",IF(L93&lt;&gt;"تحليلي","حساب تجميعي",IF(AND(N(G93)&gt;0,N(H93)&gt;0),"مدين ودائن معاً",IF(N(G93)+N(H93)=0,"بدون قيمة","OK")))))</f>
        <v>فارغ</v>
      </c>
      <c r="N93" s="55" t="str">
        <f aca="false">IF(AND(E93&lt;&gt;"",E93='كشف حساب مشروع'!$C$6,I93="مرحل ✔"),COUNTIFS($E$11:E93,'كشف حساب مشروع'!$C$6,$I$11:I93,"مرحل ✔"),"")</f>
        <v/>
      </c>
      <c r="O93" s="55" t="str">
        <f aca="false">IF(AND(C93&lt;&gt;"",C93='دفتر الأستاذ'!$C$6,I93="مرحل ✔"),COUNTIFS($C$11:C93,'دفتر الأستاذ'!$C$6,$I$11:I93,"مرحل ✔"),"")</f>
        <v/>
      </c>
    </row>
    <row r="94" customFormat="false" ht="15" hidden="false" customHeight="false" outlineLevel="0" collapsed="false">
      <c r="A94" s="49"/>
      <c r="B94" s="50"/>
      <c r="C94" s="49"/>
      <c r="D94" s="51" t="str">
        <f aca="false">IF(C94="","",IFERROR(INDEX('شجرة الحسابات'!$B$9:$B$208,MATCH(C94,'شجرة الحسابات'!$A$9:$A$208,0)),"⚠ حساب غير معرف"))</f>
        <v/>
      </c>
      <c r="E94" s="52"/>
      <c r="F94" s="52"/>
      <c r="G94" s="53"/>
      <c r="H94" s="53"/>
      <c r="I94" s="54" t="str">
        <f aca="false">IF(A94="",IF(M94="فارغ","","✖ بدون رقم قيد"),IF(COUNTIFS('قيود اليومية'!$A$11:$A$1010,A94,'قيود اليومية'!$M$11:$M$1010,"&lt;&gt;OK",'قيود اليومية'!$M$11:$M$1010,"&lt;&gt;فارغ")&gt;0,"✖ خطأ بالحساب",IF(ROUND(SUMIFS('قيود اليومية'!$G$11:$G$1010,'قيود اليومية'!$A$11:$A$1010,A94)-SUMIFS('قيود اليومية'!$H$11:$H$1010,'قيود اليومية'!$A$11:$A$1010,A94),2)&lt;&gt;0,"✖ غير متوازن","مرحل ✔")))</f>
        <v/>
      </c>
      <c r="J94" s="55" t="str">
        <f aca="false">IF(C94="","",IFERROR(INDEX('شجرة الحسابات'!$E$9:$E$208,MATCH(C94,'شجرة الحسابات'!$A$9:$A$208,0))&amp;"",""))</f>
        <v/>
      </c>
      <c r="K94" s="55" t="str">
        <f aca="false">IF(C94="","",IFERROR(INDEX('شجرة الحسابات'!$I$9:$I$208,MATCH(C94,'شجرة الحسابات'!$A$9:$A$208,0))&amp;"",""))</f>
        <v/>
      </c>
      <c r="L94" s="55" t="str">
        <f aca="false">IF(C94="","",IFERROR(INDEX('شجرة الحسابات'!$C$9:$C$208,MATCH(C94,'شجرة الحسابات'!$A$9:$A$208,0))&amp;"",""))</f>
        <v/>
      </c>
      <c r="M94" s="55" t="str">
        <f aca="false">IF(AND(C94="",G94="",H94=""),"فارغ",IF(ISNA(MATCH(C94,'شجرة الحسابات'!$A$9:$A$208,0)),"حساب غير معرف",IF(L94&lt;&gt;"تحليلي","حساب تجميعي",IF(AND(N(G94)&gt;0,N(H94)&gt;0),"مدين ودائن معاً",IF(N(G94)+N(H94)=0,"بدون قيمة","OK")))))</f>
        <v>فارغ</v>
      </c>
      <c r="N94" s="55" t="str">
        <f aca="false">IF(AND(E94&lt;&gt;"",E94='كشف حساب مشروع'!$C$6,I94="مرحل ✔"),COUNTIFS($E$11:E94,'كشف حساب مشروع'!$C$6,$I$11:I94,"مرحل ✔"),"")</f>
        <v/>
      </c>
      <c r="O94" s="55" t="str">
        <f aca="false">IF(AND(C94&lt;&gt;"",C94='دفتر الأستاذ'!$C$6,I94="مرحل ✔"),COUNTIFS($C$11:C94,'دفتر الأستاذ'!$C$6,$I$11:I94,"مرحل ✔"),"")</f>
        <v/>
      </c>
    </row>
    <row r="95" customFormat="false" ht="15" hidden="false" customHeight="false" outlineLevel="0" collapsed="false">
      <c r="A95" s="49"/>
      <c r="B95" s="50"/>
      <c r="C95" s="49"/>
      <c r="D95" s="51" t="str">
        <f aca="false">IF(C95="","",IFERROR(INDEX('شجرة الحسابات'!$B$9:$B$208,MATCH(C95,'شجرة الحسابات'!$A$9:$A$208,0)),"⚠ حساب غير معرف"))</f>
        <v/>
      </c>
      <c r="E95" s="52"/>
      <c r="F95" s="52"/>
      <c r="G95" s="53"/>
      <c r="H95" s="53"/>
      <c r="I95" s="54" t="str">
        <f aca="false">IF(A95="",IF(M95="فارغ","","✖ بدون رقم قيد"),IF(COUNTIFS('قيود اليومية'!$A$11:$A$1010,A95,'قيود اليومية'!$M$11:$M$1010,"&lt;&gt;OK",'قيود اليومية'!$M$11:$M$1010,"&lt;&gt;فارغ")&gt;0,"✖ خطأ بالحساب",IF(ROUND(SUMIFS('قيود اليومية'!$G$11:$G$1010,'قيود اليومية'!$A$11:$A$1010,A95)-SUMIFS('قيود اليومية'!$H$11:$H$1010,'قيود اليومية'!$A$11:$A$1010,A95),2)&lt;&gt;0,"✖ غير متوازن","مرحل ✔")))</f>
        <v/>
      </c>
      <c r="J95" s="55" t="str">
        <f aca="false">IF(C95="","",IFERROR(INDEX('شجرة الحسابات'!$E$9:$E$208,MATCH(C95,'شجرة الحسابات'!$A$9:$A$208,0))&amp;"",""))</f>
        <v/>
      </c>
      <c r="K95" s="55" t="str">
        <f aca="false">IF(C95="","",IFERROR(INDEX('شجرة الحسابات'!$I$9:$I$208,MATCH(C95,'شجرة الحسابات'!$A$9:$A$208,0))&amp;"",""))</f>
        <v/>
      </c>
      <c r="L95" s="55" t="str">
        <f aca="false">IF(C95="","",IFERROR(INDEX('شجرة الحسابات'!$C$9:$C$208,MATCH(C95,'شجرة الحسابات'!$A$9:$A$208,0))&amp;"",""))</f>
        <v/>
      </c>
      <c r="M95" s="55" t="str">
        <f aca="false">IF(AND(C95="",G95="",H95=""),"فارغ",IF(ISNA(MATCH(C95,'شجرة الحسابات'!$A$9:$A$208,0)),"حساب غير معرف",IF(L95&lt;&gt;"تحليلي","حساب تجميعي",IF(AND(N(G95)&gt;0,N(H95)&gt;0),"مدين ودائن معاً",IF(N(G95)+N(H95)=0,"بدون قيمة","OK")))))</f>
        <v>فارغ</v>
      </c>
      <c r="N95" s="55" t="str">
        <f aca="false">IF(AND(E95&lt;&gt;"",E95='كشف حساب مشروع'!$C$6,I95="مرحل ✔"),COUNTIFS($E$11:E95,'كشف حساب مشروع'!$C$6,$I$11:I95,"مرحل ✔"),"")</f>
        <v/>
      </c>
      <c r="O95" s="55" t="str">
        <f aca="false">IF(AND(C95&lt;&gt;"",C95='دفتر الأستاذ'!$C$6,I95="مرحل ✔"),COUNTIFS($C$11:C95,'دفتر الأستاذ'!$C$6,$I$11:I95,"مرحل ✔"),"")</f>
        <v/>
      </c>
    </row>
    <row r="96" customFormat="false" ht="15" hidden="false" customHeight="false" outlineLevel="0" collapsed="false">
      <c r="A96" s="49"/>
      <c r="B96" s="50"/>
      <c r="C96" s="49"/>
      <c r="D96" s="51" t="str">
        <f aca="false">IF(C96="","",IFERROR(INDEX('شجرة الحسابات'!$B$9:$B$208,MATCH(C96,'شجرة الحسابات'!$A$9:$A$208,0)),"⚠ حساب غير معرف"))</f>
        <v/>
      </c>
      <c r="E96" s="52"/>
      <c r="F96" s="52"/>
      <c r="G96" s="53"/>
      <c r="H96" s="53"/>
      <c r="I96" s="54" t="str">
        <f aca="false">IF(A96="",IF(M96="فارغ","","✖ بدون رقم قيد"),IF(COUNTIFS('قيود اليومية'!$A$11:$A$1010,A96,'قيود اليومية'!$M$11:$M$1010,"&lt;&gt;OK",'قيود اليومية'!$M$11:$M$1010,"&lt;&gt;فارغ")&gt;0,"✖ خطأ بالحساب",IF(ROUND(SUMIFS('قيود اليومية'!$G$11:$G$1010,'قيود اليومية'!$A$11:$A$1010,A96)-SUMIFS('قيود اليومية'!$H$11:$H$1010,'قيود اليومية'!$A$11:$A$1010,A96),2)&lt;&gt;0,"✖ غير متوازن","مرحل ✔")))</f>
        <v/>
      </c>
      <c r="J96" s="55" t="str">
        <f aca="false">IF(C96="","",IFERROR(INDEX('شجرة الحسابات'!$E$9:$E$208,MATCH(C96,'شجرة الحسابات'!$A$9:$A$208,0))&amp;"",""))</f>
        <v/>
      </c>
      <c r="K96" s="55" t="str">
        <f aca="false">IF(C96="","",IFERROR(INDEX('شجرة الحسابات'!$I$9:$I$208,MATCH(C96,'شجرة الحسابات'!$A$9:$A$208,0))&amp;"",""))</f>
        <v/>
      </c>
      <c r="L96" s="55" t="str">
        <f aca="false">IF(C96="","",IFERROR(INDEX('شجرة الحسابات'!$C$9:$C$208,MATCH(C96,'شجرة الحسابات'!$A$9:$A$208,0))&amp;"",""))</f>
        <v/>
      </c>
      <c r="M96" s="55" t="str">
        <f aca="false">IF(AND(C96="",G96="",H96=""),"فارغ",IF(ISNA(MATCH(C96,'شجرة الحسابات'!$A$9:$A$208,0)),"حساب غير معرف",IF(L96&lt;&gt;"تحليلي","حساب تجميعي",IF(AND(N(G96)&gt;0,N(H96)&gt;0),"مدين ودائن معاً",IF(N(G96)+N(H96)=0,"بدون قيمة","OK")))))</f>
        <v>فارغ</v>
      </c>
      <c r="N96" s="55" t="str">
        <f aca="false">IF(AND(E96&lt;&gt;"",E96='كشف حساب مشروع'!$C$6,I96="مرحل ✔"),COUNTIFS($E$11:E96,'كشف حساب مشروع'!$C$6,$I$11:I96,"مرحل ✔"),"")</f>
        <v/>
      </c>
      <c r="O96" s="55" t="str">
        <f aca="false">IF(AND(C96&lt;&gt;"",C96='دفتر الأستاذ'!$C$6,I96="مرحل ✔"),COUNTIFS($C$11:C96,'دفتر الأستاذ'!$C$6,$I$11:I96,"مرحل ✔"),"")</f>
        <v/>
      </c>
    </row>
    <row r="97" customFormat="false" ht="15" hidden="false" customHeight="false" outlineLevel="0" collapsed="false">
      <c r="A97" s="49"/>
      <c r="B97" s="50"/>
      <c r="C97" s="49"/>
      <c r="D97" s="51" t="str">
        <f aca="false">IF(C97="","",IFERROR(INDEX('شجرة الحسابات'!$B$9:$B$208,MATCH(C97,'شجرة الحسابات'!$A$9:$A$208,0)),"⚠ حساب غير معرف"))</f>
        <v/>
      </c>
      <c r="E97" s="52"/>
      <c r="F97" s="52"/>
      <c r="G97" s="53"/>
      <c r="H97" s="53"/>
      <c r="I97" s="54" t="str">
        <f aca="false">IF(A97="",IF(M97="فارغ","","✖ بدون رقم قيد"),IF(COUNTIFS('قيود اليومية'!$A$11:$A$1010,A97,'قيود اليومية'!$M$11:$M$1010,"&lt;&gt;OK",'قيود اليومية'!$M$11:$M$1010,"&lt;&gt;فارغ")&gt;0,"✖ خطأ بالحساب",IF(ROUND(SUMIFS('قيود اليومية'!$G$11:$G$1010,'قيود اليومية'!$A$11:$A$1010,A97)-SUMIFS('قيود اليومية'!$H$11:$H$1010,'قيود اليومية'!$A$11:$A$1010,A97),2)&lt;&gt;0,"✖ غير متوازن","مرحل ✔")))</f>
        <v/>
      </c>
      <c r="J97" s="55" t="str">
        <f aca="false">IF(C97="","",IFERROR(INDEX('شجرة الحسابات'!$E$9:$E$208,MATCH(C97,'شجرة الحسابات'!$A$9:$A$208,0))&amp;"",""))</f>
        <v/>
      </c>
      <c r="K97" s="55" t="str">
        <f aca="false">IF(C97="","",IFERROR(INDEX('شجرة الحسابات'!$I$9:$I$208,MATCH(C97,'شجرة الحسابات'!$A$9:$A$208,0))&amp;"",""))</f>
        <v/>
      </c>
      <c r="L97" s="55" t="str">
        <f aca="false">IF(C97="","",IFERROR(INDEX('شجرة الحسابات'!$C$9:$C$208,MATCH(C97,'شجرة الحسابات'!$A$9:$A$208,0))&amp;"",""))</f>
        <v/>
      </c>
      <c r="M97" s="55" t="str">
        <f aca="false">IF(AND(C97="",G97="",H97=""),"فارغ",IF(ISNA(MATCH(C97,'شجرة الحسابات'!$A$9:$A$208,0)),"حساب غير معرف",IF(L97&lt;&gt;"تحليلي","حساب تجميعي",IF(AND(N(G97)&gt;0,N(H97)&gt;0),"مدين ودائن معاً",IF(N(G97)+N(H97)=0,"بدون قيمة","OK")))))</f>
        <v>فارغ</v>
      </c>
      <c r="N97" s="55" t="str">
        <f aca="false">IF(AND(E97&lt;&gt;"",E97='كشف حساب مشروع'!$C$6,I97="مرحل ✔"),COUNTIFS($E$11:E97,'كشف حساب مشروع'!$C$6,$I$11:I97,"مرحل ✔"),"")</f>
        <v/>
      </c>
      <c r="O97" s="55" t="str">
        <f aca="false">IF(AND(C97&lt;&gt;"",C97='دفتر الأستاذ'!$C$6,I97="مرحل ✔"),COUNTIFS($C$11:C97,'دفتر الأستاذ'!$C$6,$I$11:I97,"مرحل ✔"),"")</f>
        <v/>
      </c>
    </row>
    <row r="98" customFormat="false" ht="15" hidden="false" customHeight="false" outlineLevel="0" collapsed="false">
      <c r="A98" s="49"/>
      <c r="B98" s="50"/>
      <c r="C98" s="49"/>
      <c r="D98" s="51" t="str">
        <f aca="false">IF(C98="","",IFERROR(INDEX('شجرة الحسابات'!$B$9:$B$208,MATCH(C98,'شجرة الحسابات'!$A$9:$A$208,0)),"⚠ حساب غير معرف"))</f>
        <v/>
      </c>
      <c r="E98" s="52"/>
      <c r="F98" s="52"/>
      <c r="G98" s="53"/>
      <c r="H98" s="53"/>
      <c r="I98" s="54" t="str">
        <f aca="false">IF(A98="",IF(M98="فارغ","","✖ بدون رقم قيد"),IF(COUNTIFS('قيود اليومية'!$A$11:$A$1010,A98,'قيود اليومية'!$M$11:$M$1010,"&lt;&gt;OK",'قيود اليومية'!$M$11:$M$1010,"&lt;&gt;فارغ")&gt;0,"✖ خطأ بالحساب",IF(ROUND(SUMIFS('قيود اليومية'!$G$11:$G$1010,'قيود اليومية'!$A$11:$A$1010,A98)-SUMIFS('قيود اليومية'!$H$11:$H$1010,'قيود اليومية'!$A$11:$A$1010,A98),2)&lt;&gt;0,"✖ غير متوازن","مرحل ✔")))</f>
        <v/>
      </c>
      <c r="J98" s="55" t="str">
        <f aca="false">IF(C98="","",IFERROR(INDEX('شجرة الحسابات'!$E$9:$E$208,MATCH(C98,'شجرة الحسابات'!$A$9:$A$208,0))&amp;"",""))</f>
        <v/>
      </c>
      <c r="K98" s="55" t="str">
        <f aca="false">IF(C98="","",IFERROR(INDEX('شجرة الحسابات'!$I$9:$I$208,MATCH(C98,'شجرة الحسابات'!$A$9:$A$208,0))&amp;"",""))</f>
        <v/>
      </c>
      <c r="L98" s="55" t="str">
        <f aca="false">IF(C98="","",IFERROR(INDEX('شجرة الحسابات'!$C$9:$C$208,MATCH(C98,'شجرة الحسابات'!$A$9:$A$208,0))&amp;"",""))</f>
        <v/>
      </c>
      <c r="M98" s="55" t="str">
        <f aca="false">IF(AND(C98="",G98="",H98=""),"فارغ",IF(ISNA(MATCH(C98,'شجرة الحسابات'!$A$9:$A$208,0)),"حساب غير معرف",IF(L98&lt;&gt;"تحليلي","حساب تجميعي",IF(AND(N(G98)&gt;0,N(H98)&gt;0),"مدين ودائن معاً",IF(N(G98)+N(H98)=0,"بدون قيمة","OK")))))</f>
        <v>فارغ</v>
      </c>
      <c r="N98" s="55" t="str">
        <f aca="false">IF(AND(E98&lt;&gt;"",E98='كشف حساب مشروع'!$C$6,I98="مرحل ✔"),COUNTIFS($E$11:E98,'كشف حساب مشروع'!$C$6,$I$11:I98,"مرحل ✔"),"")</f>
        <v/>
      </c>
      <c r="O98" s="55" t="str">
        <f aca="false">IF(AND(C98&lt;&gt;"",C98='دفتر الأستاذ'!$C$6,I98="مرحل ✔"),COUNTIFS($C$11:C98,'دفتر الأستاذ'!$C$6,$I$11:I98,"مرحل ✔"),"")</f>
        <v/>
      </c>
    </row>
    <row r="99" customFormat="false" ht="15" hidden="false" customHeight="false" outlineLevel="0" collapsed="false">
      <c r="A99" s="49"/>
      <c r="B99" s="50"/>
      <c r="C99" s="49"/>
      <c r="D99" s="51" t="str">
        <f aca="false">IF(C99="","",IFERROR(INDEX('شجرة الحسابات'!$B$9:$B$208,MATCH(C99,'شجرة الحسابات'!$A$9:$A$208,0)),"⚠ حساب غير معرف"))</f>
        <v/>
      </c>
      <c r="E99" s="52"/>
      <c r="F99" s="52"/>
      <c r="G99" s="53"/>
      <c r="H99" s="53"/>
      <c r="I99" s="54" t="str">
        <f aca="false">IF(A99="",IF(M99="فارغ","","✖ بدون رقم قيد"),IF(COUNTIFS('قيود اليومية'!$A$11:$A$1010,A99,'قيود اليومية'!$M$11:$M$1010,"&lt;&gt;OK",'قيود اليومية'!$M$11:$M$1010,"&lt;&gt;فارغ")&gt;0,"✖ خطأ بالحساب",IF(ROUND(SUMIFS('قيود اليومية'!$G$11:$G$1010,'قيود اليومية'!$A$11:$A$1010,A99)-SUMIFS('قيود اليومية'!$H$11:$H$1010,'قيود اليومية'!$A$11:$A$1010,A99),2)&lt;&gt;0,"✖ غير متوازن","مرحل ✔")))</f>
        <v/>
      </c>
      <c r="J99" s="55" t="str">
        <f aca="false">IF(C99="","",IFERROR(INDEX('شجرة الحسابات'!$E$9:$E$208,MATCH(C99,'شجرة الحسابات'!$A$9:$A$208,0))&amp;"",""))</f>
        <v/>
      </c>
      <c r="K99" s="55" t="str">
        <f aca="false">IF(C99="","",IFERROR(INDEX('شجرة الحسابات'!$I$9:$I$208,MATCH(C99,'شجرة الحسابات'!$A$9:$A$208,0))&amp;"",""))</f>
        <v/>
      </c>
      <c r="L99" s="55" t="str">
        <f aca="false">IF(C99="","",IFERROR(INDEX('شجرة الحسابات'!$C$9:$C$208,MATCH(C99,'شجرة الحسابات'!$A$9:$A$208,0))&amp;"",""))</f>
        <v/>
      </c>
      <c r="M99" s="55" t="str">
        <f aca="false">IF(AND(C99="",G99="",H99=""),"فارغ",IF(ISNA(MATCH(C99,'شجرة الحسابات'!$A$9:$A$208,0)),"حساب غير معرف",IF(L99&lt;&gt;"تحليلي","حساب تجميعي",IF(AND(N(G99)&gt;0,N(H99)&gt;0),"مدين ودائن معاً",IF(N(G99)+N(H99)=0,"بدون قيمة","OK")))))</f>
        <v>فارغ</v>
      </c>
      <c r="N99" s="55" t="str">
        <f aca="false">IF(AND(E99&lt;&gt;"",E99='كشف حساب مشروع'!$C$6,I99="مرحل ✔"),COUNTIFS($E$11:E99,'كشف حساب مشروع'!$C$6,$I$11:I99,"مرحل ✔"),"")</f>
        <v/>
      </c>
      <c r="O99" s="55" t="str">
        <f aca="false">IF(AND(C99&lt;&gt;"",C99='دفتر الأستاذ'!$C$6,I99="مرحل ✔"),COUNTIFS($C$11:C99,'دفتر الأستاذ'!$C$6,$I$11:I99,"مرحل ✔"),"")</f>
        <v/>
      </c>
    </row>
    <row r="100" customFormat="false" ht="15" hidden="false" customHeight="false" outlineLevel="0" collapsed="false">
      <c r="A100" s="49"/>
      <c r="B100" s="50"/>
      <c r="C100" s="49"/>
      <c r="D100" s="51" t="str">
        <f aca="false">IF(C100="","",IFERROR(INDEX('شجرة الحسابات'!$B$9:$B$208,MATCH(C100,'شجرة الحسابات'!$A$9:$A$208,0)),"⚠ حساب غير معرف"))</f>
        <v/>
      </c>
      <c r="E100" s="52"/>
      <c r="F100" s="52"/>
      <c r="G100" s="53"/>
      <c r="H100" s="53"/>
      <c r="I100" s="54" t="str">
        <f aca="false">IF(A100="",IF(M100="فارغ","","✖ بدون رقم قيد"),IF(COUNTIFS('قيود اليومية'!$A$11:$A$1010,A100,'قيود اليومية'!$M$11:$M$1010,"&lt;&gt;OK",'قيود اليومية'!$M$11:$M$1010,"&lt;&gt;فارغ")&gt;0,"✖ خطأ بالحساب",IF(ROUND(SUMIFS('قيود اليومية'!$G$11:$G$1010,'قيود اليومية'!$A$11:$A$1010,A100)-SUMIFS('قيود اليومية'!$H$11:$H$1010,'قيود اليومية'!$A$11:$A$1010,A100),2)&lt;&gt;0,"✖ غير متوازن","مرحل ✔")))</f>
        <v/>
      </c>
      <c r="J100" s="55" t="str">
        <f aca="false">IF(C100="","",IFERROR(INDEX('شجرة الحسابات'!$E$9:$E$208,MATCH(C100,'شجرة الحسابات'!$A$9:$A$208,0))&amp;"",""))</f>
        <v/>
      </c>
      <c r="K100" s="55" t="str">
        <f aca="false">IF(C100="","",IFERROR(INDEX('شجرة الحسابات'!$I$9:$I$208,MATCH(C100,'شجرة الحسابات'!$A$9:$A$208,0))&amp;"",""))</f>
        <v/>
      </c>
      <c r="L100" s="55" t="str">
        <f aca="false">IF(C100="","",IFERROR(INDEX('شجرة الحسابات'!$C$9:$C$208,MATCH(C100,'شجرة الحسابات'!$A$9:$A$208,0))&amp;"",""))</f>
        <v/>
      </c>
      <c r="M100" s="55" t="str">
        <f aca="false">IF(AND(C100="",G100="",H100=""),"فارغ",IF(ISNA(MATCH(C100,'شجرة الحسابات'!$A$9:$A$208,0)),"حساب غير معرف",IF(L100&lt;&gt;"تحليلي","حساب تجميعي",IF(AND(N(G100)&gt;0,N(H100)&gt;0),"مدين ودائن معاً",IF(N(G100)+N(H100)=0,"بدون قيمة","OK")))))</f>
        <v>فارغ</v>
      </c>
      <c r="N100" s="55" t="str">
        <f aca="false">IF(AND(E100&lt;&gt;"",E100='كشف حساب مشروع'!$C$6,I100="مرحل ✔"),COUNTIFS($E$11:E100,'كشف حساب مشروع'!$C$6,$I$11:I100,"مرحل ✔"),"")</f>
        <v/>
      </c>
      <c r="O100" s="55" t="str">
        <f aca="false">IF(AND(C100&lt;&gt;"",C100='دفتر الأستاذ'!$C$6,I100="مرحل ✔"),COUNTIFS($C$11:C100,'دفتر الأستاذ'!$C$6,$I$11:I100,"مرحل ✔"),"")</f>
        <v/>
      </c>
    </row>
    <row r="101" customFormat="false" ht="15" hidden="false" customHeight="false" outlineLevel="0" collapsed="false">
      <c r="A101" s="49"/>
      <c r="B101" s="50"/>
      <c r="C101" s="49"/>
      <c r="D101" s="51" t="str">
        <f aca="false">IF(C101="","",IFERROR(INDEX('شجرة الحسابات'!$B$9:$B$208,MATCH(C101,'شجرة الحسابات'!$A$9:$A$208,0)),"⚠ حساب غير معرف"))</f>
        <v/>
      </c>
      <c r="E101" s="52"/>
      <c r="F101" s="52"/>
      <c r="G101" s="53"/>
      <c r="H101" s="53"/>
      <c r="I101" s="54" t="str">
        <f aca="false">IF(A101="",IF(M101="فارغ","","✖ بدون رقم قيد"),IF(COUNTIFS('قيود اليومية'!$A$11:$A$1010,A101,'قيود اليومية'!$M$11:$M$1010,"&lt;&gt;OK",'قيود اليومية'!$M$11:$M$1010,"&lt;&gt;فارغ")&gt;0,"✖ خطأ بالحساب",IF(ROUND(SUMIFS('قيود اليومية'!$G$11:$G$1010,'قيود اليومية'!$A$11:$A$1010,A101)-SUMIFS('قيود اليومية'!$H$11:$H$1010,'قيود اليومية'!$A$11:$A$1010,A101),2)&lt;&gt;0,"✖ غير متوازن","مرحل ✔")))</f>
        <v/>
      </c>
      <c r="J101" s="55" t="str">
        <f aca="false">IF(C101="","",IFERROR(INDEX('شجرة الحسابات'!$E$9:$E$208,MATCH(C101,'شجرة الحسابات'!$A$9:$A$208,0))&amp;"",""))</f>
        <v/>
      </c>
      <c r="K101" s="55" t="str">
        <f aca="false">IF(C101="","",IFERROR(INDEX('شجرة الحسابات'!$I$9:$I$208,MATCH(C101,'شجرة الحسابات'!$A$9:$A$208,0))&amp;"",""))</f>
        <v/>
      </c>
      <c r="L101" s="55" t="str">
        <f aca="false">IF(C101="","",IFERROR(INDEX('شجرة الحسابات'!$C$9:$C$208,MATCH(C101,'شجرة الحسابات'!$A$9:$A$208,0))&amp;"",""))</f>
        <v/>
      </c>
      <c r="M101" s="55" t="str">
        <f aca="false">IF(AND(C101="",G101="",H101=""),"فارغ",IF(ISNA(MATCH(C101,'شجرة الحسابات'!$A$9:$A$208,0)),"حساب غير معرف",IF(L101&lt;&gt;"تحليلي","حساب تجميعي",IF(AND(N(G101)&gt;0,N(H101)&gt;0),"مدين ودائن معاً",IF(N(G101)+N(H101)=0,"بدون قيمة","OK")))))</f>
        <v>فارغ</v>
      </c>
      <c r="N101" s="55" t="str">
        <f aca="false">IF(AND(E101&lt;&gt;"",E101='كشف حساب مشروع'!$C$6,I101="مرحل ✔"),COUNTIFS($E$11:E101,'كشف حساب مشروع'!$C$6,$I$11:I101,"مرحل ✔"),"")</f>
        <v/>
      </c>
      <c r="O101" s="55" t="str">
        <f aca="false">IF(AND(C101&lt;&gt;"",C101='دفتر الأستاذ'!$C$6,I101="مرحل ✔"),COUNTIFS($C$11:C101,'دفتر الأستاذ'!$C$6,$I$11:I101,"مرحل ✔"),"")</f>
        <v/>
      </c>
    </row>
    <row r="102" customFormat="false" ht="15" hidden="false" customHeight="false" outlineLevel="0" collapsed="false">
      <c r="A102" s="49"/>
      <c r="B102" s="50"/>
      <c r="C102" s="49"/>
      <c r="D102" s="51" t="str">
        <f aca="false">IF(C102="","",IFERROR(INDEX('شجرة الحسابات'!$B$9:$B$208,MATCH(C102,'شجرة الحسابات'!$A$9:$A$208,0)),"⚠ حساب غير معرف"))</f>
        <v/>
      </c>
      <c r="E102" s="52"/>
      <c r="F102" s="52"/>
      <c r="G102" s="53"/>
      <c r="H102" s="53"/>
      <c r="I102" s="54" t="str">
        <f aca="false">IF(A102="",IF(M102="فارغ","","✖ بدون رقم قيد"),IF(COUNTIFS('قيود اليومية'!$A$11:$A$1010,A102,'قيود اليومية'!$M$11:$M$1010,"&lt;&gt;OK",'قيود اليومية'!$M$11:$M$1010,"&lt;&gt;فارغ")&gt;0,"✖ خطأ بالحساب",IF(ROUND(SUMIFS('قيود اليومية'!$G$11:$G$1010,'قيود اليومية'!$A$11:$A$1010,A102)-SUMIFS('قيود اليومية'!$H$11:$H$1010,'قيود اليومية'!$A$11:$A$1010,A102),2)&lt;&gt;0,"✖ غير متوازن","مرحل ✔")))</f>
        <v/>
      </c>
      <c r="J102" s="55" t="str">
        <f aca="false">IF(C102="","",IFERROR(INDEX('شجرة الحسابات'!$E$9:$E$208,MATCH(C102,'شجرة الحسابات'!$A$9:$A$208,0))&amp;"",""))</f>
        <v/>
      </c>
      <c r="K102" s="55" t="str">
        <f aca="false">IF(C102="","",IFERROR(INDEX('شجرة الحسابات'!$I$9:$I$208,MATCH(C102,'شجرة الحسابات'!$A$9:$A$208,0))&amp;"",""))</f>
        <v/>
      </c>
      <c r="L102" s="55" t="str">
        <f aca="false">IF(C102="","",IFERROR(INDEX('شجرة الحسابات'!$C$9:$C$208,MATCH(C102,'شجرة الحسابات'!$A$9:$A$208,0))&amp;"",""))</f>
        <v/>
      </c>
      <c r="M102" s="55" t="str">
        <f aca="false">IF(AND(C102="",G102="",H102=""),"فارغ",IF(ISNA(MATCH(C102,'شجرة الحسابات'!$A$9:$A$208,0)),"حساب غير معرف",IF(L102&lt;&gt;"تحليلي","حساب تجميعي",IF(AND(N(G102)&gt;0,N(H102)&gt;0),"مدين ودائن معاً",IF(N(G102)+N(H102)=0,"بدون قيمة","OK")))))</f>
        <v>فارغ</v>
      </c>
      <c r="N102" s="55" t="str">
        <f aca="false">IF(AND(E102&lt;&gt;"",E102='كشف حساب مشروع'!$C$6,I102="مرحل ✔"),COUNTIFS($E$11:E102,'كشف حساب مشروع'!$C$6,$I$11:I102,"مرحل ✔"),"")</f>
        <v/>
      </c>
      <c r="O102" s="55" t="str">
        <f aca="false">IF(AND(C102&lt;&gt;"",C102='دفتر الأستاذ'!$C$6,I102="مرحل ✔"),COUNTIFS($C$11:C102,'دفتر الأستاذ'!$C$6,$I$11:I102,"مرحل ✔"),"")</f>
        <v/>
      </c>
    </row>
    <row r="103" customFormat="false" ht="15" hidden="false" customHeight="false" outlineLevel="0" collapsed="false">
      <c r="A103" s="49"/>
      <c r="B103" s="50"/>
      <c r="C103" s="49"/>
      <c r="D103" s="51" t="str">
        <f aca="false">IF(C103="","",IFERROR(INDEX('شجرة الحسابات'!$B$9:$B$208,MATCH(C103,'شجرة الحسابات'!$A$9:$A$208,0)),"⚠ حساب غير معرف"))</f>
        <v/>
      </c>
      <c r="E103" s="52"/>
      <c r="F103" s="52"/>
      <c r="G103" s="53"/>
      <c r="H103" s="53"/>
      <c r="I103" s="54" t="str">
        <f aca="false">IF(A103="",IF(M103="فارغ","","✖ بدون رقم قيد"),IF(COUNTIFS('قيود اليومية'!$A$11:$A$1010,A103,'قيود اليومية'!$M$11:$M$1010,"&lt;&gt;OK",'قيود اليومية'!$M$11:$M$1010,"&lt;&gt;فارغ")&gt;0,"✖ خطأ بالحساب",IF(ROUND(SUMIFS('قيود اليومية'!$G$11:$G$1010,'قيود اليومية'!$A$11:$A$1010,A103)-SUMIFS('قيود اليومية'!$H$11:$H$1010,'قيود اليومية'!$A$11:$A$1010,A103),2)&lt;&gt;0,"✖ غير متوازن","مرحل ✔")))</f>
        <v/>
      </c>
      <c r="J103" s="55" t="str">
        <f aca="false">IF(C103="","",IFERROR(INDEX('شجرة الحسابات'!$E$9:$E$208,MATCH(C103,'شجرة الحسابات'!$A$9:$A$208,0))&amp;"",""))</f>
        <v/>
      </c>
      <c r="K103" s="55" t="str">
        <f aca="false">IF(C103="","",IFERROR(INDEX('شجرة الحسابات'!$I$9:$I$208,MATCH(C103,'شجرة الحسابات'!$A$9:$A$208,0))&amp;"",""))</f>
        <v/>
      </c>
      <c r="L103" s="55" t="str">
        <f aca="false">IF(C103="","",IFERROR(INDEX('شجرة الحسابات'!$C$9:$C$208,MATCH(C103,'شجرة الحسابات'!$A$9:$A$208,0))&amp;"",""))</f>
        <v/>
      </c>
      <c r="M103" s="55" t="str">
        <f aca="false">IF(AND(C103="",G103="",H103=""),"فارغ",IF(ISNA(MATCH(C103,'شجرة الحسابات'!$A$9:$A$208,0)),"حساب غير معرف",IF(L103&lt;&gt;"تحليلي","حساب تجميعي",IF(AND(N(G103)&gt;0,N(H103)&gt;0),"مدين ودائن معاً",IF(N(G103)+N(H103)=0,"بدون قيمة","OK")))))</f>
        <v>فارغ</v>
      </c>
      <c r="N103" s="55" t="str">
        <f aca="false">IF(AND(E103&lt;&gt;"",E103='كشف حساب مشروع'!$C$6,I103="مرحل ✔"),COUNTIFS($E$11:E103,'كشف حساب مشروع'!$C$6,$I$11:I103,"مرحل ✔"),"")</f>
        <v/>
      </c>
      <c r="O103" s="55" t="str">
        <f aca="false">IF(AND(C103&lt;&gt;"",C103='دفتر الأستاذ'!$C$6,I103="مرحل ✔"),COUNTIFS($C$11:C103,'دفتر الأستاذ'!$C$6,$I$11:I103,"مرحل ✔"),"")</f>
        <v/>
      </c>
    </row>
    <row r="104" customFormat="false" ht="15" hidden="false" customHeight="false" outlineLevel="0" collapsed="false">
      <c r="A104" s="49"/>
      <c r="B104" s="50"/>
      <c r="C104" s="49"/>
      <c r="D104" s="51" t="str">
        <f aca="false">IF(C104="","",IFERROR(INDEX('شجرة الحسابات'!$B$9:$B$208,MATCH(C104,'شجرة الحسابات'!$A$9:$A$208,0)),"⚠ حساب غير معرف"))</f>
        <v/>
      </c>
      <c r="E104" s="52"/>
      <c r="F104" s="52"/>
      <c r="G104" s="53"/>
      <c r="H104" s="53"/>
      <c r="I104" s="54" t="str">
        <f aca="false">IF(A104="",IF(M104="فارغ","","✖ بدون رقم قيد"),IF(COUNTIFS('قيود اليومية'!$A$11:$A$1010,A104,'قيود اليومية'!$M$11:$M$1010,"&lt;&gt;OK",'قيود اليومية'!$M$11:$M$1010,"&lt;&gt;فارغ")&gt;0,"✖ خطأ بالحساب",IF(ROUND(SUMIFS('قيود اليومية'!$G$11:$G$1010,'قيود اليومية'!$A$11:$A$1010,A104)-SUMIFS('قيود اليومية'!$H$11:$H$1010,'قيود اليومية'!$A$11:$A$1010,A104),2)&lt;&gt;0,"✖ غير متوازن","مرحل ✔")))</f>
        <v/>
      </c>
      <c r="J104" s="55" t="str">
        <f aca="false">IF(C104="","",IFERROR(INDEX('شجرة الحسابات'!$E$9:$E$208,MATCH(C104,'شجرة الحسابات'!$A$9:$A$208,0))&amp;"",""))</f>
        <v/>
      </c>
      <c r="K104" s="55" t="str">
        <f aca="false">IF(C104="","",IFERROR(INDEX('شجرة الحسابات'!$I$9:$I$208,MATCH(C104,'شجرة الحسابات'!$A$9:$A$208,0))&amp;"",""))</f>
        <v/>
      </c>
      <c r="L104" s="55" t="str">
        <f aca="false">IF(C104="","",IFERROR(INDEX('شجرة الحسابات'!$C$9:$C$208,MATCH(C104,'شجرة الحسابات'!$A$9:$A$208,0))&amp;"",""))</f>
        <v/>
      </c>
      <c r="M104" s="55" t="str">
        <f aca="false">IF(AND(C104="",G104="",H104=""),"فارغ",IF(ISNA(MATCH(C104,'شجرة الحسابات'!$A$9:$A$208,0)),"حساب غير معرف",IF(L104&lt;&gt;"تحليلي","حساب تجميعي",IF(AND(N(G104)&gt;0,N(H104)&gt;0),"مدين ودائن معاً",IF(N(G104)+N(H104)=0,"بدون قيمة","OK")))))</f>
        <v>فارغ</v>
      </c>
      <c r="N104" s="55" t="str">
        <f aca="false">IF(AND(E104&lt;&gt;"",E104='كشف حساب مشروع'!$C$6,I104="مرحل ✔"),COUNTIFS($E$11:E104,'كشف حساب مشروع'!$C$6,$I$11:I104,"مرحل ✔"),"")</f>
        <v/>
      </c>
      <c r="O104" s="55" t="str">
        <f aca="false">IF(AND(C104&lt;&gt;"",C104='دفتر الأستاذ'!$C$6,I104="مرحل ✔"),COUNTIFS($C$11:C104,'دفتر الأستاذ'!$C$6,$I$11:I104,"مرحل ✔"),"")</f>
        <v/>
      </c>
    </row>
    <row r="105" customFormat="false" ht="15" hidden="false" customHeight="false" outlineLevel="0" collapsed="false">
      <c r="A105" s="49"/>
      <c r="B105" s="50"/>
      <c r="C105" s="49"/>
      <c r="D105" s="51" t="str">
        <f aca="false">IF(C105="","",IFERROR(INDEX('شجرة الحسابات'!$B$9:$B$208,MATCH(C105,'شجرة الحسابات'!$A$9:$A$208,0)),"⚠ حساب غير معرف"))</f>
        <v/>
      </c>
      <c r="E105" s="52"/>
      <c r="F105" s="52"/>
      <c r="G105" s="53"/>
      <c r="H105" s="53"/>
      <c r="I105" s="54" t="str">
        <f aca="false">IF(A105="",IF(M105="فارغ","","✖ بدون رقم قيد"),IF(COUNTIFS('قيود اليومية'!$A$11:$A$1010,A105,'قيود اليومية'!$M$11:$M$1010,"&lt;&gt;OK",'قيود اليومية'!$M$11:$M$1010,"&lt;&gt;فارغ")&gt;0,"✖ خطأ بالحساب",IF(ROUND(SUMIFS('قيود اليومية'!$G$11:$G$1010,'قيود اليومية'!$A$11:$A$1010,A105)-SUMIFS('قيود اليومية'!$H$11:$H$1010,'قيود اليومية'!$A$11:$A$1010,A105),2)&lt;&gt;0,"✖ غير متوازن","مرحل ✔")))</f>
        <v/>
      </c>
      <c r="J105" s="55" t="str">
        <f aca="false">IF(C105="","",IFERROR(INDEX('شجرة الحسابات'!$E$9:$E$208,MATCH(C105,'شجرة الحسابات'!$A$9:$A$208,0))&amp;"",""))</f>
        <v/>
      </c>
      <c r="K105" s="55" t="str">
        <f aca="false">IF(C105="","",IFERROR(INDEX('شجرة الحسابات'!$I$9:$I$208,MATCH(C105,'شجرة الحسابات'!$A$9:$A$208,0))&amp;"",""))</f>
        <v/>
      </c>
      <c r="L105" s="55" t="str">
        <f aca="false">IF(C105="","",IFERROR(INDEX('شجرة الحسابات'!$C$9:$C$208,MATCH(C105,'شجرة الحسابات'!$A$9:$A$208,0))&amp;"",""))</f>
        <v/>
      </c>
      <c r="M105" s="55" t="str">
        <f aca="false">IF(AND(C105="",G105="",H105=""),"فارغ",IF(ISNA(MATCH(C105,'شجرة الحسابات'!$A$9:$A$208,0)),"حساب غير معرف",IF(L105&lt;&gt;"تحليلي","حساب تجميعي",IF(AND(N(G105)&gt;0,N(H105)&gt;0),"مدين ودائن معاً",IF(N(G105)+N(H105)=0,"بدون قيمة","OK")))))</f>
        <v>فارغ</v>
      </c>
      <c r="N105" s="55" t="str">
        <f aca="false">IF(AND(E105&lt;&gt;"",E105='كشف حساب مشروع'!$C$6,I105="مرحل ✔"),COUNTIFS($E$11:E105,'كشف حساب مشروع'!$C$6,$I$11:I105,"مرحل ✔"),"")</f>
        <v/>
      </c>
      <c r="O105" s="55" t="str">
        <f aca="false">IF(AND(C105&lt;&gt;"",C105='دفتر الأستاذ'!$C$6,I105="مرحل ✔"),COUNTIFS($C$11:C105,'دفتر الأستاذ'!$C$6,$I$11:I105,"مرحل ✔"),"")</f>
        <v/>
      </c>
    </row>
    <row r="106" customFormat="false" ht="15" hidden="false" customHeight="false" outlineLevel="0" collapsed="false">
      <c r="A106" s="49"/>
      <c r="B106" s="50"/>
      <c r="C106" s="49"/>
      <c r="D106" s="51" t="str">
        <f aca="false">IF(C106="","",IFERROR(INDEX('شجرة الحسابات'!$B$9:$B$208,MATCH(C106,'شجرة الحسابات'!$A$9:$A$208,0)),"⚠ حساب غير معرف"))</f>
        <v/>
      </c>
      <c r="E106" s="52"/>
      <c r="F106" s="52"/>
      <c r="G106" s="53"/>
      <c r="H106" s="53"/>
      <c r="I106" s="54" t="str">
        <f aca="false">IF(A106="",IF(M106="فارغ","","✖ بدون رقم قيد"),IF(COUNTIFS('قيود اليومية'!$A$11:$A$1010,A106,'قيود اليومية'!$M$11:$M$1010,"&lt;&gt;OK",'قيود اليومية'!$M$11:$M$1010,"&lt;&gt;فارغ")&gt;0,"✖ خطأ بالحساب",IF(ROUND(SUMIFS('قيود اليومية'!$G$11:$G$1010,'قيود اليومية'!$A$11:$A$1010,A106)-SUMIFS('قيود اليومية'!$H$11:$H$1010,'قيود اليومية'!$A$11:$A$1010,A106),2)&lt;&gt;0,"✖ غير متوازن","مرحل ✔")))</f>
        <v/>
      </c>
      <c r="J106" s="55" t="str">
        <f aca="false">IF(C106="","",IFERROR(INDEX('شجرة الحسابات'!$E$9:$E$208,MATCH(C106,'شجرة الحسابات'!$A$9:$A$208,0))&amp;"",""))</f>
        <v/>
      </c>
      <c r="K106" s="55" t="str">
        <f aca="false">IF(C106="","",IFERROR(INDEX('شجرة الحسابات'!$I$9:$I$208,MATCH(C106,'شجرة الحسابات'!$A$9:$A$208,0))&amp;"",""))</f>
        <v/>
      </c>
      <c r="L106" s="55" t="str">
        <f aca="false">IF(C106="","",IFERROR(INDEX('شجرة الحسابات'!$C$9:$C$208,MATCH(C106,'شجرة الحسابات'!$A$9:$A$208,0))&amp;"",""))</f>
        <v/>
      </c>
      <c r="M106" s="55" t="str">
        <f aca="false">IF(AND(C106="",G106="",H106=""),"فارغ",IF(ISNA(MATCH(C106,'شجرة الحسابات'!$A$9:$A$208,0)),"حساب غير معرف",IF(L106&lt;&gt;"تحليلي","حساب تجميعي",IF(AND(N(G106)&gt;0,N(H106)&gt;0),"مدين ودائن معاً",IF(N(G106)+N(H106)=0,"بدون قيمة","OK")))))</f>
        <v>فارغ</v>
      </c>
      <c r="N106" s="55" t="str">
        <f aca="false">IF(AND(E106&lt;&gt;"",E106='كشف حساب مشروع'!$C$6,I106="مرحل ✔"),COUNTIFS($E$11:E106,'كشف حساب مشروع'!$C$6,$I$11:I106,"مرحل ✔"),"")</f>
        <v/>
      </c>
      <c r="O106" s="55" t="str">
        <f aca="false">IF(AND(C106&lt;&gt;"",C106='دفتر الأستاذ'!$C$6,I106="مرحل ✔"),COUNTIFS($C$11:C106,'دفتر الأستاذ'!$C$6,$I$11:I106,"مرحل ✔"),"")</f>
        <v/>
      </c>
    </row>
    <row r="107" customFormat="false" ht="15" hidden="false" customHeight="false" outlineLevel="0" collapsed="false">
      <c r="A107" s="49"/>
      <c r="B107" s="50"/>
      <c r="C107" s="49"/>
      <c r="D107" s="51" t="str">
        <f aca="false">IF(C107="","",IFERROR(INDEX('شجرة الحسابات'!$B$9:$B$208,MATCH(C107,'شجرة الحسابات'!$A$9:$A$208,0)),"⚠ حساب غير معرف"))</f>
        <v/>
      </c>
      <c r="E107" s="52"/>
      <c r="F107" s="52"/>
      <c r="G107" s="53"/>
      <c r="H107" s="53"/>
      <c r="I107" s="54" t="str">
        <f aca="false">IF(A107="",IF(M107="فارغ","","✖ بدون رقم قيد"),IF(COUNTIFS('قيود اليومية'!$A$11:$A$1010,A107,'قيود اليومية'!$M$11:$M$1010,"&lt;&gt;OK",'قيود اليومية'!$M$11:$M$1010,"&lt;&gt;فارغ")&gt;0,"✖ خطأ بالحساب",IF(ROUND(SUMIFS('قيود اليومية'!$G$11:$G$1010,'قيود اليومية'!$A$11:$A$1010,A107)-SUMIFS('قيود اليومية'!$H$11:$H$1010,'قيود اليومية'!$A$11:$A$1010,A107),2)&lt;&gt;0,"✖ غير متوازن","مرحل ✔")))</f>
        <v/>
      </c>
      <c r="J107" s="55" t="str">
        <f aca="false">IF(C107="","",IFERROR(INDEX('شجرة الحسابات'!$E$9:$E$208,MATCH(C107,'شجرة الحسابات'!$A$9:$A$208,0))&amp;"",""))</f>
        <v/>
      </c>
      <c r="K107" s="55" t="str">
        <f aca="false">IF(C107="","",IFERROR(INDEX('شجرة الحسابات'!$I$9:$I$208,MATCH(C107,'شجرة الحسابات'!$A$9:$A$208,0))&amp;"",""))</f>
        <v/>
      </c>
      <c r="L107" s="55" t="str">
        <f aca="false">IF(C107="","",IFERROR(INDEX('شجرة الحسابات'!$C$9:$C$208,MATCH(C107,'شجرة الحسابات'!$A$9:$A$208,0))&amp;"",""))</f>
        <v/>
      </c>
      <c r="M107" s="55" t="str">
        <f aca="false">IF(AND(C107="",G107="",H107=""),"فارغ",IF(ISNA(MATCH(C107,'شجرة الحسابات'!$A$9:$A$208,0)),"حساب غير معرف",IF(L107&lt;&gt;"تحليلي","حساب تجميعي",IF(AND(N(G107)&gt;0,N(H107)&gt;0),"مدين ودائن معاً",IF(N(G107)+N(H107)=0,"بدون قيمة","OK")))))</f>
        <v>فارغ</v>
      </c>
      <c r="N107" s="55" t="str">
        <f aca="false">IF(AND(E107&lt;&gt;"",E107='كشف حساب مشروع'!$C$6,I107="مرحل ✔"),COUNTIFS($E$11:E107,'كشف حساب مشروع'!$C$6,$I$11:I107,"مرحل ✔"),"")</f>
        <v/>
      </c>
      <c r="O107" s="55" t="str">
        <f aca="false">IF(AND(C107&lt;&gt;"",C107='دفتر الأستاذ'!$C$6,I107="مرحل ✔"),COUNTIFS($C$11:C107,'دفتر الأستاذ'!$C$6,$I$11:I107,"مرحل ✔"),"")</f>
        <v/>
      </c>
    </row>
    <row r="108" customFormat="false" ht="15" hidden="false" customHeight="false" outlineLevel="0" collapsed="false">
      <c r="A108" s="49"/>
      <c r="B108" s="50"/>
      <c r="C108" s="49"/>
      <c r="D108" s="51" t="str">
        <f aca="false">IF(C108="","",IFERROR(INDEX('شجرة الحسابات'!$B$9:$B$208,MATCH(C108,'شجرة الحسابات'!$A$9:$A$208,0)),"⚠ حساب غير معرف"))</f>
        <v/>
      </c>
      <c r="E108" s="52"/>
      <c r="F108" s="52"/>
      <c r="G108" s="53"/>
      <c r="H108" s="53"/>
      <c r="I108" s="54" t="str">
        <f aca="false">IF(A108="",IF(M108="فارغ","","✖ بدون رقم قيد"),IF(COUNTIFS('قيود اليومية'!$A$11:$A$1010,A108,'قيود اليومية'!$M$11:$M$1010,"&lt;&gt;OK",'قيود اليومية'!$M$11:$M$1010,"&lt;&gt;فارغ")&gt;0,"✖ خطأ بالحساب",IF(ROUND(SUMIFS('قيود اليومية'!$G$11:$G$1010,'قيود اليومية'!$A$11:$A$1010,A108)-SUMIFS('قيود اليومية'!$H$11:$H$1010,'قيود اليومية'!$A$11:$A$1010,A108),2)&lt;&gt;0,"✖ غير متوازن","مرحل ✔")))</f>
        <v/>
      </c>
      <c r="J108" s="55" t="str">
        <f aca="false">IF(C108="","",IFERROR(INDEX('شجرة الحسابات'!$E$9:$E$208,MATCH(C108,'شجرة الحسابات'!$A$9:$A$208,0))&amp;"",""))</f>
        <v/>
      </c>
      <c r="K108" s="55" t="str">
        <f aca="false">IF(C108="","",IFERROR(INDEX('شجرة الحسابات'!$I$9:$I$208,MATCH(C108,'شجرة الحسابات'!$A$9:$A$208,0))&amp;"",""))</f>
        <v/>
      </c>
      <c r="L108" s="55" t="str">
        <f aca="false">IF(C108="","",IFERROR(INDEX('شجرة الحسابات'!$C$9:$C$208,MATCH(C108,'شجرة الحسابات'!$A$9:$A$208,0))&amp;"",""))</f>
        <v/>
      </c>
      <c r="M108" s="55" t="str">
        <f aca="false">IF(AND(C108="",G108="",H108=""),"فارغ",IF(ISNA(MATCH(C108,'شجرة الحسابات'!$A$9:$A$208,0)),"حساب غير معرف",IF(L108&lt;&gt;"تحليلي","حساب تجميعي",IF(AND(N(G108)&gt;0,N(H108)&gt;0),"مدين ودائن معاً",IF(N(G108)+N(H108)=0,"بدون قيمة","OK")))))</f>
        <v>فارغ</v>
      </c>
      <c r="N108" s="55" t="str">
        <f aca="false">IF(AND(E108&lt;&gt;"",E108='كشف حساب مشروع'!$C$6,I108="مرحل ✔"),COUNTIFS($E$11:E108,'كشف حساب مشروع'!$C$6,$I$11:I108,"مرحل ✔"),"")</f>
        <v/>
      </c>
      <c r="O108" s="55" t="str">
        <f aca="false">IF(AND(C108&lt;&gt;"",C108='دفتر الأستاذ'!$C$6,I108="مرحل ✔"),COUNTIFS($C$11:C108,'دفتر الأستاذ'!$C$6,$I$11:I108,"مرحل ✔"),"")</f>
        <v/>
      </c>
    </row>
    <row r="109" customFormat="false" ht="15" hidden="false" customHeight="false" outlineLevel="0" collapsed="false">
      <c r="A109" s="49"/>
      <c r="B109" s="50"/>
      <c r="C109" s="49"/>
      <c r="D109" s="51" t="str">
        <f aca="false">IF(C109="","",IFERROR(INDEX('شجرة الحسابات'!$B$9:$B$208,MATCH(C109,'شجرة الحسابات'!$A$9:$A$208,0)),"⚠ حساب غير معرف"))</f>
        <v/>
      </c>
      <c r="E109" s="52"/>
      <c r="F109" s="52"/>
      <c r="G109" s="53"/>
      <c r="H109" s="53"/>
      <c r="I109" s="54" t="str">
        <f aca="false">IF(A109="",IF(M109="فارغ","","✖ بدون رقم قيد"),IF(COUNTIFS('قيود اليومية'!$A$11:$A$1010,A109,'قيود اليومية'!$M$11:$M$1010,"&lt;&gt;OK",'قيود اليومية'!$M$11:$M$1010,"&lt;&gt;فارغ")&gt;0,"✖ خطأ بالحساب",IF(ROUND(SUMIFS('قيود اليومية'!$G$11:$G$1010,'قيود اليومية'!$A$11:$A$1010,A109)-SUMIFS('قيود اليومية'!$H$11:$H$1010,'قيود اليومية'!$A$11:$A$1010,A109),2)&lt;&gt;0,"✖ غير متوازن","مرحل ✔")))</f>
        <v/>
      </c>
      <c r="J109" s="55" t="str">
        <f aca="false">IF(C109="","",IFERROR(INDEX('شجرة الحسابات'!$E$9:$E$208,MATCH(C109,'شجرة الحسابات'!$A$9:$A$208,0))&amp;"",""))</f>
        <v/>
      </c>
      <c r="K109" s="55" t="str">
        <f aca="false">IF(C109="","",IFERROR(INDEX('شجرة الحسابات'!$I$9:$I$208,MATCH(C109,'شجرة الحسابات'!$A$9:$A$208,0))&amp;"",""))</f>
        <v/>
      </c>
      <c r="L109" s="55" t="str">
        <f aca="false">IF(C109="","",IFERROR(INDEX('شجرة الحسابات'!$C$9:$C$208,MATCH(C109,'شجرة الحسابات'!$A$9:$A$208,0))&amp;"",""))</f>
        <v/>
      </c>
      <c r="M109" s="55" t="str">
        <f aca="false">IF(AND(C109="",G109="",H109=""),"فارغ",IF(ISNA(MATCH(C109,'شجرة الحسابات'!$A$9:$A$208,0)),"حساب غير معرف",IF(L109&lt;&gt;"تحليلي","حساب تجميعي",IF(AND(N(G109)&gt;0,N(H109)&gt;0),"مدين ودائن معاً",IF(N(G109)+N(H109)=0,"بدون قيمة","OK")))))</f>
        <v>فارغ</v>
      </c>
      <c r="N109" s="55" t="str">
        <f aca="false">IF(AND(E109&lt;&gt;"",E109='كشف حساب مشروع'!$C$6,I109="مرحل ✔"),COUNTIFS($E$11:E109,'كشف حساب مشروع'!$C$6,$I$11:I109,"مرحل ✔"),"")</f>
        <v/>
      </c>
      <c r="O109" s="55" t="str">
        <f aca="false">IF(AND(C109&lt;&gt;"",C109='دفتر الأستاذ'!$C$6,I109="مرحل ✔"),COUNTIFS($C$11:C109,'دفتر الأستاذ'!$C$6,$I$11:I109,"مرحل ✔"),"")</f>
        <v/>
      </c>
    </row>
    <row r="110" customFormat="false" ht="15" hidden="false" customHeight="false" outlineLevel="0" collapsed="false">
      <c r="A110" s="49"/>
      <c r="B110" s="50"/>
      <c r="C110" s="49"/>
      <c r="D110" s="51" t="str">
        <f aca="false">IF(C110="","",IFERROR(INDEX('شجرة الحسابات'!$B$9:$B$208,MATCH(C110,'شجرة الحسابات'!$A$9:$A$208,0)),"⚠ حساب غير معرف"))</f>
        <v/>
      </c>
      <c r="E110" s="52"/>
      <c r="F110" s="52"/>
      <c r="G110" s="53"/>
      <c r="H110" s="53"/>
      <c r="I110" s="54" t="str">
        <f aca="false">IF(A110="",IF(M110="فارغ","","✖ بدون رقم قيد"),IF(COUNTIFS('قيود اليومية'!$A$11:$A$1010,A110,'قيود اليومية'!$M$11:$M$1010,"&lt;&gt;OK",'قيود اليومية'!$M$11:$M$1010,"&lt;&gt;فارغ")&gt;0,"✖ خطأ بالحساب",IF(ROUND(SUMIFS('قيود اليومية'!$G$11:$G$1010,'قيود اليومية'!$A$11:$A$1010,A110)-SUMIFS('قيود اليومية'!$H$11:$H$1010,'قيود اليومية'!$A$11:$A$1010,A110),2)&lt;&gt;0,"✖ غير متوازن","مرحل ✔")))</f>
        <v/>
      </c>
      <c r="J110" s="55" t="str">
        <f aca="false">IF(C110="","",IFERROR(INDEX('شجرة الحسابات'!$E$9:$E$208,MATCH(C110,'شجرة الحسابات'!$A$9:$A$208,0))&amp;"",""))</f>
        <v/>
      </c>
      <c r="K110" s="55" t="str">
        <f aca="false">IF(C110="","",IFERROR(INDEX('شجرة الحسابات'!$I$9:$I$208,MATCH(C110,'شجرة الحسابات'!$A$9:$A$208,0))&amp;"",""))</f>
        <v/>
      </c>
      <c r="L110" s="55" t="str">
        <f aca="false">IF(C110="","",IFERROR(INDEX('شجرة الحسابات'!$C$9:$C$208,MATCH(C110,'شجرة الحسابات'!$A$9:$A$208,0))&amp;"",""))</f>
        <v/>
      </c>
      <c r="M110" s="55" t="str">
        <f aca="false">IF(AND(C110="",G110="",H110=""),"فارغ",IF(ISNA(MATCH(C110,'شجرة الحسابات'!$A$9:$A$208,0)),"حساب غير معرف",IF(L110&lt;&gt;"تحليلي","حساب تجميعي",IF(AND(N(G110)&gt;0,N(H110)&gt;0),"مدين ودائن معاً",IF(N(G110)+N(H110)=0,"بدون قيمة","OK")))))</f>
        <v>فارغ</v>
      </c>
      <c r="N110" s="55" t="str">
        <f aca="false">IF(AND(E110&lt;&gt;"",E110='كشف حساب مشروع'!$C$6,I110="مرحل ✔"),COUNTIFS($E$11:E110,'كشف حساب مشروع'!$C$6,$I$11:I110,"مرحل ✔"),"")</f>
        <v/>
      </c>
      <c r="O110" s="55" t="str">
        <f aca="false">IF(AND(C110&lt;&gt;"",C110='دفتر الأستاذ'!$C$6,I110="مرحل ✔"),COUNTIFS($C$11:C110,'دفتر الأستاذ'!$C$6,$I$11:I110,"مرحل ✔"),"")</f>
        <v/>
      </c>
    </row>
    <row r="111" customFormat="false" ht="15" hidden="false" customHeight="false" outlineLevel="0" collapsed="false">
      <c r="A111" s="49"/>
      <c r="B111" s="50"/>
      <c r="C111" s="49"/>
      <c r="D111" s="51" t="str">
        <f aca="false">IF(C111="","",IFERROR(INDEX('شجرة الحسابات'!$B$9:$B$208,MATCH(C111,'شجرة الحسابات'!$A$9:$A$208,0)),"⚠ حساب غير معرف"))</f>
        <v/>
      </c>
      <c r="E111" s="52"/>
      <c r="F111" s="52"/>
      <c r="G111" s="53"/>
      <c r="H111" s="53"/>
      <c r="I111" s="54" t="str">
        <f aca="false">IF(A111="",IF(M111="فارغ","","✖ بدون رقم قيد"),IF(COUNTIFS('قيود اليومية'!$A$11:$A$1010,A111,'قيود اليومية'!$M$11:$M$1010,"&lt;&gt;OK",'قيود اليومية'!$M$11:$M$1010,"&lt;&gt;فارغ")&gt;0,"✖ خطأ بالحساب",IF(ROUND(SUMIFS('قيود اليومية'!$G$11:$G$1010,'قيود اليومية'!$A$11:$A$1010,A111)-SUMIFS('قيود اليومية'!$H$11:$H$1010,'قيود اليومية'!$A$11:$A$1010,A111),2)&lt;&gt;0,"✖ غير متوازن","مرحل ✔")))</f>
        <v/>
      </c>
      <c r="J111" s="55" t="str">
        <f aca="false">IF(C111="","",IFERROR(INDEX('شجرة الحسابات'!$E$9:$E$208,MATCH(C111,'شجرة الحسابات'!$A$9:$A$208,0))&amp;"",""))</f>
        <v/>
      </c>
      <c r="K111" s="55" t="str">
        <f aca="false">IF(C111="","",IFERROR(INDEX('شجرة الحسابات'!$I$9:$I$208,MATCH(C111,'شجرة الحسابات'!$A$9:$A$208,0))&amp;"",""))</f>
        <v/>
      </c>
      <c r="L111" s="55" t="str">
        <f aca="false">IF(C111="","",IFERROR(INDEX('شجرة الحسابات'!$C$9:$C$208,MATCH(C111,'شجرة الحسابات'!$A$9:$A$208,0))&amp;"",""))</f>
        <v/>
      </c>
      <c r="M111" s="55" t="str">
        <f aca="false">IF(AND(C111="",G111="",H111=""),"فارغ",IF(ISNA(MATCH(C111,'شجرة الحسابات'!$A$9:$A$208,0)),"حساب غير معرف",IF(L111&lt;&gt;"تحليلي","حساب تجميعي",IF(AND(N(G111)&gt;0,N(H111)&gt;0),"مدين ودائن معاً",IF(N(G111)+N(H111)=0,"بدون قيمة","OK")))))</f>
        <v>فارغ</v>
      </c>
      <c r="N111" s="55" t="str">
        <f aca="false">IF(AND(E111&lt;&gt;"",E111='كشف حساب مشروع'!$C$6,I111="مرحل ✔"),COUNTIFS($E$11:E111,'كشف حساب مشروع'!$C$6,$I$11:I111,"مرحل ✔"),"")</f>
        <v/>
      </c>
      <c r="O111" s="55" t="str">
        <f aca="false">IF(AND(C111&lt;&gt;"",C111='دفتر الأستاذ'!$C$6,I111="مرحل ✔"),COUNTIFS($C$11:C111,'دفتر الأستاذ'!$C$6,$I$11:I111,"مرحل ✔"),"")</f>
        <v/>
      </c>
    </row>
    <row r="112" customFormat="false" ht="15" hidden="false" customHeight="false" outlineLevel="0" collapsed="false">
      <c r="A112" s="49"/>
      <c r="B112" s="50"/>
      <c r="C112" s="49"/>
      <c r="D112" s="51" t="str">
        <f aca="false">IF(C112="","",IFERROR(INDEX('شجرة الحسابات'!$B$9:$B$208,MATCH(C112,'شجرة الحسابات'!$A$9:$A$208,0)),"⚠ حساب غير معرف"))</f>
        <v/>
      </c>
      <c r="E112" s="52"/>
      <c r="F112" s="52"/>
      <c r="G112" s="53"/>
      <c r="H112" s="53"/>
      <c r="I112" s="54" t="str">
        <f aca="false">IF(A112="",IF(M112="فارغ","","✖ بدون رقم قيد"),IF(COUNTIFS('قيود اليومية'!$A$11:$A$1010,A112,'قيود اليومية'!$M$11:$M$1010,"&lt;&gt;OK",'قيود اليومية'!$M$11:$M$1010,"&lt;&gt;فارغ")&gt;0,"✖ خطأ بالحساب",IF(ROUND(SUMIFS('قيود اليومية'!$G$11:$G$1010,'قيود اليومية'!$A$11:$A$1010,A112)-SUMIFS('قيود اليومية'!$H$11:$H$1010,'قيود اليومية'!$A$11:$A$1010,A112),2)&lt;&gt;0,"✖ غير متوازن","مرحل ✔")))</f>
        <v/>
      </c>
      <c r="J112" s="55" t="str">
        <f aca="false">IF(C112="","",IFERROR(INDEX('شجرة الحسابات'!$E$9:$E$208,MATCH(C112,'شجرة الحسابات'!$A$9:$A$208,0))&amp;"",""))</f>
        <v/>
      </c>
      <c r="K112" s="55" t="str">
        <f aca="false">IF(C112="","",IFERROR(INDEX('شجرة الحسابات'!$I$9:$I$208,MATCH(C112,'شجرة الحسابات'!$A$9:$A$208,0))&amp;"",""))</f>
        <v/>
      </c>
      <c r="L112" s="55" t="str">
        <f aca="false">IF(C112="","",IFERROR(INDEX('شجرة الحسابات'!$C$9:$C$208,MATCH(C112,'شجرة الحسابات'!$A$9:$A$208,0))&amp;"",""))</f>
        <v/>
      </c>
      <c r="M112" s="55" t="str">
        <f aca="false">IF(AND(C112="",G112="",H112=""),"فارغ",IF(ISNA(MATCH(C112,'شجرة الحسابات'!$A$9:$A$208,0)),"حساب غير معرف",IF(L112&lt;&gt;"تحليلي","حساب تجميعي",IF(AND(N(G112)&gt;0,N(H112)&gt;0),"مدين ودائن معاً",IF(N(G112)+N(H112)=0,"بدون قيمة","OK")))))</f>
        <v>فارغ</v>
      </c>
      <c r="N112" s="55" t="str">
        <f aca="false">IF(AND(E112&lt;&gt;"",E112='كشف حساب مشروع'!$C$6,I112="مرحل ✔"),COUNTIFS($E$11:E112,'كشف حساب مشروع'!$C$6,$I$11:I112,"مرحل ✔"),"")</f>
        <v/>
      </c>
      <c r="O112" s="55" t="str">
        <f aca="false">IF(AND(C112&lt;&gt;"",C112='دفتر الأستاذ'!$C$6,I112="مرحل ✔"),COUNTIFS($C$11:C112,'دفتر الأستاذ'!$C$6,$I$11:I112,"مرحل ✔"),"")</f>
        <v/>
      </c>
    </row>
    <row r="113" customFormat="false" ht="15" hidden="false" customHeight="false" outlineLevel="0" collapsed="false">
      <c r="A113" s="49"/>
      <c r="B113" s="50"/>
      <c r="C113" s="49"/>
      <c r="D113" s="51" t="str">
        <f aca="false">IF(C113="","",IFERROR(INDEX('شجرة الحسابات'!$B$9:$B$208,MATCH(C113,'شجرة الحسابات'!$A$9:$A$208,0)),"⚠ حساب غير معرف"))</f>
        <v/>
      </c>
      <c r="E113" s="52"/>
      <c r="F113" s="52"/>
      <c r="G113" s="53"/>
      <c r="H113" s="53"/>
      <c r="I113" s="54" t="str">
        <f aca="false">IF(A113="",IF(M113="فارغ","","✖ بدون رقم قيد"),IF(COUNTIFS('قيود اليومية'!$A$11:$A$1010,A113,'قيود اليومية'!$M$11:$M$1010,"&lt;&gt;OK",'قيود اليومية'!$M$11:$M$1010,"&lt;&gt;فارغ")&gt;0,"✖ خطأ بالحساب",IF(ROUND(SUMIFS('قيود اليومية'!$G$11:$G$1010,'قيود اليومية'!$A$11:$A$1010,A113)-SUMIFS('قيود اليومية'!$H$11:$H$1010,'قيود اليومية'!$A$11:$A$1010,A113),2)&lt;&gt;0,"✖ غير متوازن","مرحل ✔")))</f>
        <v/>
      </c>
      <c r="J113" s="55" t="str">
        <f aca="false">IF(C113="","",IFERROR(INDEX('شجرة الحسابات'!$E$9:$E$208,MATCH(C113,'شجرة الحسابات'!$A$9:$A$208,0))&amp;"",""))</f>
        <v/>
      </c>
      <c r="K113" s="55" t="str">
        <f aca="false">IF(C113="","",IFERROR(INDEX('شجرة الحسابات'!$I$9:$I$208,MATCH(C113,'شجرة الحسابات'!$A$9:$A$208,0))&amp;"",""))</f>
        <v/>
      </c>
      <c r="L113" s="55" t="str">
        <f aca="false">IF(C113="","",IFERROR(INDEX('شجرة الحسابات'!$C$9:$C$208,MATCH(C113,'شجرة الحسابات'!$A$9:$A$208,0))&amp;"",""))</f>
        <v/>
      </c>
      <c r="M113" s="55" t="str">
        <f aca="false">IF(AND(C113="",G113="",H113=""),"فارغ",IF(ISNA(MATCH(C113,'شجرة الحسابات'!$A$9:$A$208,0)),"حساب غير معرف",IF(L113&lt;&gt;"تحليلي","حساب تجميعي",IF(AND(N(G113)&gt;0,N(H113)&gt;0),"مدين ودائن معاً",IF(N(G113)+N(H113)=0,"بدون قيمة","OK")))))</f>
        <v>فارغ</v>
      </c>
      <c r="N113" s="55" t="str">
        <f aca="false">IF(AND(E113&lt;&gt;"",E113='كشف حساب مشروع'!$C$6,I113="مرحل ✔"),COUNTIFS($E$11:E113,'كشف حساب مشروع'!$C$6,$I$11:I113,"مرحل ✔"),"")</f>
        <v/>
      </c>
      <c r="O113" s="55" t="str">
        <f aca="false">IF(AND(C113&lt;&gt;"",C113='دفتر الأستاذ'!$C$6,I113="مرحل ✔"),COUNTIFS($C$11:C113,'دفتر الأستاذ'!$C$6,$I$11:I113,"مرحل ✔"),"")</f>
        <v/>
      </c>
    </row>
    <row r="114" customFormat="false" ht="15" hidden="false" customHeight="false" outlineLevel="0" collapsed="false">
      <c r="A114" s="49"/>
      <c r="B114" s="50"/>
      <c r="C114" s="49"/>
      <c r="D114" s="51" t="str">
        <f aca="false">IF(C114="","",IFERROR(INDEX('شجرة الحسابات'!$B$9:$B$208,MATCH(C114,'شجرة الحسابات'!$A$9:$A$208,0)),"⚠ حساب غير معرف"))</f>
        <v/>
      </c>
      <c r="E114" s="52"/>
      <c r="F114" s="52"/>
      <c r="G114" s="53"/>
      <c r="H114" s="53"/>
      <c r="I114" s="54" t="str">
        <f aca="false">IF(A114="",IF(M114="فارغ","","✖ بدون رقم قيد"),IF(COUNTIFS('قيود اليومية'!$A$11:$A$1010,A114,'قيود اليومية'!$M$11:$M$1010,"&lt;&gt;OK",'قيود اليومية'!$M$11:$M$1010,"&lt;&gt;فارغ")&gt;0,"✖ خطأ بالحساب",IF(ROUND(SUMIFS('قيود اليومية'!$G$11:$G$1010,'قيود اليومية'!$A$11:$A$1010,A114)-SUMIFS('قيود اليومية'!$H$11:$H$1010,'قيود اليومية'!$A$11:$A$1010,A114),2)&lt;&gt;0,"✖ غير متوازن","مرحل ✔")))</f>
        <v/>
      </c>
      <c r="J114" s="55" t="str">
        <f aca="false">IF(C114="","",IFERROR(INDEX('شجرة الحسابات'!$E$9:$E$208,MATCH(C114,'شجرة الحسابات'!$A$9:$A$208,0))&amp;"",""))</f>
        <v/>
      </c>
      <c r="K114" s="55" t="str">
        <f aca="false">IF(C114="","",IFERROR(INDEX('شجرة الحسابات'!$I$9:$I$208,MATCH(C114,'شجرة الحسابات'!$A$9:$A$208,0))&amp;"",""))</f>
        <v/>
      </c>
      <c r="L114" s="55" t="str">
        <f aca="false">IF(C114="","",IFERROR(INDEX('شجرة الحسابات'!$C$9:$C$208,MATCH(C114,'شجرة الحسابات'!$A$9:$A$208,0))&amp;"",""))</f>
        <v/>
      </c>
      <c r="M114" s="55" t="str">
        <f aca="false">IF(AND(C114="",G114="",H114=""),"فارغ",IF(ISNA(MATCH(C114,'شجرة الحسابات'!$A$9:$A$208,0)),"حساب غير معرف",IF(L114&lt;&gt;"تحليلي","حساب تجميعي",IF(AND(N(G114)&gt;0,N(H114)&gt;0),"مدين ودائن معاً",IF(N(G114)+N(H114)=0,"بدون قيمة","OK")))))</f>
        <v>فارغ</v>
      </c>
      <c r="N114" s="55" t="str">
        <f aca="false">IF(AND(E114&lt;&gt;"",E114='كشف حساب مشروع'!$C$6,I114="مرحل ✔"),COUNTIFS($E$11:E114,'كشف حساب مشروع'!$C$6,$I$11:I114,"مرحل ✔"),"")</f>
        <v/>
      </c>
      <c r="O114" s="55" t="str">
        <f aca="false">IF(AND(C114&lt;&gt;"",C114='دفتر الأستاذ'!$C$6,I114="مرحل ✔"),COUNTIFS($C$11:C114,'دفتر الأستاذ'!$C$6,$I$11:I114,"مرحل ✔"),"")</f>
        <v/>
      </c>
    </row>
    <row r="115" customFormat="false" ht="15" hidden="false" customHeight="false" outlineLevel="0" collapsed="false">
      <c r="A115" s="49"/>
      <c r="B115" s="50"/>
      <c r="C115" s="49"/>
      <c r="D115" s="51" t="str">
        <f aca="false">IF(C115="","",IFERROR(INDEX('شجرة الحسابات'!$B$9:$B$208,MATCH(C115,'شجرة الحسابات'!$A$9:$A$208,0)),"⚠ حساب غير معرف"))</f>
        <v/>
      </c>
      <c r="E115" s="52"/>
      <c r="F115" s="52"/>
      <c r="G115" s="53"/>
      <c r="H115" s="53"/>
      <c r="I115" s="54" t="str">
        <f aca="false">IF(A115="",IF(M115="فارغ","","✖ بدون رقم قيد"),IF(COUNTIFS('قيود اليومية'!$A$11:$A$1010,A115,'قيود اليومية'!$M$11:$M$1010,"&lt;&gt;OK",'قيود اليومية'!$M$11:$M$1010,"&lt;&gt;فارغ")&gt;0,"✖ خطأ بالحساب",IF(ROUND(SUMIFS('قيود اليومية'!$G$11:$G$1010,'قيود اليومية'!$A$11:$A$1010,A115)-SUMIFS('قيود اليومية'!$H$11:$H$1010,'قيود اليومية'!$A$11:$A$1010,A115),2)&lt;&gt;0,"✖ غير متوازن","مرحل ✔")))</f>
        <v/>
      </c>
      <c r="J115" s="55" t="str">
        <f aca="false">IF(C115="","",IFERROR(INDEX('شجرة الحسابات'!$E$9:$E$208,MATCH(C115,'شجرة الحسابات'!$A$9:$A$208,0))&amp;"",""))</f>
        <v/>
      </c>
      <c r="K115" s="55" t="str">
        <f aca="false">IF(C115="","",IFERROR(INDEX('شجرة الحسابات'!$I$9:$I$208,MATCH(C115,'شجرة الحسابات'!$A$9:$A$208,0))&amp;"",""))</f>
        <v/>
      </c>
      <c r="L115" s="55" t="str">
        <f aca="false">IF(C115="","",IFERROR(INDEX('شجرة الحسابات'!$C$9:$C$208,MATCH(C115,'شجرة الحسابات'!$A$9:$A$208,0))&amp;"",""))</f>
        <v/>
      </c>
      <c r="M115" s="55" t="str">
        <f aca="false">IF(AND(C115="",G115="",H115=""),"فارغ",IF(ISNA(MATCH(C115,'شجرة الحسابات'!$A$9:$A$208,0)),"حساب غير معرف",IF(L115&lt;&gt;"تحليلي","حساب تجميعي",IF(AND(N(G115)&gt;0,N(H115)&gt;0),"مدين ودائن معاً",IF(N(G115)+N(H115)=0,"بدون قيمة","OK")))))</f>
        <v>فارغ</v>
      </c>
      <c r="N115" s="55" t="str">
        <f aca="false">IF(AND(E115&lt;&gt;"",E115='كشف حساب مشروع'!$C$6,I115="مرحل ✔"),COUNTIFS($E$11:E115,'كشف حساب مشروع'!$C$6,$I$11:I115,"مرحل ✔"),"")</f>
        <v/>
      </c>
      <c r="O115" s="55" t="str">
        <f aca="false">IF(AND(C115&lt;&gt;"",C115='دفتر الأستاذ'!$C$6,I115="مرحل ✔"),COUNTIFS($C$11:C115,'دفتر الأستاذ'!$C$6,$I$11:I115,"مرحل ✔"),"")</f>
        <v/>
      </c>
    </row>
    <row r="116" customFormat="false" ht="15" hidden="false" customHeight="false" outlineLevel="0" collapsed="false">
      <c r="A116" s="49"/>
      <c r="B116" s="50"/>
      <c r="C116" s="49"/>
      <c r="D116" s="51" t="str">
        <f aca="false">IF(C116="","",IFERROR(INDEX('شجرة الحسابات'!$B$9:$B$208,MATCH(C116,'شجرة الحسابات'!$A$9:$A$208,0)),"⚠ حساب غير معرف"))</f>
        <v/>
      </c>
      <c r="E116" s="52"/>
      <c r="F116" s="52"/>
      <c r="G116" s="53"/>
      <c r="H116" s="53"/>
      <c r="I116" s="54" t="str">
        <f aca="false">IF(A116="",IF(M116="فارغ","","✖ بدون رقم قيد"),IF(COUNTIFS('قيود اليومية'!$A$11:$A$1010,A116,'قيود اليومية'!$M$11:$M$1010,"&lt;&gt;OK",'قيود اليومية'!$M$11:$M$1010,"&lt;&gt;فارغ")&gt;0,"✖ خطأ بالحساب",IF(ROUND(SUMIFS('قيود اليومية'!$G$11:$G$1010,'قيود اليومية'!$A$11:$A$1010,A116)-SUMIFS('قيود اليومية'!$H$11:$H$1010,'قيود اليومية'!$A$11:$A$1010,A116),2)&lt;&gt;0,"✖ غير متوازن","مرحل ✔")))</f>
        <v/>
      </c>
      <c r="J116" s="55" t="str">
        <f aca="false">IF(C116="","",IFERROR(INDEX('شجرة الحسابات'!$E$9:$E$208,MATCH(C116,'شجرة الحسابات'!$A$9:$A$208,0))&amp;"",""))</f>
        <v/>
      </c>
      <c r="K116" s="55" t="str">
        <f aca="false">IF(C116="","",IFERROR(INDEX('شجرة الحسابات'!$I$9:$I$208,MATCH(C116,'شجرة الحسابات'!$A$9:$A$208,0))&amp;"",""))</f>
        <v/>
      </c>
      <c r="L116" s="55" t="str">
        <f aca="false">IF(C116="","",IFERROR(INDEX('شجرة الحسابات'!$C$9:$C$208,MATCH(C116,'شجرة الحسابات'!$A$9:$A$208,0))&amp;"",""))</f>
        <v/>
      </c>
      <c r="M116" s="55" t="str">
        <f aca="false">IF(AND(C116="",G116="",H116=""),"فارغ",IF(ISNA(MATCH(C116,'شجرة الحسابات'!$A$9:$A$208,0)),"حساب غير معرف",IF(L116&lt;&gt;"تحليلي","حساب تجميعي",IF(AND(N(G116)&gt;0,N(H116)&gt;0),"مدين ودائن معاً",IF(N(G116)+N(H116)=0,"بدون قيمة","OK")))))</f>
        <v>فارغ</v>
      </c>
      <c r="N116" s="55" t="str">
        <f aca="false">IF(AND(E116&lt;&gt;"",E116='كشف حساب مشروع'!$C$6,I116="مرحل ✔"),COUNTIFS($E$11:E116,'كشف حساب مشروع'!$C$6,$I$11:I116,"مرحل ✔"),"")</f>
        <v/>
      </c>
      <c r="O116" s="55" t="str">
        <f aca="false">IF(AND(C116&lt;&gt;"",C116='دفتر الأستاذ'!$C$6,I116="مرحل ✔"),COUNTIFS($C$11:C116,'دفتر الأستاذ'!$C$6,$I$11:I116,"مرحل ✔"),"")</f>
        <v/>
      </c>
    </row>
    <row r="117" customFormat="false" ht="15" hidden="false" customHeight="false" outlineLevel="0" collapsed="false">
      <c r="A117" s="49"/>
      <c r="B117" s="50"/>
      <c r="C117" s="49"/>
      <c r="D117" s="51" t="str">
        <f aca="false">IF(C117="","",IFERROR(INDEX('شجرة الحسابات'!$B$9:$B$208,MATCH(C117,'شجرة الحسابات'!$A$9:$A$208,0)),"⚠ حساب غير معرف"))</f>
        <v/>
      </c>
      <c r="E117" s="52"/>
      <c r="F117" s="52"/>
      <c r="G117" s="53"/>
      <c r="H117" s="53"/>
      <c r="I117" s="54" t="str">
        <f aca="false">IF(A117="",IF(M117="فارغ","","✖ بدون رقم قيد"),IF(COUNTIFS('قيود اليومية'!$A$11:$A$1010,A117,'قيود اليومية'!$M$11:$M$1010,"&lt;&gt;OK",'قيود اليومية'!$M$11:$M$1010,"&lt;&gt;فارغ")&gt;0,"✖ خطأ بالحساب",IF(ROUND(SUMIFS('قيود اليومية'!$G$11:$G$1010,'قيود اليومية'!$A$11:$A$1010,A117)-SUMIFS('قيود اليومية'!$H$11:$H$1010,'قيود اليومية'!$A$11:$A$1010,A117),2)&lt;&gt;0,"✖ غير متوازن","مرحل ✔")))</f>
        <v/>
      </c>
      <c r="J117" s="55" t="str">
        <f aca="false">IF(C117="","",IFERROR(INDEX('شجرة الحسابات'!$E$9:$E$208,MATCH(C117,'شجرة الحسابات'!$A$9:$A$208,0))&amp;"",""))</f>
        <v/>
      </c>
      <c r="K117" s="55" t="str">
        <f aca="false">IF(C117="","",IFERROR(INDEX('شجرة الحسابات'!$I$9:$I$208,MATCH(C117,'شجرة الحسابات'!$A$9:$A$208,0))&amp;"",""))</f>
        <v/>
      </c>
      <c r="L117" s="55" t="str">
        <f aca="false">IF(C117="","",IFERROR(INDEX('شجرة الحسابات'!$C$9:$C$208,MATCH(C117,'شجرة الحسابات'!$A$9:$A$208,0))&amp;"",""))</f>
        <v/>
      </c>
      <c r="M117" s="55" t="str">
        <f aca="false">IF(AND(C117="",G117="",H117=""),"فارغ",IF(ISNA(MATCH(C117,'شجرة الحسابات'!$A$9:$A$208,0)),"حساب غير معرف",IF(L117&lt;&gt;"تحليلي","حساب تجميعي",IF(AND(N(G117)&gt;0,N(H117)&gt;0),"مدين ودائن معاً",IF(N(G117)+N(H117)=0,"بدون قيمة","OK")))))</f>
        <v>فارغ</v>
      </c>
      <c r="N117" s="55" t="str">
        <f aca="false">IF(AND(E117&lt;&gt;"",E117='كشف حساب مشروع'!$C$6,I117="مرحل ✔"),COUNTIFS($E$11:E117,'كشف حساب مشروع'!$C$6,$I$11:I117,"مرحل ✔"),"")</f>
        <v/>
      </c>
      <c r="O117" s="55" t="str">
        <f aca="false">IF(AND(C117&lt;&gt;"",C117='دفتر الأستاذ'!$C$6,I117="مرحل ✔"),COUNTIFS($C$11:C117,'دفتر الأستاذ'!$C$6,$I$11:I117,"مرحل ✔"),"")</f>
        <v/>
      </c>
    </row>
    <row r="118" customFormat="false" ht="15" hidden="false" customHeight="false" outlineLevel="0" collapsed="false">
      <c r="A118" s="49"/>
      <c r="B118" s="50"/>
      <c r="C118" s="49"/>
      <c r="D118" s="51" t="str">
        <f aca="false">IF(C118="","",IFERROR(INDEX('شجرة الحسابات'!$B$9:$B$208,MATCH(C118,'شجرة الحسابات'!$A$9:$A$208,0)),"⚠ حساب غير معرف"))</f>
        <v/>
      </c>
      <c r="E118" s="52"/>
      <c r="F118" s="52"/>
      <c r="G118" s="53"/>
      <c r="H118" s="53"/>
      <c r="I118" s="54" t="str">
        <f aca="false">IF(A118="",IF(M118="فارغ","","✖ بدون رقم قيد"),IF(COUNTIFS('قيود اليومية'!$A$11:$A$1010,A118,'قيود اليومية'!$M$11:$M$1010,"&lt;&gt;OK",'قيود اليومية'!$M$11:$M$1010,"&lt;&gt;فارغ")&gt;0,"✖ خطأ بالحساب",IF(ROUND(SUMIFS('قيود اليومية'!$G$11:$G$1010,'قيود اليومية'!$A$11:$A$1010,A118)-SUMIFS('قيود اليومية'!$H$11:$H$1010,'قيود اليومية'!$A$11:$A$1010,A118),2)&lt;&gt;0,"✖ غير متوازن","مرحل ✔")))</f>
        <v/>
      </c>
      <c r="J118" s="55" t="str">
        <f aca="false">IF(C118="","",IFERROR(INDEX('شجرة الحسابات'!$E$9:$E$208,MATCH(C118,'شجرة الحسابات'!$A$9:$A$208,0))&amp;"",""))</f>
        <v/>
      </c>
      <c r="K118" s="55" t="str">
        <f aca="false">IF(C118="","",IFERROR(INDEX('شجرة الحسابات'!$I$9:$I$208,MATCH(C118,'شجرة الحسابات'!$A$9:$A$208,0))&amp;"",""))</f>
        <v/>
      </c>
      <c r="L118" s="55" t="str">
        <f aca="false">IF(C118="","",IFERROR(INDEX('شجرة الحسابات'!$C$9:$C$208,MATCH(C118,'شجرة الحسابات'!$A$9:$A$208,0))&amp;"",""))</f>
        <v/>
      </c>
      <c r="M118" s="55" t="str">
        <f aca="false">IF(AND(C118="",G118="",H118=""),"فارغ",IF(ISNA(MATCH(C118,'شجرة الحسابات'!$A$9:$A$208,0)),"حساب غير معرف",IF(L118&lt;&gt;"تحليلي","حساب تجميعي",IF(AND(N(G118)&gt;0,N(H118)&gt;0),"مدين ودائن معاً",IF(N(G118)+N(H118)=0,"بدون قيمة","OK")))))</f>
        <v>فارغ</v>
      </c>
      <c r="N118" s="55" t="str">
        <f aca="false">IF(AND(E118&lt;&gt;"",E118='كشف حساب مشروع'!$C$6,I118="مرحل ✔"),COUNTIFS($E$11:E118,'كشف حساب مشروع'!$C$6,$I$11:I118,"مرحل ✔"),"")</f>
        <v/>
      </c>
      <c r="O118" s="55" t="str">
        <f aca="false">IF(AND(C118&lt;&gt;"",C118='دفتر الأستاذ'!$C$6,I118="مرحل ✔"),COUNTIFS($C$11:C118,'دفتر الأستاذ'!$C$6,$I$11:I118,"مرحل ✔"),"")</f>
        <v/>
      </c>
    </row>
    <row r="119" customFormat="false" ht="15" hidden="false" customHeight="false" outlineLevel="0" collapsed="false">
      <c r="A119" s="49"/>
      <c r="B119" s="50"/>
      <c r="C119" s="49"/>
      <c r="D119" s="51" t="str">
        <f aca="false">IF(C119="","",IFERROR(INDEX('شجرة الحسابات'!$B$9:$B$208,MATCH(C119,'شجرة الحسابات'!$A$9:$A$208,0)),"⚠ حساب غير معرف"))</f>
        <v/>
      </c>
      <c r="E119" s="52"/>
      <c r="F119" s="52"/>
      <c r="G119" s="53"/>
      <c r="H119" s="53"/>
      <c r="I119" s="54" t="str">
        <f aca="false">IF(A119="",IF(M119="فارغ","","✖ بدون رقم قيد"),IF(COUNTIFS('قيود اليومية'!$A$11:$A$1010,A119,'قيود اليومية'!$M$11:$M$1010,"&lt;&gt;OK",'قيود اليومية'!$M$11:$M$1010,"&lt;&gt;فارغ")&gt;0,"✖ خطأ بالحساب",IF(ROUND(SUMIFS('قيود اليومية'!$G$11:$G$1010,'قيود اليومية'!$A$11:$A$1010,A119)-SUMIFS('قيود اليومية'!$H$11:$H$1010,'قيود اليومية'!$A$11:$A$1010,A119),2)&lt;&gt;0,"✖ غير متوازن","مرحل ✔")))</f>
        <v/>
      </c>
      <c r="J119" s="55" t="str">
        <f aca="false">IF(C119="","",IFERROR(INDEX('شجرة الحسابات'!$E$9:$E$208,MATCH(C119,'شجرة الحسابات'!$A$9:$A$208,0))&amp;"",""))</f>
        <v/>
      </c>
      <c r="K119" s="55" t="str">
        <f aca="false">IF(C119="","",IFERROR(INDEX('شجرة الحسابات'!$I$9:$I$208,MATCH(C119,'شجرة الحسابات'!$A$9:$A$208,0))&amp;"",""))</f>
        <v/>
      </c>
      <c r="L119" s="55" t="str">
        <f aca="false">IF(C119="","",IFERROR(INDEX('شجرة الحسابات'!$C$9:$C$208,MATCH(C119,'شجرة الحسابات'!$A$9:$A$208,0))&amp;"",""))</f>
        <v/>
      </c>
      <c r="M119" s="55" t="str">
        <f aca="false">IF(AND(C119="",G119="",H119=""),"فارغ",IF(ISNA(MATCH(C119,'شجرة الحسابات'!$A$9:$A$208,0)),"حساب غير معرف",IF(L119&lt;&gt;"تحليلي","حساب تجميعي",IF(AND(N(G119)&gt;0,N(H119)&gt;0),"مدين ودائن معاً",IF(N(G119)+N(H119)=0,"بدون قيمة","OK")))))</f>
        <v>فارغ</v>
      </c>
      <c r="N119" s="55" t="str">
        <f aca="false">IF(AND(E119&lt;&gt;"",E119='كشف حساب مشروع'!$C$6,I119="مرحل ✔"),COUNTIFS($E$11:E119,'كشف حساب مشروع'!$C$6,$I$11:I119,"مرحل ✔"),"")</f>
        <v/>
      </c>
      <c r="O119" s="55" t="str">
        <f aca="false">IF(AND(C119&lt;&gt;"",C119='دفتر الأستاذ'!$C$6,I119="مرحل ✔"),COUNTIFS($C$11:C119,'دفتر الأستاذ'!$C$6,$I$11:I119,"مرحل ✔"),"")</f>
        <v/>
      </c>
    </row>
    <row r="120" customFormat="false" ht="15" hidden="false" customHeight="false" outlineLevel="0" collapsed="false">
      <c r="A120" s="49"/>
      <c r="B120" s="50"/>
      <c r="C120" s="49"/>
      <c r="D120" s="51" t="str">
        <f aca="false">IF(C120="","",IFERROR(INDEX('شجرة الحسابات'!$B$9:$B$208,MATCH(C120,'شجرة الحسابات'!$A$9:$A$208,0)),"⚠ حساب غير معرف"))</f>
        <v/>
      </c>
      <c r="E120" s="52"/>
      <c r="F120" s="52"/>
      <c r="G120" s="53"/>
      <c r="H120" s="53"/>
      <c r="I120" s="54" t="str">
        <f aca="false">IF(A120="",IF(M120="فارغ","","✖ بدون رقم قيد"),IF(COUNTIFS('قيود اليومية'!$A$11:$A$1010,A120,'قيود اليومية'!$M$11:$M$1010,"&lt;&gt;OK",'قيود اليومية'!$M$11:$M$1010,"&lt;&gt;فارغ")&gt;0,"✖ خطأ بالحساب",IF(ROUND(SUMIFS('قيود اليومية'!$G$11:$G$1010,'قيود اليومية'!$A$11:$A$1010,A120)-SUMIFS('قيود اليومية'!$H$11:$H$1010,'قيود اليومية'!$A$11:$A$1010,A120),2)&lt;&gt;0,"✖ غير متوازن","مرحل ✔")))</f>
        <v/>
      </c>
      <c r="J120" s="55" t="str">
        <f aca="false">IF(C120="","",IFERROR(INDEX('شجرة الحسابات'!$E$9:$E$208,MATCH(C120,'شجرة الحسابات'!$A$9:$A$208,0))&amp;"",""))</f>
        <v/>
      </c>
      <c r="K120" s="55" t="str">
        <f aca="false">IF(C120="","",IFERROR(INDEX('شجرة الحسابات'!$I$9:$I$208,MATCH(C120,'شجرة الحسابات'!$A$9:$A$208,0))&amp;"",""))</f>
        <v/>
      </c>
      <c r="L120" s="55" t="str">
        <f aca="false">IF(C120="","",IFERROR(INDEX('شجرة الحسابات'!$C$9:$C$208,MATCH(C120,'شجرة الحسابات'!$A$9:$A$208,0))&amp;"",""))</f>
        <v/>
      </c>
      <c r="M120" s="55" t="str">
        <f aca="false">IF(AND(C120="",G120="",H120=""),"فارغ",IF(ISNA(MATCH(C120,'شجرة الحسابات'!$A$9:$A$208,0)),"حساب غير معرف",IF(L120&lt;&gt;"تحليلي","حساب تجميعي",IF(AND(N(G120)&gt;0,N(H120)&gt;0),"مدين ودائن معاً",IF(N(G120)+N(H120)=0,"بدون قيمة","OK")))))</f>
        <v>فارغ</v>
      </c>
      <c r="N120" s="55" t="str">
        <f aca="false">IF(AND(E120&lt;&gt;"",E120='كشف حساب مشروع'!$C$6,I120="مرحل ✔"),COUNTIFS($E$11:E120,'كشف حساب مشروع'!$C$6,$I$11:I120,"مرحل ✔"),"")</f>
        <v/>
      </c>
      <c r="O120" s="55" t="str">
        <f aca="false">IF(AND(C120&lt;&gt;"",C120='دفتر الأستاذ'!$C$6,I120="مرحل ✔"),COUNTIFS($C$11:C120,'دفتر الأستاذ'!$C$6,$I$11:I120,"مرحل ✔"),"")</f>
        <v/>
      </c>
    </row>
    <row r="121" customFormat="false" ht="15" hidden="false" customHeight="false" outlineLevel="0" collapsed="false">
      <c r="A121" s="49"/>
      <c r="B121" s="50"/>
      <c r="C121" s="49"/>
      <c r="D121" s="51" t="str">
        <f aca="false">IF(C121="","",IFERROR(INDEX('شجرة الحسابات'!$B$9:$B$208,MATCH(C121,'شجرة الحسابات'!$A$9:$A$208,0)),"⚠ حساب غير معرف"))</f>
        <v/>
      </c>
      <c r="E121" s="52"/>
      <c r="F121" s="52"/>
      <c r="G121" s="53"/>
      <c r="H121" s="53"/>
      <c r="I121" s="54" t="str">
        <f aca="false">IF(A121="",IF(M121="فارغ","","✖ بدون رقم قيد"),IF(COUNTIFS('قيود اليومية'!$A$11:$A$1010,A121,'قيود اليومية'!$M$11:$M$1010,"&lt;&gt;OK",'قيود اليومية'!$M$11:$M$1010,"&lt;&gt;فارغ")&gt;0,"✖ خطأ بالحساب",IF(ROUND(SUMIFS('قيود اليومية'!$G$11:$G$1010,'قيود اليومية'!$A$11:$A$1010,A121)-SUMIFS('قيود اليومية'!$H$11:$H$1010,'قيود اليومية'!$A$11:$A$1010,A121),2)&lt;&gt;0,"✖ غير متوازن","مرحل ✔")))</f>
        <v/>
      </c>
      <c r="J121" s="55" t="str">
        <f aca="false">IF(C121="","",IFERROR(INDEX('شجرة الحسابات'!$E$9:$E$208,MATCH(C121,'شجرة الحسابات'!$A$9:$A$208,0))&amp;"",""))</f>
        <v/>
      </c>
      <c r="K121" s="55" t="str">
        <f aca="false">IF(C121="","",IFERROR(INDEX('شجرة الحسابات'!$I$9:$I$208,MATCH(C121,'شجرة الحسابات'!$A$9:$A$208,0))&amp;"",""))</f>
        <v/>
      </c>
      <c r="L121" s="55" t="str">
        <f aca="false">IF(C121="","",IFERROR(INDEX('شجرة الحسابات'!$C$9:$C$208,MATCH(C121,'شجرة الحسابات'!$A$9:$A$208,0))&amp;"",""))</f>
        <v/>
      </c>
      <c r="M121" s="55" t="str">
        <f aca="false">IF(AND(C121="",G121="",H121=""),"فارغ",IF(ISNA(MATCH(C121,'شجرة الحسابات'!$A$9:$A$208,0)),"حساب غير معرف",IF(L121&lt;&gt;"تحليلي","حساب تجميعي",IF(AND(N(G121)&gt;0,N(H121)&gt;0),"مدين ودائن معاً",IF(N(G121)+N(H121)=0,"بدون قيمة","OK")))))</f>
        <v>فارغ</v>
      </c>
      <c r="N121" s="55" t="str">
        <f aca="false">IF(AND(E121&lt;&gt;"",E121='كشف حساب مشروع'!$C$6,I121="مرحل ✔"),COUNTIFS($E$11:E121,'كشف حساب مشروع'!$C$6,$I$11:I121,"مرحل ✔"),"")</f>
        <v/>
      </c>
      <c r="O121" s="55" t="str">
        <f aca="false">IF(AND(C121&lt;&gt;"",C121='دفتر الأستاذ'!$C$6,I121="مرحل ✔"),COUNTIFS($C$11:C121,'دفتر الأستاذ'!$C$6,$I$11:I121,"مرحل ✔"),"")</f>
        <v/>
      </c>
    </row>
    <row r="122" customFormat="false" ht="15" hidden="false" customHeight="false" outlineLevel="0" collapsed="false">
      <c r="A122" s="49"/>
      <c r="B122" s="50"/>
      <c r="C122" s="49"/>
      <c r="D122" s="51" t="str">
        <f aca="false">IF(C122="","",IFERROR(INDEX('شجرة الحسابات'!$B$9:$B$208,MATCH(C122,'شجرة الحسابات'!$A$9:$A$208,0)),"⚠ حساب غير معرف"))</f>
        <v/>
      </c>
      <c r="E122" s="52"/>
      <c r="F122" s="52"/>
      <c r="G122" s="53"/>
      <c r="H122" s="53"/>
      <c r="I122" s="54" t="str">
        <f aca="false">IF(A122="",IF(M122="فارغ","","✖ بدون رقم قيد"),IF(COUNTIFS('قيود اليومية'!$A$11:$A$1010,A122,'قيود اليومية'!$M$11:$M$1010,"&lt;&gt;OK",'قيود اليومية'!$M$11:$M$1010,"&lt;&gt;فارغ")&gt;0,"✖ خطأ بالحساب",IF(ROUND(SUMIFS('قيود اليومية'!$G$11:$G$1010,'قيود اليومية'!$A$11:$A$1010,A122)-SUMIFS('قيود اليومية'!$H$11:$H$1010,'قيود اليومية'!$A$11:$A$1010,A122),2)&lt;&gt;0,"✖ غير متوازن","مرحل ✔")))</f>
        <v/>
      </c>
      <c r="J122" s="55" t="str">
        <f aca="false">IF(C122="","",IFERROR(INDEX('شجرة الحسابات'!$E$9:$E$208,MATCH(C122,'شجرة الحسابات'!$A$9:$A$208,0))&amp;"",""))</f>
        <v/>
      </c>
      <c r="K122" s="55" t="str">
        <f aca="false">IF(C122="","",IFERROR(INDEX('شجرة الحسابات'!$I$9:$I$208,MATCH(C122,'شجرة الحسابات'!$A$9:$A$208,0))&amp;"",""))</f>
        <v/>
      </c>
      <c r="L122" s="55" t="str">
        <f aca="false">IF(C122="","",IFERROR(INDEX('شجرة الحسابات'!$C$9:$C$208,MATCH(C122,'شجرة الحسابات'!$A$9:$A$208,0))&amp;"",""))</f>
        <v/>
      </c>
      <c r="M122" s="55" t="str">
        <f aca="false">IF(AND(C122="",G122="",H122=""),"فارغ",IF(ISNA(MATCH(C122,'شجرة الحسابات'!$A$9:$A$208,0)),"حساب غير معرف",IF(L122&lt;&gt;"تحليلي","حساب تجميعي",IF(AND(N(G122)&gt;0,N(H122)&gt;0),"مدين ودائن معاً",IF(N(G122)+N(H122)=0,"بدون قيمة","OK")))))</f>
        <v>فارغ</v>
      </c>
      <c r="N122" s="55" t="str">
        <f aca="false">IF(AND(E122&lt;&gt;"",E122='كشف حساب مشروع'!$C$6,I122="مرحل ✔"),COUNTIFS($E$11:E122,'كشف حساب مشروع'!$C$6,$I$11:I122,"مرحل ✔"),"")</f>
        <v/>
      </c>
      <c r="O122" s="55" t="str">
        <f aca="false">IF(AND(C122&lt;&gt;"",C122='دفتر الأستاذ'!$C$6,I122="مرحل ✔"),COUNTIFS($C$11:C122,'دفتر الأستاذ'!$C$6,$I$11:I122,"مرحل ✔"),"")</f>
        <v/>
      </c>
    </row>
    <row r="123" customFormat="false" ht="15" hidden="false" customHeight="false" outlineLevel="0" collapsed="false">
      <c r="A123" s="49"/>
      <c r="B123" s="50"/>
      <c r="C123" s="49"/>
      <c r="D123" s="51" t="str">
        <f aca="false">IF(C123="","",IFERROR(INDEX('شجرة الحسابات'!$B$9:$B$208,MATCH(C123,'شجرة الحسابات'!$A$9:$A$208,0)),"⚠ حساب غير معرف"))</f>
        <v/>
      </c>
      <c r="E123" s="52"/>
      <c r="F123" s="52"/>
      <c r="G123" s="53"/>
      <c r="H123" s="53"/>
      <c r="I123" s="54" t="str">
        <f aca="false">IF(A123="",IF(M123="فارغ","","✖ بدون رقم قيد"),IF(COUNTIFS('قيود اليومية'!$A$11:$A$1010,A123,'قيود اليومية'!$M$11:$M$1010,"&lt;&gt;OK",'قيود اليومية'!$M$11:$M$1010,"&lt;&gt;فارغ")&gt;0,"✖ خطأ بالحساب",IF(ROUND(SUMIFS('قيود اليومية'!$G$11:$G$1010,'قيود اليومية'!$A$11:$A$1010,A123)-SUMIFS('قيود اليومية'!$H$11:$H$1010,'قيود اليومية'!$A$11:$A$1010,A123),2)&lt;&gt;0,"✖ غير متوازن","مرحل ✔")))</f>
        <v/>
      </c>
      <c r="J123" s="55" t="str">
        <f aca="false">IF(C123="","",IFERROR(INDEX('شجرة الحسابات'!$E$9:$E$208,MATCH(C123,'شجرة الحسابات'!$A$9:$A$208,0))&amp;"",""))</f>
        <v/>
      </c>
      <c r="K123" s="55" t="str">
        <f aca="false">IF(C123="","",IFERROR(INDEX('شجرة الحسابات'!$I$9:$I$208,MATCH(C123,'شجرة الحسابات'!$A$9:$A$208,0))&amp;"",""))</f>
        <v/>
      </c>
      <c r="L123" s="55" t="str">
        <f aca="false">IF(C123="","",IFERROR(INDEX('شجرة الحسابات'!$C$9:$C$208,MATCH(C123,'شجرة الحسابات'!$A$9:$A$208,0))&amp;"",""))</f>
        <v/>
      </c>
      <c r="M123" s="55" t="str">
        <f aca="false">IF(AND(C123="",G123="",H123=""),"فارغ",IF(ISNA(MATCH(C123,'شجرة الحسابات'!$A$9:$A$208,0)),"حساب غير معرف",IF(L123&lt;&gt;"تحليلي","حساب تجميعي",IF(AND(N(G123)&gt;0,N(H123)&gt;0),"مدين ودائن معاً",IF(N(G123)+N(H123)=0,"بدون قيمة","OK")))))</f>
        <v>فارغ</v>
      </c>
      <c r="N123" s="55" t="str">
        <f aca="false">IF(AND(E123&lt;&gt;"",E123='كشف حساب مشروع'!$C$6,I123="مرحل ✔"),COUNTIFS($E$11:E123,'كشف حساب مشروع'!$C$6,$I$11:I123,"مرحل ✔"),"")</f>
        <v/>
      </c>
      <c r="O123" s="55" t="str">
        <f aca="false">IF(AND(C123&lt;&gt;"",C123='دفتر الأستاذ'!$C$6,I123="مرحل ✔"),COUNTIFS($C$11:C123,'دفتر الأستاذ'!$C$6,$I$11:I123,"مرحل ✔"),"")</f>
        <v/>
      </c>
    </row>
    <row r="124" customFormat="false" ht="15" hidden="false" customHeight="false" outlineLevel="0" collapsed="false">
      <c r="A124" s="49"/>
      <c r="B124" s="50"/>
      <c r="C124" s="49"/>
      <c r="D124" s="51" t="str">
        <f aca="false">IF(C124="","",IFERROR(INDEX('شجرة الحسابات'!$B$9:$B$208,MATCH(C124,'شجرة الحسابات'!$A$9:$A$208,0)),"⚠ حساب غير معرف"))</f>
        <v/>
      </c>
      <c r="E124" s="52"/>
      <c r="F124" s="52"/>
      <c r="G124" s="53"/>
      <c r="H124" s="53"/>
      <c r="I124" s="54" t="str">
        <f aca="false">IF(A124="",IF(M124="فارغ","","✖ بدون رقم قيد"),IF(COUNTIFS('قيود اليومية'!$A$11:$A$1010,A124,'قيود اليومية'!$M$11:$M$1010,"&lt;&gt;OK",'قيود اليومية'!$M$11:$M$1010,"&lt;&gt;فارغ")&gt;0,"✖ خطأ بالحساب",IF(ROUND(SUMIFS('قيود اليومية'!$G$11:$G$1010,'قيود اليومية'!$A$11:$A$1010,A124)-SUMIFS('قيود اليومية'!$H$11:$H$1010,'قيود اليومية'!$A$11:$A$1010,A124),2)&lt;&gt;0,"✖ غير متوازن","مرحل ✔")))</f>
        <v/>
      </c>
      <c r="J124" s="55" t="str">
        <f aca="false">IF(C124="","",IFERROR(INDEX('شجرة الحسابات'!$E$9:$E$208,MATCH(C124,'شجرة الحسابات'!$A$9:$A$208,0))&amp;"",""))</f>
        <v/>
      </c>
      <c r="K124" s="55" t="str">
        <f aca="false">IF(C124="","",IFERROR(INDEX('شجرة الحسابات'!$I$9:$I$208,MATCH(C124,'شجرة الحسابات'!$A$9:$A$208,0))&amp;"",""))</f>
        <v/>
      </c>
      <c r="L124" s="55" t="str">
        <f aca="false">IF(C124="","",IFERROR(INDEX('شجرة الحسابات'!$C$9:$C$208,MATCH(C124,'شجرة الحسابات'!$A$9:$A$208,0))&amp;"",""))</f>
        <v/>
      </c>
      <c r="M124" s="55" t="str">
        <f aca="false">IF(AND(C124="",G124="",H124=""),"فارغ",IF(ISNA(MATCH(C124,'شجرة الحسابات'!$A$9:$A$208,0)),"حساب غير معرف",IF(L124&lt;&gt;"تحليلي","حساب تجميعي",IF(AND(N(G124)&gt;0,N(H124)&gt;0),"مدين ودائن معاً",IF(N(G124)+N(H124)=0,"بدون قيمة","OK")))))</f>
        <v>فارغ</v>
      </c>
      <c r="N124" s="55" t="str">
        <f aca="false">IF(AND(E124&lt;&gt;"",E124='كشف حساب مشروع'!$C$6,I124="مرحل ✔"),COUNTIFS($E$11:E124,'كشف حساب مشروع'!$C$6,$I$11:I124,"مرحل ✔"),"")</f>
        <v/>
      </c>
      <c r="O124" s="55" t="str">
        <f aca="false">IF(AND(C124&lt;&gt;"",C124='دفتر الأستاذ'!$C$6,I124="مرحل ✔"),COUNTIFS($C$11:C124,'دفتر الأستاذ'!$C$6,$I$11:I124,"مرحل ✔"),"")</f>
        <v/>
      </c>
    </row>
    <row r="125" customFormat="false" ht="15" hidden="false" customHeight="false" outlineLevel="0" collapsed="false">
      <c r="A125" s="49"/>
      <c r="B125" s="50"/>
      <c r="C125" s="49"/>
      <c r="D125" s="51" t="str">
        <f aca="false">IF(C125="","",IFERROR(INDEX('شجرة الحسابات'!$B$9:$B$208,MATCH(C125,'شجرة الحسابات'!$A$9:$A$208,0)),"⚠ حساب غير معرف"))</f>
        <v/>
      </c>
      <c r="E125" s="52"/>
      <c r="F125" s="52"/>
      <c r="G125" s="53"/>
      <c r="H125" s="53"/>
      <c r="I125" s="54" t="str">
        <f aca="false">IF(A125="",IF(M125="فارغ","","✖ بدون رقم قيد"),IF(COUNTIFS('قيود اليومية'!$A$11:$A$1010,A125,'قيود اليومية'!$M$11:$M$1010,"&lt;&gt;OK",'قيود اليومية'!$M$11:$M$1010,"&lt;&gt;فارغ")&gt;0,"✖ خطأ بالحساب",IF(ROUND(SUMIFS('قيود اليومية'!$G$11:$G$1010,'قيود اليومية'!$A$11:$A$1010,A125)-SUMIFS('قيود اليومية'!$H$11:$H$1010,'قيود اليومية'!$A$11:$A$1010,A125),2)&lt;&gt;0,"✖ غير متوازن","مرحل ✔")))</f>
        <v/>
      </c>
      <c r="J125" s="55" t="str">
        <f aca="false">IF(C125="","",IFERROR(INDEX('شجرة الحسابات'!$E$9:$E$208,MATCH(C125,'شجرة الحسابات'!$A$9:$A$208,0))&amp;"",""))</f>
        <v/>
      </c>
      <c r="K125" s="55" t="str">
        <f aca="false">IF(C125="","",IFERROR(INDEX('شجرة الحسابات'!$I$9:$I$208,MATCH(C125,'شجرة الحسابات'!$A$9:$A$208,0))&amp;"",""))</f>
        <v/>
      </c>
      <c r="L125" s="55" t="str">
        <f aca="false">IF(C125="","",IFERROR(INDEX('شجرة الحسابات'!$C$9:$C$208,MATCH(C125,'شجرة الحسابات'!$A$9:$A$208,0))&amp;"",""))</f>
        <v/>
      </c>
      <c r="M125" s="55" t="str">
        <f aca="false">IF(AND(C125="",G125="",H125=""),"فارغ",IF(ISNA(MATCH(C125,'شجرة الحسابات'!$A$9:$A$208,0)),"حساب غير معرف",IF(L125&lt;&gt;"تحليلي","حساب تجميعي",IF(AND(N(G125)&gt;0,N(H125)&gt;0),"مدين ودائن معاً",IF(N(G125)+N(H125)=0,"بدون قيمة","OK")))))</f>
        <v>فارغ</v>
      </c>
      <c r="N125" s="55" t="str">
        <f aca="false">IF(AND(E125&lt;&gt;"",E125='كشف حساب مشروع'!$C$6,I125="مرحل ✔"),COUNTIFS($E$11:E125,'كشف حساب مشروع'!$C$6,$I$11:I125,"مرحل ✔"),"")</f>
        <v/>
      </c>
      <c r="O125" s="55" t="str">
        <f aca="false">IF(AND(C125&lt;&gt;"",C125='دفتر الأستاذ'!$C$6,I125="مرحل ✔"),COUNTIFS($C$11:C125,'دفتر الأستاذ'!$C$6,$I$11:I125,"مرحل ✔"),"")</f>
        <v/>
      </c>
    </row>
    <row r="126" customFormat="false" ht="15" hidden="false" customHeight="false" outlineLevel="0" collapsed="false">
      <c r="A126" s="49"/>
      <c r="B126" s="50"/>
      <c r="C126" s="49"/>
      <c r="D126" s="51" t="str">
        <f aca="false">IF(C126="","",IFERROR(INDEX('شجرة الحسابات'!$B$9:$B$208,MATCH(C126,'شجرة الحسابات'!$A$9:$A$208,0)),"⚠ حساب غير معرف"))</f>
        <v/>
      </c>
      <c r="E126" s="52"/>
      <c r="F126" s="52"/>
      <c r="G126" s="53"/>
      <c r="H126" s="53"/>
      <c r="I126" s="54" t="str">
        <f aca="false">IF(A126="",IF(M126="فارغ","","✖ بدون رقم قيد"),IF(COUNTIFS('قيود اليومية'!$A$11:$A$1010,A126,'قيود اليومية'!$M$11:$M$1010,"&lt;&gt;OK",'قيود اليومية'!$M$11:$M$1010,"&lt;&gt;فارغ")&gt;0,"✖ خطأ بالحساب",IF(ROUND(SUMIFS('قيود اليومية'!$G$11:$G$1010,'قيود اليومية'!$A$11:$A$1010,A126)-SUMIFS('قيود اليومية'!$H$11:$H$1010,'قيود اليومية'!$A$11:$A$1010,A126),2)&lt;&gt;0,"✖ غير متوازن","مرحل ✔")))</f>
        <v/>
      </c>
      <c r="J126" s="55" t="str">
        <f aca="false">IF(C126="","",IFERROR(INDEX('شجرة الحسابات'!$E$9:$E$208,MATCH(C126,'شجرة الحسابات'!$A$9:$A$208,0))&amp;"",""))</f>
        <v/>
      </c>
      <c r="K126" s="55" t="str">
        <f aca="false">IF(C126="","",IFERROR(INDEX('شجرة الحسابات'!$I$9:$I$208,MATCH(C126,'شجرة الحسابات'!$A$9:$A$208,0))&amp;"",""))</f>
        <v/>
      </c>
      <c r="L126" s="55" t="str">
        <f aca="false">IF(C126="","",IFERROR(INDEX('شجرة الحسابات'!$C$9:$C$208,MATCH(C126,'شجرة الحسابات'!$A$9:$A$208,0))&amp;"",""))</f>
        <v/>
      </c>
      <c r="M126" s="55" t="str">
        <f aca="false">IF(AND(C126="",G126="",H126=""),"فارغ",IF(ISNA(MATCH(C126,'شجرة الحسابات'!$A$9:$A$208,0)),"حساب غير معرف",IF(L126&lt;&gt;"تحليلي","حساب تجميعي",IF(AND(N(G126)&gt;0,N(H126)&gt;0),"مدين ودائن معاً",IF(N(G126)+N(H126)=0,"بدون قيمة","OK")))))</f>
        <v>فارغ</v>
      </c>
      <c r="N126" s="55" t="str">
        <f aca="false">IF(AND(E126&lt;&gt;"",E126='كشف حساب مشروع'!$C$6,I126="مرحل ✔"),COUNTIFS($E$11:E126,'كشف حساب مشروع'!$C$6,$I$11:I126,"مرحل ✔"),"")</f>
        <v/>
      </c>
      <c r="O126" s="55" t="str">
        <f aca="false">IF(AND(C126&lt;&gt;"",C126='دفتر الأستاذ'!$C$6,I126="مرحل ✔"),COUNTIFS($C$11:C126,'دفتر الأستاذ'!$C$6,$I$11:I126,"مرحل ✔"),"")</f>
        <v/>
      </c>
    </row>
    <row r="127" customFormat="false" ht="15" hidden="false" customHeight="false" outlineLevel="0" collapsed="false">
      <c r="A127" s="49"/>
      <c r="B127" s="50"/>
      <c r="C127" s="49"/>
      <c r="D127" s="51" t="str">
        <f aca="false">IF(C127="","",IFERROR(INDEX('شجرة الحسابات'!$B$9:$B$208,MATCH(C127,'شجرة الحسابات'!$A$9:$A$208,0)),"⚠ حساب غير معرف"))</f>
        <v/>
      </c>
      <c r="E127" s="52"/>
      <c r="F127" s="52"/>
      <c r="G127" s="53"/>
      <c r="H127" s="53"/>
      <c r="I127" s="54" t="str">
        <f aca="false">IF(A127="",IF(M127="فارغ","","✖ بدون رقم قيد"),IF(COUNTIFS('قيود اليومية'!$A$11:$A$1010,A127,'قيود اليومية'!$M$11:$M$1010,"&lt;&gt;OK",'قيود اليومية'!$M$11:$M$1010,"&lt;&gt;فارغ")&gt;0,"✖ خطأ بالحساب",IF(ROUND(SUMIFS('قيود اليومية'!$G$11:$G$1010,'قيود اليومية'!$A$11:$A$1010,A127)-SUMIFS('قيود اليومية'!$H$11:$H$1010,'قيود اليومية'!$A$11:$A$1010,A127),2)&lt;&gt;0,"✖ غير متوازن","مرحل ✔")))</f>
        <v/>
      </c>
      <c r="J127" s="55" t="str">
        <f aca="false">IF(C127="","",IFERROR(INDEX('شجرة الحسابات'!$E$9:$E$208,MATCH(C127,'شجرة الحسابات'!$A$9:$A$208,0))&amp;"",""))</f>
        <v/>
      </c>
      <c r="K127" s="55" t="str">
        <f aca="false">IF(C127="","",IFERROR(INDEX('شجرة الحسابات'!$I$9:$I$208,MATCH(C127,'شجرة الحسابات'!$A$9:$A$208,0))&amp;"",""))</f>
        <v/>
      </c>
      <c r="L127" s="55" t="str">
        <f aca="false">IF(C127="","",IFERROR(INDEX('شجرة الحسابات'!$C$9:$C$208,MATCH(C127,'شجرة الحسابات'!$A$9:$A$208,0))&amp;"",""))</f>
        <v/>
      </c>
      <c r="M127" s="55" t="str">
        <f aca="false">IF(AND(C127="",G127="",H127=""),"فارغ",IF(ISNA(MATCH(C127,'شجرة الحسابات'!$A$9:$A$208,0)),"حساب غير معرف",IF(L127&lt;&gt;"تحليلي","حساب تجميعي",IF(AND(N(G127)&gt;0,N(H127)&gt;0),"مدين ودائن معاً",IF(N(G127)+N(H127)=0,"بدون قيمة","OK")))))</f>
        <v>فارغ</v>
      </c>
      <c r="N127" s="55" t="str">
        <f aca="false">IF(AND(E127&lt;&gt;"",E127='كشف حساب مشروع'!$C$6,I127="مرحل ✔"),COUNTIFS($E$11:E127,'كشف حساب مشروع'!$C$6,$I$11:I127,"مرحل ✔"),"")</f>
        <v/>
      </c>
      <c r="O127" s="55" t="str">
        <f aca="false">IF(AND(C127&lt;&gt;"",C127='دفتر الأستاذ'!$C$6,I127="مرحل ✔"),COUNTIFS($C$11:C127,'دفتر الأستاذ'!$C$6,$I$11:I127,"مرحل ✔"),"")</f>
        <v/>
      </c>
    </row>
    <row r="128" customFormat="false" ht="15" hidden="false" customHeight="false" outlineLevel="0" collapsed="false">
      <c r="A128" s="49"/>
      <c r="B128" s="50"/>
      <c r="C128" s="49"/>
      <c r="D128" s="51" t="str">
        <f aca="false">IF(C128="","",IFERROR(INDEX('شجرة الحسابات'!$B$9:$B$208,MATCH(C128,'شجرة الحسابات'!$A$9:$A$208,0)),"⚠ حساب غير معرف"))</f>
        <v/>
      </c>
      <c r="E128" s="52"/>
      <c r="F128" s="52"/>
      <c r="G128" s="53"/>
      <c r="H128" s="53"/>
      <c r="I128" s="54" t="str">
        <f aca="false">IF(A128="",IF(M128="فارغ","","✖ بدون رقم قيد"),IF(COUNTIFS('قيود اليومية'!$A$11:$A$1010,A128,'قيود اليومية'!$M$11:$M$1010,"&lt;&gt;OK",'قيود اليومية'!$M$11:$M$1010,"&lt;&gt;فارغ")&gt;0,"✖ خطأ بالحساب",IF(ROUND(SUMIFS('قيود اليومية'!$G$11:$G$1010,'قيود اليومية'!$A$11:$A$1010,A128)-SUMIFS('قيود اليومية'!$H$11:$H$1010,'قيود اليومية'!$A$11:$A$1010,A128),2)&lt;&gt;0,"✖ غير متوازن","مرحل ✔")))</f>
        <v/>
      </c>
      <c r="J128" s="55" t="str">
        <f aca="false">IF(C128="","",IFERROR(INDEX('شجرة الحسابات'!$E$9:$E$208,MATCH(C128,'شجرة الحسابات'!$A$9:$A$208,0))&amp;"",""))</f>
        <v/>
      </c>
      <c r="K128" s="55" t="str">
        <f aca="false">IF(C128="","",IFERROR(INDEX('شجرة الحسابات'!$I$9:$I$208,MATCH(C128,'شجرة الحسابات'!$A$9:$A$208,0))&amp;"",""))</f>
        <v/>
      </c>
      <c r="L128" s="55" t="str">
        <f aca="false">IF(C128="","",IFERROR(INDEX('شجرة الحسابات'!$C$9:$C$208,MATCH(C128,'شجرة الحسابات'!$A$9:$A$208,0))&amp;"",""))</f>
        <v/>
      </c>
      <c r="M128" s="55" t="str">
        <f aca="false">IF(AND(C128="",G128="",H128=""),"فارغ",IF(ISNA(MATCH(C128,'شجرة الحسابات'!$A$9:$A$208,0)),"حساب غير معرف",IF(L128&lt;&gt;"تحليلي","حساب تجميعي",IF(AND(N(G128)&gt;0,N(H128)&gt;0),"مدين ودائن معاً",IF(N(G128)+N(H128)=0,"بدون قيمة","OK")))))</f>
        <v>فارغ</v>
      </c>
      <c r="N128" s="55" t="str">
        <f aca="false">IF(AND(E128&lt;&gt;"",E128='كشف حساب مشروع'!$C$6,I128="مرحل ✔"),COUNTIFS($E$11:E128,'كشف حساب مشروع'!$C$6,$I$11:I128,"مرحل ✔"),"")</f>
        <v/>
      </c>
      <c r="O128" s="55" t="str">
        <f aca="false">IF(AND(C128&lt;&gt;"",C128='دفتر الأستاذ'!$C$6,I128="مرحل ✔"),COUNTIFS($C$11:C128,'دفتر الأستاذ'!$C$6,$I$11:I128,"مرحل ✔"),"")</f>
        <v/>
      </c>
    </row>
    <row r="129" customFormat="false" ht="15" hidden="false" customHeight="false" outlineLevel="0" collapsed="false">
      <c r="A129" s="49"/>
      <c r="B129" s="50"/>
      <c r="C129" s="49"/>
      <c r="D129" s="51" t="str">
        <f aca="false">IF(C129="","",IFERROR(INDEX('شجرة الحسابات'!$B$9:$B$208,MATCH(C129,'شجرة الحسابات'!$A$9:$A$208,0)),"⚠ حساب غير معرف"))</f>
        <v/>
      </c>
      <c r="E129" s="52"/>
      <c r="F129" s="52"/>
      <c r="G129" s="53"/>
      <c r="H129" s="53"/>
      <c r="I129" s="54" t="str">
        <f aca="false">IF(A129="",IF(M129="فارغ","","✖ بدون رقم قيد"),IF(COUNTIFS('قيود اليومية'!$A$11:$A$1010,A129,'قيود اليومية'!$M$11:$M$1010,"&lt;&gt;OK",'قيود اليومية'!$M$11:$M$1010,"&lt;&gt;فارغ")&gt;0,"✖ خطأ بالحساب",IF(ROUND(SUMIFS('قيود اليومية'!$G$11:$G$1010,'قيود اليومية'!$A$11:$A$1010,A129)-SUMIFS('قيود اليومية'!$H$11:$H$1010,'قيود اليومية'!$A$11:$A$1010,A129),2)&lt;&gt;0,"✖ غير متوازن","مرحل ✔")))</f>
        <v/>
      </c>
      <c r="J129" s="55" t="str">
        <f aca="false">IF(C129="","",IFERROR(INDEX('شجرة الحسابات'!$E$9:$E$208,MATCH(C129,'شجرة الحسابات'!$A$9:$A$208,0))&amp;"",""))</f>
        <v/>
      </c>
      <c r="K129" s="55" t="str">
        <f aca="false">IF(C129="","",IFERROR(INDEX('شجرة الحسابات'!$I$9:$I$208,MATCH(C129,'شجرة الحسابات'!$A$9:$A$208,0))&amp;"",""))</f>
        <v/>
      </c>
      <c r="L129" s="55" t="str">
        <f aca="false">IF(C129="","",IFERROR(INDEX('شجرة الحسابات'!$C$9:$C$208,MATCH(C129,'شجرة الحسابات'!$A$9:$A$208,0))&amp;"",""))</f>
        <v/>
      </c>
      <c r="M129" s="55" t="str">
        <f aca="false">IF(AND(C129="",G129="",H129=""),"فارغ",IF(ISNA(MATCH(C129,'شجرة الحسابات'!$A$9:$A$208,0)),"حساب غير معرف",IF(L129&lt;&gt;"تحليلي","حساب تجميعي",IF(AND(N(G129)&gt;0,N(H129)&gt;0),"مدين ودائن معاً",IF(N(G129)+N(H129)=0,"بدون قيمة","OK")))))</f>
        <v>فارغ</v>
      </c>
      <c r="N129" s="55" t="str">
        <f aca="false">IF(AND(E129&lt;&gt;"",E129='كشف حساب مشروع'!$C$6,I129="مرحل ✔"),COUNTIFS($E$11:E129,'كشف حساب مشروع'!$C$6,$I$11:I129,"مرحل ✔"),"")</f>
        <v/>
      </c>
      <c r="O129" s="55" t="str">
        <f aca="false">IF(AND(C129&lt;&gt;"",C129='دفتر الأستاذ'!$C$6,I129="مرحل ✔"),COUNTIFS($C$11:C129,'دفتر الأستاذ'!$C$6,$I$11:I129,"مرحل ✔"),"")</f>
        <v/>
      </c>
    </row>
    <row r="130" customFormat="false" ht="15" hidden="false" customHeight="false" outlineLevel="0" collapsed="false">
      <c r="A130" s="49"/>
      <c r="B130" s="50"/>
      <c r="C130" s="49"/>
      <c r="D130" s="51" t="str">
        <f aca="false">IF(C130="","",IFERROR(INDEX('شجرة الحسابات'!$B$9:$B$208,MATCH(C130,'شجرة الحسابات'!$A$9:$A$208,0)),"⚠ حساب غير معرف"))</f>
        <v/>
      </c>
      <c r="E130" s="52"/>
      <c r="F130" s="52"/>
      <c r="G130" s="53"/>
      <c r="H130" s="53"/>
      <c r="I130" s="54" t="str">
        <f aca="false">IF(A130="",IF(M130="فارغ","","✖ بدون رقم قيد"),IF(COUNTIFS('قيود اليومية'!$A$11:$A$1010,A130,'قيود اليومية'!$M$11:$M$1010,"&lt;&gt;OK",'قيود اليومية'!$M$11:$M$1010,"&lt;&gt;فارغ")&gt;0,"✖ خطأ بالحساب",IF(ROUND(SUMIFS('قيود اليومية'!$G$11:$G$1010,'قيود اليومية'!$A$11:$A$1010,A130)-SUMIFS('قيود اليومية'!$H$11:$H$1010,'قيود اليومية'!$A$11:$A$1010,A130),2)&lt;&gt;0,"✖ غير متوازن","مرحل ✔")))</f>
        <v/>
      </c>
      <c r="J130" s="55" t="str">
        <f aca="false">IF(C130="","",IFERROR(INDEX('شجرة الحسابات'!$E$9:$E$208,MATCH(C130,'شجرة الحسابات'!$A$9:$A$208,0))&amp;"",""))</f>
        <v/>
      </c>
      <c r="K130" s="55" t="str">
        <f aca="false">IF(C130="","",IFERROR(INDEX('شجرة الحسابات'!$I$9:$I$208,MATCH(C130,'شجرة الحسابات'!$A$9:$A$208,0))&amp;"",""))</f>
        <v/>
      </c>
      <c r="L130" s="55" t="str">
        <f aca="false">IF(C130="","",IFERROR(INDEX('شجرة الحسابات'!$C$9:$C$208,MATCH(C130,'شجرة الحسابات'!$A$9:$A$208,0))&amp;"",""))</f>
        <v/>
      </c>
      <c r="M130" s="55" t="str">
        <f aca="false">IF(AND(C130="",G130="",H130=""),"فارغ",IF(ISNA(MATCH(C130,'شجرة الحسابات'!$A$9:$A$208,0)),"حساب غير معرف",IF(L130&lt;&gt;"تحليلي","حساب تجميعي",IF(AND(N(G130)&gt;0,N(H130)&gt;0),"مدين ودائن معاً",IF(N(G130)+N(H130)=0,"بدون قيمة","OK")))))</f>
        <v>فارغ</v>
      </c>
      <c r="N130" s="55" t="str">
        <f aca="false">IF(AND(E130&lt;&gt;"",E130='كشف حساب مشروع'!$C$6,I130="مرحل ✔"),COUNTIFS($E$11:E130,'كشف حساب مشروع'!$C$6,$I$11:I130,"مرحل ✔"),"")</f>
        <v/>
      </c>
      <c r="O130" s="55" t="str">
        <f aca="false">IF(AND(C130&lt;&gt;"",C130='دفتر الأستاذ'!$C$6,I130="مرحل ✔"),COUNTIFS($C$11:C130,'دفتر الأستاذ'!$C$6,$I$11:I130,"مرحل ✔"),"")</f>
        <v/>
      </c>
    </row>
    <row r="131" customFormat="false" ht="15" hidden="false" customHeight="false" outlineLevel="0" collapsed="false">
      <c r="A131" s="49"/>
      <c r="B131" s="50"/>
      <c r="C131" s="49"/>
      <c r="D131" s="51" t="str">
        <f aca="false">IF(C131="","",IFERROR(INDEX('شجرة الحسابات'!$B$9:$B$208,MATCH(C131,'شجرة الحسابات'!$A$9:$A$208,0)),"⚠ حساب غير معرف"))</f>
        <v/>
      </c>
      <c r="E131" s="52"/>
      <c r="F131" s="52"/>
      <c r="G131" s="53"/>
      <c r="H131" s="53"/>
      <c r="I131" s="54" t="str">
        <f aca="false">IF(A131="",IF(M131="فارغ","","✖ بدون رقم قيد"),IF(COUNTIFS('قيود اليومية'!$A$11:$A$1010,A131,'قيود اليومية'!$M$11:$M$1010,"&lt;&gt;OK",'قيود اليومية'!$M$11:$M$1010,"&lt;&gt;فارغ")&gt;0,"✖ خطأ بالحساب",IF(ROUND(SUMIFS('قيود اليومية'!$G$11:$G$1010,'قيود اليومية'!$A$11:$A$1010,A131)-SUMIFS('قيود اليومية'!$H$11:$H$1010,'قيود اليومية'!$A$11:$A$1010,A131),2)&lt;&gt;0,"✖ غير متوازن","مرحل ✔")))</f>
        <v/>
      </c>
      <c r="J131" s="55" t="str">
        <f aca="false">IF(C131="","",IFERROR(INDEX('شجرة الحسابات'!$E$9:$E$208,MATCH(C131,'شجرة الحسابات'!$A$9:$A$208,0))&amp;"",""))</f>
        <v/>
      </c>
      <c r="K131" s="55" t="str">
        <f aca="false">IF(C131="","",IFERROR(INDEX('شجرة الحسابات'!$I$9:$I$208,MATCH(C131,'شجرة الحسابات'!$A$9:$A$208,0))&amp;"",""))</f>
        <v/>
      </c>
      <c r="L131" s="55" t="str">
        <f aca="false">IF(C131="","",IFERROR(INDEX('شجرة الحسابات'!$C$9:$C$208,MATCH(C131,'شجرة الحسابات'!$A$9:$A$208,0))&amp;"",""))</f>
        <v/>
      </c>
      <c r="M131" s="55" t="str">
        <f aca="false">IF(AND(C131="",G131="",H131=""),"فارغ",IF(ISNA(MATCH(C131,'شجرة الحسابات'!$A$9:$A$208,0)),"حساب غير معرف",IF(L131&lt;&gt;"تحليلي","حساب تجميعي",IF(AND(N(G131)&gt;0,N(H131)&gt;0),"مدين ودائن معاً",IF(N(G131)+N(H131)=0,"بدون قيمة","OK")))))</f>
        <v>فارغ</v>
      </c>
      <c r="N131" s="55" t="str">
        <f aca="false">IF(AND(E131&lt;&gt;"",E131='كشف حساب مشروع'!$C$6,I131="مرحل ✔"),COUNTIFS($E$11:E131,'كشف حساب مشروع'!$C$6,$I$11:I131,"مرحل ✔"),"")</f>
        <v/>
      </c>
      <c r="O131" s="55" t="str">
        <f aca="false">IF(AND(C131&lt;&gt;"",C131='دفتر الأستاذ'!$C$6,I131="مرحل ✔"),COUNTIFS($C$11:C131,'دفتر الأستاذ'!$C$6,$I$11:I131,"مرحل ✔"),"")</f>
        <v/>
      </c>
    </row>
    <row r="132" customFormat="false" ht="15" hidden="false" customHeight="false" outlineLevel="0" collapsed="false">
      <c r="A132" s="49"/>
      <c r="B132" s="50"/>
      <c r="C132" s="49"/>
      <c r="D132" s="51" t="str">
        <f aca="false">IF(C132="","",IFERROR(INDEX('شجرة الحسابات'!$B$9:$B$208,MATCH(C132,'شجرة الحسابات'!$A$9:$A$208,0)),"⚠ حساب غير معرف"))</f>
        <v/>
      </c>
      <c r="E132" s="52"/>
      <c r="F132" s="52"/>
      <c r="G132" s="53"/>
      <c r="H132" s="53"/>
      <c r="I132" s="54" t="str">
        <f aca="false">IF(A132="",IF(M132="فارغ","","✖ بدون رقم قيد"),IF(COUNTIFS('قيود اليومية'!$A$11:$A$1010,A132,'قيود اليومية'!$M$11:$M$1010,"&lt;&gt;OK",'قيود اليومية'!$M$11:$M$1010,"&lt;&gt;فارغ")&gt;0,"✖ خطأ بالحساب",IF(ROUND(SUMIFS('قيود اليومية'!$G$11:$G$1010,'قيود اليومية'!$A$11:$A$1010,A132)-SUMIFS('قيود اليومية'!$H$11:$H$1010,'قيود اليومية'!$A$11:$A$1010,A132),2)&lt;&gt;0,"✖ غير متوازن","مرحل ✔")))</f>
        <v/>
      </c>
      <c r="J132" s="55" t="str">
        <f aca="false">IF(C132="","",IFERROR(INDEX('شجرة الحسابات'!$E$9:$E$208,MATCH(C132,'شجرة الحسابات'!$A$9:$A$208,0))&amp;"",""))</f>
        <v/>
      </c>
      <c r="K132" s="55" t="str">
        <f aca="false">IF(C132="","",IFERROR(INDEX('شجرة الحسابات'!$I$9:$I$208,MATCH(C132,'شجرة الحسابات'!$A$9:$A$208,0))&amp;"",""))</f>
        <v/>
      </c>
      <c r="L132" s="55" t="str">
        <f aca="false">IF(C132="","",IFERROR(INDEX('شجرة الحسابات'!$C$9:$C$208,MATCH(C132,'شجرة الحسابات'!$A$9:$A$208,0))&amp;"",""))</f>
        <v/>
      </c>
      <c r="M132" s="55" t="str">
        <f aca="false">IF(AND(C132="",G132="",H132=""),"فارغ",IF(ISNA(MATCH(C132,'شجرة الحسابات'!$A$9:$A$208,0)),"حساب غير معرف",IF(L132&lt;&gt;"تحليلي","حساب تجميعي",IF(AND(N(G132)&gt;0,N(H132)&gt;0),"مدين ودائن معاً",IF(N(G132)+N(H132)=0,"بدون قيمة","OK")))))</f>
        <v>فارغ</v>
      </c>
      <c r="N132" s="55" t="str">
        <f aca="false">IF(AND(E132&lt;&gt;"",E132='كشف حساب مشروع'!$C$6,I132="مرحل ✔"),COUNTIFS($E$11:E132,'كشف حساب مشروع'!$C$6,$I$11:I132,"مرحل ✔"),"")</f>
        <v/>
      </c>
      <c r="O132" s="55" t="str">
        <f aca="false">IF(AND(C132&lt;&gt;"",C132='دفتر الأستاذ'!$C$6,I132="مرحل ✔"),COUNTIFS($C$11:C132,'دفتر الأستاذ'!$C$6,$I$11:I132,"مرحل ✔"),"")</f>
        <v/>
      </c>
    </row>
    <row r="133" customFormat="false" ht="15" hidden="false" customHeight="false" outlineLevel="0" collapsed="false">
      <c r="A133" s="49"/>
      <c r="B133" s="50"/>
      <c r="C133" s="49"/>
      <c r="D133" s="51" t="str">
        <f aca="false">IF(C133="","",IFERROR(INDEX('شجرة الحسابات'!$B$9:$B$208,MATCH(C133,'شجرة الحسابات'!$A$9:$A$208,0)),"⚠ حساب غير معرف"))</f>
        <v/>
      </c>
      <c r="E133" s="52"/>
      <c r="F133" s="52"/>
      <c r="G133" s="53"/>
      <c r="H133" s="53"/>
      <c r="I133" s="54" t="str">
        <f aca="false">IF(A133="",IF(M133="فارغ","","✖ بدون رقم قيد"),IF(COUNTIFS('قيود اليومية'!$A$11:$A$1010,A133,'قيود اليومية'!$M$11:$M$1010,"&lt;&gt;OK",'قيود اليومية'!$M$11:$M$1010,"&lt;&gt;فارغ")&gt;0,"✖ خطأ بالحساب",IF(ROUND(SUMIFS('قيود اليومية'!$G$11:$G$1010,'قيود اليومية'!$A$11:$A$1010,A133)-SUMIFS('قيود اليومية'!$H$11:$H$1010,'قيود اليومية'!$A$11:$A$1010,A133),2)&lt;&gt;0,"✖ غير متوازن","مرحل ✔")))</f>
        <v/>
      </c>
      <c r="J133" s="55" t="str">
        <f aca="false">IF(C133="","",IFERROR(INDEX('شجرة الحسابات'!$E$9:$E$208,MATCH(C133,'شجرة الحسابات'!$A$9:$A$208,0))&amp;"",""))</f>
        <v/>
      </c>
      <c r="K133" s="55" t="str">
        <f aca="false">IF(C133="","",IFERROR(INDEX('شجرة الحسابات'!$I$9:$I$208,MATCH(C133,'شجرة الحسابات'!$A$9:$A$208,0))&amp;"",""))</f>
        <v/>
      </c>
      <c r="L133" s="55" t="str">
        <f aca="false">IF(C133="","",IFERROR(INDEX('شجرة الحسابات'!$C$9:$C$208,MATCH(C133,'شجرة الحسابات'!$A$9:$A$208,0))&amp;"",""))</f>
        <v/>
      </c>
      <c r="M133" s="55" t="str">
        <f aca="false">IF(AND(C133="",G133="",H133=""),"فارغ",IF(ISNA(MATCH(C133,'شجرة الحسابات'!$A$9:$A$208,0)),"حساب غير معرف",IF(L133&lt;&gt;"تحليلي","حساب تجميعي",IF(AND(N(G133)&gt;0,N(H133)&gt;0),"مدين ودائن معاً",IF(N(G133)+N(H133)=0,"بدون قيمة","OK")))))</f>
        <v>فارغ</v>
      </c>
      <c r="N133" s="55" t="str">
        <f aca="false">IF(AND(E133&lt;&gt;"",E133='كشف حساب مشروع'!$C$6,I133="مرحل ✔"),COUNTIFS($E$11:E133,'كشف حساب مشروع'!$C$6,$I$11:I133,"مرحل ✔"),"")</f>
        <v/>
      </c>
      <c r="O133" s="55" t="str">
        <f aca="false">IF(AND(C133&lt;&gt;"",C133='دفتر الأستاذ'!$C$6,I133="مرحل ✔"),COUNTIFS($C$11:C133,'دفتر الأستاذ'!$C$6,$I$11:I133,"مرحل ✔"),"")</f>
        <v/>
      </c>
    </row>
    <row r="134" customFormat="false" ht="15" hidden="false" customHeight="false" outlineLevel="0" collapsed="false">
      <c r="A134" s="49"/>
      <c r="B134" s="50"/>
      <c r="C134" s="49"/>
      <c r="D134" s="51" t="str">
        <f aca="false">IF(C134="","",IFERROR(INDEX('شجرة الحسابات'!$B$9:$B$208,MATCH(C134,'شجرة الحسابات'!$A$9:$A$208,0)),"⚠ حساب غير معرف"))</f>
        <v/>
      </c>
      <c r="E134" s="52"/>
      <c r="F134" s="52"/>
      <c r="G134" s="53"/>
      <c r="H134" s="53"/>
      <c r="I134" s="54" t="str">
        <f aca="false">IF(A134="",IF(M134="فارغ","","✖ بدون رقم قيد"),IF(COUNTIFS('قيود اليومية'!$A$11:$A$1010,A134,'قيود اليومية'!$M$11:$M$1010,"&lt;&gt;OK",'قيود اليومية'!$M$11:$M$1010,"&lt;&gt;فارغ")&gt;0,"✖ خطأ بالحساب",IF(ROUND(SUMIFS('قيود اليومية'!$G$11:$G$1010,'قيود اليومية'!$A$11:$A$1010,A134)-SUMIFS('قيود اليومية'!$H$11:$H$1010,'قيود اليومية'!$A$11:$A$1010,A134),2)&lt;&gt;0,"✖ غير متوازن","مرحل ✔")))</f>
        <v/>
      </c>
      <c r="J134" s="55" t="str">
        <f aca="false">IF(C134="","",IFERROR(INDEX('شجرة الحسابات'!$E$9:$E$208,MATCH(C134,'شجرة الحسابات'!$A$9:$A$208,0))&amp;"",""))</f>
        <v/>
      </c>
      <c r="K134" s="55" t="str">
        <f aca="false">IF(C134="","",IFERROR(INDEX('شجرة الحسابات'!$I$9:$I$208,MATCH(C134,'شجرة الحسابات'!$A$9:$A$208,0))&amp;"",""))</f>
        <v/>
      </c>
      <c r="L134" s="55" t="str">
        <f aca="false">IF(C134="","",IFERROR(INDEX('شجرة الحسابات'!$C$9:$C$208,MATCH(C134,'شجرة الحسابات'!$A$9:$A$208,0))&amp;"",""))</f>
        <v/>
      </c>
      <c r="M134" s="55" t="str">
        <f aca="false">IF(AND(C134="",G134="",H134=""),"فارغ",IF(ISNA(MATCH(C134,'شجرة الحسابات'!$A$9:$A$208,0)),"حساب غير معرف",IF(L134&lt;&gt;"تحليلي","حساب تجميعي",IF(AND(N(G134)&gt;0,N(H134)&gt;0),"مدين ودائن معاً",IF(N(G134)+N(H134)=0,"بدون قيمة","OK")))))</f>
        <v>فارغ</v>
      </c>
      <c r="N134" s="55" t="str">
        <f aca="false">IF(AND(E134&lt;&gt;"",E134='كشف حساب مشروع'!$C$6,I134="مرحل ✔"),COUNTIFS($E$11:E134,'كشف حساب مشروع'!$C$6,$I$11:I134,"مرحل ✔"),"")</f>
        <v/>
      </c>
      <c r="O134" s="55" t="str">
        <f aca="false">IF(AND(C134&lt;&gt;"",C134='دفتر الأستاذ'!$C$6,I134="مرحل ✔"),COUNTIFS($C$11:C134,'دفتر الأستاذ'!$C$6,$I$11:I134,"مرحل ✔"),"")</f>
        <v/>
      </c>
    </row>
    <row r="135" customFormat="false" ht="15" hidden="false" customHeight="false" outlineLevel="0" collapsed="false">
      <c r="A135" s="49"/>
      <c r="B135" s="50"/>
      <c r="C135" s="49"/>
      <c r="D135" s="51" t="str">
        <f aca="false">IF(C135="","",IFERROR(INDEX('شجرة الحسابات'!$B$9:$B$208,MATCH(C135,'شجرة الحسابات'!$A$9:$A$208,0)),"⚠ حساب غير معرف"))</f>
        <v/>
      </c>
      <c r="E135" s="52"/>
      <c r="F135" s="52"/>
      <c r="G135" s="53"/>
      <c r="H135" s="53"/>
      <c r="I135" s="54" t="str">
        <f aca="false">IF(A135="",IF(M135="فارغ","","✖ بدون رقم قيد"),IF(COUNTIFS('قيود اليومية'!$A$11:$A$1010,A135,'قيود اليومية'!$M$11:$M$1010,"&lt;&gt;OK",'قيود اليومية'!$M$11:$M$1010,"&lt;&gt;فارغ")&gt;0,"✖ خطأ بالحساب",IF(ROUND(SUMIFS('قيود اليومية'!$G$11:$G$1010,'قيود اليومية'!$A$11:$A$1010,A135)-SUMIFS('قيود اليومية'!$H$11:$H$1010,'قيود اليومية'!$A$11:$A$1010,A135),2)&lt;&gt;0,"✖ غير متوازن","مرحل ✔")))</f>
        <v/>
      </c>
      <c r="J135" s="55" t="str">
        <f aca="false">IF(C135="","",IFERROR(INDEX('شجرة الحسابات'!$E$9:$E$208,MATCH(C135,'شجرة الحسابات'!$A$9:$A$208,0))&amp;"",""))</f>
        <v/>
      </c>
      <c r="K135" s="55" t="str">
        <f aca="false">IF(C135="","",IFERROR(INDEX('شجرة الحسابات'!$I$9:$I$208,MATCH(C135,'شجرة الحسابات'!$A$9:$A$208,0))&amp;"",""))</f>
        <v/>
      </c>
      <c r="L135" s="55" t="str">
        <f aca="false">IF(C135="","",IFERROR(INDEX('شجرة الحسابات'!$C$9:$C$208,MATCH(C135,'شجرة الحسابات'!$A$9:$A$208,0))&amp;"",""))</f>
        <v/>
      </c>
      <c r="M135" s="55" t="str">
        <f aca="false">IF(AND(C135="",G135="",H135=""),"فارغ",IF(ISNA(MATCH(C135,'شجرة الحسابات'!$A$9:$A$208,0)),"حساب غير معرف",IF(L135&lt;&gt;"تحليلي","حساب تجميعي",IF(AND(N(G135)&gt;0,N(H135)&gt;0),"مدين ودائن معاً",IF(N(G135)+N(H135)=0,"بدون قيمة","OK")))))</f>
        <v>فارغ</v>
      </c>
      <c r="N135" s="55" t="str">
        <f aca="false">IF(AND(E135&lt;&gt;"",E135='كشف حساب مشروع'!$C$6,I135="مرحل ✔"),COUNTIFS($E$11:E135,'كشف حساب مشروع'!$C$6,$I$11:I135,"مرحل ✔"),"")</f>
        <v/>
      </c>
      <c r="O135" s="55" t="str">
        <f aca="false">IF(AND(C135&lt;&gt;"",C135='دفتر الأستاذ'!$C$6,I135="مرحل ✔"),COUNTIFS($C$11:C135,'دفتر الأستاذ'!$C$6,$I$11:I135,"مرحل ✔"),"")</f>
        <v/>
      </c>
    </row>
    <row r="136" customFormat="false" ht="15" hidden="false" customHeight="false" outlineLevel="0" collapsed="false">
      <c r="A136" s="49"/>
      <c r="B136" s="50"/>
      <c r="C136" s="49"/>
      <c r="D136" s="51" t="str">
        <f aca="false">IF(C136="","",IFERROR(INDEX('شجرة الحسابات'!$B$9:$B$208,MATCH(C136,'شجرة الحسابات'!$A$9:$A$208,0)),"⚠ حساب غير معرف"))</f>
        <v/>
      </c>
      <c r="E136" s="52"/>
      <c r="F136" s="52"/>
      <c r="G136" s="53"/>
      <c r="H136" s="53"/>
      <c r="I136" s="54" t="str">
        <f aca="false">IF(A136="",IF(M136="فارغ","","✖ بدون رقم قيد"),IF(COUNTIFS('قيود اليومية'!$A$11:$A$1010,A136,'قيود اليومية'!$M$11:$M$1010,"&lt;&gt;OK",'قيود اليومية'!$M$11:$M$1010,"&lt;&gt;فارغ")&gt;0,"✖ خطأ بالحساب",IF(ROUND(SUMIFS('قيود اليومية'!$G$11:$G$1010,'قيود اليومية'!$A$11:$A$1010,A136)-SUMIFS('قيود اليومية'!$H$11:$H$1010,'قيود اليومية'!$A$11:$A$1010,A136),2)&lt;&gt;0,"✖ غير متوازن","مرحل ✔")))</f>
        <v/>
      </c>
      <c r="J136" s="55" t="str">
        <f aca="false">IF(C136="","",IFERROR(INDEX('شجرة الحسابات'!$E$9:$E$208,MATCH(C136,'شجرة الحسابات'!$A$9:$A$208,0))&amp;"",""))</f>
        <v/>
      </c>
      <c r="K136" s="55" t="str">
        <f aca="false">IF(C136="","",IFERROR(INDEX('شجرة الحسابات'!$I$9:$I$208,MATCH(C136,'شجرة الحسابات'!$A$9:$A$208,0))&amp;"",""))</f>
        <v/>
      </c>
      <c r="L136" s="55" t="str">
        <f aca="false">IF(C136="","",IFERROR(INDEX('شجرة الحسابات'!$C$9:$C$208,MATCH(C136,'شجرة الحسابات'!$A$9:$A$208,0))&amp;"",""))</f>
        <v/>
      </c>
      <c r="M136" s="55" t="str">
        <f aca="false">IF(AND(C136="",G136="",H136=""),"فارغ",IF(ISNA(MATCH(C136,'شجرة الحسابات'!$A$9:$A$208,0)),"حساب غير معرف",IF(L136&lt;&gt;"تحليلي","حساب تجميعي",IF(AND(N(G136)&gt;0,N(H136)&gt;0),"مدين ودائن معاً",IF(N(G136)+N(H136)=0,"بدون قيمة","OK")))))</f>
        <v>فارغ</v>
      </c>
      <c r="N136" s="55" t="str">
        <f aca="false">IF(AND(E136&lt;&gt;"",E136='كشف حساب مشروع'!$C$6,I136="مرحل ✔"),COUNTIFS($E$11:E136,'كشف حساب مشروع'!$C$6,$I$11:I136,"مرحل ✔"),"")</f>
        <v/>
      </c>
      <c r="O136" s="55" t="str">
        <f aca="false">IF(AND(C136&lt;&gt;"",C136='دفتر الأستاذ'!$C$6,I136="مرحل ✔"),COUNTIFS($C$11:C136,'دفتر الأستاذ'!$C$6,$I$11:I136,"مرحل ✔"),"")</f>
        <v/>
      </c>
    </row>
    <row r="137" customFormat="false" ht="15" hidden="false" customHeight="false" outlineLevel="0" collapsed="false">
      <c r="A137" s="49"/>
      <c r="B137" s="50"/>
      <c r="C137" s="49"/>
      <c r="D137" s="51" t="str">
        <f aca="false">IF(C137="","",IFERROR(INDEX('شجرة الحسابات'!$B$9:$B$208,MATCH(C137,'شجرة الحسابات'!$A$9:$A$208,0)),"⚠ حساب غير معرف"))</f>
        <v/>
      </c>
      <c r="E137" s="52"/>
      <c r="F137" s="52"/>
      <c r="G137" s="53"/>
      <c r="H137" s="53"/>
      <c r="I137" s="54" t="str">
        <f aca="false">IF(A137="",IF(M137="فارغ","","✖ بدون رقم قيد"),IF(COUNTIFS('قيود اليومية'!$A$11:$A$1010,A137,'قيود اليومية'!$M$11:$M$1010,"&lt;&gt;OK",'قيود اليومية'!$M$11:$M$1010,"&lt;&gt;فارغ")&gt;0,"✖ خطأ بالحساب",IF(ROUND(SUMIFS('قيود اليومية'!$G$11:$G$1010,'قيود اليومية'!$A$11:$A$1010,A137)-SUMIFS('قيود اليومية'!$H$11:$H$1010,'قيود اليومية'!$A$11:$A$1010,A137),2)&lt;&gt;0,"✖ غير متوازن","مرحل ✔")))</f>
        <v/>
      </c>
      <c r="J137" s="55" t="str">
        <f aca="false">IF(C137="","",IFERROR(INDEX('شجرة الحسابات'!$E$9:$E$208,MATCH(C137,'شجرة الحسابات'!$A$9:$A$208,0))&amp;"",""))</f>
        <v/>
      </c>
      <c r="K137" s="55" t="str">
        <f aca="false">IF(C137="","",IFERROR(INDEX('شجرة الحسابات'!$I$9:$I$208,MATCH(C137,'شجرة الحسابات'!$A$9:$A$208,0))&amp;"",""))</f>
        <v/>
      </c>
      <c r="L137" s="55" t="str">
        <f aca="false">IF(C137="","",IFERROR(INDEX('شجرة الحسابات'!$C$9:$C$208,MATCH(C137,'شجرة الحسابات'!$A$9:$A$208,0))&amp;"",""))</f>
        <v/>
      </c>
      <c r="M137" s="55" t="str">
        <f aca="false">IF(AND(C137="",G137="",H137=""),"فارغ",IF(ISNA(MATCH(C137,'شجرة الحسابات'!$A$9:$A$208,0)),"حساب غير معرف",IF(L137&lt;&gt;"تحليلي","حساب تجميعي",IF(AND(N(G137)&gt;0,N(H137)&gt;0),"مدين ودائن معاً",IF(N(G137)+N(H137)=0,"بدون قيمة","OK")))))</f>
        <v>فارغ</v>
      </c>
      <c r="N137" s="55" t="str">
        <f aca="false">IF(AND(E137&lt;&gt;"",E137='كشف حساب مشروع'!$C$6,I137="مرحل ✔"),COUNTIFS($E$11:E137,'كشف حساب مشروع'!$C$6,$I$11:I137,"مرحل ✔"),"")</f>
        <v/>
      </c>
      <c r="O137" s="55" t="str">
        <f aca="false">IF(AND(C137&lt;&gt;"",C137='دفتر الأستاذ'!$C$6,I137="مرحل ✔"),COUNTIFS($C$11:C137,'دفتر الأستاذ'!$C$6,$I$11:I137,"مرحل ✔"),"")</f>
        <v/>
      </c>
    </row>
    <row r="138" customFormat="false" ht="15" hidden="false" customHeight="false" outlineLevel="0" collapsed="false">
      <c r="A138" s="49"/>
      <c r="B138" s="50"/>
      <c r="C138" s="49"/>
      <c r="D138" s="51" t="str">
        <f aca="false">IF(C138="","",IFERROR(INDEX('شجرة الحسابات'!$B$9:$B$208,MATCH(C138,'شجرة الحسابات'!$A$9:$A$208,0)),"⚠ حساب غير معرف"))</f>
        <v/>
      </c>
      <c r="E138" s="52"/>
      <c r="F138" s="52"/>
      <c r="G138" s="53"/>
      <c r="H138" s="53"/>
      <c r="I138" s="54" t="str">
        <f aca="false">IF(A138="",IF(M138="فارغ","","✖ بدون رقم قيد"),IF(COUNTIFS('قيود اليومية'!$A$11:$A$1010,A138,'قيود اليومية'!$M$11:$M$1010,"&lt;&gt;OK",'قيود اليومية'!$M$11:$M$1010,"&lt;&gt;فارغ")&gt;0,"✖ خطأ بالحساب",IF(ROUND(SUMIFS('قيود اليومية'!$G$11:$G$1010,'قيود اليومية'!$A$11:$A$1010,A138)-SUMIFS('قيود اليومية'!$H$11:$H$1010,'قيود اليومية'!$A$11:$A$1010,A138),2)&lt;&gt;0,"✖ غير متوازن","مرحل ✔")))</f>
        <v/>
      </c>
      <c r="J138" s="55" t="str">
        <f aca="false">IF(C138="","",IFERROR(INDEX('شجرة الحسابات'!$E$9:$E$208,MATCH(C138,'شجرة الحسابات'!$A$9:$A$208,0))&amp;"",""))</f>
        <v/>
      </c>
      <c r="K138" s="55" t="str">
        <f aca="false">IF(C138="","",IFERROR(INDEX('شجرة الحسابات'!$I$9:$I$208,MATCH(C138,'شجرة الحسابات'!$A$9:$A$208,0))&amp;"",""))</f>
        <v/>
      </c>
      <c r="L138" s="55" t="str">
        <f aca="false">IF(C138="","",IFERROR(INDEX('شجرة الحسابات'!$C$9:$C$208,MATCH(C138,'شجرة الحسابات'!$A$9:$A$208,0))&amp;"",""))</f>
        <v/>
      </c>
      <c r="M138" s="55" t="str">
        <f aca="false">IF(AND(C138="",G138="",H138=""),"فارغ",IF(ISNA(MATCH(C138,'شجرة الحسابات'!$A$9:$A$208,0)),"حساب غير معرف",IF(L138&lt;&gt;"تحليلي","حساب تجميعي",IF(AND(N(G138)&gt;0,N(H138)&gt;0),"مدين ودائن معاً",IF(N(G138)+N(H138)=0,"بدون قيمة","OK")))))</f>
        <v>فارغ</v>
      </c>
      <c r="N138" s="55" t="str">
        <f aca="false">IF(AND(E138&lt;&gt;"",E138='كشف حساب مشروع'!$C$6,I138="مرحل ✔"),COUNTIFS($E$11:E138,'كشف حساب مشروع'!$C$6,$I$11:I138,"مرحل ✔"),"")</f>
        <v/>
      </c>
      <c r="O138" s="55" t="str">
        <f aca="false">IF(AND(C138&lt;&gt;"",C138='دفتر الأستاذ'!$C$6,I138="مرحل ✔"),COUNTIFS($C$11:C138,'دفتر الأستاذ'!$C$6,$I$11:I138,"مرحل ✔"),"")</f>
        <v/>
      </c>
    </row>
    <row r="139" customFormat="false" ht="15" hidden="false" customHeight="false" outlineLevel="0" collapsed="false">
      <c r="A139" s="49"/>
      <c r="B139" s="50"/>
      <c r="C139" s="49"/>
      <c r="D139" s="51" t="str">
        <f aca="false">IF(C139="","",IFERROR(INDEX('شجرة الحسابات'!$B$9:$B$208,MATCH(C139,'شجرة الحسابات'!$A$9:$A$208,0)),"⚠ حساب غير معرف"))</f>
        <v/>
      </c>
      <c r="E139" s="52"/>
      <c r="F139" s="52"/>
      <c r="G139" s="53"/>
      <c r="H139" s="53"/>
      <c r="I139" s="54" t="str">
        <f aca="false">IF(A139="",IF(M139="فارغ","","✖ بدون رقم قيد"),IF(COUNTIFS('قيود اليومية'!$A$11:$A$1010,A139,'قيود اليومية'!$M$11:$M$1010,"&lt;&gt;OK",'قيود اليومية'!$M$11:$M$1010,"&lt;&gt;فارغ")&gt;0,"✖ خطأ بالحساب",IF(ROUND(SUMIFS('قيود اليومية'!$G$11:$G$1010,'قيود اليومية'!$A$11:$A$1010,A139)-SUMIFS('قيود اليومية'!$H$11:$H$1010,'قيود اليومية'!$A$11:$A$1010,A139),2)&lt;&gt;0,"✖ غير متوازن","مرحل ✔")))</f>
        <v/>
      </c>
      <c r="J139" s="55" t="str">
        <f aca="false">IF(C139="","",IFERROR(INDEX('شجرة الحسابات'!$E$9:$E$208,MATCH(C139,'شجرة الحسابات'!$A$9:$A$208,0))&amp;"",""))</f>
        <v/>
      </c>
      <c r="K139" s="55" t="str">
        <f aca="false">IF(C139="","",IFERROR(INDEX('شجرة الحسابات'!$I$9:$I$208,MATCH(C139,'شجرة الحسابات'!$A$9:$A$208,0))&amp;"",""))</f>
        <v/>
      </c>
      <c r="L139" s="55" t="str">
        <f aca="false">IF(C139="","",IFERROR(INDEX('شجرة الحسابات'!$C$9:$C$208,MATCH(C139,'شجرة الحسابات'!$A$9:$A$208,0))&amp;"",""))</f>
        <v/>
      </c>
      <c r="M139" s="55" t="str">
        <f aca="false">IF(AND(C139="",G139="",H139=""),"فارغ",IF(ISNA(MATCH(C139,'شجرة الحسابات'!$A$9:$A$208,0)),"حساب غير معرف",IF(L139&lt;&gt;"تحليلي","حساب تجميعي",IF(AND(N(G139)&gt;0,N(H139)&gt;0),"مدين ودائن معاً",IF(N(G139)+N(H139)=0,"بدون قيمة","OK")))))</f>
        <v>فارغ</v>
      </c>
      <c r="N139" s="55" t="str">
        <f aca="false">IF(AND(E139&lt;&gt;"",E139='كشف حساب مشروع'!$C$6,I139="مرحل ✔"),COUNTIFS($E$11:E139,'كشف حساب مشروع'!$C$6,$I$11:I139,"مرحل ✔"),"")</f>
        <v/>
      </c>
      <c r="O139" s="55" t="str">
        <f aca="false">IF(AND(C139&lt;&gt;"",C139='دفتر الأستاذ'!$C$6,I139="مرحل ✔"),COUNTIFS($C$11:C139,'دفتر الأستاذ'!$C$6,$I$11:I139,"مرحل ✔"),"")</f>
        <v/>
      </c>
    </row>
    <row r="140" customFormat="false" ht="15" hidden="false" customHeight="false" outlineLevel="0" collapsed="false">
      <c r="A140" s="49"/>
      <c r="B140" s="50"/>
      <c r="C140" s="49"/>
      <c r="D140" s="51" t="str">
        <f aca="false">IF(C140="","",IFERROR(INDEX('شجرة الحسابات'!$B$9:$B$208,MATCH(C140,'شجرة الحسابات'!$A$9:$A$208,0)),"⚠ حساب غير معرف"))</f>
        <v/>
      </c>
      <c r="E140" s="52"/>
      <c r="F140" s="52"/>
      <c r="G140" s="53"/>
      <c r="H140" s="53"/>
      <c r="I140" s="54" t="str">
        <f aca="false">IF(A140="",IF(M140="فارغ","","✖ بدون رقم قيد"),IF(COUNTIFS('قيود اليومية'!$A$11:$A$1010,A140,'قيود اليومية'!$M$11:$M$1010,"&lt;&gt;OK",'قيود اليومية'!$M$11:$M$1010,"&lt;&gt;فارغ")&gt;0,"✖ خطأ بالحساب",IF(ROUND(SUMIFS('قيود اليومية'!$G$11:$G$1010,'قيود اليومية'!$A$11:$A$1010,A140)-SUMIFS('قيود اليومية'!$H$11:$H$1010,'قيود اليومية'!$A$11:$A$1010,A140),2)&lt;&gt;0,"✖ غير متوازن","مرحل ✔")))</f>
        <v/>
      </c>
      <c r="J140" s="55" t="str">
        <f aca="false">IF(C140="","",IFERROR(INDEX('شجرة الحسابات'!$E$9:$E$208,MATCH(C140,'شجرة الحسابات'!$A$9:$A$208,0))&amp;"",""))</f>
        <v/>
      </c>
      <c r="K140" s="55" t="str">
        <f aca="false">IF(C140="","",IFERROR(INDEX('شجرة الحسابات'!$I$9:$I$208,MATCH(C140,'شجرة الحسابات'!$A$9:$A$208,0))&amp;"",""))</f>
        <v/>
      </c>
      <c r="L140" s="55" t="str">
        <f aca="false">IF(C140="","",IFERROR(INDEX('شجرة الحسابات'!$C$9:$C$208,MATCH(C140,'شجرة الحسابات'!$A$9:$A$208,0))&amp;"",""))</f>
        <v/>
      </c>
      <c r="M140" s="55" t="str">
        <f aca="false">IF(AND(C140="",G140="",H140=""),"فارغ",IF(ISNA(MATCH(C140,'شجرة الحسابات'!$A$9:$A$208,0)),"حساب غير معرف",IF(L140&lt;&gt;"تحليلي","حساب تجميعي",IF(AND(N(G140)&gt;0,N(H140)&gt;0),"مدين ودائن معاً",IF(N(G140)+N(H140)=0,"بدون قيمة","OK")))))</f>
        <v>فارغ</v>
      </c>
      <c r="N140" s="55" t="str">
        <f aca="false">IF(AND(E140&lt;&gt;"",E140='كشف حساب مشروع'!$C$6,I140="مرحل ✔"),COUNTIFS($E$11:E140,'كشف حساب مشروع'!$C$6,$I$11:I140,"مرحل ✔"),"")</f>
        <v/>
      </c>
      <c r="O140" s="55" t="str">
        <f aca="false">IF(AND(C140&lt;&gt;"",C140='دفتر الأستاذ'!$C$6,I140="مرحل ✔"),COUNTIFS($C$11:C140,'دفتر الأستاذ'!$C$6,$I$11:I140,"مرحل ✔"),"")</f>
        <v/>
      </c>
    </row>
    <row r="141" customFormat="false" ht="15" hidden="false" customHeight="false" outlineLevel="0" collapsed="false">
      <c r="A141" s="49"/>
      <c r="B141" s="50"/>
      <c r="C141" s="49"/>
      <c r="D141" s="51" t="str">
        <f aca="false">IF(C141="","",IFERROR(INDEX('شجرة الحسابات'!$B$9:$B$208,MATCH(C141,'شجرة الحسابات'!$A$9:$A$208,0)),"⚠ حساب غير معرف"))</f>
        <v/>
      </c>
      <c r="E141" s="52"/>
      <c r="F141" s="52"/>
      <c r="G141" s="53"/>
      <c r="H141" s="53"/>
      <c r="I141" s="54" t="str">
        <f aca="false">IF(A141="",IF(M141="فارغ","","✖ بدون رقم قيد"),IF(COUNTIFS('قيود اليومية'!$A$11:$A$1010,A141,'قيود اليومية'!$M$11:$M$1010,"&lt;&gt;OK",'قيود اليومية'!$M$11:$M$1010,"&lt;&gt;فارغ")&gt;0,"✖ خطأ بالحساب",IF(ROUND(SUMIFS('قيود اليومية'!$G$11:$G$1010,'قيود اليومية'!$A$11:$A$1010,A141)-SUMIFS('قيود اليومية'!$H$11:$H$1010,'قيود اليومية'!$A$11:$A$1010,A141),2)&lt;&gt;0,"✖ غير متوازن","مرحل ✔")))</f>
        <v/>
      </c>
      <c r="J141" s="55" t="str">
        <f aca="false">IF(C141="","",IFERROR(INDEX('شجرة الحسابات'!$E$9:$E$208,MATCH(C141,'شجرة الحسابات'!$A$9:$A$208,0))&amp;"",""))</f>
        <v/>
      </c>
      <c r="K141" s="55" t="str">
        <f aca="false">IF(C141="","",IFERROR(INDEX('شجرة الحسابات'!$I$9:$I$208,MATCH(C141,'شجرة الحسابات'!$A$9:$A$208,0))&amp;"",""))</f>
        <v/>
      </c>
      <c r="L141" s="55" t="str">
        <f aca="false">IF(C141="","",IFERROR(INDEX('شجرة الحسابات'!$C$9:$C$208,MATCH(C141,'شجرة الحسابات'!$A$9:$A$208,0))&amp;"",""))</f>
        <v/>
      </c>
      <c r="M141" s="55" t="str">
        <f aca="false">IF(AND(C141="",G141="",H141=""),"فارغ",IF(ISNA(MATCH(C141,'شجرة الحسابات'!$A$9:$A$208,0)),"حساب غير معرف",IF(L141&lt;&gt;"تحليلي","حساب تجميعي",IF(AND(N(G141)&gt;0,N(H141)&gt;0),"مدين ودائن معاً",IF(N(G141)+N(H141)=0,"بدون قيمة","OK")))))</f>
        <v>فارغ</v>
      </c>
      <c r="N141" s="55" t="str">
        <f aca="false">IF(AND(E141&lt;&gt;"",E141='كشف حساب مشروع'!$C$6,I141="مرحل ✔"),COUNTIFS($E$11:E141,'كشف حساب مشروع'!$C$6,$I$11:I141,"مرحل ✔"),"")</f>
        <v/>
      </c>
      <c r="O141" s="55" t="str">
        <f aca="false">IF(AND(C141&lt;&gt;"",C141='دفتر الأستاذ'!$C$6,I141="مرحل ✔"),COUNTIFS($C$11:C141,'دفتر الأستاذ'!$C$6,$I$11:I141,"مرحل ✔"),"")</f>
        <v/>
      </c>
    </row>
    <row r="142" customFormat="false" ht="15" hidden="false" customHeight="false" outlineLevel="0" collapsed="false">
      <c r="A142" s="49"/>
      <c r="B142" s="50"/>
      <c r="C142" s="49"/>
      <c r="D142" s="51" t="str">
        <f aca="false">IF(C142="","",IFERROR(INDEX('شجرة الحسابات'!$B$9:$B$208,MATCH(C142,'شجرة الحسابات'!$A$9:$A$208,0)),"⚠ حساب غير معرف"))</f>
        <v/>
      </c>
      <c r="E142" s="52"/>
      <c r="F142" s="52"/>
      <c r="G142" s="53"/>
      <c r="H142" s="53"/>
      <c r="I142" s="54" t="str">
        <f aca="false">IF(A142="",IF(M142="فارغ","","✖ بدون رقم قيد"),IF(COUNTIFS('قيود اليومية'!$A$11:$A$1010,A142,'قيود اليومية'!$M$11:$M$1010,"&lt;&gt;OK",'قيود اليومية'!$M$11:$M$1010,"&lt;&gt;فارغ")&gt;0,"✖ خطأ بالحساب",IF(ROUND(SUMIFS('قيود اليومية'!$G$11:$G$1010,'قيود اليومية'!$A$11:$A$1010,A142)-SUMIFS('قيود اليومية'!$H$11:$H$1010,'قيود اليومية'!$A$11:$A$1010,A142),2)&lt;&gt;0,"✖ غير متوازن","مرحل ✔")))</f>
        <v/>
      </c>
      <c r="J142" s="55" t="str">
        <f aca="false">IF(C142="","",IFERROR(INDEX('شجرة الحسابات'!$E$9:$E$208,MATCH(C142,'شجرة الحسابات'!$A$9:$A$208,0))&amp;"",""))</f>
        <v/>
      </c>
      <c r="K142" s="55" t="str">
        <f aca="false">IF(C142="","",IFERROR(INDEX('شجرة الحسابات'!$I$9:$I$208,MATCH(C142,'شجرة الحسابات'!$A$9:$A$208,0))&amp;"",""))</f>
        <v/>
      </c>
      <c r="L142" s="55" t="str">
        <f aca="false">IF(C142="","",IFERROR(INDEX('شجرة الحسابات'!$C$9:$C$208,MATCH(C142,'شجرة الحسابات'!$A$9:$A$208,0))&amp;"",""))</f>
        <v/>
      </c>
      <c r="M142" s="55" t="str">
        <f aca="false">IF(AND(C142="",G142="",H142=""),"فارغ",IF(ISNA(MATCH(C142,'شجرة الحسابات'!$A$9:$A$208,0)),"حساب غير معرف",IF(L142&lt;&gt;"تحليلي","حساب تجميعي",IF(AND(N(G142)&gt;0,N(H142)&gt;0),"مدين ودائن معاً",IF(N(G142)+N(H142)=0,"بدون قيمة","OK")))))</f>
        <v>فارغ</v>
      </c>
      <c r="N142" s="55" t="str">
        <f aca="false">IF(AND(E142&lt;&gt;"",E142='كشف حساب مشروع'!$C$6,I142="مرحل ✔"),COUNTIFS($E$11:E142,'كشف حساب مشروع'!$C$6,$I$11:I142,"مرحل ✔"),"")</f>
        <v/>
      </c>
      <c r="O142" s="55" t="str">
        <f aca="false">IF(AND(C142&lt;&gt;"",C142='دفتر الأستاذ'!$C$6,I142="مرحل ✔"),COUNTIFS($C$11:C142,'دفتر الأستاذ'!$C$6,$I$11:I142,"مرحل ✔"),"")</f>
        <v/>
      </c>
    </row>
    <row r="143" customFormat="false" ht="15" hidden="false" customHeight="false" outlineLevel="0" collapsed="false">
      <c r="A143" s="49"/>
      <c r="B143" s="50"/>
      <c r="C143" s="49"/>
      <c r="D143" s="51" t="str">
        <f aca="false">IF(C143="","",IFERROR(INDEX('شجرة الحسابات'!$B$9:$B$208,MATCH(C143,'شجرة الحسابات'!$A$9:$A$208,0)),"⚠ حساب غير معرف"))</f>
        <v/>
      </c>
      <c r="E143" s="52"/>
      <c r="F143" s="52"/>
      <c r="G143" s="53"/>
      <c r="H143" s="53"/>
      <c r="I143" s="54" t="str">
        <f aca="false">IF(A143="",IF(M143="فارغ","","✖ بدون رقم قيد"),IF(COUNTIFS('قيود اليومية'!$A$11:$A$1010,A143,'قيود اليومية'!$M$11:$M$1010,"&lt;&gt;OK",'قيود اليومية'!$M$11:$M$1010,"&lt;&gt;فارغ")&gt;0,"✖ خطأ بالحساب",IF(ROUND(SUMIFS('قيود اليومية'!$G$11:$G$1010,'قيود اليومية'!$A$11:$A$1010,A143)-SUMIFS('قيود اليومية'!$H$11:$H$1010,'قيود اليومية'!$A$11:$A$1010,A143),2)&lt;&gt;0,"✖ غير متوازن","مرحل ✔")))</f>
        <v/>
      </c>
      <c r="J143" s="55" t="str">
        <f aca="false">IF(C143="","",IFERROR(INDEX('شجرة الحسابات'!$E$9:$E$208,MATCH(C143,'شجرة الحسابات'!$A$9:$A$208,0))&amp;"",""))</f>
        <v/>
      </c>
      <c r="K143" s="55" t="str">
        <f aca="false">IF(C143="","",IFERROR(INDEX('شجرة الحسابات'!$I$9:$I$208,MATCH(C143,'شجرة الحسابات'!$A$9:$A$208,0))&amp;"",""))</f>
        <v/>
      </c>
      <c r="L143" s="55" t="str">
        <f aca="false">IF(C143="","",IFERROR(INDEX('شجرة الحسابات'!$C$9:$C$208,MATCH(C143,'شجرة الحسابات'!$A$9:$A$208,0))&amp;"",""))</f>
        <v/>
      </c>
      <c r="M143" s="55" t="str">
        <f aca="false">IF(AND(C143="",G143="",H143=""),"فارغ",IF(ISNA(MATCH(C143,'شجرة الحسابات'!$A$9:$A$208,0)),"حساب غير معرف",IF(L143&lt;&gt;"تحليلي","حساب تجميعي",IF(AND(N(G143)&gt;0,N(H143)&gt;0),"مدين ودائن معاً",IF(N(G143)+N(H143)=0,"بدون قيمة","OK")))))</f>
        <v>فارغ</v>
      </c>
      <c r="N143" s="55" t="str">
        <f aca="false">IF(AND(E143&lt;&gt;"",E143='كشف حساب مشروع'!$C$6,I143="مرحل ✔"),COUNTIFS($E$11:E143,'كشف حساب مشروع'!$C$6,$I$11:I143,"مرحل ✔"),"")</f>
        <v/>
      </c>
      <c r="O143" s="55" t="str">
        <f aca="false">IF(AND(C143&lt;&gt;"",C143='دفتر الأستاذ'!$C$6,I143="مرحل ✔"),COUNTIFS($C$11:C143,'دفتر الأستاذ'!$C$6,$I$11:I143,"مرحل ✔"),"")</f>
        <v/>
      </c>
    </row>
    <row r="144" customFormat="false" ht="15" hidden="false" customHeight="false" outlineLevel="0" collapsed="false">
      <c r="A144" s="49"/>
      <c r="B144" s="50"/>
      <c r="C144" s="49"/>
      <c r="D144" s="51" t="str">
        <f aca="false">IF(C144="","",IFERROR(INDEX('شجرة الحسابات'!$B$9:$B$208,MATCH(C144,'شجرة الحسابات'!$A$9:$A$208,0)),"⚠ حساب غير معرف"))</f>
        <v/>
      </c>
      <c r="E144" s="52"/>
      <c r="F144" s="52"/>
      <c r="G144" s="53"/>
      <c r="H144" s="53"/>
      <c r="I144" s="54" t="str">
        <f aca="false">IF(A144="",IF(M144="فارغ","","✖ بدون رقم قيد"),IF(COUNTIFS('قيود اليومية'!$A$11:$A$1010,A144,'قيود اليومية'!$M$11:$M$1010,"&lt;&gt;OK",'قيود اليومية'!$M$11:$M$1010,"&lt;&gt;فارغ")&gt;0,"✖ خطأ بالحساب",IF(ROUND(SUMIFS('قيود اليومية'!$G$11:$G$1010,'قيود اليومية'!$A$11:$A$1010,A144)-SUMIFS('قيود اليومية'!$H$11:$H$1010,'قيود اليومية'!$A$11:$A$1010,A144),2)&lt;&gt;0,"✖ غير متوازن","مرحل ✔")))</f>
        <v/>
      </c>
      <c r="J144" s="55" t="str">
        <f aca="false">IF(C144="","",IFERROR(INDEX('شجرة الحسابات'!$E$9:$E$208,MATCH(C144,'شجرة الحسابات'!$A$9:$A$208,0))&amp;"",""))</f>
        <v/>
      </c>
      <c r="K144" s="55" t="str">
        <f aca="false">IF(C144="","",IFERROR(INDEX('شجرة الحسابات'!$I$9:$I$208,MATCH(C144,'شجرة الحسابات'!$A$9:$A$208,0))&amp;"",""))</f>
        <v/>
      </c>
      <c r="L144" s="55" t="str">
        <f aca="false">IF(C144="","",IFERROR(INDEX('شجرة الحسابات'!$C$9:$C$208,MATCH(C144,'شجرة الحسابات'!$A$9:$A$208,0))&amp;"",""))</f>
        <v/>
      </c>
      <c r="M144" s="55" t="str">
        <f aca="false">IF(AND(C144="",G144="",H144=""),"فارغ",IF(ISNA(MATCH(C144,'شجرة الحسابات'!$A$9:$A$208,0)),"حساب غير معرف",IF(L144&lt;&gt;"تحليلي","حساب تجميعي",IF(AND(N(G144)&gt;0,N(H144)&gt;0),"مدين ودائن معاً",IF(N(G144)+N(H144)=0,"بدون قيمة","OK")))))</f>
        <v>فارغ</v>
      </c>
      <c r="N144" s="55" t="str">
        <f aca="false">IF(AND(E144&lt;&gt;"",E144='كشف حساب مشروع'!$C$6,I144="مرحل ✔"),COUNTIFS($E$11:E144,'كشف حساب مشروع'!$C$6,$I$11:I144,"مرحل ✔"),"")</f>
        <v/>
      </c>
      <c r="O144" s="55" t="str">
        <f aca="false">IF(AND(C144&lt;&gt;"",C144='دفتر الأستاذ'!$C$6,I144="مرحل ✔"),COUNTIFS($C$11:C144,'دفتر الأستاذ'!$C$6,$I$11:I144,"مرحل ✔"),"")</f>
        <v/>
      </c>
    </row>
    <row r="145" customFormat="false" ht="15" hidden="false" customHeight="false" outlineLevel="0" collapsed="false">
      <c r="A145" s="49"/>
      <c r="B145" s="50"/>
      <c r="C145" s="49"/>
      <c r="D145" s="51" t="str">
        <f aca="false">IF(C145="","",IFERROR(INDEX('شجرة الحسابات'!$B$9:$B$208,MATCH(C145,'شجرة الحسابات'!$A$9:$A$208,0)),"⚠ حساب غير معرف"))</f>
        <v/>
      </c>
      <c r="E145" s="52"/>
      <c r="F145" s="52"/>
      <c r="G145" s="53"/>
      <c r="H145" s="53"/>
      <c r="I145" s="54" t="str">
        <f aca="false">IF(A145="",IF(M145="فارغ","","✖ بدون رقم قيد"),IF(COUNTIFS('قيود اليومية'!$A$11:$A$1010,A145,'قيود اليومية'!$M$11:$M$1010,"&lt;&gt;OK",'قيود اليومية'!$M$11:$M$1010,"&lt;&gt;فارغ")&gt;0,"✖ خطأ بالحساب",IF(ROUND(SUMIFS('قيود اليومية'!$G$11:$G$1010,'قيود اليومية'!$A$11:$A$1010,A145)-SUMIFS('قيود اليومية'!$H$11:$H$1010,'قيود اليومية'!$A$11:$A$1010,A145),2)&lt;&gt;0,"✖ غير متوازن","مرحل ✔")))</f>
        <v/>
      </c>
      <c r="J145" s="55" t="str">
        <f aca="false">IF(C145="","",IFERROR(INDEX('شجرة الحسابات'!$E$9:$E$208,MATCH(C145,'شجرة الحسابات'!$A$9:$A$208,0))&amp;"",""))</f>
        <v/>
      </c>
      <c r="K145" s="55" t="str">
        <f aca="false">IF(C145="","",IFERROR(INDEX('شجرة الحسابات'!$I$9:$I$208,MATCH(C145,'شجرة الحسابات'!$A$9:$A$208,0))&amp;"",""))</f>
        <v/>
      </c>
      <c r="L145" s="55" t="str">
        <f aca="false">IF(C145="","",IFERROR(INDEX('شجرة الحسابات'!$C$9:$C$208,MATCH(C145,'شجرة الحسابات'!$A$9:$A$208,0))&amp;"",""))</f>
        <v/>
      </c>
      <c r="M145" s="55" t="str">
        <f aca="false">IF(AND(C145="",G145="",H145=""),"فارغ",IF(ISNA(MATCH(C145,'شجرة الحسابات'!$A$9:$A$208,0)),"حساب غير معرف",IF(L145&lt;&gt;"تحليلي","حساب تجميعي",IF(AND(N(G145)&gt;0,N(H145)&gt;0),"مدين ودائن معاً",IF(N(G145)+N(H145)=0,"بدون قيمة","OK")))))</f>
        <v>فارغ</v>
      </c>
      <c r="N145" s="55" t="str">
        <f aca="false">IF(AND(E145&lt;&gt;"",E145='كشف حساب مشروع'!$C$6,I145="مرحل ✔"),COUNTIFS($E$11:E145,'كشف حساب مشروع'!$C$6,$I$11:I145,"مرحل ✔"),"")</f>
        <v/>
      </c>
      <c r="O145" s="55" t="str">
        <f aca="false">IF(AND(C145&lt;&gt;"",C145='دفتر الأستاذ'!$C$6,I145="مرحل ✔"),COUNTIFS($C$11:C145,'دفتر الأستاذ'!$C$6,$I$11:I145,"مرحل ✔"),"")</f>
        <v/>
      </c>
    </row>
    <row r="146" customFormat="false" ht="15" hidden="false" customHeight="false" outlineLevel="0" collapsed="false">
      <c r="A146" s="49"/>
      <c r="B146" s="50"/>
      <c r="C146" s="49"/>
      <c r="D146" s="51" t="str">
        <f aca="false">IF(C146="","",IFERROR(INDEX('شجرة الحسابات'!$B$9:$B$208,MATCH(C146,'شجرة الحسابات'!$A$9:$A$208,0)),"⚠ حساب غير معرف"))</f>
        <v/>
      </c>
      <c r="E146" s="52"/>
      <c r="F146" s="52"/>
      <c r="G146" s="53"/>
      <c r="H146" s="53"/>
      <c r="I146" s="54" t="str">
        <f aca="false">IF(A146="",IF(M146="فارغ","","✖ بدون رقم قيد"),IF(COUNTIFS('قيود اليومية'!$A$11:$A$1010,A146,'قيود اليومية'!$M$11:$M$1010,"&lt;&gt;OK",'قيود اليومية'!$M$11:$M$1010,"&lt;&gt;فارغ")&gt;0,"✖ خطأ بالحساب",IF(ROUND(SUMIFS('قيود اليومية'!$G$11:$G$1010,'قيود اليومية'!$A$11:$A$1010,A146)-SUMIFS('قيود اليومية'!$H$11:$H$1010,'قيود اليومية'!$A$11:$A$1010,A146),2)&lt;&gt;0,"✖ غير متوازن","مرحل ✔")))</f>
        <v/>
      </c>
      <c r="J146" s="55" t="str">
        <f aca="false">IF(C146="","",IFERROR(INDEX('شجرة الحسابات'!$E$9:$E$208,MATCH(C146,'شجرة الحسابات'!$A$9:$A$208,0))&amp;"",""))</f>
        <v/>
      </c>
      <c r="K146" s="55" t="str">
        <f aca="false">IF(C146="","",IFERROR(INDEX('شجرة الحسابات'!$I$9:$I$208,MATCH(C146,'شجرة الحسابات'!$A$9:$A$208,0))&amp;"",""))</f>
        <v/>
      </c>
      <c r="L146" s="55" t="str">
        <f aca="false">IF(C146="","",IFERROR(INDEX('شجرة الحسابات'!$C$9:$C$208,MATCH(C146,'شجرة الحسابات'!$A$9:$A$208,0))&amp;"",""))</f>
        <v/>
      </c>
      <c r="M146" s="55" t="str">
        <f aca="false">IF(AND(C146="",G146="",H146=""),"فارغ",IF(ISNA(MATCH(C146,'شجرة الحسابات'!$A$9:$A$208,0)),"حساب غير معرف",IF(L146&lt;&gt;"تحليلي","حساب تجميعي",IF(AND(N(G146)&gt;0,N(H146)&gt;0),"مدين ودائن معاً",IF(N(G146)+N(H146)=0,"بدون قيمة","OK")))))</f>
        <v>فارغ</v>
      </c>
      <c r="N146" s="55" t="str">
        <f aca="false">IF(AND(E146&lt;&gt;"",E146='كشف حساب مشروع'!$C$6,I146="مرحل ✔"),COUNTIFS($E$11:E146,'كشف حساب مشروع'!$C$6,$I$11:I146,"مرحل ✔"),"")</f>
        <v/>
      </c>
      <c r="O146" s="55" t="str">
        <f aca="false">IF(AND(C146&lt;&gt;"",C146='دفتر الأستاذ'!$C$6,I146="مرحل ✔"),COUNTIFS($C$11:C146,'دفتر الأستاذ'!$C$6,$I$11:I146,"مرحل ✔"),"")</f>
        <v/>
      </c>
    </row>
    <row r="147" customFormat="false" ht="15" hidden="false" customHeight="false" outlineLevel="0" collapsed="false">
      <c r="A147" s="49"/>
      <c r="B147" s="50"/>
      <c r="C147" s="49"/>
      <c r="D147" s="51" t="str">
        <f aca="false">IF(C147="","",IFERROR(INDEX('شجرة الحسابات'!$B$9:$B$208,MATCH(C147,'شجرة الحسابات'!$A$9:$A$208,0)),"⚠ حساب غير معرف"))</f>
        <v/>
      </c>
      <c r="E147" s="52"/>
      <c r="F147" s="52"/>
      <c r="G147" s="53"/>
      <c r="H147" s="53"/>
      <c r="I147" s="54" t="str">
        <f aca="false">IF(A147="",IF(M147="فارغ","","✖ بدون رقم قيد"),IF(COUNTIFS('قيود اليومية'!$A$11:$A$1010,A147,'قيود اليومية'!$M$11:$M$1010,"&lt;&gt;OK",'قيود اليومية'!$M$11:$M$1010,"&lt;&gt;فارغ")&gt;0,"✖ خطأ بالحساب",IF(ROUND(SUMIFS('قيود اليومية'!$G$11:$G$1010,'قيود اليومية'!$A$11:$A$1010,A147)-SUMIFS('قيود اليومية'!$H$11:$H$1010,'قيود اليومية'!$A$11:$A$1010,A147),2)&lt;&gt;0,"✖ غير متوازن","مرحل ✔")))</f>
        <v/>
      </c>
      <c r="J147" s="55" t="str">
        <f aca="false">IF(C147="","",IFERROR(INDEX('شجرة الحسابات'!$E$9:$E$208,MATCH(C147,'شجرة الحسابات'!$A$9:$A$208,0))&amp;"",""))</f>
        <v/>
      </c>
      <c r="K147" s="55" t="str">
        <f aca="false">IF(C147="","",IFERROR(INDEX('شجرة الحسابات'!$I$9:$I$208,MATCH(C147,'شجرة الحسابات'!$A$9:$A$208,0))&amp;"",""))</f>
        <v/>
      </c>
      <c r="L147" s="55" t="str">
        <f aca="false">IF(C147="","",IFERROR(INDEX('شجرة الحسابات'!$C$9:$C$208,MATCH(C147,'شجرة الحسابات'!$A$9:$A$208,0))&amp;"",""))</f>
        <v/>
      </c>
      <c r="M147" s="55" t="str">
        <f aca="false">IF(AND(C147="",G147="",H147=""),"فارغ",IF(ISNA(MATCH(C147,'شجرة الحسابات'!$A$9:$A$208,0)),"حساب غير معرف",IF(L147&lt;&gt;"تحليلي","حساب تجميعي",IF(AND(N(G147)&gt;0,N(H147)&gt;0),"مدين ودائن معاً",IF(N(G147)+N(H147)=0,"بدون قيمة","OK")))))</f>
        <v>فارغ</v>
      </c>
      <c r="N147" s="55" t="str">
        <f aca="false">IF(AND(E147&lt;&gt;"",E147='كشف حساب مشروع'!$C$6,I147="مرحل ✔"),COUNTIFS($E$11:E147,'كشف حساب مشروع'!$C$6,$I$11:I147,"مرحل ✔"),"")</f>
        <v/>
      </c>
      <c r="O147" s="55" t="str">
        <f aca="false">IF(AND(C147&lt;&gt;"",C147='دفتر الأستاذ'!$C$6,I147="مرحل ✔"),COUNTIFS($C$11:C147,'دفتر الأستاذ'!$C$6,$I$11:I147,"مرحل ✔"),"")</f>
        <v/>
      </c>
    </row>
    <row r="148" customFormat="false" ht="15" hidden="false" customHeight="false" outlineLevel="0" collapsed="false">
      <c r="A148" s="49"/>
      <c r="B148" s="50"/>
      <c r="C148" s="49"/>
      <c r="D148" s="51" t="str">
        <f aca="false">IF(C148="","",IFERROR(INDEX('شجرة الحسابات'!$B$9:$B$208,MATCH(C148,'شجرة الحسابات'!$A$9:$A$208,0)),"⚠ حساب غير معرف"))</f>
        <v/>
      </c>
      <c r="E148" s="52"/>
      <c r="F148" s="52"/>
      <c r="G148" s="53"/>
      <c r="H148" s="53"/>
      <c r="I148" s="54" t="str">
        <f aca="false">IF(A148="",IF(M148="فارغ","","✖ بدون رقم قيد"),IF(COUNTIFS('قيود اليومية'!$A$11:$A$1010,A148,'قيود اليومية'!$M$11:$M$1010,"&lt;&gt;OK",'قيود اليومية'!$M$11:$M$1010,"&lt;&gt;فارغ")&gt;0,"✖ خطأ بالحساب",IF(ROUND(SUMIFS('قيود اليومية'!$G$11:$G$1010,'قيود اليومية'!$A$11:$A$1010,A148)-SUMIFS('قيود اليومية'!$H$11:$H$1010,'قيود اليومية'!$A$11:$A$1010,A148),2)&lt;&gt;0,"✖ غير متوازن","مرحل ✔")))</f>
        <v/>
      </c>
      <c r="J148" s="55" t="str">
        <f aca="false">IF(C148="","",IFERROR(INDEX('شجرة الحسابات'!$E$9:$E$208,MATCH(C148,'شجرة الحسابات'!$A$9:$A$208,0))&amp;"",""))</f>
        <v/>
      </c>
      <c r="K148" s="55" t="str">
        <f aca="false">IF(C148="","",IFERROR(INDEX('شجرة الحسابات'!$I$9:$I$208,MATCH(C148,'شجرة الحسابات'!$A$9:$A$208,0))&amp;"",""))</f>
        <v/>
      </c>
      <c r="L148" s="55" t="str">
        <f aca="false">IF(C148="","",IFERROR(INDEX('شجرة الحسابات'!$C$9:$C$208,MATCH(C148,'شجرة الحسابات'!$A$9:$A$208,0))&amp;"",""))</f>
        <v/>
      </c>
      <c r="M148" s="55" t="str">
        <f aca="false">IF(AND(C148="",G148="",H148=""),"فارغ",IF(ISNA(MATCH(C148,'شجرة الحسابات'!$A$9:$A$208,0)),"حساب غير معرف",IF(L148&lt;&gt;"تحليلي","حساب تجميعي",IF(AND(N(G148)&gt;0,N(H148)&gt;0),"مدين ودائن معاً",IF(N(G148)+N(H148)=0,"بدون قيمة","OK")))))</f>
        <v>فارغ</v>
      </c>
      <c r="N148" s="55" t="str">
        <f aca="false">IF(AND(E148&lt;&gt;"",E148='كشف حساب مشروع'!$C$6,I148="مرحل ✔"),COUNTIFS($E$11:E148,'كشف حساب مشروع'!$C$6,$I$11:I148,"مرحل ✔"),"")</f>
        <v/>
      </c>
      <c r="O148" s="55" t="str">
        <f aca="false">IF(AND(C148&lt;&gt;"",C148='دفتر الأستاذ'!$C$6,I148="مرحل ✔"),COUNTIFS($C$11:C148,'دفتر الأستاذ'!$C$6,$I$11:I148,"مرحل ✔"),"")</f>
        <v/>
      </c>
    </row>
    <row r="149" customFormat="false" ht="15" hidden="false" customHeight="false" outlineLevel="0" collapsed="false">
      <c r="A149" s="49"/>
      <c r="B149" s="50"/>
      <c r="C149" s="49"/>
      <c r="D149" s="51" t="str">
        <f aca="false">IF(C149="","",IFERROR(INDEX('شجرة الحسابات'!$B$9:$B$208,MATCH(C149,'شجرة الحسابات'!$A$9:$A$208,0)),"⚠ حساب غير معرف"))</f>
        <v/>
      </c>
      <c r="E149" s="52"/>
      <c r="F149" s="52"/>
      <c r="G149" s="53"/>
      <c r="H149" s="53"/>
      <c r="I149" s="54" t="str">
        <f aca="false">IF(A149="",IF(M149="فارغ","","✖ بدون رقم قيد"),IF(COUNTIFS('قيود اليومية'!$A$11:$A$1010,A149,'قيود اليومية'!$M$11:$M$1010,"&lt;&gt;OK",'قيود اليومية'!$M$11:$M$1010,"&lt;&gt;فارغ")&gt;0,"✖ خطأ بالحساب",IF(ROUND(SUMIFS('قيود اليومية'!$G$11:$G$1010,'قيود اليومية'!$A$11:$A$1010,A149)-SUMIFS('قيود اليومية'!$H$11:$H$1010,'قيود اليومية'!$A$11:$A$1010,A149),2)&lt;&gt;0,"✖ غير متوازن","مرحل ✔")))</f>
        <v/>
      </c>
      <c r="J149" s="55" t="str">
        <f aca="false">IF(C149="","",IFERROR(INDEX('شجرة الحسابات'!$E$9:$E$208,MATCH(C149,'شجرة الحسابات'!$A$9:$A$208,0))&amp;"",""))</f>
        <v/>
      </c>
      <c r="K149" s="55" t="str">
        <f aca="false">IF(C149="","",IFERROR(INDEX('شجرة الحسابات'!$I$9:$I$208,MATCH(C149,'شجرة الحسابات'!$A$9:$A$208,0))&amp;"",""))</f>
        <v/>
      </c>
      <c r="L149" s="55" t="str">
        <f aca="false">IF(C149="","",IFERROR(INDEX('شجرة الحسابات'!$C$9:$C$208,MATCH(C149,'شجرة الحسابات'!$A$9:$A$208,0))&amp;"",""))</f>
        <v/>
      </c>
      <c r="M149" s="55" t="str">
        <f aca="false">IF(AND(C149="",G149="",H149=""),"فارغ",IF(ISNA(MATCH(C149,'شجرة الحسابات'!$A$9:$A$208,0)),"حساب غير معرف",IF(L149&lt;&gt;"تحليلي","حساب تجميعي",IF(AND(N(G149)&gt;0,N(H149)&gt;0),"مدين ودائن معاً",IF(N(G149)+N(H149)=0,"بدون قيمة","OK")))))</f>
        <v>فارغ</v>
      </c>
      <c r="N149" s="55" t="str">
        <f aca="false">IF(AND(E149&lt;&gt;"",E149='كشف حساب مشروع'!$C$6,I149="مرحل ✔"),COUNTIFS($E$11:E149,'كشف حساب مشروع'!$C$6,$I$11:I149,"مرحل ✔"),"")</f>
        <v/>
      </c>
      <c r="O149" s="55" t="str">
        <f aca="false">IF(AND(C149&lt;&gt;"",C149='دفتر الأستاذ'!$C$6,I149="مرحل ✔"),COUNTIFS($C$11:C149,'دفتر الأستاذ'!$C$6,$I$11:I149,"مرحل ✔"),"")</f>
        <v/>
      </c>
    </row>
    <row r="150" customFormat="false" ht="15" hidden="false" customHeight="false" outlineLevel="0" collapsed="false">
      <c r="A150" s="49"/>
      <c r="B150" s="50"/>
      <c r="C150" s="49"/>
      <c r="D150" s="51" t="str">
        <f aca="false">IF(C150="","",IFERROR(INDEX('شجرة الحسابات'!$B$9:$B$208,MATCH(C150,'شجرة الحسابات'!$A$9:$A$208,0)),"⚠ حساب غير معرف"))</f>
        <v/>
      </c>
      <c r="E150" s="52"/>
      <c r="F150" s="52"/>
      <c r="G150" s="53"/>
      <c r="H150" s="53"/>
      <c r="I150" s="54" t="str">
        <f aca="false">IF(A150="",IF(M150="فارغ","","✖ بدون رقم قيد"),IF(COUNTIFS('قيود اليومية'!$A$11:$A$1010,A150,'قيود اليومية'!$M$11:$M$1010,"&lt;&gt;OK",'قيود اليومية'!$M$11:$M$1010,"&lt;&gt;فارغ")&gt;0,"✖ خطأ بالحساب",IF(ROUND(SUMIFS('قيود اليومية'!$G$11:$G$1010,'قيود اليومية'!$A$11:$A$1010,A150)-SUMIFS('قيود اليومية'!$H$11:$H$1010,'قيود اليومية'!$A$11:$A$1010,A150),2)&lt;&gt;0,"✖ غير متوازن","مرحل ✔")))</f>
        <v/>
      </c>
      <c r="J150" s="55" t="str">
        <f aca="false">IF(C150="","",IFERROR(INDEX('شجرة الحسابات'!$E$9:$E$208,MATCH(C150,'شجرة الحسابات'!$A$9:$A$208,0))&amp;"",""))</f>
        <v/>
      </c>
      <c r="K150" s="55" t="str">
        <f aca="false">IF(C150="","",IFERROR(INDEX('شجرة الحسابات'!$I$9:$I$208,MATCH(C150,'شجرة الحسابات'!$A$9:$A$208,0))&amp;"",""))</f>
        <v/>
      </c>
      <c r="L150" s="55" t="str">
        <f aca="false">IF(C150="","",IFERROR(INDEX('شجرة الحسابات'!$C$9:$C$208,MATCH(C150,'شجرة الحسابات'!$A$9:$A$208,0))&amp;"",""))</f>
        <v/>
      </c>
      <c r="M150" s="55" t="str">
        <f aca="false">IF(AND(C150="",G150="",H150=""),"فارغ",IF(ISNA(MATCH(C150,'شجرة الحسابات'!$A$9:$A$208,0)),"حساب غير معرف",IF(L150&lt;&gt;"تحليلي","حساب تجميعي",IF(AND(N(G150)&gt;0,N(H150)&gt;0),"مدين ودائن معاً",IF(N(G150)+N(H150)=0,"بدون قيمة","OK")))))</f>
        <v>فارغ</v>
      </c>
      <c r="N150" s="55" t="str">
        <f aca="false">IF(AND(E150&lt;&gt;"",E150='كشف حساب مشروع'!$C$6,I150="مرحل ✔"),COUNTIFS($E$11:E150,'كشف حساب مشروع'!$C$6,$I$11:I150,"مرحل ✔"),"")</f>
        <v/>
      </c>
      <c r="O150" s="55" t="str">
        <f aca="false">IF(AND(C150&lt;&gt;"",C150='دفتر الأستاذ'!$C$6,I150="مرحل ✔"),COUNTIFS($C$11:C150,'دفتر الأستاذ'!$C$6,$I$11:I150,"مرحل ✔"),"")</f>
        <v/>
      </c>
    </row>
    <row r="151" customFormat="false" ht="15" hidden="false" customHeight="false" outlineLevel="0" collapsed="false">
      <c r="A151" s="49"/>
      <c r="B151" s="50"/>
      <c r="C151" s="49"/>
      <c r="D151" s="51" t="str">
        <f aca="false">IF(C151="","",IFERROR(INDEX('شجرة الحسابات'!$B$9:$B$208,MATCH(C151,'شجرة الحسابات'!$A$9:$A$208,0)),"⚠ حساب غير معرف"))</f>
        <v/>
      </c>
      <c r="E151" s="52"/>
      <c r="F151" s="52"/>
      <c r="G151" s="53"/>
      <c r="H151" s="53"/>
      <c r="I151" s="54" t="str">
        <f aca="false">IF(A151="",IF(M151="فارغ","","✖ بدون رقم قيد"),IF(COUNTIFS('قيود اليومية'!$A$11:$A$1010,A151,'قيود اليومية'!$M$11:$M$1010,"&lt;&gt;OK",'قيود اليومية'!$M$11:$M$1010,"&lt;&gt;فارغ")&gt;0,"✖ خطأ بالحساب",IF(ROUND(SUMIFS('قيود اليومية'!$G$11:$G$1010,'قيود اليومية'!$A$11:$A$1010,A151)-SUMIFS('قيود اليومية'!$H$11:$H$1010,'قيود اليومية'!$A$11:$A$1010,A151),2)&lt;&gt;0,"✖ غير متوازن","مرحل ✔")))</f>
        <v/>
      </c>
      <c r="J151" s="55" t="str">
        <f aca="false">IF(C151="","",IFERROR(INDEX('شجرة الحسابات'!$E$9:$E$208,MATCH(C151,'شجرة الحسابات'!$A$9:$A$208,0))&amp;"",""))</f>
        <v/>
      </c>
      <c r="K151" s="55" t="str">
        <f aca="false">IF(C151="","",IFERROR(INDEX('شجرة الحسابات'!$I$9:$I$208,MATCH(C151,'شجرة الحسابات'!$A$9:$A$208,0))&amp;"",""))</f>
        <v/>
      </c>
      <c r="L151" s="55" t="str">
        <f aca="false">IF(C151="","",IFERROR(INDEX('شجرة الحسابات'!$C$9:$C$208,MATCH(C151,'شجرة الحسابات'!$A$9:$A$208,0))&amp;"",""))</f>
        <v/>
      </c>
      <c r="M151" s="55" t="str">
        <f aca="false">IF(AND(C151="",G151="",H151=""),"فارغ",IF(ISNA(MATCH(C151,'شجرة الحسابات'!$A$9:$A$208,0)),"حساب غير معرف",IF(L151&lt;&gt;"تحليلي","حساب تجميعي",IF(AND(N(G151)&gt;0,N(H151)&gt;0),"مدين ودائن معاً",IF(N(G151)+N(H151)=0,"بدون قيمة","OK")))))</f>
        <v>فارغ</v>
      </c>
      <c r="N151" s="55" t="str">
        <f aca="false">IF(AND(E151&lt;&gt;"",E151='كشف حساب مشروع'!$C$6,I151="مرحل ✔"),COUNTIFS($E$11:E151,'كشف حساب مشروع'!$C$6,$I$11:I151,"مرحل ✔"),"")</f>
        <v/>
      </c>
      <c r="O151" s="55" t="str">
        <f aca="false">IF(AND(C151&lt;&gt;"",C151='دفتر الأستاذ'!$C$6,I151="مرحل ✔"),COUNTIFS($C$11:C151,'دفتر الأستاذ'!$C$6,$I$11:I151,"مرحل ✔"),"")</f>
        <v/>
      </c>
    </row>
    <row r="152" customFormat="false" ht="15" hidden="false" customHeight="false" outlineLevel="0" collapsed="false">
      <c r="A152" s="49"/>
      <c r="B152" s="50"/>
      <c r="C152" s="49"/>
      <c r="D152" s="51" t="str">
        <f aca="false">IF(C152="","",IFERROR(INDEX('شجرة الحسابات'!$B$9:$B$208,MATCH(C152,'شجرة الحسابات'!$A$9:$A$208,0)),"⚠ حساب غير معرف"))</f>
        <v/>
      </c>
      <c r="E152" s="52"/>
      <c r="F152" s="52"/>
      <c r="G152" s="53"/>
      <c r="H152" s="53"/>
      <c r="I152" s="54" t="str">
        <f aca="false">IF(A152="",IF(M152="فارغ","","✖ بدون رقم قيد"),IF(COUNTIFS('قيود اليومية'!$A$11:$A$1010,A152,'قيود اليومية'!$M$11:$M$1010,"&lt;&gt;OK",'قيود اليومية'!$M$11:$M$1010,"&lt;&gt;فارغ")&gt;0,"✖ خطأ بالحساب",IF(ROUND(SUMIFS('قيود اليومية'!$G$11:$G$1010,'قيود اليومية'!$A$11:$A$1010,A152)-SUMIFS('قيود اليومية'!$H$11:$H$1010,'قيود اليومية'!$A$11:$A$1010,A152),2)&lt;&gt;0,"✖ غير متوازن","مرحل ✔")))</f>
        <v/>
      </c>
      <c r="J152" s="55" t="str">
        <f aca="false">IF(C152="","",IFERROR(INDEX('شجرة الحسابات'!$E$9:$E$208,MATCH(C152,'شجرة الحسابات'!$A$9:$A$208,0))&amp;"",""))</f>
        <v/>
      </c>
      <c r="K152" s="55" t="str">
        <f aca="false">IF(C152="","",IFERROR(INDEX('شجرة الحسابات'!$I$9:$I$208,MATCH(C152,'شجرة الحسابات'!$A$9:$A$208,0))&amp;"",""))</f>
        <v/>
      </c>
      <c r="L152" s="55" t="str">
        <f aca="false">IF(C152="","",IFERROR(INDEX('شجرة الحسابات'!$C$9:$C$208,MATCH(C152,'شجرة الحسابات'!$A$9:$A$208,0))&amp;"",""))</f>
        <v/>
      </c>
      <c r="M152" s="55" t="str">
        <f aca="false">IF(AND(C152="",G152="",H152=""),"فارغ",IF(ISNA(MATCH(C152,'شجرة الحسابات'!$A$9:$A$208,0)),"حساب غير معرف",IF(L152&lt;&gt;"تحليلي","حساب تجميعي",IF(AND(N(G152)&gt;0,N(H152)&gt;0),"مدين ودائن معاً",IF(N(G152)+N(H152)=0,"بدون قيمة","OK")))))</f>
        <v>فارغ</v>
      </c>
      <c r="N152" s="55" t="str">
        <f aca="false">IF(AND(E152&lt;&gt;"",E152='كشف حساب مشروع'!$C$6,I152="مرحل ✔"),COUNTIFS($E$11:E152,'كشف حساب مشروع'!$C$6,$I$11:I152,"مرحل ✔"),"")</f>
        <v/>
      </c>
      <c r="O152" s="55" t="str">
        <f aca="false">IF(AND(C152&lt;&gt;"",C152='دفتر الأستاذ'!$C$6,I152="مرحل ✔"),COUNTIFS($C$11:C152,'دفتر الأستاذ'!$C$6,$I$11:I152,"مرحل ✔"),"")</f>
        <v/>
      </c>
    </row>
    <row r="153" customFormat="false" ht="15" hidden="false" customHeight="false" outlineLevel="0" collapsed="false">
      <c r="A153" s="49"/>
      <c r="B153" s="50"/>
      <c r="C153" s="49"/>
      <c r="D153" s="51" t="str">
        <f aca="false">IF(C153="","",IFERROR(INDEX('شجرة الحسابات'!$B$9:$B$208,MATCH(C153,'شجرة الحسابات'!$A$9:$A$208,0)),"⚠ حساب غير معرف"))</f>
        <v/>
      </c>
      <c r="E153" s="52"/>
      <c r="F153" s="52"/>
      <c r="G153" s="53"/>
      <c r="H153" s="53"/>
      <c r="I153" s="54" t="str">
        <f aca="false">IF(A153="",IF(M153="فارغ","","✖ بدون رقم قيد"),IF(COUNTIFS('قيود اليومية'!$A$11:$A$1010,A153,'قيود اليومية'!$M$11:$M$1010,"&lt;&gt;OK",'قيود اليومية'!$M$11:$M$1010,"&lt;&gt;فارغ")&gt;0,"✖ خطأ بالحساب",IF(ROUND(SUMIFS('قيود اليومية'!$G$11:$G$1010,'قيود اليومية'!$A$11:$A$1010,A153)-SUMIFS('قيود اليومية'!$H$11:$H$1010,'قيود اليومية'!$A$11:$A$1010,A153),2)&lt;&gt;0,"✖ غير متوازن","مرحل ✔")))</f>
        <v/>
      </c>
      <c r="J153" s="55" t="str">
        <f aca="false">IF(C153="","",IFERROR(INDEX('شجرة الحسابات'!$E$9:$E$208,MATCH(C153,'شجرة الحسابات'!$A$9:$A$208,0))&amp;"",""))</f>
        <v/>
      </c>
      <c r="K153" s="55" t="str">
        <f aca="false">IF(C153="","",IFERROR(INDEX('شجرة الحسابات'!$I$9:$I$208,MATCH(C153,'شجرة الحسابات'!$A$9:$A$208,0))&amp;"",""))</f>
        <v/>
      </c>
      <c r="L153" s="55" t="str">
        <f aca="false">IF(C153="","",IFERROR(INDEX('شجرة الحسابات'!$C$9:$C$208,MATCH(C153,'شجرة الحسابات'!$A$9:$A$208,0))&amp;"",""))</f>
        <v/>
      </c>
      <c r="M153" s="55" t="str">
        <f aca="false">IF(AND(C153="",G153="",H153=""),"فارغ",IF(ISNA(MATCH(C153,'شجرة الحسابات'!$A$9:$A$208,0)),"حساب غير معرف",IF(L153&lt;&gt;"تحليلي","حساب تجميعي",IF(AND(N(G153)&gt;0,N(H153)&gt;0),"مدين ودائن معاً",IF(N(G153)+N(H153)=0,"بدون قيمة","OK")))))</f>
        <v>فارغ</v>
      </c>
      <c r="N153" s="55" t="str">
        <f aca="false">IF(AND(E153&lt;&gt;"",E153='كشف حساب مشروع'!$C$6,I153="مرحل ✔"),COUNTIFS($E$11:E153,'كشف حساب مشروع'!$C$6,$I$11:I153,"مرحل ✔"),"")</f>
        <v/>
      </c>
      <c r="O153" s="55" t="str">
        <f aca="false">IF(AND(C153&lt;&gt;"",C153='دفتر الأستاذ'!$C$6,I153="مرحل ✔"),COUNTIFS($C$11:C153,'دفتر الأستاذ'!$C$6,$I$11:I153,"مرحل ✔"),"")</f>
        <v/>
      </c>
    </row>
    <row r="154" customFormat="false" ht="15" hidden="false" customHeight="false" outlineLevel="0" collapsed="false">
      <c r="A154" s="49"/>
      <c r="B154" s="50"/>
      <c r="C154" s="49"/>
      <c r="D154" s="51" t="str">
        <f aca="false">IF(C154="","",IFERROR(INDEX('شجرة الحسابات'!$B$9:$B$208,MATCH(C154,'شجرة الحسابات'!$A$9:$A$208,0)),"⚠ حساب غير معرف"))</f>
        <v/>
      </c>
      <c r="E154" s="52"/>
      <c r="F154" s="52"/>
      <c r="G154" s="53"/>
      <c r="H154" s="53"/>
      <c r="I154" s="54" t="str">
        <f aca="false">IF(A154="",IF(M154="فارغ","","✖ بدون رقم قيد"),IF(COUNTIFS('قيود اليومية'!$A$11:$A$1010,A154,'قيود اليومية'!$M$11:$M$1010,"&lt;&gt;OK",'قيود اليومية'!$M$11:$M$1010,"&lt;&gt;فارغ")&gt;0,"✖ خطأ بالحساب",IF(ROUND(SUMIFS('قيود اليومية'!$G$11:$G$1010,'قيود اليومية'!$A$11:$A$1010,A154)-SUMIFS('قيود اليومية'!$H$11:$H$1010,'قيود اليومية'!$A$11:$A$1010,A154),2)&lt;&gt;0,"✖ غير متوازن","مرحل ✔")))</f>
        <v/>
      </c>
      <c r="J154" s="55" t="str">
        <f aca="false">IF(C154="","",IFERROR(INDEX('شجرة الحسابات'!$E$9:$E$208,MATCH(C154,'شجرة الحسابات'!$A$9:$A$208,0))&amp;"",""))</f>
        <v/>
      </c>
      <c r="K154" s="55" t="str">
        <f aca="false">IF(C154="","",IFERROR(INDEX('شجرة الحسابات'!$I$9:$I$208,MATCH(C154,'شجرة الحسابات'!$A$9:$A$208,0))&amp;"",""))</f>
        <v/>
      </c>
      <c r="L154" s="55" t="str">
        <f aca="false">IF(C154="","",IFERROR(INDEX('شجرة الحسابات'!$C$9:$C$208,MATCH(C154,'شجرة الحسابات'!$A$9:$A$208,0))&amp;"",""))</f>
        <v/>
      </c>
      <c r="M154" s="55" t="str">
        <f aca="false">IF(AND(C154="",G154="",H154=""),"فارغ",IF(ISNA(MATCH(C154,'شجرة الحسابات'!$A$9:$A$208,0)),"حساب غير معرف",IF(L154&lt;&gt;"تحليلي","حساب تجميعي",IF(AND(N(G154)&gt;0,N(H154)&gt;0),"مدين ودائن معاً",IF(N(G154)+N(H154)=0,"بدون قيمة","OK")))))</f>
        <v>فارغ</v>
      </c>
      <c r="N154" s="55" t="str">
        <f aca="false">IF(AND(E154&lt;&gt;"",E154='كشف حساب مشروع'!$C$6,I154="مرحل ✔"),COUNTIFS($E$11:E154,'كشف حساب مشروع'!$C$6,$I$11:I154,"مرحل ✔"),"")</f>
        <v/>
      </c>
      <c r="O154" s="55" t="str">
        <f aca="false">IF(AND(C154&lt;&gt;"",C154='دفتر الأستاذ'!$C$6,I154="مرحل ✔"),COUNTIFS($C$11:C154,'دفتر الأستاذ'!$C$6,$I$11:I154,"مرحل ✔"),"")</f>
        <v/>
      </c>
    </row>
    <row r="155" customFormat="false" ht="15" hidden="false" customHeight="false" outlineLevel="0" collapsed="false">
      <c r="A155" s="49"/>
      <c r="B155" s="50"/>
      <c r="C155" s="49"/>
      <c r="D155" s="51" t="str">
        <f aca="false">IF(C155="","",IFERROR(INDEX('شجرة الحسابات'!$B$9:$B$208,MATCH(C155,'شجرة الحسابات'!$A$9:$A$208,0)),"⚠ حساب غير معرف"))</f>
        <v/>
      </c>
      <c r="E155" s="52"/>
      <c r="F155" s="52"/>
      <c r="G155" s="53"/>
      <c r="H155" s="53"/>
      <c r="I155" s="54" t="str">
        <f aca="false">IF(A155="",IF(M155="فارغ","","✖ بدون رقم قيد"),IF(COUNTIFS('قيود اليومية'!$A$11:$A$1010,A155,'قيود اليومية'!$M$11:$M$1010,"&lt;&gt;OK",'قيود اليومية'!$M$11:$M$1010,"&lt;&gt;فارغ")&gt;0,"✖ خطأ بالحساب",IF(ROUND(SUMIFS('قيود اليومية'!$G$11:$G$1010,'قيود اليومية'!$A$11:$A$1010,A155)-SUMIFS('قيود اليومية'!$H$11:$H$1010,'قيود اليومية'!$A$11:$A$1010,A155),2)&lt;&gt;0,"✖ غير متوازن","مرحل ✔")))</f>
        <v/>
      </c>
      <c r="J155" s="55" t="str">
        <f aca="false">IF(C155="","",IFERROR(INDEX('شجرة الحسابات'!$E$9:$E$208,MATCH(C155,'شجرة الحسابات'!$A$9:$A$208,0))&amp;"",""))</f>
        <v/>
      </c>
      <c r="K155" s="55" t="str">
        <f aca="false">IF(C155="","",IFERROR(INDEX('شجرة الحسابات'!$I$9:$I$208,MATCH(C155,'شجرة الحسابات'!$A$9:$A$208,0))&amp;"",""))</f>
        <v/>
      </c>
      <c r="L155" s="55" t="str">
        <f aca="false">IF(C155="","",IFERROR(INDEX('شجرة الحسابات'!$C$9:$C$208,MATCH(C155,'شجرة الحسابات'!$A$9:$A$208,0))&amp;"",""))</f>
        <v/>
      </c>
      <c r="M155" s="55" t="str">
        <f aca="false">IF(AND(C155="",G155="",H155=""),"فارغ",IF(ISNA(MATCH(C155,'شجرة الحسابات'!$A$9:$A$208,0)),"حساب غير معرف",IF(L155&lt;&gt;"تحليلي","حساب تجميعي",IF(AND(N(G155)&gt;0,N(H155)&gt;0),"مدين ودائن معاً",IF(N(G155)+N(H155)=0,"بدون قيمة","OK")))))</f>
        <v>فارغ</v>
      </c>
      <c r="N155" s="55" t="str">
        <f aca="false">IF(AND(E155&lt;&gt;"",E155='كشف حساب مشروع'!$C$6,I155="مرحل ✔"),COUNTIFS($E$11:E155,'كشف حساب مشروع'!$C$6,$I$11:I155,"مرحل ✔"),"")</f>
        <v/>
      </c>
      <c r="O155" s="55" t="str">
        <f aca="false">IF(AND(C155&lt;&gt;"",C155='دفتر الأستاذ'!$C$6,I155="مرحل ✔"),COUNTIFS($C$11:C155,'دفتر الأستاذ'!$C$6,$I$11:I155,"مرحل ✔"),"")</f>
        <v/>
      </c>
    </row>
    <row r="156" customFormat="false" ht="15" hidden="false" customHeight="false" outlineLevel="0" collapsed="false">
      <c r="A156" s="49"/>
      <c r="B156" s="50"/>
      <c r="C156" s="49"/>
      <c r="D156" s="51" t="str">
        <f aca="false">IF(C156="","",IFERROR(INDEX('شجرة الحسابات'!$B$9:$B$208,MATCH(C156,'شجرة الحسابات'!$A$9:$A$208,0)),"⚠ حساب غير معرف"))</f>
        <v/>
      </c>
      <c r="E156" s="52"/>
      <c r="F156" s="52"/>
      <c r="G156" s="53"/>
      <c r="H156" s="53"/>
      <c r="I156" s="54" t="str">
        <f aca="false">IF(A156="",IF(M156="فارغ","","✖ بدون رقم قيد"),IF(COUNTIFS('قيود اليومية'!$A$11:$A$1010,A156,'قيود اليومية'!$M$11:$M$1010,"&lt;&gt;OK",'قيود اليومية'!$M$11:$M$1010,"&lt;&gt;فارغ")&gt;0,"✖ خطأ بالحساب",IF(ROUND(SUMIFS('قيود اليومية'!$G$11:$G$1010,'قيود اليومية'!$A$11:$A$1010,A156)-SUMIFS('قيود اليومية'!$H$11:$H$1010,'قيود اليومية'!$A$11:$A$1010,A156),2)&lt;&gt;0,"✖ غير متوازن","مرحل ✔")))</f>
        <v/>
      </c>
      <c r="J156" s="55" t="str">
        <f aca="false">IF(C156="","",IFERROR(INDEX('شجرة الحسابات'!$E$9:$E$208,MATCH(C156,'شجرة الحسابات'!$A$9:$A$208,0))&amp;"",""))</f>
        <v/>
      </c>
      <c r="K156" s="55" t="str">
        <f aca="false">IF(C156="","",IFERROR(INDEX('شجرة الحسابات'!$I$9:$I$208,MATCH(C156,'شجرة الحسابات'!$A$9:$A$208,0))&amp;"",""))</f>
        <v/>
      </c>
      <c r="L156" s="55" t="str">
        <f aca="false">IF(C156="","",IFERROR(INDEX('شجرة الحسابات'!$C$9:$C$208,MATCH(C156,'شجرة الحسابات'!$A$9:$A$208,0))&amp;"",""))</f>
        <v/>
      </c>
      <c r="M156" s="55" t="str">
        <f aca="false">IF(AND(C156="",G156="",H156=""),"فارغ",IF(ISNA(MATCH(C156,'شجرة الحسابات'!$A$9:$A$208,0)),"حساب غير معرف",IF(L156&lt;&gt;"تحليلي","حساب تجميعي",IF(AND(N(G156)&gt;0,N(H156)&gt;0),"مدين ودائن معاً",IF(N(G156)+N(H156)=0,"بدون قيمة","OK")))))</f>
        <v>فارغ</v>
      </c>
      <c r="N156" s="55" t="str">
        <f aca="false">IF(AND(E156&lt;&gt;"",E156='كشف حساب مشروع'!$C$6,I156="مرحل ✔"),COUNTIFS($E$11:E156,'كشف حساب مشروع'!$C$6,$I$11:I156,"مرحل ✔"),"")</f>
        <v/>
      </c>
      <c r="O156" s="55" t="str">
        <f aca="false">IF(AND(C156&lt;&gt;"",C156='دفتر الأستاذ'!$C$6,I156="مرحل ✔"),COUNTIFS($C$11:C156,'دفتر الأستاذ'!$C$6,$I$11:I156,"مرحل ✔"),"")</f>
        <v/>
      </c>
    </row>
    <row r="157" customFormat="false" ht="15" hidden="false" customHeight="false" outlineLevel="0" collapsed="false">
      <c r="A157" s="49"/>
      <c r="B157" s="50"/>
      <c r="C157" s="49"/>
      <c r="D157" s="51" t="str">
        <f aca="false">IF(C157="","",IFERROR(INDEX('شجرة الحسابات'!$B$9:$B$208,MATCH(C157,'شجرة الحسابات'!$A$9:$A$208,0)),"⚠ حساب غير معرف"))</f>
        <v/>
      </c>
      <c r="E157" s="52"/>
      <c r="F157" s="52"/>
      <c r="G157" s="53"/>
      <c r="H157" s="53"/>
      <c r="I157" s="54" t="str">
        <f aca="false">IF(A157="",IF(M157="فارغ","","✖ بدون رقم قيد"),IF(COUNTIFS('قيود اليومية'!$A$11:$A$1010,A157,'قيود اليومية'!$M$11:$M$1010,"&lt;&gt;OK",'قيود اليومية'!$M$11:$M$1010,"&lt;&gt;فارغ")&gt;0,"✖ خطأ بالحساب",IF(ROUND(SUMIFS('قيود اليومية'!$G$11:$G$1010,'قيود اليومية'!$A$11:$A$1010,A157)-SUMIFS('قيود اليومية'!$H$11:$H$1010,'قيود اليومية'!$A$11:$A$1010,A157),2)&lt;&gt;0,"✖ غير متوازن","مرحل ✔")))</f>
        <v/>
      </c>
      <c r="J157" s="55" t="str">
        <f aca="false">IF(C157="","",IFERROR(INDEX('شجرة الحسابات'!$E$9:$E$208,MATCH(C157,'شجرة الحسابات'!$A$9:$A$208,0))&amp;"",""))</f>
        <v/>
      </c>
      <c r="K157" s="55" t="str">
        <f aca="false">IF(C157="","",IFERROR(INDEX('شجرة الحسابات'!$I$9:$I$208,MATCH(C157,'شجرة الحسابات'!$A$9:$A$208,0))&amp;"",""))</f>
        <v/>
      </c>
      <c r="L157" s="55" t="str">
        <f aca="false">IF(C157="","",IFERROR(INDEX('شجرة الحسابات'!$C$9:$C$208,MATCH(C157,'شجرة الحسابات'!$A$9:$A$208,0))&amp;"",""))</f>
        <v/>
      </c>
      <c r="M157" s="55" t="str">
        <f aca="false">IF(AND(C157="",G157="",H157=""),"فارغ",IF(ISNA(MATCH(C157,'شجرة الحسابات'!$A$9:$A$208,0)),"حساب غير معرف",IF(L157&lt;&gt;"تحليلي","حساب تجميعي",IF(AND(N(G157)&gt;0,N(H157)&gt;0),"مدين ودائن معاً",IF(N(G157)+N(H157)=0,"بدون قيمة","OK")))))</f>
        <v>فارغ</v>
      </c>
      <c r="N157" s="55" t="str">
        <f aca="false">IF(AND(E157&lt;&gt;"",E157='كشف حساب مشروع'!$C$6,I157="مرحل ✔"),COUNTIFS($E$11:E157,'كشف حساب مشروع'!$C$6,$I$11:I157,"مرحل ✔"),"")</f>
        <v/>
      </c>
      <c r="O157" s="55" t="str">
        <f aca="false">IF(AND(C157&lt;&gt;"",C157='دفتر الأستاذ'!$C$6,I157="مرحل ✔"),COUNTIFS($C$11:C157,'دفتر الأستاذ'!$C$6,$I$11:I157,"مرحل ✔"),"")</f>
        <v/>
      </c>
    </row>
    <row r="158" customFormat="false" ht="15" hidden="false" customHeight="false" outlineLevel="0" collapsed="false">
      <c r="A158" s="49"/>
      <c r="B158" s="50"/>
      <c r="C158" s="49"/>
      <c r="D158" s="51" t="str">
        <f aca="false">IF(C158="","",IFERROR(INDEX('شجرة الحسابات'!$B$9:$B$208,MATCH(C158,'شجرة الحسابات'!$A$9:$A$208,0)),"⚠ حساب غير معرف"))</f>
        <v/>
      </c>
      <c r="E158" s="52"/>
      <c r="F158" s="52"/>
      <c r="G158" s="53"/>
      <c r="H158" s="53"/>
      <c r="I158" s="54" t="str">
        <f aca="false">IF(A158="",IF(M158="فارغ","","✖ بدون رقم قيد"),IF(COUNTIFS('قيود اليومية'!$A$11:$A$1010,A158,'قيود اليومية'!$M$11:$M$1010,"&lt;&gt;OK",'قيود اليومية'!$M$11:$M$1010,"&lt;&gt;فارغ")&gt;0,"✖ خطأ بالحساب",IF(ROUND(SUMIFS('قيود اليومية'!$G$11:$G$1010,'قيود اليومية'!$A$11:$A$1010,A158)-SUMIFS('قيود اليومية'!$H$11:$H$1010,'قيود اليومية'!$A$11:$A$1010,A158),2)&lt;&gt;0,"✖ غير متوازن","مرحل ✔")))</f>
        <v/>
      </c>
      <c r="J158" s="55" t="str">
        <f aca="false">IF(C158="","",IFERROR(INDEX('شجرة الحسابات'!$E$9:$E$208,MATCH(C158,'شجرة الحسابات'!$A$9:$A$208,0))&amp;"",""))</f>
        <v/>
      </c>
      <c r="K158" s="55" t="str">
        <f aca="false">IF(C158="","",IFERROR(INDEX('شجرة الحسابات'!$I$9:$I$208,MATCH(C158,'شجرة الحسابات'!$A$9:$A$208,0))&amp;"",""))</f>
        <v/>
      </c>
      <c r="L158" s="55" t="str">
        <f aca="false">IF(C158="","",IFERROR(INDEX('شجرة الحسابات'!$C$9:$C$208,MATCH(C158,'شجرة الحسابات'!$A$9:$A$208,0))&amp;"",""))</f>
        <v/>
      </c>
      <c r="M158" s="55" t="str">
        <f aca="false">IF(AND(C158="",G158="",H158=""),"فارغ",IF(ISNA(MATCH(C158,'شجرة الحسابات'!$A$9:$A$208,0)),"حساب غير معرف",IF(L158&lt;&gt;"تحليلي","حساب تجميعي",IF(AND(N(G158)&gt;0,N(H158)&gt;0),"مدين ودائن معاً",IF(N(G158)+N(H158)=0,"بدون قيمة","OK")))))</f>
        <v>فارغ</v>
      </c>
      <c r="N158" s="55" t="str">
        <f aca="false">IF(AND(E158&lt;&gt;"",E158='كشف حساب مشروع'!$C$6,I158="مرحل ✔"),COUNTIFS($E$11:E158,'كشف حساب مشروع'!$C$6,$I$11:I158,"مرحل ✔"),"")</f>
        <v/>
      </c>
      <c r="O158" s="55" t="str">
        <f aca="false">IF(AND(C158&lt;&gt;"",C158='دفتر الأستاذ'!$C$6,I158="مرحل ✔"),COUNTIFS($C$11:C158,'دفتر الأستاذ'!$C$6,$I$11:I158,"مرحل ✔"),"")</f>
        <v/>
      </c>
    </row>
    <row r="159" customFormat="false" ht="15" hidden="false" customHeight="false" outlineLevel="0" collapsed="false">
      <c r="A159" s="49"/>
      <c r="B159" s="50"/>
      <c r="C159" s="49"/>
      <c r="D159" s="51" t="str">
        <f aca="false">IF(C159="","",IFERROR(INDEX('شجرة الحسابات'!$B$9:$B$208,MATCH(C159,'شجرة الحسابات'!$A$9:$A$208,0)),"⚠ حساب غير معرف"))</f>
        <v/>
      </c>
      <c r="E159" s="52"/>
      <c r="F159" s="52"/>
      <c r="G159" s="53"/>
      <c r="H159" s="53"/>
      <c r="I159" s="54" t="str">
        <f aca="false">IF(A159="",IF(M159="فارغ","","✖ بدون رقم قيد"),IF(COUNTIFS('قيود اليومية'!$A$11:$A$1010,A159,'قيود اليومية'!$M$11:$M$1010,"&lt;&gt;OK",'قيود اليومية'!$M$11:$M$1010,"&lt;&gt;فارغ")&gt;0,"✖ خطأ بالحساب",IF(ROUND(SUMIFS('قيود اليومية'!$G$11:$G$1010,'قيود اليومية'!$A$11:$A$1010,A159)-SUMIFS('قيود اليومية'!$H$11:$H$1010,'قيود اليومية'!$A$11:$A$1010,A159),2)&lt;&gt;0,"✖ غير متوازن","مرحل ✔")))</f>
        <v/>
      </c>
      <c r="J159" s="55" t="str">
        <f aca="false">IF(C159="","",IFERROR(INDEX('شجرة الحسابات'!$E$9:$E$208,MATCH(C159,'شجرة الحسابات'!$A$9:$A$208,0))&amp;"",""))</f>
        <v/>
      </c>
      <c r="K159" s="55" t="str">
        <f aca="false">IF(C159="","",IFERROR(INDEX('شجرة الحسابات'!$I$9:$I$208,MATCH(C159,'شجرة الحسابات'!$A$9:$A$208,0))&amp;"",""))</f>
        <v/>
      </c>
      <c r="L159" s="55" t="str">
        <f aca="false">IF(C159="","",IFERROR(INDEX('شجرة الحسابات'!$C$9:$C$208,MATCH(C159,'شجرة الحسابات'!$A$9:$A$208,0))&amp;"",""))</f>
        <v/>
      </c>
      <c r="M159" s="55" t="str">
        <f aca="false">IF(AND(C159="",G159="",H159=""),"فارغ",IF(ISNA(MATCH(C159,'شجرة الحسابات'!$A$9:$A$208,0)),"حساب غير معرف",IF(L159&lt;&gt;"تحليلي","حساب تجميعي",IF(AND(N(G159)&gt;0,N(H159)&gt;0),"مدين ودائن معاً",IF(N(G159)+N(H159)=0,"بدون قيمة","OK")))))</f>
        <v>فارغ</v>
      </c>
      <c r="N159" s="55" t="str">
        <f aca="false">IF(AND(E159&lt;&gt;"",E159='كشف حساب مشروع'!$C$6,I159="مرحل ✔"),COUNTIFS($E$11:E159,'كشف حساب مشروع'!$C$6,$I$11:I159,"مرحل ✔"),"")</f>
        <v/>
      </c>
      <c r="O159" s="55" t="str">
        <f aca="false">IF(AND(C159&lt;&gt;"",C159='دفتر الأستاذ'!$C$6,I159="مرحل ✔"),COUNTIFS($C$11:C159,'دفتر الأستاذ'!$C$6,$I$11:I159,"مرحل ✔"),"")</f>
        <v/>
      </c>
    </row>
    <row r="160" customFormat="false" ht="15" hidden="false" customHeight="false" outlineLevel="0" collapsed="false">
      <c r="A160" s="49"/>
      <c r="B160" s="50"/>
      <c r="C160" s="49"/>
      <c r="D160" s="51" t="str">
        <f aca="false">IF(C160="","",IFERROR(INDEX('شجرة الحسابات'!$B$9:$B$208,MATCH(C160,'شجرة الحسابات'!$A$9:$A$208,0)),"⚠ حساب غير معرف"))</f>
        <v/>
      </c>
      <c r="E160" s="52"/>
      <c r="F160" s="52"/>
      <c r="G160" s="53"/>
      <c r="H160" s="53"/>
      <c r="I160" s="54" t="str">
        <f aca="false">IF(A160="",IF(M160="فارغ","","✖ بدون رقم قيد"),IF(COUNTIFS('قيود اليومية'!$A$11:$A$1010,A160,'قيود اليومية'!$M$11:$M$1010,"&lt;&gt;OK",'قيود اليومية'!$M$11:$M$1010,"&lt;&gt;فارغ")&gt;0,"✖ خطأ بالحساب",IF(ROUND(SUMIFS('قيود اليومية'!$G$11:$G$1010,'قيود اليومية'!$A$11:$A$1010,A160)-SUMIFS('قيود اليومية'!$H$11:$H$1010,'قيود اليومية'!$A$11:$A$1010,A160),2)&lt;&gt;0,"✖ غير متوازن","مرحل ✔")))</f>
        <v/>
      </c>
      <c r="J160" s="55" t="str">
        <f aca="false">IF(C160="","",IFERROR(INDEX('شجرة الحسابات'!$E$9:$E$208,MATCH(C160,'شجرة الحسابات'!$A$9:$A$208,0))&amp;"",""))</f>
        <v/>
      </c>
      <c r="K160" s="55" t="str">
        <f aca="false">IF(C160="","",IFERROR(INDEX('شجرة الحسابات'!$I$9:$I$208,MATCH(C160,'شجرة الحسابات'!$A$9:$A$208,0))&amp;"",""))</f>
        <v/>
      </c>
      <c r="L160" s="55" t="str">
        <f aca="false">IF(C160="","",IFERROR(INDEX('شجرة الحسابات'!$C$9:$C$208,MATCH(C160,'شجرة الحسابات'!$A$9:$A$208,0))&amp;"",""))</f>
        <v/>
      </c>
      <c r="M160" s="55" t="str">
        <f aca="false">IF(AND(C160="",G160="",H160=""),"فارغ",IF(ISNA(MATCH(C160,'شجرة الحسابات'!$A$9:$A$208,0)),"حساب غير معرف",IF(L160&lt;&gt;"تحليلي","حساب تجميعي",IF(AND(N(G160)&gt;0,N(H160)&gt;0),"مدين ودائن معاً",IF(N(G160)+N(H160)=0,"بدون قيمة","OK")))))</f>
        <v>فارغ</v>
      </c>
      <c r="N160" s="55" t="str">
        <f aca="false">IF(AND(E160&lt;&gt;"",E160='كشف حساب مشروع'!$C$6,I160="مرحل ✔"),COUNTIFS($E$11:E160,'كشف حساب مشروع'!$C$6,$I$11:I160,"مرحل ✔"),"")</f>
        <v/>
      </c>
      <c r="O160" s="55" t="str">
        <f aca="false">IF(AND(C160&lt;&gt;"",C160='دفتر الأستاذ'!$C$6,I160="مرحل ✔"),COUNTIFS($C$11:C160,'دفتر الأستاذ'!$C$6,$I$11:I160,"مرحل ✔"),"")</f>
        <v/>
      </c>
    </row>
    <row r="161" customFormat="false" ht="15" hidden="false" customHeight="false" outlineLevel="0" collapsed="false">
      <c r="A161" s="49"/>
      <c r="B161" s="50"/>
      <c r="C161" s="49"/>
      <c r="D161" s="51" t="str">
        <f aca="false">IF(C161="","",IFERROR(INDEX('شجرة الحسابات'!$B$9:$B$208,MATCH(C161,'شجرة الحسابات'!$A$9:$A$208,0)),"⚠ حساب غير معرف"))</f>
        <v/>
      </c>
      <c r="E161" s="52"/>
      <c r="F161" s="52"/>
      <c r="G161" s="53"/>
      <c r="H161" s="53"/>
      <c r="I161" s="54" t="str">
        <f aca="false">IF(A161="",IF(M161="فارغ","","✖ بدون رقم قيد"),IF(COUNTIFS('قيود اليومية'!$A$11:$A$1010,A161,'قيود اليومية'!$M$11:$M$1010,"&lt;&gt;OK",'قيود اليومية'!$M$11:$M$1010,"&lt;&gt;فارغ")&gt;0,"✖ خطأ بالحساب",IF(ROUND(SUMIFS('قيود اليومية'!$G$11:$G$1010,'قيود اليومية'!$A$11:$A$1010,A161)-SUMIFS('قيود اليومية'!$H$11:$H$1010,'قيود اليومية'!$A$11:$A$1010,A161),2)&lt;&gt;0,"✖ غير متوازن","مرحل ✔")))</f>
        <v/>
      </c>
      <c r="J161" s="55" t="str">
        <f aca="false">IF(C161="","",IFERROR(INDEX('شجرة الحسابات'!$E$9:$E$208,MATCH(C161,'شجرة الحسابات'!$A$9:$A$208,0))&amp;"",""))</f>
        <v/>
      </c>
      <c r="K161" s="55" t="str">
        <f aca="false">IF(C161="","",IFERROR(INDEX('شجرة الحسابات'!$I$9:$I$208,MATCH(C161,'شجرة الحسابات'!$A$9:$A$208,0))&amp;"",""))</f>
        <v/>
      </c>
      <c r="L161" s="55" t="str">
        <f aca="false">IF(C161="","",IFERROR(INDEX('شجرة الحسابات'!$C$9:$C$208,MATCH(C161,'شجرة الحسابات'!$A$9:$A$208,0))&amp;"",""))</f>
        <v/>
      </c>
      <c r="M161" s="55" t="str">
        <f aca="false">IF(AND(C161="",G161="",H161=""),"فارغ",IF(ISNA(MATCH(C161,'شجرة الحسابات'!$A$9:$A$208,0)),"حساب غير معرف",IF(L161&lt;&gt;"تحليلي","حساب تجميعي",IF(AND(N(G161)&gt;0,N(H161)&gt;0),"مدين ودائن معاً",IF(N(G161)+N(H161)=0,"بدون قيمة","OK")))))</f>
        <v>فارغ</v>
      </c>
      <c r="N161" s="55" t="str">
        <f aca="false">IF(AND(E161&lt;&gt;"",E161='كشف حساب مشروع'!$C$6,I161="مرحل ✔"),COUNTIFS($E$11:E161,'كشف حساب مشروع'!$C$6,$I$11:I161,"مرحل ✔"),"")</f>
        <v/>
      </c>
      <c r="O161" s="55" t="str">
        <f aca="false">IF(AND(C161&lt;&gt;"",C161='دفتر الأستاذ'!$C$6,I161="مرحل ✔"),COUNTIFS($C$11:C161,'دفتر الأستاذ'!$C$6,$I$11:I161,"مرحل ✔"),"")</f>
        <v/>
      </c>
    </row>
    <row r="162" customFormat="false" ht="15" hidden="false" customHeight="false" outlineLevel="0" collapsed="false">
      <c r="A162" s="49"/>
      <c r="B162" s="50"/>
      <c r="C162" s="49"/>
      <c r="D162" s="51" t="str">
        <f aca="false">IF(C162="","",IFERROR(INDEX('شجرة الحسابات'!$B$9:$B$208,MATCH(C162,'شجرة الحسابات'!$A$9:$A$208,0)),"⚠ حساب غير معرف"))</f>
        <v/>
      </c>
      <c r="E162" s="52"/>
      <c r="F162" s="52"/>
      <c r="G162" s="53"/>
      <c r="H162" s="53"/>
      <c r="I162" s="54" t="str">
        <f aca="false">IF(A162="",IF(M162="فارغ","","✖ بدون رقم قيد"),IF(COUNTIFS('قيود اليومية'!$A$11:$A$1010,A162,'قيود اليومية'!$M$11:$M$1010,"&lt;&gt;OK",'قيود اليومية'!$M$11:$M$1010,"&lt;&gt;فارغ")&gt;0,"✖ خطأ بالحساب",IF(ROUND(SUMIFS('قيود اليومية'!$G$11:$G$1010,'قيود اليومية'!$A$11:$A$1010,A162)-SUMIFS('قيود اليومية'!$H$11:$H$1010,'قيود اليومية'!$A$11:$A$1010,A162),2)&lt;&gt;0,"✖ غير متوازن","مرحل ✔")))</f>
        <v/>
      </c>
      <c r="J162" s="55" t="str">
        <f aca="false">IF(C162="","",IFERROR(INDEX('شجرة الحسابات'!$E$9:$E$208,MATCH(C162,'شجرة الحسابات'!$A$9:$A$208,0))&amp;"",""))</f>
        <v/>
      </c>
      <c r="K162" s="55" t="str">
        <f aca="false">IF(C162="","",IFERROR(INDEX('شجرة الحسابات'!$I$9:$I$208,MATCH(C162,'شجرة الحسابات'!$A$9:$A$208,0))&amp;"",""))</f>
        <v/>
      </c>
      <c r="L162" s="55" t="str">
        <f aca="false">IF(C162="","",IFERROR(INDEX('شجرة الحسابات'!$C$9:$C$208,MATCH(C162,'شجرة الحسابات'!$A$9:$A$208,0))&amp;"",""))</f>
        <v/>
      </c>
      <c r="M162" s="55" t="str">
        <f aca="false">IF(AND(C162="",G162="",H162=""),"فارغ",IF(ISNA(MATCH(C162,'شجرة الحسابات'!$A$9:$A$208,0)),"حساب غير معرف",IF(L162&lt;&gt;"تحليلي","حساب تجميعي",IF(AND(N(G162)&gt;0,N(H162)&gt;0),"مدين ودائن معاً",IF(N(G162)+N(H162)=0,"بدون قيمة","OK")))))</f>
        <v>فارغ</v>
      </c>
      <c r="N162" s="55" t="str">
        <f aca="false">IF(AND(E162&lt;&gt;"",E162='كشف حساب مشروع'!$C$6,I162="مرحل ✔"),COUNTIFS($E$11:E162,'كشف حساب مشروع'!$C$6,$I$11:I162,"مرحل ✔"),"")</f>
        <v/>
      </c>
      <c r="O162" s="55" t="str">
        <f aca="false">IF(AND(C162&lt;&gt;"",C162='دفتر الأستاذ'!$C$6,I162="مرحل ✔"),COUNTIFS($C$11:C162,'دفتر الأستاذ'!$C$6,$I$11:I162,"مرحل ✔"),"")</f>
        <v/>
      </c>
    </row>
    <row r="163" customFormat="false" ht="15" hidden="false" customHeight="false" outlineLevel="0" collapsed="false">
      <c r="A163" s="49"/>
      <c r="B163" s="50"/>
      <c r="C163" s="49"/>
      <c r="D163" s="51" t="str">
        <f aca="false">IF(C163="","",IFERROR(INDEX('شجرة الحسابات'!$B$9:$B$208,MATCH(C163,'شجرة الحسابات'!$A$9:$A$208,0)),"⚠ حساب غير معرف"))</f>
        <v/>
      </c>
      <c r="E163" s="52"/>
      <c r="F163" s="52"/>
      <c r="G163" s="53"/>
      <c r="H163" s="53"/>
      <c r="I163" s="54" t="str">
        <f aca="false">IF(A163="",IF(M163="فارغ","","✖ بدون رقم قيد"),IF(COUNTIFS('قيود اليومية'!$A$11:$A$1010,A163,'قيود اليومية'!$M$11:$M$1010,"&lt;&gt;OK",'قيود اليومية'!$M$11:$M$1010,"&lt;&gt;فارغ")&gt;0,"✖ خطأ بالحساب",IF(ROUND(SUMIFS('قيود اليومية'!$G$11:$G$1010,'قيود اليومية'!$A$11:$A$1010,A163)-SUMIFS('قيود اليومية'!$H$11:$H$1010,'قيود اليومية'!$A$11:$A$1010,A163),2)&lt;&gt;0,"✖ غير متوازن","مرحل ✔")))</f>
        <v/>
      </c>
      <c r="J163" s="55" t="str">
        <f aca="false">IF(C163="","",IFERROR(INDEX('شجرة الحسابات'!$E$9:$E$208,MATCH(C163,'شجرة الحسابات'!$A$9:$A$208,0))&amp;"",""))</f>
        <v/>
      </c>
      <c r="K163" s="55" t="str">
        <f aca="false">IF(C163="","",IFERROR(INDEX('شجرة الحسابات'!$I$9:$I$208,MATCH(C163,'شجرة الحسابات'!$A$9:$A$208,0))&amp;"",""))</f>
        <v/>
      </c>
      <c r="L163" s="55" t="str">
        <f aca="false">IF(C163="","",IFERROR(INDEX('شجرة الحسابات'!$C$9:$C$208,MATCH(C163,'شجرة الحسابات'!$A$9:$A$208,0))&amp;"",""))</f>
        <v/>
      </c>
      <c r="M163" s="55" t="str">
        <f aca="false">IF(AND(C163="",G163="",H163=""),"فارغ",IF(ISNA(MATCH(C163,'شجرة الحسابات'!$A$9:$A$208,0)),"حساب غير معرف",IF(L163&lt;&gt;"تحليلي","حساب تجميعي",IF(AND(N(G163)&gt;0,N(H163)&gt;0),"مدين ودائن معاً",IF(N(G163)+N(H163)=0,"بدون قيمة","OK")))))</f>
        <v>فارغ</v>
      </c>
      <c r="N163" s="55" t="str">
        <f aca="false">IF(AND(E163&lt;&gt;"",E163='كشف حساب مشروع'!$C$6,I163="مرحل ✔"),COUNTIFS($E$11:E163,'كشف حساب مشروع'!$C$6,$I$11:I163,"مرحل ✔"),"")</f>
        <v/>
      </c>
      <c r="O163" s="55" t="str">
        <f aca="false">IF(AND(C163&lt;&gt;"",C163='دفتر الأستاذ'!$C$6,I163="مرحل ✔"),COUNTIFS($C$11:C163,'دفتر الأستاذ'!$C$6,$I$11:I163,"مرحل ✔"),"")</f>
        <v/>
      </c>
    </row>
    <row r="164" customFormat="false" ht="15" hidden="false" customHeight="false" outlineLevel="0" collapsed="false">
      <c r="A164" s="49"/>
      <c r="B164" s="50"/>
      <c r="C164" s="49"/>
      <c r="D164" s="51" t="str">
        <f aca="false">IF(C164="","",IFERROR(INDEX('شجرة الحسابات'!$B$9:$B$208,MATCH(C164,'شجرة الحسابات'!$A$9:$A$208,0)),"⚠ حساب غير معرف"))</f>
        <v/>
      </c>
      <c r="E164" s="52"/>
      <c r="F164" s="52"/>
      <c r="G164" s="53"/>
      <c r="H164" s="53"/>
      <c r="I164" s="54" t="str">
        <f aca="false">IF(A164="",IF(M164="فارغ","","✖ بدون رقم قيد"),IF(COUNTIFS('قيود اليومية'!$A$11:$A$1010,A164,'قيود اليومية'!$M$11:$M$1010,"&lt;&gt;OK",'قيود اليومية'!$M$11:$M$1010,"&lt;&gt;فارغ")&gt;0,"✖ خطأ بالحساب",IF(ROUND(SUMIFS('قيود اليومية'!$G$11:$G$1010,'قيود اليومية'!$A$11:$A$1010,A164)-SUMIFS('قيود اليومية'!$H$11:$H$1010,'قيود اليومية'!$A$11:$A$1010,A164),2)&lt;&gt;0,"✖ غير متوازن","مرحل ✔")))</f>
        <v/>
      </c>
      <c r="J164" s="55" t="str">
        <f aca="false">IF(C164="","",IFERROR(INDEX('شجرة الحسابات'!$E$9:$E$208,MATCH(C164,'شجرة الحسابات'!$A$9:$A$208,0))&amp;"",""))</f>
        <v/>
      </c>
      <c r="K164" s="55" t="str">
        <f aca="false">IF(C164="","",IFERROR(INDEX('شجرة الحسابات'!$I$9:$I$208,MATCH(C164,'شجرة الحسابات'!$A$9:$A$208,0))&amp;"",""))</f>
        <v/>
      </c>
      <c r="L164" s="55" t="str">
        <f aca="false">IF(C164="","",IFERROR(INDEX('شجرة الحسابات'!$C$9:$C$208,MATCH(C164,'شجرة الحسابات'!$A$9:$A$208,0))&amp;"",""))</f>
        <v/>
      </c>
      <c r="M164" s="55" t="str">
        <f aca="false">IF(AND(C164="",G164="",H164=""),"فارغ",IF(ISNA(MATCH(C164,'شجرة الحسابات'!$A$9:$A$208,0)),"حساب غير معرف",IF(L164&lt;&gt;"تحليلي","حساب تجميعي",IF(AND(N(G164)&gt;0,N(H164)&gt;0),"مدين ودائن معاً",IF(N(G164)+N(H164)=0,"بدون قيمة","OK")))))</f>
        <v>فارغ</v>
      </c>
      <c r="N164" s="55" t="str">
        <f aca="false">IF(AND(E164&lt;&gt;"",E164='كشف حساب مشروع'!$C$6,I164="مرحل ✔"),COUNTIFS($E$11:E164,'كشف حساب مشروع'!$C$6,$I$11:I164,"مرحل ✔"),"")</f>
        <v/>
      </c>
      <c r="O164" s="55" t="str">
        <f aca="false">IF(AND(C164&lt;&gt;"",C164='دفتر الأستاذ'!$C$6,I164="مرحل ✔"),COUNTIFS($C$11:C164,'دفتر الأستاذ'!$C$6,$I$11:I164,"مرحل ✔"),"")</f>
        <v/>
      </c>
    </row>
    <row r="165" customFormat="false" ht="15" hidden="false" customHeight="false" outlineLevel="0" collapsed="false">
      <c r="A165" s="49"/>
      <c r="B165" s="50"/>
      <c r="C165" s="49"/>
      <c r="D165" s="51" t="str">
        <f aca="false">IF(C165="","",IFERROR(INDEX('شجرة الحسابات'!$B$9:$B$208,MATCH(C165,'شجرة الحسابات'!$A$9:$A$208,0)),"⚠ حساب غير معرف"))</f>
        <v/>
      </c>
      <c r="E165" s="52"/>
      <c r="F165" s="52"/>
      <c r="G165" s="53"/>
      <c r="H165" s="53"/>
      <c r="I165" s="54" t="str">
        <f aca="false">IF(A165="",IF(M165="فارغ","","✖ بدون رقم قيد"),IF(COUNTIFS('قيود اليومية'!$A$11:$A$1010,A165,'قيود اليومية'!$M$11:$M$1010,"&lt;&gt;OK",'قيود اليومية'!$M$11:$M$1010,"&lt;&gt;فارغ")&gt;0,"✖ خطأ بالحساب",IF(ROUND(SUMIFS('قيود اليومية'!$G$11:$G$1010,'قيود اليومية'!$A$11:$A$1010,A165)-SUMIFS('قيود اليومية'!$H$11:$H$1010,'قيود اليومية'!$A$11:$A$1010,A165),2)&lt;&gt;0,"✖ غير متوازن","مرحل ✔")))</f>
        <v/>
      </c>
      <c r="J165" s="55" t="str">
        <f aca="false">IF(C165="","",IFERROR(INDEX('شجرة الحسابات'!$E$9:$E$208,MATCH(C165,'شجرة الحسابات'!$A$9:$A$208,0))&amp;"",""))</f>
        <v/>
      </c>
      <c r="K165" s="55" t="str">
        <f aca="false">IF(C165="","",IFERROR(INDEX('شجرة الحسابات'!$I$9:$I$208,MATCH(C165,'شجرة الحسابات'!$A$9:$A$208,0))&amp;"",""))</f>
        <v/>
      </c>
      <c r="L165" s="55" t="str">
        <f aca="false">IF(C165="","",IFERROR(INDEX('شجرة الحسابات'!$C$9:$C$208,MATCH(C165,'شجرة الحسابات'!$A$9:$A$208,0))&amp;"",""))</f>
        <v/>
      </c>
      <c r="M165" s="55" t="str">
        <f aca="false">IF(AND(C165="",G165="",H165=""),"فارغ",IF(ISNA(MATCH(C165,'شجرة الحسابات'!$A$9:$A$208,0)),"حساب غير معرف",IF(L165&lt;&gt;"تحليلي","حساب تجميعي",IF(AND(N(G165)&gt;0,N(H165)&gt;0),"مدين ودائن معاً",IF(N(G165)+N(H165)=0,"بدون قيمة","OK")))))</f>
        <v>فارغ</v>
      </c>
      <c r="N165" s="55" t="str">
        <f aca="false">IF(AND(E165&lt;&gt;"",E165='كشف حساب مشروع'!$C$6,I165="مرحل ✔"),COUNTIFS($E$11:E165,'كشف حساب مشروع'!$C$6,$I$11:I165,"مرحل ✔"),"")</f>
        <v/>
      </c>
      <c r="O165" s="55" t="str">
        <f aca="false">IF(AND(C165&lt;&gt;"",C165='دفتر الأستاذ'!$C$6,I165="مرحل ✔"),COUNTIFS($C$11:C165,'دفتر الأستاذ'!$C$6,$I$11:I165,"مرحل ✔"),"")</f>
        <v/>
      </c>
    </row>
    <row r="166" customFormat="false" ht="15" hidden="false" customHeight="false" outlineLevel="0" collapsed="false">
      <c r="A166" s="49"/>
      <c r="B166" s="50"/>
      <c r="C166" s="49"/>
      <c r="D166" s="51" t="str">
        <f aca="false">IF(C166="","",IFERROR(INDEX('شجرة الحسابات'!$B$9:$B$208,MATCH(C166,'شجرة الحسابات'!$A$9:$A$208,0)),"⚠ حساب غير معرف"))</f>
        <v/>
      </c>
      <c r="E166" s="52"/>
      <c r="F166" s="52"/>
      <c r="G166" s="53"/>
      <c r="H166" s="53"/>
      <c r="I166" s="54" t="str">
        <f aca="false">IF(A166="",IF(M166="فارغ","","✖ بدون رقم قيد"),IF(COUNTIFS('قيود اليومية'!$A$11:$A$1010,A166,'قيود اليومية'!$M$11:$M$1010,"&lt;&gt;OK",'قيود اليومية'!$M$11:$M$1010,"&lt;&gt;فارغ")&gt;0,"✖ خطأ بالحساب",IF(ROUND(SUMIFS('قيود اليومية'!$G$11:$G$1010,'قيود اليومية'!$A$11:$A$1010,A166)-SUMIFS('قيود اليومية'!$H$11:$H$1010,'قيود اليومية'!$A$11:$A$1010,A166),2)&lt;&gt;0,"✖ غير متوازن","مرحل ✔")))</f>
        <v/>
      </c>
      <c r="J166" s="55" t="str">
        <f aca="false">IF(C166="","",IFERROR(INDEX('شجرة الحسابات'!$E$9:$E$208,MATCH(C166,'شجرة الحسابات'!$A$9:$A$208,0))&amp;"",""))</f>
        <v/>
      </c>
      <c r="K166" s="55" t="str">
        <f aca="false">IF(C166="","",IFERROR(INDEX('شجرة الحسابات'!$I$9:$I$208,MATCH(C166,'شجرة الحسابات'!$A$9:$A$208,0))&amp;"",""))</f>
        <v/>
      </c>
      <c r="L166" s="55" t="str">
        <f aca="false">IF(C166="","",IFERROR(INDEX('شجرة الحسابات'!$C$9:$C$208,MATCH(C166,'شجرة الحسابات'!$A$9:$A$208,0))&amp;"",""))</f>
        <v/>
      </c>
      <c r="M166" s="55" t="str">
        <f aca="false">IF(AND(C166="",G166="",H166=""),"فارغ",IF(ISNA(MATCH(C166,'شجرة الحسابات'!$A$9:$A$208,0)),"حساب غير معرف",IF(L166&lt;&gt;"تحليلي","حساب تجميعي",IF(AND(N(G166)&gt;0,N(H166)&gt;0),"مدين ودائن معاً",IF(N(G166)+N(H166)=0,"بدون قيمة","OK")))))</f>
        <v>فارغ</v>
      </c>
      <c r="N166" s="55" t="str">
        <f aca="false">IF(AND(E166&lt;&gt;"",E166='كشف حساب مشروع'!$C$6,I166="مرحل ✔"),COUNTIFS($E$11:E166,'كشف حساب مشروع'!$C$6,$I$11:I166,"مرحل ✔"),"")</f>
        <v/>
      </c>
      <c r="O166" s="55" t="str">
        <f aca="false">IF(AND(C166&lt;&gt;"",C166='دفتر الأستاذ'!$C$6,I166="مرحل ✔"),COUNTIFS($C$11:C166,'دفتر الأستاذ'!$C$6,$I$11:I166,"مرحل ✔"),"")</f>
        <v/>
      </c>
    </row>
    <row r="167" customFormat="false" ht="15" hidden="false" customHeight="false" outlineLevel="0" collapsed="false">
      <c r="A167" s="49"/>
      <c r="B167" s="50"/>
      <c r="C167" s="49"/>
      <c r="D167" s="51" t="str">
        <f aca="false">IF(C167="","",IFERROR(INDEX('شجرة الحسابات'!$B$9:$B$208,MATCH(C167,'شجرة الحسابات'!$A$9:$A$208,0)),"⚠ حساب غير معرف"))</f>
        <v/>
      </c>
      <c r="E167" s="52"/>
      <c r="F167" s="52"/>
      <c r="G167" s="53"/>
      <c r="H167" s="53"/>
      <c r="I167" s="54" t="str">
        <f aca="false">IF(A167="",IF(M167="فارغ","","✖ بدون رقم قيد"),IF(COUNTIFS('قيود اليومية'!$A$11:$A$1010,A167,'قيود اليومية'!$M$11:$M$1010,"&lt;&gt;OK",'قيود اليومية'!$M$11:$M$1010,"&lt;&gt;فارغ")&gt;0,"✖ خطأ بالحساب",IF(ROUND(SUMIFS('قيود اليومية'!$G$11:$G$1010,'قيود اليومية'!$A$11:$A$1010,A167)-SUMIFS('قيود اليومية'!$H$11:$H$1010,'قيود اليومية'!$A$11:$A$1010,A167),2)&lt;&gt;0,"✖ غير متوازن","مرحل ✔")))</f>
        <v/>
      </c>
      <c r="J167" s="55" t="str">
        <f aca="false">IF(C167="","",IFERROR(INDEX('شجرة الحسابات'!$E$9:$E$208,MATCH(C167,'شجرة الحسابات'!$A$9:$A$208,0))&amp;"",""))</f>
        <v/>
      </c>
      <c r="K167" s="55" t="str">
        <f aca="false">IF(C167="","",IFERROR(INDEX('شجرة الحسابات'!$I$9:$I$208,MATCH(C167,'شجرة الحسابات'!$A$9:$A$208,0))&amp;"",""))</f>
        <v/>
      </c>
      <c r="L167" s="55" t="str">
        <f aca="false">IF(C167="","",IFERROR(INDEX('شجرة الحسابات'!$C$9:$C$208,MATCH(C167,'شجرة الحسابات'!$A$9:$A$208,0))&amp;"",""))</f>
        <v/>
      </c>
      <c r="M167" s="55" t="str">
        <f aca="false">IF(AND(C167="",G167="",H167=""),"فارغ",IF(ISNA(MATCH(C167,'شجرة الحسابات'!$A$9:$A$208,0)),"حساب غير معرف",IF(L167&lt;&gt;"تحليلي","حساب تجميعي",IF(AND(N(G167)&gt;0,N(H167)&gt;0),"مدين ودائن معاً",IF(N(G167)+N(H167)=0,"بدون قيمة","OK")))))</f>
        <v>فارغ</v>
      </c>
      <c r="N167" s="55" t="str">
        <f aca="false">IF(AND(E167&lt;&gt;"",E167='كشف حساب مشروع'!$C$6,I167="مرحل ✔"),COUNTIFS($E$11:E167,'كشف حساب مشروع'!$C$6,$I$11:I167,"مرحل ✔"),"")</f>
        <v/>
      </c>
      <c r="O167" s="55" t="str">
        <f aca="false">IF(AND(C167&lt;&gt;"",C167='دفتر الأستاذ'!$C$6,I167="مرحل ✔"),COUNTIFS($C$11:C167,'دفتر الأستاذ'!$C$6,$I$11:I167,"مرحل ✔"),"")</f>
        <v/>
      </c>
    </row>
    <row r="168" customFormat="false" ht="15" hidden="false" customHeight="false" outlineLevel="0" collapsed="false">
      <c r="A168" s="49"/>
      <c r="B168" s="50"/>
      <c r="C168" s="49"/>
      <c r="D168" s="51" t="str">
        <f aca="false">IF(C168="","",IFERROR(INDEX('شجرة الحسابات'!$B$9:$B$208,MATCH(C168,'شجرة الحسابات'!$A$9:$A$208,0)),"⚠ حساب غير معرف"))</f>
        <v/>
      </c>
      <c r="E168" s="52"/>
      <c r="F168" s="52"/>
      <c r="G168" s="53"/>
      <c r="H168" s="53"/>
      <c r="I168" s="54" t="str">
        <f aca="false">IF(A168="",IF(M168="فارغ","","✖ بدون رقم قيد"),IF(COUNTIFS('قيود اليومية'!$A$11:$A$1010,A168,'قيود اليومية'!$M$11:$M$1010,"&lt;&gt;OK",'قيود اليومية'!$M$11:$M$1010,"&lt;&gt;فارغ")&gt;0,"✖ خطأ بالحساب",IF(ROUND(SUMIFS('قيود اليومية'!$G$11:$G$1010,'قيود اليومية'!$A$11:$A$1010,A168)-SUMIFS('قيود اليومية'!$H$11:$H$1010,'قيود اليومية'!$A$11:$A$1010,A168),2)&lt;&gt;0,"✖ غير متوازن","مرحل ✔")))</f>
        <v/>
      </c>
      <c r="J168" s="55" t="str">
        <f aca="false">IF(C168="","",IFERROR(INDEX('شجرة الحسابات'!$E$9:$E$208,MATCH(C168,'شجرة الحسابات'!$A$9:$A$208,0))&amp;"",""))</f>
        <v/>
      </c>
      <c r="K168" s="55" t="str">
        <f aca="false">IF(C168="","",IFERROR(INDEX('شجرة الحسابات'!$I$9:$I$208,MATCH(C168,'شجرة الحسابات'!$A$9:$A$208,0))&amp;"",""))</f>
        <v/>
      </c>
      <c r="L168" s="55" t="str">
        <f aca="false">IF(C168="","",IFERROR(INDEX('شجرة الحسابات'!$C$9:$C$208,MATCH(C168,'شجرة الحسابات'!$A$9:$A$208,0))&amp;"",""))</f>
        <v/>
      </c>
      <c r="M168" s="55" t="str">
        <f aca="false">IF(AND(C168="",G168="",H168=""),"فارغ",IF(ISNA(MATCH(C168,'شجرة الحسابات'!$A$9:$A$208,0)),"حساب غير معرف",IF(L168&lt;&gt;"تحليلي","حساب تجميعي",IF(AND(N(G168)&gt;0,N(H168)&gt;0),"مدين ودائن معاً",IF(N(G168)+N(H168)=0,"بدون قيمة","OK")))))</f>
        <v>فارغ</v>
      </c>
      <c r="N168" s="55" t="str">
        <f aca="false">IF(AND(E168&lt;&gt;"",E168='كشف حساب مشروع'!$C$6,I168="مرحل ✔"),COUNTIFS($E$11:E168,'كشف حساب مشروع'!$C$6,$I$11:I168,"مرحل ✔"),"")</f>
        <v/>
      </c>
      <c r="O168" s="55" t="str">
        <f aca="false">IF(AND(C168&lt;&gt;"",C168='دفتر الأستاذ'!$C$6,I168="مرحل ✔"),COUNTIFS($C$11:C168,'دفتر الأستاذ'!$C$6,$I$11:I168,"مرحل ✔"),"")</f>
        <v/>
      </c>
    </row>
    <row r="169" customFormat="false" ht="15" hidden="false" customHeight="false" outlineLevel="0" collapsed="false">
      <c r="A169" s="49"/>
      <c r="B169" s="50"/>
      <c r="C169" s="49"/>
      <c r="D169" s="51" t="str">
        <f aca="false">IF(C169="","",IFERROR(INDEX('شجرة الحسابات'!$B$9:$B$208,MATCH(C169,'شجرة الحسابات'!$A$9:$A$208,0)),"⚠ حساب غير معرف"))</f>
        <v/>
      </c>
      <c r="E169" s="52"/>
      <c r="F169" s="52"/>
      <c r="G169" s="53"/>
      <c r="H169" s="53"/>
      <c r="I169" s="54" t="str">
        <f aca="false">IF(A169="",IF(M169="فارغ","","✖ بدون رقم قيد"),IF(COUNTIFS('قيود اليومية'!$A$11:$A$1010,A169,'قيود اليومية'!$M$11:$M$1010,"&lt;&gt;OK",'قيود اليومية'!$M$11:$M$1010,"&lt;&gt;فارغ")&gt;0,"✖ خطأ بالحساب",IF(ROUND(SUMIFS('قيود اليومية'!$G$11:$G$1010,'قيود اليومية'!$A$11:$A$1010,A169)-SUMIFS('قيود اليومية'!$H$11:$H$1010,'قيود اليومية'!$A$11:$A$1010,A169),2)&lt;&gt;0,"✖ غير متوازن","مرحل ✔")))</f>
        <v/>
      </c>
      <c r="J169" s="55" t="str">
        <f aca="false">IF(C169="","",IFERROR(INDEX('شجرة الحسابات'!$E$9:$E$208,MATCH(C169,'شجرة الحسابات'!$A$9:$A$208,0))&amp;"",""))</f>
        <v/>
      </c>
      <c r="K169" s="55" t="str">
        <f aca="false">IF(C169="","",IFERROR(INDEX('شجرة الحسابات'!$I$9:$I$208,MATCH(C169,'شجرة الحسابات'!$A$9:$A$208,0))&amp;"",""))</f>
        <v/>
      </c>
      <c r="L169" s="55" t="str">
        <f aca="false">IF(C169="","",IFERROR(INDEX('شجرة الحسابات'!$C$9:$C$208,MATCH(C169,'شجرة الحسابات'!$A$9:$A$208,0))&amp;"",""))</f>
        <v/>
      </c>
      <c r="M169" s="55" t="str">
        <f aca="false">IF(AND(C169="",G169="",H169=""),"فارغ",IF(ISNA(MATCH(C169,'شجرة الحسابات'!$A$9:$A$208,0)),"حساب غير معرف",IF(L169&lt;&gt;"تحليلي","حساب تجميعي",IF(AND(N(G169)&gt;0,N(H169)&gt;0),"مدين ودائن معاً",IF(N(G169)+N(H169)=0,"بدون قيمة","OK")))))</f>
        <v>فارغ</v>
      </c>
      <c r="N169" s="55" t="str">
        <f aca="false">IF(AND(E169&lt;&gt;"",E169='كشف حساب مشروع'!$C$6,I169="مرحل ✔"),COUNTIFS($E$11:E169,'كشف حساب مشروع'!$C$6,$I$11:I169,"مرحل ✔"),"")</f>
        <v/>
      </c>
      <c r="O169" s="55" t="str">
        <f aca="false">IF(AND(C169&lt;&gt;"",C169='دفتر الأستاذ'!$C$6,I169="مرحل ✔"),COUNTIFS($C$11:C169,'دفتر الأستاذ'!$C$6,$I$11:I169,"مرحل ✔"),"")</f>
        <v/>
      </c>
    </row>
    <row r="170" customFormat="false" ht="15" hidden="false" customHeight="false" outlineLevel="0" collapsed="false">
      <c r="A170" s="49"/>
      <c r="B170" s="50"/>
      <c r="C170" s="49"/>
      <c r="D170" s="51" t="str">
        <f aca="false">IF(C170="","",IFERROR(INDEX('شجرة الحسابات'!$B$9:$B$208,MATCH(C170,'شجرة الحسابات'!$A$9:$A$208,0)),"⚠ حساب غير معرف"))</f>
        <v/>
      </c>
      <c r="E170" s="52"/>
      <c r="F170" s="52"/>
      <c r="G170" s="53"/>
      <c r="H170" s="53"/>
      <c r="I170" s="54" t="str">
        <f aca="false">IF(A170="",IF(M170="فارغ","","✖ بدون رقم قيد"),IF(COUNTIFS('قيود اليومية'!$A$11:$A$1010,A170,'قيود اليومية'!$M$11:$M$1010,"&lt;&gt;OK",'قيود اليومية'!$M$11:$M$1010,"&lt;&gt;فارغ")&gt;0,"✖ خطأ بالحساب",IF(ROUND(SUMIFS('قيود اليومية'!$G$11:$G$1010,'قيود اليومية'!$A$11:$A$1010,A170)-SUMIFS('قيود اليومية'!$H$11:$H$1010,'قيود اليومية'!$A$11:$A$1010,A170),2)&lt;&gt;0,"✖ غير متوازن","مرحل ✔")))</f>
        <v/>
      </c>
      <c r="J170" s="55" t="str">
        <f aca="false">IF(C170="","",IFERROR(INDEX('شجرة الحسابات'!$E$9:$E$208,MATCH(C170,'شجرة الحسابات'!$A$9:$A$208,0))&amp;"",""))</f>
        <v/>
      </c>
      <c r="K170" s="55" t="str">
        <f aca="false">IF(C170="","",IFERROR(INDEX('شجرة الحسابات'!$I$9:$I$208,MATCH(C170,'شجرة الحسابات'!$A$9:$A$208,0))&amp;"",""))</f>
        <v/>
      </c>
      <c r="L170" s="55" t="str">
        <f aca="false">IF(C170="","",IFERROR(INDEX('شجرة الحسابات'!$C$9:$C$208,MATCH(C170,'شجرة الحسابات'!$A$9:$A$208,0))&amp;"",""))</f>
        <v/>
      </c>
      <c r="M170" s="55" t="str">
        <f aca="false">IF(AND(C170="",G170="",H170=""),"فارغ",IF(ISNA(MATCH(C170,'شجرة الحسابات'!$A$9:$A$208,0)),"حساب غير معرف",IF(L170&lt;&gt;"تحليلي","حساب تجميعي",IF(AND(N(G170)&gt;0,N(H170)&gt;0),"مدين ودائن معاً",IF(N(G170)+N(H170)=0,"بدون قيمة","OK")))))</f>
        <v>فارغ</v>
      </c>
      <c r="N170" s="55" t="str">
        <f aca="false">IF(AND(E170&lt;&gt;"",E170='كشف حساب مشروع'!$C$6,I170="مرحل ✔"),COUNTIFS($E$11:E170,'كشف حساب مشروع'!$C$6,$I$11:I170,"مرحل ✔"),"")</f>
        <v/>
      </c>
      <c r="O170" s="55" t="str">
        <f aca="false">IF(AND(C170&lt;&gt;"",C170='دفتر الأستاذ'!$C$6,I170="مرحل ✔"),COUNTIFS($C$11:C170,'دفتر الأستاذ'!$C$6,$I$11:I170,"مرحل ✔"),"")</f>
        <v/>
      </c>
    </row>
    <row r="171" customFormat="false" ht="15" hidden="false" customHeight="false" outlineLevel="0" collapsed="false">
      <c r="A171" s="49"/>
      <c r="B171" s="50"/>
      <c r="C171" s="49"/>
      <c r="D171" s="51" t="str">
        <f aca="false">IF(C171="","",IFERROR(INDEX('شجرة الحسابات'!$B$9:$B$208,MATCH(C171,'شجرة الحسابات'!$A$9:$A$208,0)),"⚠ حساب غير معرف"))</f>
        <v/>
      </c>
      <c r="E171" s="52"/>
      <c r="F171" s="52"/>
      <c r="G171" s="53"/>
      <c r="H171" s="53"/>
      <c r="I171" s="54" t="str">
        <f aca="false">IF(A171="",IF(M171="فارغ","","✖ بدون رقم قيد"),IF(COUNTIFS('قيود اليومية'!$A$11:$A$1010,A171,'قيود اليومية'!$M$11:$M$1010,"&lt;&gt;OK",'قيود اليومية'!$M$11:$M$1010,"&lt;&gt;فارغ")&gt;0,"✖ خطأ بالحساب",IF(ROUND(SUMIFS('قيود اليومية'!$G$11:$G$1010,'قيود اليومية'!$A$11:$A$1010,A171)-SUMIFS('قيود اليومية'!$H$11:$H$1010,'قيود اليومية'!$A$11:$A$1010,A171),2)&lt;&gt;0,"✖ غير متوازن","مرحل ✔")))</f>
        <v/>
      </c>
      <c r="J171" s="55" t="str">
        <f aca="false">IF(C171="","",IFERROR(INDEX('شجرة الحسابات'!$E$9:$E$208,MATCH(C171,'شجرة الحسابات'!$A$9:$A$208,0))&amp;"",""))</f>
        <v/>
      </c>
      <c r="K171" s="55" t="str">
        <f aca="false">IF(C171="","",IFERROR(INDEX('شجرة الحسابات'!$I$9:$I$208,MATCH(C171,'شجرة الحسابات'!$A$9:$A$208,0))&amp;"",""))</f>
        <v/>
      </c>
      <c r="L171" s="55" t="str">
        <f aca="false">IF(C171="","",IFERROR(INDEX('شجرة الحسابات'!$C$9:$C$208,MATCH(C171,'شجرة الحسابات'!$A$9:$A$208,0))&amp;"",""))</f>
        <v/>
      </c>
      <c r="M171" s="55" t="str">
        <f aca="false">IF(AND(C171="",G171="",H171=""),"فارغ",IF(ISNA(MATCH(C171,'شجرة الحسابات'!$A$9:$A$208,0)),"حساب غير معرف",IF(L171&lt;&gt;"تحليلي","حساب تجميعي",IF(AND(N(G171)&gt;0,N(H171)&gt;0),"مدين ودائن معاً",IF(N(G171)+N(H171)=0,"بدون قيمة","OK")))))</f>
        <v>فارغ</v>
      </c>
      <c r="N171" s="55" t="str">
        <f aca="false">IF(AND(E171&lt;&gt;"",E171='كشف حساب مشروع'!$C$6,I171="مرحل ✔"),COUNTIFS($E$11:E171,'كشف حساب مشروع'!$C$6,$I$11:I171,"مرحل ✔"),"")</f>
        <v/>
      </c>
      <c r="O171" s="55" t="str">
        <f aca="false">IF(AND(C171&lt;&gt;"",C171='دفتر الأستاذ'!$C$6,I171="مرحل ✔"),COUNTIFS($C$11:C171,'دفتر الأستاذ'!$C$6,$I$11:I171,"مرحل ✔"),"")</f>
        <v/>
      </c>
    </row>
    <row r="172" customFormat="false" ht="15" hidden="false" customHeight="false" outlineLevel="0" collapsed="false">
      <c r="A172" s="49"/>
      <c r="B172" s="50"/>
      <c r="C172" s="49"/>
      <c r="D172" s="51" t="str">
        <f aca="false">IF(C172="","",IFERROR(INDEX('شجرة الحسابات'!$B$9:$B$208,MATCH(C172,'شجرة الحسابات'!$A$9:$A$208,0)),"⚠ حساب غير معرف"))</f>
        <v/>
      </c>
      <c r="E172" s="52"/>
      <c r="F172" s="52"/>
      <c r="G172" s="53"/>
      <c r="H172" s="53"/>
      <c r="I172" s="54" t="str">
        <f aca="false">IF(A172="",IF(M172="فارغ","","✖ بدون رقم قيد"),IF(COUNTIFS('قيود اليومية'!$A$11:$A$1010,A172,'قيود اليومية'!$M$11:$M$1010,"&lt;&gt;OK",'قيود اليومية'!$M$11:$M$1010,"&lt;&gt;فارغ")&gt;0,"✖ خطأ بالحساب",IF(ROUND(SUMIFS('قيود اليومية'!$G$11:$G$1010,'قيود اليومية'!$A$11:$A$1010,A172)-SUMIFS('قيود اليومية'!$H$11:$H$1010,'قيود اليومية'!$A$11:$A$1010,A172),2)&lt;&gt;0,"✖ غير متوازن","مرحل ✔")))</f>
        <v/>
      </c>
      <c r="J172" s="55" t="str">
        <f aca="false">IF(C172="","",IFERROR(INDEX('شجرة الحسابات'!$E$9:$E$208,MATCH(C172,'شجرة الحسابات'!$A$9:$A$208,0))&amp;"",""))</f>
        <v/>
      </c>
      <c r="K172" s="55" t="str">
        <f aca="false">IF(C172="","",IFERROR(INDEX('شجرة الحسابات'!$I$9:$I$208,MATCH(C172,'شجرة الحسابات'!$A$9:$A$208,0))&amp;"",""))</f>
        <v/>
      </c>
      <c r="L172" s="55" t="str">
        <f aca="false">IF(C172="","",IFERROR(INDEX('شجرة الحسابات'!$C$9:$C$208,MATCH(C172,'شجرة الحسابات'!$A$9:$A$208,0))&amp;"",""))</f>
        <v/>
      </c>
      <c r="M172" s="55" t="str">
        <f aca="false">IF(AND(C172="",G172="",H172=""),"فارغ",IF(ISNA(MATCH(C172,'شجرة الحسابات'!$A$9:$A$208,0)),"حساب غير معرف",IF(L172&lt;&gt;"تحليلي","حساب تجميعي",IF(AND(N(G172)&gt;0,N(H172)&gt;0),"مدين ودائن معاً",IF(N(G172)+N(H172)=0,"بدون قيمة","OK")))))</f>
        <v>فارغ</v>
      </c>
      <c r="N172" s="55" t="str">
        <f aca="false">IF(AND(E172&lt;&gt;"",E172='كشف حساب مشروع'!$C$6,I172="مرحل ✔"),COUNTIFS($E$11:E172,'كشف حساب مشروع'!$C$6,$I$11:I172,"مرحل ✔"),"")</f>
        <v/>
      </c>
      <c r="O172" s="55" t="str">
        <f aca="false">IF(AND(C172&lt;&gt;"",C172='دفتر الأستاذ'!$C$6,I172="مرحل ✔"),COUNTIFS($C$11:C172,'دفتر الأستاذ'!$C$6,$I$11:I172,"مرحل ✔"),"")</f>
        <v/>
      </c>
    </row>
    <row r="173" customFormat="false" ht="15" hidden="false" customHeight="false" outlineLevel="0" collapsed="false">
      <c r="A173" s="49"/>
      <c r="B173" s="50"/>
      <c r="C173" s="49"/>
      <c r="D173" s="51" t="str">
        <f aca="false">IF(C173="","",IFERROR(INDEX('شجرة الحسابات'!$B$9:$B$208,MATCH(C173,'شجرة الحسابات'!$A$9:$A$208,0)),"⚠ حساب غير معرف"))</f>
        <v/>
      </c>
      <c r="E173" s="52"/>
      <c r="F173" s="52"/>
      <c r="G173" s="53"/>
      <c r="H173" s="53"/>
      <c r="I173" s="54" t="str">
        <f aca="false">IF(A173="",IF(M173="فارغ","","✖ بدون رقم قيد"),IF(COUNTIFS('قيود اليومية'!$A$11:$A$1010,A173,'قيود اليومية'!$M$11:$M$1010,"&lt;&gt;OK",'قيود اليومية'!$M$11:$M$1010,"&lt;&gt;فارغ")&gt;0,"✖ خطأ بالحساب",IF(ROUND(SUMIFS('قيود اليومية'!$G$11:$G$1010,'قيود اليومية'!$A$11:$A$1010,A173)-SUMIFS('قيود اليومية'!$H$11:$H$1010,'قيود اليومية'!$A$11:$A$1010,A173),2)&lt;&gt;0,"✖ غير متوازن","مرحل ✔")))</f>
        <v/>
      </c>
      <c r="J173" s="55" t="str">
        <f aca="false">IF(C173="","",IFERROR(INDEX('شجرة الحسابات'!$E$9:$E$208,MATCH(C173,'شجرة الحسابات'!$A$9:$A$208,0))&amp;"",""))</f>
        <v/>
      </c>
      <c r="K173" s="55" t="str">
        <f aca="false">IF(C173="","",IFERROR(INDEX('شجرة الحسابات'!$I$9:$I$208,MATCH(C173,'شجرة الحسابات'!$A$9:$A$208,0))&amp;"",""))</f>
        <v/>
      </c>
      <c r="L173" s="55" t="str">
        <f aca="false">IF(C173="","",IFERROR(INDEX('شجرة الحسابات'!$C$9:$C$208,MATCH(C173,'شجرة الحسابات'!$A$9:$A$208,0))&amp;"",""))</f>
        <v/>
      </c>
      <c r="M173" s="55" t="str">
        <f aca="false">IF(AND(C173="",G173="",H173=""),"فارغ",IF(ISNA(MATCH(C173,'شجرة الحسابات'!$A$9:$A$208,0)),"حساب غير معرف",IF(L173&lt;&gt;"تحليلي","حساب تجميعي",IF(AND(N(G173)&gt;0,N(H173)&gt;0),"مدين ودائن معاً",IF(N(G173)+N(H173)=0,"بدون قيمة","OK")))))</f>
        <v>فارغ</v>
      </c>
      <c r="N173" s="55" t="str">
        <f aca="false">IF(AND(E173&lt;&gt;"",E173='كشف حساب مشروع'!$C$6,I173="مرحل ✔"),COUNTIFS($E$11:E173,'كشف حساب مشروع'!$C$6,$I$11:I173,"مرحل ✔"),"")</f>
        <v/>
      </c>
      <c r="O173" s="55" t="str">
        <f aca="false">IF(AND(C173&lt;&gt;"",C173='دفتر الأستاذ'!$C$6,I173="مرحل ✔"),COUNTIFS($C$11:C173,'دفتر الأستاذ'!$C$6,$I$11:I173,"مرحل ✔"),"")</f>
        <v/>
      </c>
    </row>
    <row r="174" customFormat="false" ht="15" hidden="false" customHeight="false" outlineLevel="0" collapsed="false">
      <c r="A174" s="49"/>
      <c r="B174" s="50"/>
      <c r="C174" s="49"/>
      <c r="D174" s="51" t="str">
        <f aca="false">IF(C174="","",IFERROR(INDEX('شجرة الحسابات'!$B$9:$B$208,MATCH(C174,'شجرة الحسابات'!$A$9:$A$208,0)),"⚠ حساب غير معرف"))</f>
        <v/>
      </c>
      <c r="E174" s="52"/>
      <c r="F174" s="52"/>
      <c r="G174" s="53"/>
      <c r="H174" s="53"/>
      <c r="I174" s="54" t="str">
        <f aca="false">IF(A174="",IF(M174="فارغ","","✖ بدون رقم قيد"),IF(COUNTIFS('قيود اليومية'!$A$11:$A$1010,A174,'قيود اليومية'!$M$11:$M$1010,"&lt;&gt;OK",'قيود اليومية'!$M$11:$M$1010,"&lt;&gt;فارغ")&gt;0,"✖ خطأ بالحساب",IF(ROUND(SUMIFS('قيود اليومية'!$G$11:$G$1010,'قيود اليومية'!$A$11:$A$1010,A174)-SUMIFS('قيود اليومية'!$H$11:$H$1010,'قيود اليومية'!$A$11:$A$1010,A174),2)&lt;&gt;0,"✖ غير متوازن","مرحل ✔")))</f>
        <v/>
      </c>
      <c r="J174" s="55" t="str">
        <f aca="false">IF(C174="","",IFERROR(INDEX('شجرة الحسابات'!$E$9:$E$208,MATCH(C174,'شجرة الحسابات'!$A$9:$A$208,0))&amp;"",""))</f>
        <v/>
      </c>
      <c r="K174" s="55" t="str">
        <f aca="false">IF(C174="","",IFERROR(INDEX('شجرة الحسابات'!$I$9:$I$208,MATCH(C174,'شجرة الحسابات'!$A$9:$A$208,0))&amp;"",""))</f>
        <v/>
      </c>
      <c r="L174" s="55" t="str">
        <f aca="false">IF(C174="","",IFERROR(INDEX('شجرة الحسابات'!$C$9:$C$208,MATCH(C174,'شجرة الحسابات'!$A$9:$A$208,0))&amp;"",""))</f>
        <v/>
      </c>
      <c r="M174" s="55" t="str">
        <f aca="false">IF(AND(C174="",G174="",H174=""),"فارغ",IF(ISNA(MATCH(C174,'شجرة الحسابات'!$A$9:$A$208,0)),"حساب غير معرف",IF(L174&lt;&gt;"تحليلي","حساب تجميعي",IF(AND(N(G174)&gt;0,N(H174)&gt;0),"مدين ودائن معاً",IF(N(G174)+N(H174)=0,"بدون قيمة","OK")))))</f>
        <v>فارغ</v>
      </c>
      <c r="N174" s="55" t="str">
        <f aca="false">IF(AND(E174&lt;&gt;"",E174='كشف حساب مشروع'!$C$6,I174="مرحل ✔"),COUNTIFS($E$11:E174,'كشف حساب مشروع'!$C$6,$I$11:I174,"مرحل ✔"),"")</f>
        <v/>
      </c>
      <c r="O174" s="55" t="str">
        <f aca="false">IF(AND(C174&lt;&gt;"",C174='دفتر الأستاذ'!$C$6,I174="مرحل ✔"),COUNTIFS($C$11:C174,'دفتر الأستاذ'!$C$6,$I$11:I174,"مرحل ✔"),"")</f>
        <v/>
      </c>
    </row>
    <row r="175" customFormat="false" ht="15" hidden="false" customHeight="false" outlineLevel="0" collapsed="false">
      <c r="A175" s="49"/>
      <c r="B175" s="50"/>
      <c r="C175" s="49"/>
      <c r="D175" s="51" t="str">
        <f aca="false">IF(C175="","",IFERROR(INDEX('شجرة الحسابات'!$B$9:$B$208,MATCH(C175,'شجرة الحسابات'!$A$9:$A$208,0)),"⚠ حساب غير معرف"))</f>
        <v/>
      </c>
      <c r="E175" s="52"/>
      <c r="F175" s="52"/>
      <c r="G175" s="53"/>
      <c r="H175" s="53"/>
      <c r="I175" s="54" t="str">
        <f aca="false">IF(A175="",IF(M175="فارغ","","✖ بدون رقم قيد"),IF(COUNTIFS('قيود اليومية'!$A$11:$A$1010,A175,'قيود اليومية'!$M$11:$M$1010,"&lt;&gt;OK",'قيود اليومية'!$M$11:$M$1010,"&lt;&gt;فارغ")&gt;0,"✖ خطأ بالحساب",IF(ROUND(SUMIFS('قيود اليومية'!$G$11:$G$1010,'قيود اليومية'!$A$11:$A$1010,A175)-SUMIFS('قيود اليومية'!$H$11:$H$1010,'قيود اليومية'!$A$11:$A$1010,A175),2)&lt;&gt;0,"✖ غير متوازن","مرحل ✔")))</f>
        <v/>
      </c>
      <c r="J175" s="55" t="str">
        <f aca="false">IF(C175="","",IFERROR(INDEX('شجرة الحسابات'!$E$9:$E$208,MATCH(C175,'شجرة الحسابات'!$A$9:$A$208,0))&amp;"",""))</f>
        <v/>
      </c>
      <c r="K175" s="55" t="str">
        <f aca="false">IF(C175="","",IFERROR(INDEX('شجرة الحسابات'!$I$9:$I$208,MATCH(C175,'شجرة الحسابات'!$A$9:$A$208,0))&amp;"",""))</f>
        <v/>
      </c>
      <c r="L175" s="55" t="str">
        <f aca="false">IF(C175="","",IFERROR(INDEX('شجرة الحسابات'!$C$9:$C$208,MATCH(C175,'شجرة الحسابات'!$A$9:$A$208,0))&amp;"",""))</f>
        <v/>
      </c>
      <c r="M175" s="55" t="str">
        <f aca="false">IF(AND(C175="",G175="",H175=""),"فارغ",IF(ISNA(MATCH(C175,'شجرة الحسابات'!$A$9:$A$208,0)),"حساب غير معرف",IF(L175&lt;&gt;"تحليلي","حساب تجميعي",IF(AND(N(G175)&gt;0,N(H175)&gt;0),"مدين ودائن معاً",IF(N(G175)+N(H175)=0,"بدون قيمة","OK")))))</f>
        <v>فارغ</v>
      </c>
      <c r="N175" s="55" t="str">
        <f aca="false">IF(AND(E175&lt;&gt;"",E175='كشف حساب مشروع'!$C$6,I175="مرحل ✔"),COUNTIFS($E$11:E175,'كشف حساب مشروع'!$C$6,$I$11:I175,"مرحل ✔"),"")</f>
        <v/>
      </c>
      <c r="O175" s="55" t="str">
        <f aca="false">IF(AND(C175&lt;&gt;"",C175='دفتر الأستاذ'!$C$6,I175="مرحل ✔"),COUNTIFS($C$11:C175,'دفتر الأستاذ'!$C$6,$I$11:I175,"مرحل ✔"),"")</f>
        <v/>
      </c>
    </row>
    <row r="176" customFormat="false" ht="15" hidden="false" customHeight="false" outlineLevel="0" collapsed="false">
      <c r="A176" s="49"/>
      <c r="B176" s="50"/>
      <c r="C176" s="49"/>
      <c r="D176" s="51" t="str">
        <f aca="false">IF(C176="","",IFERROR(INDEX('شجرة الحسابات'!$B$9:$B$208,MATCH(C176,'شجرة الحسابات'!$A$9:$A$208,0)),"⚠ حساب غير معرف"))</f>
        <v/>
      </c>
      <c r="E176" s="52"/>
      <c r="F176" s="52"/>
      <c r="G176" s="53"/>
      <c r="H176" s="53"/>
      <c r="I176" s="54" t="str">
        <f aca="false">IF(A176="",IF(M176="فارغ","","✖ بدون رقم قيد"),IF(COUNTIFS('قيود اليومية'!$A$11:$A$1010,A176,'قيود اليومية'!$M$11:$M$1010,"&lt;&gt;OK",'قيود اليومية'!$M$11:$M$1010,"&lt;&gt;فارغ")&gt;0,"✖ خطأ بالحساب",IF(ROUND(SUMIFS('قيود اليومية'!$G$11:$G$1010,'قيود اليومية'!$A$11:$A$1010,A176)-SUMIFS('قيود اليومية'!$H$11:$H$1010,'قيود اليومية'!$A$11:$A$1010,A176),2)&lt;&gt;0,"✖ غير متوازن","مرحل ✔")))</f>
        <v/>
      </c>
      <c r="J176" s="55" t="str">
        <f aca="false">IF(C176="","",IFERROR(INDEX('شجرة الحسابات'!$E$9:$E$208,MATCH(C176,'شجرة الحسابات'!$A$9:$A$208,0))&amp;"",""))</f>
        <v/>
      </c>
      <c r="K176" s="55" t="str">
        <f aca="false">IF(C176="","",IFERROR(INDEX('شجرة الحسابات'!$I$9:$I$208,MATCH(C176,'شجرة الحسابات'!$A$9:$A$208,0))&amp;"",""))</f>
        <v/>
      </c>
      <c r="L176" s="55" t="str">
        <f aca="false">IF(C176="","",IFERROR(INDEX('شجرة الحسابات'!$C$9:$C$208,MATCH(C176,'شجرة الحسابات'!$A$9:$A$208,0))&amp;"",""))</f>
        <v/>
      </c>
      <c r="M176" s="55" t="str">
        <f aca="false">IF(AND(C176="",G176="",H176=""),"فارغ",IF(ISNA(MATCH(C176,'شجرة الحسابات'!$A$9:$A$208,0)),"حساب غير معرف",IF(L176&lt;&gt;"تحليلي","حساب تجميعي",IF(AND(N(G176)&gt;0,N(H176)&gt;0),"مدين ودائن معاً",IF(N(G176)+N(H176)=0,"بدون قيمة","OK")))))</f>
        <v>فارغ</v>
      </c>
      <c r="N176" s="55" t="str">
        <f aca="false">IF(AND(E176&lt;&gt;"",E176='كشف حساب مشروع'!$C$6,I176="مرحل ✔"),COUNTIFS($E$11:E176,'كشف حساب مشروع'!$C$6,$I$11:I176,"مرحل ✔"),"")</f>
        <v/>
      </c>
      <c r="O176" s="55" t="str">
        <f aca="false">IF(AND(C176&lt;&gt;"",C176='دفتر الأستاذ'!$C$6,I176="مرحل ✔"),COUNTIFS($C$11:C176,'دفتر الأستاذ'!$C$6,$I$11:I176,"مرحل ✔"),"")</f>
        <v/>
      </c>
    </row>
    <row r="177" customFormat="false" ht="15" hidden="false" customHeight="false" outlineLevel="0" collapsed="false">
      <c r="A177" s="49"/>
      <c r="B177" s="50"/>
      <c r="C177" s="49"/>
      <c r="D177" s="51" t="str">
        <f aca="false">IF(C177="","",IFERROR(INDEX('شجرة الحسابات'!$B$9:$B$208,MATCH(C177,'شجرة الحسابات'!$A$9:$A$208,0)),"⚠ حساب غير معرف"))</f>
        <v/>
      </c>
      <c r="E177" s="52"/>
      <c r="F177" s="52"/>
      <c r="G177" s="53"/>
      <c r="H177" s="53"/>
      <c r="I177" s="54" t="str">
        <f aca="false">IF(A177="",IF(M177="فارغ","","✖ بدون رقم قيد"),IF(COUNTIFS('قيود اليومية'!$A$11:$A$1010,A177,'قيود اليومية'!$M$11:$M$1010,"&lt;&gt;OK",'قيود اليومية'!$M$11:$M$1010,"&lt;&gt;فارغ")&gt;0,"✖ خطأ بالحساب",IF(ROUND(SUMIFS('قيود اليومية'!$G$11:$G$1010,'قيود اليومية'!$A$11:$A$1010,A177)-SUMIFS('قيود اليومية'!$H$11:$H$1010,'قيود اليومية'!$A$11:$A$1010,A177),2)&lt;&gt;0,"✖ غير متوازن","مرحل ✔")))</f>
        <v/>
      </c>
      <c r="J177" s="55" t="str">
        <f aca="false">IF(C177="","",IFERROR(INDEX('شجرة الحسابات'!$E$9:$E$208,MATCH(C177,'شجرة الحسابات'!$A$9:$A$208,0))&amp;"",""))</f>
        <v/>
      </c>
      <c r="K177" s="55" t="str">
        <f aca="false">IF(C177="","",IFERROR(INDEX('شجرة الحسابات'!$I$9:$I$208,MATCH(C177,'شجرة الحسابات'!$A$9:$A$208,0))&amp;"",""))</f>
        <v/>
      </c>
      <c r="L177" s="55" t="str">
        <f aca="false">IF(C177="","",IFERROR(INDEX('شجرة الحسابات'!$C$9:$C$208,MATCH(C177,'شجرة الحسابات'!$A$9:$A$208,0))&amp;"",""))</f>
        <v/>
      </c>
      <c r="M177" s="55" t="str">
        <f aca="false">IF(AND(C177="",G177="",H177=""),"فارغ",IF(ISNA(MATCH(C177,'شجرة الحسابات'!$A$9:$A$208,0)),"حساب غير معرف",IF(L177&lt;&gt;"تحليلي","حساب تجميعي",IF(AND(N(G177)&gt;0,N(H177)&gt;0),"مدين ودائن معاً",IF(N(G177)+N(H177)=0,"بدون قيمة","OK")))))</f>
        <v>فارغ</v>
      </c>
      <c r="N177" s="55" t="str">
        <f aca="false">IF(AND(E177&lt;&gt;"",E177='كشف حساب مشروع'!$C$6,I177="مرحل ✔"),COUNTIFS($E$11:E177,'كشف حساب مشروع'!$C$6,$I$11:I177,"مرحل ✔"),"")</f>
        <v/>
      </c>
      <c r="O177" s="55" t="str">
        <f aca="false">IF(AND(C177&lt;&gt;"",C177='دفتر الأستاذ'!$C$6,I177="مرحل ✔"),COUNTIFS($C$11:C177,'دفتر الأستاذ'!$C$6,$I$11:I177,"مرحل ✔"),"")</f>
        <v/>
      </c>
    </row>
    <row r="178" customFormat="false" ht="15" hidden="false" customHeight="false" outlineLevel="0" collapsed="false">
      <c r="A178" s="49"/>
      <c r="B178" s="50"/>
      <c r="C178" s="49"/>
      <c r="D178" s="51" t="str">
        <f aca="false">IF(C178="","",IFERROR(INDEX('شجرة الحسابات'!$B$9:$B$208,MATCH(C178,'شجرة الحسابات'!$A$9:$A$208,0)),"⚠ حساب غير معرف"))</f>
        <v/>
      </c>
      <c r="E178" s="52"/>
      <c r="F178" s="52"/>
      <c r="G178" s="53"/>
      <c r="H178" s="53"/>
      <c r="I178" s="54" t="str">
        <f aca="false">IF(A178="",IF(M178="فارغ","","✖ بدون رقم قيد"),IF(COUNTIFS('قيود اليومية'!$A$11:$A$1010,A178,'قيود اليومية'!$M$11:$M$1010,"&lt;&gt;OK",'قيود اليومية'!$M$11:$M$1010,"&lt;&gt;فارغ")&gt;0,"✖ خطأ بالحساب",IF(ROUND(SUMIFS('قيود اليومية'!$G$11:$G$1010,'قيود اليومية'!$A$11:$A$1010,A178)-SUMIFS('قيود اليومية'!$H$11:$H$1010,'قيود اليومية'!$A$11:$A$1010,A178),2)&lt;&gt;0,"✖ غير متوازن","مرحل ✔")))</f>
        <v/>
      </c>
      <c r="J178" s="55" t="str">
        <f aca="false">IF(C178="","",IFERROR(INDEX('شجرة الحسابات'!$E$9:$E$208,MATCH(C178,'شجرة الحسابات'!$A$9:$A$208,0))&amp;"",""))</f>
        <v/>
      </c>
      <c r="K178" s="55" t="str">
        <f aca="false">IF(C178="","",IFERROR(INDEX('شجرة الحسابات'!$I$9:$I$208,MATCH(C178,'شجرة الحسابات'!$A$9:$A$208,0))&amp;"",""))</f>
        <v/>
      </c>
      <c r="L178" s="55" t="str">
        <f aca="false">IF(C178="","",IFERROR(INDEX('شجرة الحسابات'!$C$9:$C$208,MATCH(C178,'شجرة الحسابات'!$A$9:$A$208,0))&amp;"",""))</f>
        <v/>
      </c>
      <c r="M178" s="55" t="str">
        <f aca="false">IF(AND(C178="",G178="",H178=""),"فارغ",IF(ISNA(MATCH(C178,'شجرة الحسابات'!$A$9:$A$208,0)),"حساب غير معرف",IF(L178&lt;&gt;"تحليلي","حساب تجميعي",IF(AND(N(G178)&gt;0,N(H178)&gt;0),"مدين ودائن معاً",IF(N(G178)+N(H178)=0,"بدون قيمة","OK")))))</f>
        <v>فارغ</v>
      </c>
      <c r="N178" s="55" t="str">
        <f aca="false">IF(AND(E178&lt;&gt;"",E178='كشف حساب مشروع'!$C$6,I178="مرحل ✔"),COUNTIFS($E$11:E178,'كشف حساب مشروع'!$C$6,$I$11:I178,"مرحل ✔"),"")</f>
        <v/>
      </c>
      <c r="O178" s="55" t="str">
        <f aca="false">IF(AND(C178&lt;&gt;"",C178='دفتر الأستاذ'!$C$6,I178="مرحل ✔"),COUNTIFS($C$11:C178,'دفتر الأستاذ'!$C$6,$I$11:I178,"مرحل ✔"),"")</f>
        <v/>
      </c>
    </row>
    <row r="179" customFormat="false" ht="15" hidden="false" customHeight="false" outlineLevel="0" collapsed="false">
      <c r="A179" s="49"/>
      <c r="B179" s="50"/>
      <c r="C179" s="49"/>
      <c r="D179" s="51" t="str">
        <f aca="false">IF(C179="","",IFERROR(INDEX('شجرة الحسابات'!$B$9:$B$208,MATCH(C179,'شجرة الحسابات'!$A$9:$A$208,0)),"⚠ حساب غير معرف"))</f>
        <v/>
      </c>
      <c r="E179" s="52"/>
      <c r="F179" s="52"/>
      <c r="G179" s="53"/>
      <c r="H179" s="53"/>
      <c r="I179" s="54" t="str">
        <f aca="false">IF(A179="",IF(M179="فارغ","","✖ بدون رقم قيد"),IF(COUNTIFS('قيود اليومية'!$A$11:$A$1010,A179,'قيود اليومية'!$M$11:$M$1010,"&lt;&gt;OK",'قيود اليومية'!$M$11:$M$1010,"&lt;&gt;فارغ")&gt;0,"✖ خطأ بالحساب",IF(ROUND(SUMIFS('قيود اليومية'!$G$11:$G$1010,'قيود اليومية'!$A$11:$A$1010,A179)-SUMIFS('قيود اليومية'!$H$11:$H$1010,'قيود اليومية'!$A$11:$A$1010,A179),2)&lt;&gt;0,"✖ غير متوازن","مرحل ✔")))</f>
        <v/>
      </c>
      <c r="J179" s="55" t="str">
        <f aca="false">IF(C179="","",IFERROR(INDEX('شجرة الحسابات'!$E$9:$E$208,MATCH(C179,'شجرة الحسابات'!$A$9:$A$208,0))&amp;"",""))</f>
        <v/>
      </c>
      <c r="K179" s="55" t="str">
        <f aca="false">IF(C179="","",IFERROR(INDEX('شجرة الحسابات'!$I$9:$I$208,MATCH(C179,'شجرة الحسابات'!$A$9:$A$208,0))&amp;"",""))</f>
        <v/>
      </c>
      <c r="L179" s="55" t="str">
        <f aca="false">IF(C179="","",IFERROR(INDEX('شجرة الحسابات'!$C$9:$C$208,MATCH(C179,'شجرة الحسابات'!$A$9:$A$208,0))&amp;"",""))</f>
        <v/>
      </c>
      <c r="M179" s="55" t="str">
        <f aca="false">IF(AND(C179="",G179="",H179=""),"فارغ",IF(ISNA(MATCH(C179,'شجرة الحسابات'!$A$9:$A$208,0)),"حساب غير معرف",IF(L179&lt;&gt;"تحليلي","حساب تجميعي",IF(AND(N(G179)&gt;0,N(H179)&gt;0),"مدين ودائن معاً",IF(N(G179)+N(H179)=0,"بدون قيمة","OK")))))</f>
        <v>فارغ</v>
      </c>
      <c r="N179" s="55" t="str">
        <f aca="false">IF(AND(E179&lt;&gt;"",E179='كشف حساب مشروع'!$C$6,I179="مرحل ✔"),COUNTIFS($E$11:E179,'كشف حساب مشروع'!$C$6,$I$11:I179,"مرحل ✔"),"")</f>
        <v/>
      </c>
      <c r="O179" s="55" t="str">
        <f aca="false">IF(AND(C179&lt;&gt;"",C179='دفتر الأستاذ'!$C$6,I179="مرحل ✔"),COUNTIFS($C$11:C179,'دفتر الأستاذ'!$C$6,$I$11:I179,"مرحل ✔"),"")</f>
        <v/>
      </c>
    </row>
    <row r="180" customFormat="false" ht="15" hidden="false" customHeight="false" outlineLevel="0" collapsed="false">
      <c r="A180" s="49"/>
      <c r="B180" s="50"/>
      <c r="C180" s="49"/>
      <c r="D180" s="51" t="str">
        <f aca="false">IF(C180="","",IFERROR(INDEX('شجرة الحسابات'!$B$9:$B$208,MATCH(C180,'شجرة الحسابات'!$A$9:$A$208,0)),"⚠ حساب غير معرف"))</f>
        <v/>
      </c>
      <c r="E180" s="52"/>
      <c r="F180" s="52"/>
      <c r="G180" s="53"/>
      <c r="H180" s="53"/>
      <c r="I180" s="54" t="str">
        <f aca="false">IF(A180="",IF(M180="فارغ","","✖ بدون رقم قيد"),IF(COUNTIFS('قيود اليومية'!$A$11:$A$1010,A180,'قيود اليومية'!$M$11:$M$1010,"&lt;&gt;OK",'قيود اليومية'!$M$11:$M$1010,"&lt;&gt;فارغ")&gt;0,"✖ خطأ بالحساب",IF(ROUND(SUMIFS('قيود اليومية'!$G$11:$G$1010,'قيود اليومية'!$A$11:$A$1010,A180)-SUMIFS('قيود اليومية'!$H$11:$H$1010,'قيود اليومية'!$A$11:$A$1010,A180),2)&lt;&gt;0,"✖ غير متوازن","مرحل ✔")))</f>
        <v/>
      </c>
      <c r="J180" s="55" t="str">
        <f aca="false">IF(C180="","",IFERROR(INDEX('شجرة الحسابات'!$E$9:$E$208,MATCH(C180,'شجرة الحسابات'!$A$9:$A$208,0))&amp;"",""))</f>
        <v/>
      </c>
      <c r="K180" s="55" t="str">
        <f aca="false">IF(C180="","",IFERROR(INDEX('شجرة الحسابات'!$I$9:$I$208,MATCH(C180,'شجرة الحسابات'!$A$9:$A$208,0))&amp;"",""))</f>
        <v/>
      </c>
      <c r="L180" s="55" t="str">
        <f aca="false">IF(C180="","",IFERROR(INDEX('شجرة الحسابات'!$C$9:$C$208,MATCH(C180,'شجرة الحسابات'!$A$9:$A$208,0))&amp;"",""))</f>
        <v/>
      </c>
      <c r="M180" s="55" t="str">
        <f aca="false">IF(AND(C180="",G180="",H180=""),"فارغ",IF(ISNA(MATCH(C180,'شجرة الحسابات'!$A$9:$A$208,0)),"حساب غير معرف",IF(L180&lt;&gt;"تحليلي","حساب تجميعي",IF(AND(N(G180)&gt;0,N(H180)&gt;0),"مدين ودائن معاً",IF(N(G180)+N(H180)=0,"بدون قيمة","OK")))))</f>
        <v>فارغ</v>
      </c>
      <c r="N180" s="55" t="str">
        <f aca="false">IF(AND(E180&lt;&gt;"",E180='كشف حساب مشروع'!$C$6,I180="مرحل ✔"),COUNTIFS($E$11:E180,'كشف حساب مشروع'!$C$6,$I$11:I180,"مرحل ✔"),"")</f>
        <v/>
      </c>
      <c r="O180" s="55" t="str">
        <f aca="false">IF(AND(C180&lt;&gt;"",C180='دفتر الأستاذ'!$C$6,I180="مرحل ✔"),COUNTIFS($C$11:C180,'دفتر الأستاذ'!$C$6,$I$11:I180,"مرحل ✔"),"")</f>
        <v/>
      </c>
    </row>
    <row r="181" customFormat="false" ht="15" hidden="false" customHeight="false" outlineLevel="0" collapsed="false">
      <c r="A181" s="49"/>
      <c r="B181" s="50"/>
      <c r="C181" s="49"/>
      <c r="D181" s="51" t="str">
        <f aca="false">IF(C181="","",IFERROR(INDEX('شجرة الحسابات'!$B$9:$B$208,MATCH(C181,'شجرة الحسابات'!$A$9:$A$208,0)),"⚠ حساب غير معرف"))</f>
        <v/>
      </c>
      <c r="E181" s="52"/>
      <c r="F181" s="52"/>
      <c r="G181" s="53"/>
      <c r="H181" s="53"/>
      <c r="I181" s="54" t="str">
        <f aca="false">IF(A181="",IF(M181="فارغ","","✖ بدون رقم قيد"),IF(COUNTIFS('قيود اليومية'!$A$11:$A$1010,A181,'قيود اليومية'!$M$11:$M$1010,"&lt;&gt;OK",'قيود اليومية'!$M$11:$M$1010,"&lt;&gt;فارغ")&gt;0,"✖ خطأ بالحساب",IF(ROUND(SUMIFS('قيود اليومية'!$G$11:$G$1010,'قيود اليومية'!$A$11:$A$1010,A181)-SUMIFS('قيود اليومية'!$H$11:$H$1010,'قيود اليومية'!$A$11:$A$1010,A181),2)&lt;&gt;0,"✖ غير متوازن","مرحل ✔")))</f>
        <v/>
      </c>
      <c r="J181" s="55" t="str">
        <f aca="false">IF(C181="","",IFERROR(INDEX('شجرة الحسابات'!$E$9:$E$208,MATCH(C181,'شجرة الحسابات'!$A$9:$A$208,0))&amp;"",""))</f>
        <v/>
      </c>
      <c r="K181" s="55" t="str">
        <f aca="false">IF(C181="","",IFERROR(INDEX('شجرة الحسابات'!$I$9:$I$208,MATCH(C181,'شجرة الحسابات'!$A$9:$A$208,0))&amp;"",""))</f>
        <v/>
      </c>
      <c r="L181" s="55" t="str">
        <f aca="false">IF(C181="","",IFERROR(INDEX('شجرة الحسابات'!$C$9:$C$208,MATCH(C181,'شجرة الحسابات'!$A$9:$A$208,0))&amp;"",""))</f>
        <v/>
      </c>
      <c r="M181" s="55" t="str">
        <f aca="false">IF(AND(C181="",G181="",H181=""),"فارغ",IF(ISNA(MATCH(C181,'شجرة الحسابات'!$A$9:$A$208,0)),"حساب غير معرف",IF(L181&lt;&gt;"تحليلي","حساب تجميعي",IF(AND(N(G181)&gt;0,N(H181)&gt;0),"مدين ودائن معاً",IF(N(G181)+N(H181)=0,"بدون قيمة","OK")))))</f>
        <v>فارغ</v>
      </c>
      <c r="N181" s="55" t="str">
        <f aca="false">IF(AND(E181&lt;&gt;"",E181='كشف حساب مشروع'!$C$6,I181="مرحل ✔"),COUNTIFS($E$11:E181,'كشف حساب مشروع'!$C$6,$I$11:I181,"مرحل ✔"),"")</f>
        <v/>
      </c>
      <c r="O181" s="55" t="str">
        <f aca="false">IF(AND(C181&lt;&gt;"",C181='دفتر الأستاذ'!$C$6,I181="مرحل ✔"),COUNTIFS($C$11:C181,'دفتر الأستاذ'!$C$6,$I$11:I181,"مرحل ✔"),"")</f>
        <v/>
      </c>
    </row>
    <row r="182" customFormat="false" ht="15" hidden="false" customHeight="false" outlineLevel="0" collapsed="false">
      <c r="A182" s="49"/>
      <c r="B182" s="50"/>
      <c r="C182" s="49"/>
      <c r="D182" s="51" t="str">
        <f aca="false">IF(C182="","",IFERROR(INDEX('شجرة الحسابات'!$B$9:$B$208,MATCH(C182,'شجرة الحسابات'!$A$9:$A$208,0)),"⚠ حساب غير معرف"))</f>
        <v/>
      </c>
      <c r="E182" s="52"/>
      <c r="F182" s="52"/>
      <c r="G182" s="53"/>
      <c r="H182" s="53"/>
      <c r="I182" s="54" t="str">
        <f aca="false">IF(A182="",IF(M182="فارغ","","✖ بدون رقم قيد"),IF(COUNTIFS('قيود اليومية'!$A$11:$A$1010,A182,'قيود اليومية'!$M$11:$M$1010,"&lt;&gt;OK",'قيود اليومية'!$M$11:$M$1010,"&lt;&gt;فارغ")&gt;0,"✖ خطأ بالحساب",IF(ROUND(SUMIFS('قيود اليومية'!$G$11:$G$1010,'قيود اليومية'!$A$11:$A$1010,A182)-SUMIFS('قيود اليومية'!$H$11:$H$1010,'قيود اليومية'!$A$11:$A$1010,A182),2)&lt;&gt;0,"✖ غير متوازن","مرحل ✔")))</f>
        <v/>
      </c>
      <c r="J182" s="55" t="str">
        <f aca="false">IF(C182="","",IFERROR(INDEX('شجرة الحسابات'!$E$9:$E$208,MATCH(C182,'شجرة الحسابات'!$A$9:$A$208,0))&amp;"",""))</f>
        <v/>
      </c>
      <c r="K182" s="55" t="str">
        <f aca="false">IF(C182="","",IFERROR(INDEX('شجرة الحسابات'!$I$9:$I$208,MATCH(C182,'شجرة الحسابات'!$A$9:$A$208,0))&amp;"",""))</f>
        <v/>
      </c>
      <c r="L182" s="55" t="str">
        <f aca="false">IF(C182="","",IFERROR(INDEX('شجرة الحسابات'!$C$9:$C$208,MATCH(C182,'شجرة الحسابات'!$A$9:$A$208,0))&amp;"",""))</f>
        <v/>
      </c>
      <c r="M182" s="55" t="str">
        <f aca="false">IF(AND(C182="",G182="",H182=""),"فارغ",IF(ISNA(MATCH(C182,'شجرة الحسابات'!$A$9:$A$208,0)),"حساب غير معرف",IF(L182&lt;&gt;"تحليلي","حساب تجميعي",IF(AND(N(G182)&gt;0,N(H182)&gt;0),"مدين ودائن معاً",IF(N(G182)+N(H182)=0,"بدون قيمة","OK")))))</f>
        <v>فارغ</v>
      </c>
      <c r="N182" s="55" t="str">
        <f aca="false">IF(AND(E182&lt;&gt;"",E182='كشف حساب مشروع'!$C$6,I182="مرحل ✔"),COUNTIFS($E$11:E182,'كشف حساب مشروع'!$C$6,$I$11:I182,"مرحل ✔"),"")</f>
        <v/>
      </c>
      <c r="O182" s="55" t="str">
        <f aca="false">IF(AND(C182&lt;&gt;"",C182='دفتر الأستاذ'!$C$6,I182="مرحل ✔"),COUNTIFS($C$11:C182,'دفتر الأستاذ'!$C$6,$I$11:I182,"مرحل ✔"),"")</f>
        <v/>
      </c>
    </row>
    <row r="183" customFormat="false" ht="15" hidden="false" customHeight="false" outlineLevel="0" collapsed="false">
      <c r="A183" s="49"/>
      <c r="B183" s="50"/>
      <c r="C183" s="49"/>
      <c r="D183" s="51" t="str">
        <f aca="false">IF(C183="","",IFERROR(INDEX('شجرة الحسابات'!$B$9:$B$208,MATCH(C183,'شجرة الحسابات'!$A$9:$A$208,0)),"⚠ حساب غير معرف"))</f>
        <v/>
      </c>
      <c r="E183" s="52"/>
      <c r="F183" s="52"/>
      <c r="G183" s="53"/>
      <c r="H183" s="53"/>
      <c r="I183" s="54" t="str">
        <f aca="false">IF(A183="",IF(M183="فارغ","","✖ بدون رقم قيد"),IF(COUNTIFS('قيود اليومية'!$A$11:$A$1010,A183,'قيود اليومية'!$M$11:$M$1010,"&lt;&gt;OK",'قيود اليومية'!$M$11:$M$1010,"&lt;&gt;فارغ")&gt;0,"✖ خطأ بالحساب",IF(ROUND(SUMIFS('قيود اليومية'!$G$11:$G$1010,'قيود اليومية'!$A$11:$A$1010,A183)-SUMIFS('قيود اليومية'!$H$11:$H$1010,'قيود اليومية'!$A$11:$A$1010,A183),2)&lt;&gt;0,"✖ غير متوازن","مرحل ✔")))</f>
        <v/>
      </c>
      <c r="J183" s="55" t="str">
        <f aca="false">IF(C183="","",IFERROR(INDEX('شجرة الحسابات'!$E$9:$E$208,MATCH(C183,'شجرة الحسابات'!$A$9:$A$208,0))&amp;"",""))</f>
        <v/>
      </c>
      <c r="K183" s="55" t="str">
        <f aca="false">IF(C183="","",IFERROR(INDEX('شجرة الحسابات'!$I$9:$I$208,MATCH(C183,'شجرة الحسابات'!$A$9:$A$208,0))&amp;"",""))</f>
        <v/>
      </c>
      <c r="L183" s="55" t="str">
        <f aca="false">IF(C183="","",IFERROR(INDEX('شجرة الحسابات'!$C$9:$C$208,MATCH(C183,'شجرة الحسابات'!$A$9:$A$208,0))&amp;"",""))</f>
        <v/>
      </c>
      <c r="M183" s="55" t="str">
        <f aca="false">IF(AND(C183="",G183="",H183=""),"فارغ",IF(ISNA(MATCH(C183,'شجرة الحسابات'!$A$9:$A$208,0)),"حساب غير معرف",IF(L183&lt;&gt;"تحليلي","حساب تجميعي",IF(AND(N(G183)&gt;0,N(H183)&gt;0),"مدين ودائن معاً",IF(N(G183)+N(H183)=0,"بدون قيمة","OK")))))</f>
        <v>فارغ</v>
      </c>
      <c r="N183" s="55" t="str">
        <f aca="false">IF(AND(E183&lt;&gt;"",E183='كشف حساب مشروع'!$C$6,I183="مرحل ✔"),COUNTIFS($E$11:E183,'كشف حساب مشروع'!$C$6,$I$11:I183,"مرحل ✔"),"")</f>
        <v/>
      </c>
      <c r="O183" s="55" t="str">
        <f aca="false">IF(AND(C183&lt;&gt;"",C183='دفتر الأستاذ'!$C$6,I183="مرحل ✔"),COUNTIFS($C$11:C183,'دفتر الأستاذ'!$C$6,$I$11:I183,"مرحل ✔"),"")</f>
        <v/>
      </c>
    </row>
    <row r="184" customFormat="false" ht="15" hidden="false" customHeight="false" outlineLevel="0" collapsed="false">
      <c r="A184" s="49"/>
      <c r="B184" s="50"/>
      <c r="C184" s="49"/>
      <c r="D184" s="51" t="str">
        <f aca="false">IF(C184="","",IFERROR(INDEX('شجرة الحسابات'!$B$9:$B$208,MATCH(C184,'شجرة الحسابات'!$A$9:$A$208,0)),"⚠ حساب غير معرف"))</f>
        <v/>
      </c>
      <c r="E184" s="52"/>
      <c r="F184" s="52"/>
      <c r="G184" s="53"/>
      <c r="H184" s="53"/>
      <c r="I184" s="54" t="str">
        <f aca="false">IF(A184="",IF(M184="فارغ","","✖ بدون رقم قيد"),IF(COUNTIFS('قيود اليومية'!$A$11:$A$1010,A184,'قيود اليومية'!$M$11:$M$1010,"&lt;&gt;OK",'قيود اليومية'!$M$11:$M$1010,"&lt;&gt;فارغ")&gt;0,"✖ خطأ بالحساب",IF(ROUND(SUMIFS('قيود اليومية'!$G$11:$G$1010,'قيود اليومية'!$A$11:$A$1010,A184)-SUMIFS('قيود اليومية'!$H$11:$H$1010,'قيود اليومية'!$A$11:$A$1010,A184),2)&lt;&gt;0,"✖ غير متوازن","مرحل ✔")))</f>
        <v/>
      </c>
      <c r="J184" s="55" t="str">
        <f aca="false">IF(C184="","",IFERROR(INDEX('شجرة الحسابات'!$E$9:$E$208,MATCH(C184,'شجرة الحسابات'!$A$9:$A$208,0))&amp;"",""))</f>
        <v/>
      </c>
      <c r="K184" s="55" t="str">
        <f aca="false">IF(C184="","",IFERROR(INDEX('شجرة الحسابات'!$I$9:$I$208,MATCH(C184,'شجرة الحسابات'!$A$9:$A$208,0))&amp;"",""))</f>
        <v/>
      </c>
      <c r="L184" s="55" t="str">
        <f aca="false">IF(C184="","",IFERROR(INDEX('شجرة الحسابات'!$C$9:$C$208,MATCH(C184,'شجرة الحسابات'!$A$9:$A$208,0))&amp;"",""))</f>
        <v/>
      </c>
      <c r="M184" s="55" t="str">
        <f aca="false">IF(AND(C184="",G184="",H184=""),"فارغ",IF(ISNA(MATCH(C184,'شجرة الحسابات'!$A$9:$A$208,0)),"حساب غير معرف",IF(L184&lt;&gt;"تحليلي","حساب تجميعي",IF(AND(N(G184)&gt;0,N(H184)&gt;0),"مدين ودائن معاً",IF(N(G184)+N(H184)=0,"بدون قيمة","OK")))))</f>
        <v>فارغ</v>
      </c>
      <c r="N184" s="55" t="str">
        <f aca="false">IF(AND(E184&lt;&gt;"",E184='كشف حساب مشروع'!$C$6,I184="مرحل ✔"),COUNTIFS($E$11:E184,'كشف حساب مشروع'!$C$6,$I$11:I184,"مرحل ✔"),"")</f>
        <v/>
      </c>
      <c r="O184" s="55" t="str">
        <f aca="false">IF(AND(C184&lt;&gt;"",C184='دفتر الأستاذ'!$C$6,I184="مرحل ✔"),COUNTIFS($C$11:C184,'دفتر الأستاذ'!$C$6,$I$11:I184,"مرحل ✔"),"")</f>
        <v/>
      </c>
    </row>
    <row r="185" customFormat="false" ht="15" hidden="false" customHeight="false" outlineLevel="0" collapsed="false">
      <c r="A185" s="49"/>
      <c r="B185" s="50"/>
      <c r="C185" s="49"/>
      <c r="D185" s="51" t="str">
        <f aca="false">IF(C185="","",IFERROR(INDEX('شجرة الحسابات'!$B$9:$B$208,MATCH(C185,'شجرة الحسابات'!$A$9:$A$208,0)),"⚠ حساب غير معرف"))</f>
        <v/>
      </c>
      <c r="E185" s="52"/>
      <c r="F185" s="52"/>
      <c r="G185" s="53"/>
      <c r="H185" s="53"/>
      <c r="I185" s="54" t="str">
        <f aca="false">IF(A185="",IF(M185="فارغ","","✖ بدون رقم قيد"),IF(COUNTIFS('قيود اليومية'!$A$11:$A$1010,A185,'قيود اليومية'!$M$11:$M$1010,"&lt;&gt;OK",'قيود اليومية'!$M$11:$M$1010,"&lt;&gt;فارغ")&gt;0,"✖ خطأ بالحساب",IF(ROUND(SUMIFS('قيود اليومية'!$G$11:$G$1010,'قيود اليومية'!$A$11:$A$1010,A185)-SUMIFS('قيود اليومية'!$H$11:$H$1010,'قيود اليومية'!$A$11:$A$1010,A185),2)&lt;&gt;0,"✖ غير متوازن","مرحل ✔")))</f>
        <v/>
      </c>
      <c r="J185" s="55" t="str">
        <f aca="false">IF(C185="","",IFERROR(INDEX('شجرة الحسابات'!$E$9:$E$208,MATCH(C185,'شجرة الحسابات'!$A$9:$A$208,0))&amp;"",""))</f>
        <v/>
      </c>
      <c r="K185" s="55" t="str">
        <f aca="false">IF(C185="","",IFERROR(INDEX('شجرة الحسابات'!$I$9:$I$208,MATCH(C185,'شجرة الحسابات'!$A$9:$A$208,0))&amp;"",""))</f>
        <v/>
      </c>
      <c r="L185" s="55" t="str">
        <f aca="false">IF(C185="","",IFERROR(INDEX('شجرة الحسابات'!$C$9:$C$208,MATCH(C185,'شجرة الحسابات'!$A$9:$A$208,0))&amp;"",""))</f>
        <v/>
      </c>
      <c r="M185" s="55" t="str">
        <f aca="false">IF(AND(C185="",G185="",H185=""),"فارغ",IF(ISNA(MATCH(C185,'شجرة الحسابات'!$A$9:$A$208,0)),"حساب غير معرف",IF(L185&lt;&gt;"تحليلي","حساب تجميعي",IF(AND(N(G185)&gt;0,N(H185)&gt;0),"مدين ودائن معاً",IF(N(G185)+N(H185)=0,"بدون قيمة","OK")))))</f>
        <v>فارغ</v>
      </c>
      <c r="N185" s="55" t="str">
        <f aca="false">IF(AND(E185&lt;&gt;"",E185='كشف حساب مشروع'!$C$6,I185="مرحل ✔"),COUNTIFS($E$11:E185,'كشف حساب مشروع'!$C$6,$I$11:I185,"مرحل ✔"),"")</f>
        <v/>
      </c>
      <c r="O185" s="55" t="str">
        <f aca="false">IF(AND(C185&lt;&gt;"",C185='دفتر الأستاذ'!$C$6,I185="مرحل ✔"),COUNTIFS($C$11:C185,'دفتر الأستاذ'!$C$6,$I$11:I185,"مرحل ✔"),"")</f>
        <v/>
      </c>
    </row>
    <row r="186" customFormat="false" ht="15" hidden="false" customHeight="false" outlineLevel="0" collapsed="false">
      <c r="A186" s="49"/>
      <c r="B186" s="50"/>
      <c r="C186" s="49"/>
      <c r="D186" s="51" t="str">
        <f aca="false">IF(C186="","",IFERROR(INDEX('شجرة الحسابات'!$B$9:$B$208,MATCH(C186,'شجرة الحسابات'!$A$9:$A$208,0)),"⚠ حساب غير معرف"))</f>
        <v/>
      </c>
      <c r="E186" s="52"/>
      <c r="F186" s="52"/>
      <c r="G186" s="53"/>
      <c r="H186" s="53"/>
      <c r="I186" s="54" t="str">
        <f aca="false">IF(A186="",IF(M186="فارغ","","✖ بدون رقم قيد"),IF(COUNTIFS('قيود اليومية'!$A$11:$A$1010,A186,'قيود اليومية'!$M$11:$M$1010,"&lt;&gt;OK",'قيود اليومية'!$M$11:$M$1010,"&lt;&gt;فارغ")&gt;0,"✖ خطأ بالحساب",IF(ROUND(SUMIFS('قيود اليومية'!$G$11:$G$1010,'قيود اليومية'!$A$11:$A$1010,A186)-SUMIFS('قيود اليومية'!$H$11:$H$1010,'قيود اليومية'!$A$11:$A$1010,A186),2)&lt;&gt;0,"✖ غير متوازن","مرحل ✔")))</f>
        <v/>
      </c>
      <c r="J186" s="55" t="str">
        <f aca="false">IF(C186="","",IFERROR(INDEX('شجرة الحسابات'!$E$9:$E$208,MATCH(C186,'شجرة الحسابات'!$A$9:$A$208,0))&amp;"",""))</f>
        <v/>
      </c>
      <c r="K186" s="55" t="str">
        <f aca="false">IF(C186="","",IFERROR(INDEX('شجرة الحسابات'!$I$9:$I$208,MATCH(C186,'شجرة الحسابات'!$A$9:$A$208,0))&amp;"",""))</f>
        <v/>
      </c>
      <c r="L186" s="55" t="str">
        <f aca="false">IF(C186="","",IFERROR(INDEX('شجرة الحسابات'!$C$9:$C$208,MATCH(C186,'شجرة الحسابات'!$A$9:$A$208,0))&amp;"",""))</f>
        <v/>
      </c>
      <c r="M186" s="55" t="str">
        <f aca="false">IF(AND(C186="",G186="",H186=""),"فارغ",IF(ISNA(MATCH(C186,'شجرة الحسابات'!$A$9:$A$208,0)),"حساب غير معرف",IF(L186&lt;&gt;"تحليلي","حساب تجميعي",IF(AND(N(G186)&gt;0,N(H186)&gt;0),"مدين ودائن معاً",IF(N(G186)+N(H186)=0,"بدون قيمة","OK")))))</f>
        <v>فارغ</v>
      </c>
      <c r="N186" s="55" t="str">
        <f aca="false">IF(AND(E186&lt;&gt;"",E186='كشف حساب مشروع'!$C$6,I186="مرحل ✔"),COUNTIFS($E$11:E186,'كشف حساب مشروع'!$C$6,$I$11:I186,"مرحل ✔"),"")</f>
        <v/>
      </c>
      <c r="O186" s="55" t="str">
        <f aca="false">IF(AND(C186&lt;&gt;"",C186='دفتر الأستاذ'!$C$6,I186="مرحل ✔"),COUNTIFS($C$11:C186,'دفتر الأستاذ'!$C$6,$I$11:I186,"مرحل ✔"),"")</f>
        <v/>
      </c>
    </row>
    <row r="187" customFormat="false" ht="15" hidden="false" customHeight="false" outlineLevel="0" collapsed="false">
      <c r="A187" s="49"/>
      <c r="B187" s="50"/>
      <c r="C187" s="49"/>
      <c r="D187" s="51" t="str">
        <f aca="false">IF(C187="","",IFERROR(INDEX('شجرة الحسابات'!$B$9:$B$208,MATCH(C187,'شجرة الحسابات'!$A$9:$A$208,0)),"⚠ حساب غير معرف"))</f>
        <v/>
      </c>
      <c r="E187" s="52"/>
      <c r="F187" s="52"/>
      <c r="G187" s="53"/>
      <c r="H187" s="53"/>
      <c r="I187" s="54" t="str">
        <f aca="false">IF(A187="",IF(M187="فارغ","","✖ بدون رقم قيد"),IF(COUNTIFS('قيود اليومية'!$A$11:$A$1010,A187,'قيود اليومية'!$M$11:$M$1010,"&lt;&gt;OK",'قيود اليومية'!$M$11:$M$1010,"&lt;&gt;فارغ")&gt;0,"✖ خطأ بالحساب",IF(ROUND(SUMIFS('قيود اليومية'!$G$11:$G$1010,'قيود اليومية'!$A$11:$A$1010,A187)-SUMIFS('قيود اليومية'!$H$11:$H$1010,'قيود اليومية'!$A$11:$A$1010,A187),2)&lt;&gt;0,"✖ غير متوازن","مرحل ✔")))</f>
        <v/>
      </c>
      <c r="J187" s="55" t="str">
        <f aca="false">IF(C187="","",IFERROR(INDEX('شجرة الحسابات'!$E$9:$E$208,MATCH(C187,'شجرة الحسابات'!$A$9:$A$208,0))&amp;"",""))</f>
        <v/>
      </c>
      <c r="K187" s="55" t="str">
        <f aca="false">IF(C187="","",IFERROR(INDEX('شجرة الحسابات'!$I$9:$I$208,MATCH(C187,'شجرة الحسابات'!$A$9:$A$208,0))&amp;"",""))</f>
        <v/>
      </c>
      <c r="L187" s="55" t="str">
        <f aca="false">IF(C187="","",IFERROR(INDEX('شجرة الحسابات'!$C$9:$C$208,MATCH(C187,'شجرة الحسابات'!$A$9:$A$208,0))&amp;"",""))</f>
        <v/>
      </c>
      <c r="M187" s="55" t="str">
        <f aca="false">IF(AND(C187="",G187="",H187=""),"فارغ",IF(ISNA(MATCH(C187,'شجرة الحسابات'!$A$9:$A$208,0)),"حساب غير معرف",IF(L187&lt;&gt;"تحليلي","حساب تجميعي",IF(AND(N(G187)&gt;0,N(H187)&gt;0),"مدين ودائن معاً",IF(N(G187)+N(H187)=0,"بدون قيمة","OK")))))</f>
        <v>فارغ</v>
      </c>
      <c r="N187" s="55" t="str">
        <f aca="false">IF(AND(E187&lt;&gt;"",E187='كشف حساب مشروع'!$C$6,I187="مرحل ✔"),COUNTIFS($E$11:E187,'كشف حساب مشروع'!$C$6,$I$11:I187,"مرحل ✔"),"")</f>
        <v/>
      </c>
      <c r="O187" s="55" t="str">
        <f aca="false">IF(AND(C187&lt;&gt;"",C187='دفتر الأستاذ'!$C$6,I187="مرحل ✔"),COUNTIFS($C$11:C187,'دفتر الأستاذ'!$C$6,$I$11:I187,"مرحل ✔"),"")</f>
        <v/>
      </c>
    </row>
    <row r="188" customFormat="false" ht="15" hidden="false" customHeight="false" outlineLevel="0" collapsed="false">
      <c r="A188" s="49"/>
      <c r="B188" s="50"/>
      <c r="C188" s="49"/>
      <c r="D188" s="51" t="str">
        <f aca="false">IF(C188="","",IFERROR(INDEX('شجرة الحسابات'!$B$9:$B$208,MATCH(C188,'شجرة الحسابات'!$A$9:$A$208,0)),"⚠ حساب غير معرف"))</f>
        <v/>
      </c>
      <c r="E188" s="52"/>
      <c r="F188" s="52"/>
      <c r="G188" s="53"/>
      <c r="H188" s="53"/>
      <c r="I188" s="54" t="str">
        <f aca="false">IF(A188="",IF(M188="فارغ","","✖ بدون رقم قيد"),IF(COUNTIFS('قيود اليومية'!$A$11:$A$1010,A188,'قيود اليومية'!$M$11:$M$1010,"&lt;&gt;OK",'قيود اليومية'!$M$11:$M$1010,"&lt;&gt;فارغ")&gt;0,"✖ خطأ بالحساب",IF(ROUND(SUMIFS('قيود اليومية'!$G$11:$G$1010,'قيود اليومية'!$A$11:$A$1010,A188)-SUMIFS('قيود اليومية'!$H$11:$H$1010,'قيود اليومية'!$A$11:$A$1010,A188),2)&lt;&gt;0,"✖ غير متوازن","مرحل ✔")))</f>
        <v/>
      </c>
      <c r="J188" s="55" t="str">
        <f aca="false">IF(C188="","",IFERROR(INDEX('شجرة الحسابات'!$E$9:$E$208,MATCH(C188,'شجرة الحسابات'!$A$9:$A$208,0))&amp;"",""))</f>
        <v/>
      </c>
      <c r="K188" s="55" t="str">
        <f aca="false">IF(C188="","",IFERROR(INDEX('شجرة الحسابات'!$I$9:$I$208,MATCH(C188,'شجرة الحسابات'!$A$9:$A$208,0))&amp;"",""))</f>
        <v/>
      </c>
      <c r="L188" s="55" t="str">
        <f aca="false">IF(C188="","",IFERROR(INDEX('شجرة الحسابات'!$C$9:$C$208,MATCH(C188,'شجرة الحسابات'!$A$9:$A$208,0))&amp;"",""))</f>
        <v/>
      </c>
      <c r="M188" s="55" t="str">
        <f aca="false">IF(AND(C188="",G188="",H188=""),"فارغ",IF(ISNA(MATCH(C188,'شجرة الحسابات'!$A$9:$A$208,0)),"حساب غير معرف",IF(L188&lt;&gt;"تحليلي","حساب تجميعي",IF(AND(N(G188)&gt;0,N(H188)&gt;0),"مدين ودائن معاً",IF(N(G188)+N(H188)=0,"بدون قيمة","OK")))))</f>
        <v>فارغ</v>
      </c>
      <c r="N188" s="55" t="str">
        <f aca="false">IF(AND(E188&lt;&gt;"",E188='كشف حساب مشروع'!$C$6,I188="مرحل ✔"),COUNTIFS($E$11:E188,'كشف حساب مشروع'!$C$6,$I$11:I188,"مرحل ✔"),"")</f>
        <v/>
      </c>
      <c r="O188" s="55" t="str">
        <f aca="false">IF(AND(C188&lt;&gt;"",C188='دفتر الأستاذ'!$C$6,I188="مرحل ✔"),COUNTIFS($C$11:C188,'دفتر الأستاذ'!$C$6,$I$11:I188,"مرحل ✔"),"")</f>
        <v/>
      </c>
    </row>
    <row r="189" customFormat="false" ht="15" hidden="false" customHeight="false" outlineLevel="0" collapsed="false">
      <c r="A189" s="49"/>
      <c r="B189" s="50"/>
      <c r="C189" s="49"/>
      <c r="D189" s="51" t="str">
        <f aca="false">IF(C189="","",IFERROR(INDEX('شجرة الحسابات'!$B$9:$B$208,MATCH(C189,'شجرة الحسابات'!$A$9:$A$208,0)),"⚠ حساب غير معرف"))</f>
        <v/>
      </c>
      <c r="E189" s="52"/>
      <c r="F189" s="52"/>
      <c r="G189" s="53"/>
      <c r="H189" s="53"/>
      <c r="I189" s="54" t="str">
        <f aca="false">IF(A189="",IF(M189="فارغ","","✖ بدون رقم قيد"),IF(COUNTIFS('قيود اليومية'!$A$11:$A$1010,A189,'قيود اليومية'!$M$11:$M$1010,"&lt;&gt;OK",'قيود اليومية'!$M$11:$M$1010,"&lt;&gt;فارغ")&gt;0,"✖ خطأ بالحساب",IF(ROUND(SUMIFS('قيود اليومية'!$G$11:$G$1010,'قيود اليومية'!$A$11:$A$1010,A189)-SUMIFS('قيود اليومية'!$H$11:$H$1010,'قيود اليومية'!$A$11:$A$1010,A189),2)&lt;&gt;0,"✖ غير متوازن","مرحل ✔")))</f>
        <v/>
      </c>
      <c r="J189" s="55" t="str">
        <f aca="false">IF(C189="","",IFERROR(INDEX('شجرة الحسابات'!$E$9:$E$208,MATCH(C189,'شجرة الحسابات'!$A$9:$A$208,0))&amp;"",""))</f>
        <v/>
      </c>
      <c r="K189" s="55" t="str">
        <f aca="false">IF(C189="","",IFERROR(INDEX('شجرة الحسابات'!$I$9:$I$208,MATCH(C189,'شجرة الحسابات'!$A$9:$A$208,0))&amp;"",""))</f>
        <v/>
      </c>
      <c r="L189" s="55" t="str">
        <f aca="false">IF(C189="","",IFERROR(INDEX('شجرة الحسابات'!$C$9:$C$208,MATCH(C189,'شجرة الحسابات'!$A$9:$A$208,0))&amp;"",""))</f>
        <v/>
      </c>
      <c r="M189" s="55" t="str">
        <f aca="false">IF(AND(C189="",G189="",H189=""),"فارغ",IF(ISNA(MATCH(C189,'شجرة الحسابات'!$A$9:$A$208,0)),"حساب غير معرف",IF(L189&lt;&gt;"تحليلي","حساب تجميعي",IF(AND(N(G189)&gt;0,N(H189)&gt;0),"مدين ودائن معاً",IF(N(G189)+N(H189)=0,"بدون قيمة","OK")))))</f>
        <v>فارغ</v>
      </c>
      <c r="N189" s="55" t="str">
        <f aca="false">IF(AND(E189&lt;&gt;"",E189='كشف حساب مشروع'!$C$6,I189="مرحل ✔"),COUNTIFS($E$11:E189,'كشف حساب مشروع'!$C$6,$I$11:I189,"مرحل ✔"),"")</f>
        <v/>
      </c>
      <c r="O189" s="55" t="str">
        <f aca="false">IF(AND(C189&lt;&gt;"",C189='دفتر الأستاذ'!$C$6,I189="مرحل ✔"),COUNTIFS($C$11:C189,'دفتر الأستاذ'!$C$6,$I$11:I189,"مرحل ✔"),"")</f>
        <v/>
      </c>
    </row>
    <row r="190" customFormat="false" ht="15" hidden="false" customHeight="false" outlineLevel="0" collapsed="false">
      <c r="A190" s="49"/>
      <c r="B190" s="50"/>
      <c r="C190" s="49"/>
      <c r="D190" s="51" t="str">
        <f aca="false">IF(C190="","",IFERROR(INDEX('شجرة الحسابات'!$B$9:$B$208,MATCH(C190,'شجرة الحسابات'!$A$9:$A$208,0)),"⚠ حساب غير معرف"))</f>
        <v/>
      </c>
      <c r="E190" s="52"/>
      <c r="F190" s="52"/>
      <c r="G190" s="53"/>
      <c r="H190" s="53"/>
      <c r="I190" s="54" t="str">
        <f aca="false">IF(A190="",IF(M190="فارغ","","✖ بدون رقم قيد"),IF(COUNTIFS('قيود اليومية'!$A$11:$A$1010,A190,'قيود اليومية'!$M$11:$M$1010,"&lt;&gt;OK",'قيود اليومية'!$M$11:$M$1010,"&lt;&gt;فارغ")&gt;0,"✖ خطأ بالحساب",IF(ROUND(SUMIFS('قيود اليومية'!$G$11:$G$1010,'قيود اليومية'!$A$11:$A$1010,A190)-SUMIFS('قيود اليومية'!$H$11:$H$1010,'قيود اليومية'!$A$11:$A$1010,A190),2)&lt;&gt;0,"✖ غير متوازن","مرحل ✔")))</f>
        <v/>
      </c>
      <c r="J190" s="55" t="str">
        <f aca="false">IF(C190="","",IFERROR(INDEX('شجرة الحسابات'!$E$9:$E$208,MATCH(C190,'شجرة الحسابات'!$A$9:$A$208,0))&amp;"",""))</f>
        <v/>
      </c>
      <c r="K190" s="55" t="str">
        <f aca="false">IF(C190="","",IFERROR(INDEX('شجرة الحسابات'!$I$9:$I$208,MATCH(C190,'شجرة الحسابات'!$A$9:$A$208,0))&amp;"",""))</f>
        <v/>
      </c>
      <c r="L190" s="55" t="str">
        <f aca="false">IF(C190="","",IFERROR(INDEX('شجرة الحسابات'!$C$9:$C$208,MATCH(C190,'شجرة الحسابات'!$A$9:$A$208,0))&amp;"",""))</f>
        <v/>
      </c>
      <c r="M190" s="55" t="str">
        <f aca="false">IF(AND(C190="",G190="",H190=""),"فارغ",IF(ISNA(MATCH(C190,'شجرة الحسابات'!$A$9:$A$208,0)),"حساب غير معرف",IF(L190&lt;&gt;"تحليلي","حساب تجميعي",IF(AND(N(G190)&gt;0,N(H190)&gt;0),"مدين ودائن معاً",IF(N(G190)+N(H190)=0,"بدون قيمة","OK")))))</f>
        <v>فارغ</v>
      </c>
      <c r="N190" s="55" t="str">
        <f aca="false">IF(AND(E190&lt;&gt;"",E190='كشف حساب مشروع'!$C$6,I190="مرحل ✔"),COUNTIFS($E$11:E190,'كشف حساب مشروع'!$C$6,$I$11:I190,"مرحل ✔"),"")</f>
        <v/>
      </c>
      <c r="O190" s="55" t="str">
        <f aca="false">IF(AND(C190&lt;&gt;"",C190='دفتر الأستاذ'!$C$6,I190="مرحل ✔"),COUNTIFS($C$11:C190,'دفتر الأستاذ'!$C$6,$I$11:I190,"مرحل ✔"),"")</f>
        <v/>
      </c>
    </row>
    <row r="191" customFormat="false" ht="15" hidden="false" customHeight="false" outlineLevel="0" collapsed="false">
      <c r="A191" s="49"/>
      <c r="B191" s="50"/>
      <c r="C191" s="49"/>
      <c r="D191" s="51" t="str">
        <f aca="false">IF(C191="","",IFERROR(INDEX('شجرة الحسابات'!$B$9:$B$208,MATCH(C191,'شجرة الحسابات'!$A$9:$A$208,0)),"⚠ حساب غير معرف"))</f>
        <v/>
      </c>
      <c r="E191" s="52"/>
      <c r="F191" s="52"/>
      <c r="G191" s="53"/>
      <c r="H191" s="53"/>
      <c r="I191" s="54" t="str">
        <f aca="false">IF(A191="",IF(M191="فارغ","","✖ بدون رقم قيد"),IF(COUNTIFS('قيود اليومية'!$A$11:$A$1010,A191,'قيود اليومية'!$M$11:$M$1010,"&lt;&gt;OK",'قيود اليومية'!$M$11:$M$1010,"&lt;&gt;فارغ")&gt;0,"✖ خطأ بالحساب",IF(ROUND(SUMIFS('قيود اليومية'!$G$11:$G$1010,'قيود اليومية'!$A$11:$A$1010,A191)-SUMIFS('قيود اليومية'!$H$11:$H$1010,'قيود اليومية'!$A$11:$A$1010,A191),2)&lt;&gt;0,"✖ غير متوازن","مرحل ✔")))</f>
        <v/>
      </c>
      <c r="J191" s="55" t="str">
        <f aca="false">IF(C191="","",IFERROR(INDEX('شجرة الحسابات'!$E$9:$E$208,MATCH(C191,'شجرة الحسابات'!$A$9:$A$208,0))&amp;"",""))</f>
        <v/>
      </c>
      <c r="K191" s="55" t="str">
        <f aca="false">IF(C191="","",IFERROR(INDEX('شجرة الحسابات'!$I$9:$I$208,MATCH(C191,'شجرة الحسابات'!$A$9:$A$208,0))&amp;"",""))</f>
        <v/>
      </c>
      <c r="L191" s="55" t="str">
        <f aca="false">IF(C191="","",IFERROR(INDEX('شجرة الحسابات'!$C$9:$C$208,MATCH(C191,'شجرة الحسابات'!$A$9:$A$208,0))&amp;"",""))</f>
        <v/>
      </c>
      <c r="M191" s="55" t="str">
        <f aca="false">IF(AND(C191="",G191="",H191=""),"فارغ",IF(ISNA(MATCH(C191,'شجرة الحسابات'!$A$9:$A$208,0)),"حساب غير معرف",IF(L191&lt;&gt;"تحليلي","حساب تجميعي",IF(AND(N(G191)&gt;0,N(H191)&gt;0),"مدين ودائن معاً",IF(N(G191)+N(H191)=0,"بدون قيمة","OK")))))</f>
        <v>فارغ</v>
      </c>
      <c r="N191" s="55" t="str">
        <f aca="false">IF(AND(E191&lt;&gt;"",E191='كشف حساب مشروع'!$C$6,I191="مرحل ✔"),COUNTIFS($E$11:E191,'كشف حساب مشروع'!$C$6,$I$11:I191,"مرحل ✔"),"")</f>
        <v/>
      </c>
      <c r="O191" s="55" t="str">
        <f aca="false">IF(AND(C191&lt;&gt;"",C191='دفتر الأستاذ'!$C$6,I191="مرحل ✔"),COUNTIFS($C$11:C191,'دفتر الأستاذ'!$C$6,$I$11:I191,"مرحل ✔"),"")</f>
        <v/>
      </c>
    </row>
    <row r="192" customFormat="false" ht="15" hidden="false" customHeight="false" outlineLevel="0" collapsed="false">
      <c r="A192" s="49"/>
      <c r="B192" s="50"/>
      <c r="C192" s="49"/>
      <c r="D192" s="51" t="str">
        <f aca="false">IF(C192="","",IFERROR(INDEX('شجرة الحسابات'!$B$9:$B$208,MATCH(C192,'شجرة الحسابات'!$A$9:$A$208,0)),"⚠ حساب غير معرف"))</f>
        <v/>
      </c>
      <c r="E192" s="52"/>
      <c r="F192" s="52"/>
      <c r="G192" s="53"/>
      <c r="H192" s="53"/>
      <c r="I192" s="54" t="str">
        <f aca="false">IF(A192="",IF(M192="فارغ","","✖ بدون رقم قيد"),IF(COUNTIFS('قيود اليومية'!$A$11:$A$1010,A192,'قيود اليومية'!$M$11:$M$1010,"&lt;&gt;OK",'قيود اليومية'!$M$11:$M$1010,"&lt;&gt;فارغ")&gt;0,"✖ خطأ بالحساب",IF(ROUND(SUMIFS('قيود اليومية'!$G$11:$G$1010,'قيود اليومية'!$A$11:$A$1010,A192)-SUMIFS('قيود اليومية'!$H$11:$H$1010,'قيود اليومية'!$A$11:$A$1010,A192),2)&lt;&gt;0,"✖ غير متوازن","مرحل ✔")))</f>
        <v/>
      </c>
      <c r="J192" s="55" t="str">
        <f aca="false">IF(C192="","",IFERROR(INDEX('شجرة الحسابات'!$E$9:$E$208,MATCH(C192,'شجرة الحسابات'!$A$9:$A$208,0))&amp;"",""))</f>
        <v/>
      </c>
      <c r="K192" s="55" t="str">
        <f aca="false">IF(C192="","",IFERROR(INDEX('شجرة الحسابات'!$I$9:$I$208,MATCH(C192,'شجرة الحسابات'!$A$9:$A$208,0))&amp;"",""))</f>
        <v/>
      </c>
      <c r="L192" s="55" t="str">
        <f aca="false">IF(C192="","",IFERROR(INDEX('شجرة الحسابات'!$C$9:$C$208,MATCH(C192,'شجرة الحسابات'!$A$9:$A$208,0))&amp;"",""))</f>
        <v/>
      </c>
      <c r="M192" s="55" t="str">
        <f aca="false">IF(AND(C192="",G192="",H192=""),"فارغ",IF(ISNA(MATCH(C192,'شجرة الحسابات'!$A$9:$A$208,0)),"حساب غير معرف",IF(L192&lt;&gt;"تحليلي","حساب تجميعي",IF(AND(N(G192)&gt;0,N(H192)&gt;0),"مدين ودائن معاً",IF(N(G192)+N(H192)=0,"بدون قيمة","OK")))))</f>
        <v>فارغ</v>
      </c>
      <c r="N192" s="55" t="str">
        <f aca="false">IF(AND(E192&lt;&gt;"",E192='كشف حساب مشروع'!$C$6,I192="مرحل ✔"),COUNTIFS($E$11:E192,'كشف حساب مشروع'!$C$6,$I$11:I192,"مرحل ✔"),"")</f>
        <v/>
      </c>
      <c r="O192" s="55" t="str">
        <f aca="false">IF(AND(C192&lt;&gt;"",C192='دفتر الأستاذ'!$C$6,I192="مرحل ✔"),COUNTIFS($C$11:C192,'دفتر الأستاذ'!$C$6,$I$11:I192,"مرحل ✔"),"")</f>
        <v/>
      </c>
    </row>
    <row r="193" customFormat="false" ht="15" hidden="false" customHeight="false" outlineLevel="0" collapsed="false">
      <c r="A193" s="49"/>
      <c r="B193" s="50"/>
      <c r="C193" s="49"/>
      <c r="D193" s="51" t="str">
        <f aca="false">IF(C193="","",IFERROR(INDEX('شجرة الحسابات'!$B$9:$B$208,MATCH(C193,'شجرة الحسابات'!$A$9:$A$208,0)),"⚠ حساب غير معرف"))</f>
        <v/>
      </c>
      <c r="E193" s="52"/>
      <c r="F193" s="52"/>
      <c r="G193" s="53"/>
      <c r="H193" s="53"/>
      <c r="I193" s="54" t="str">
        <f aca="false">IF(A193="",IF(M193="فارغ","","✖ بدون رقم قيد"),IF(COUNTIFS('قيود اليومية'!$A$11:$A$1010,A193,'قيود اليومية'!$M$11:$M$1010,"&lt;&gt;OK",'قيود اليومية'!$M$11:$M$1010,"&lt;&gt;فارغ")&gt;0,"✖ خطأ بالحساب",IF(ROUND(SUMIFS('قيود اليومية'!$G$11:$G$1010,'قيود اليومية'!$A$11:$A$1010,A193)-SUMIFS('قيود اليومية'!$H$11:$H$1010,'قيود اليومية'!$A$11:$A$1010,A193),2)&lt;&gt;0,"✖ غير متوازن","مرحل ✔")))</f>
        <v/>
      </c>
      <c r="J193" s="55" t="str">
        <f aca="false">IF(C193="","",IFERROR(INDEX('شجرة الحسابات'!$E$9:$E$208,MATCH(C193,'شجرة الحسابات'!$A$9:$A$208,0))&amp;"",""))</f>
        <v/>
      </c>
      <c r="K193" s="55" t="str">
        <f aca="false">IF(C193="","",IFERROR(INDEX('شجرة الحسابات'!$I$9:$I$208,MATCH(C193,'شجرة الحسابات'!$A$9:$A$208,0))&amp;"",""))</f>
        <v/>
      </c>
      <c r="L193" s="55" t="str">
        <f aca="false">IF(C193="","",IFERROR(INDEX('شجرة الحسابات'!$C$9:$C$208,MATCH(C193,'شجرة الحسابات'!$A$9:$A$208,0))&amp;"",""))</f>
        <v/>
      </c>
      <c r="M193" s="55" t="str">
        <f aca="false">IF(AND(C193="",G193="",H193=""),"فارغ",IF(ISNA(MATCH(C193,'شجرة الحسابات'!$A$9:$A$208,0)),"حساب غير معرف",IF(L193&lt;&gt;"تحليلي","حساب تجميعي",IF(AND(N(G193)&gt;0,N(H193)&gt;0),"مدين ودائن معاً",IF(N(G193)+N(H193)=0,"بدون قيمة","OK")))))</f>
        <v>فارغ</v>
      </c>
      <c r="N193" s="55" t="str">
        <f aca="false">IF(AND(E193&lt;&gt;"",E193='كشف حساب مشروع'!$C$6,I193="مرحل ✔"),COUNTIFS($E$11:E193,'كشف حساب مشروع'!$C$6,$I$11:I193,"مرحل ✔"),"")</f>
        <v/>
      </c>
      <c r="O193" s="55" t="str">
        <f aca="false">IF(AND(C193&lt;&gt;"",C193='دفتر الأستاذ'!$C$6,I193="مرحل ✔"),COUNTIFS($C$11:C193,'دفتر الأستاذ'!$C$6,$I$11:I193,"مرحل ✔"),"")</f>
        <v/>
      </c>
    </row>
    <row r="194" customFormat="false" ht="15" hidden="false" customHeight="false" outlineLevel="0" collapsed="false">
      <c r="A194" s="49"/>
      <c r="B194" s="50"/>
      <c r="C194" s="49"/>
      <c r="D194" s="51" t="str">
        <f aca="false">IF(C194="","",IFERROR(INDEX('شجرة الحسابات'!$B$9:$B$208,MATCH(C194,'شجرة الحسابات'!$A$9:$A$208,0)),"⚠ حساب غير معرف"))</f>
        <v/>
      </c>
      <c r="E194" s="52"/>
      <c r="F194" s="52"/>
      <c r="G194" s="53"/>
      <c r="H194" s="53"/>
      <c r="I194" s="54" t="str">
        <f aca="false">IF(A194="",IF(M194="فارغ","","✖ بدون رقم قيد"),IF(COUNTIFS('قيود اليومية'!$A$11:$A$1010,A194,'قيود اليومية'!$M$11:$M$1010,"&lt;&gt;OK",'قيود اليومية'!$M$11:$M$1010,"&lt;&gt;فارغ")&gt;0,"✖ خطأ بالحساب",IF(ROUND(SUMIFS('قيود اليومية'!$G$11:$G$1010,'قيود اليومية'!$A$11:$A$1010,A194)-SUMIFS('قيود اليومية'!$H$11:$H$1010,'قيود اليومية'!$A$11:$A$1010,A194),2)&lt;&gt;0,"✖ غير متوازن","مرحل ✔")))</f>
        <v/>
      </c>
      <c r="J194" s="55" t="str">
        <f aca="false">IF(C194="","",IFERROR(INDEX('شجرة الحسابات'!$E$9:$E$208,MATCH(C194,'شجرة الحسابات'!$A$9:$A$208,0))&amp;"",""))</f>
        <v/>
      </c>
      <c r="K194" s="55" t="str">
        <f aca="false">IF(C194="","",IFERROR(INDEX('شجرة الحسابات'!$I$9:$I$208,MATCH(C194,'شجرة الحسابات'!$A$9:$A$208,0))&amp;"",""))</f>
        <v/>
      </c>
      <c r="L194" s="55" t="str">
        <f aca="false">IF(C194="","",IFERROR(INDEX('شجرة الحسابات'!$C$9:$C$208,MATCH(C194,'شجرة الحسابات'!$A$9:$A$208,0))&amp;"",""))</f>
        <v/>
      </c>
      <c r="M194" s="55" t="str">
        <f aca="false">IF(AND(C194="",G194="",H194=""),"فارغ",IF(ISNA(MATCH(C194,'شجرة الحسابات'!$A$9:$A$208,0)),"حساب غير معرف",IF(L194&lt;&gt;"تحليلي","حساب تجميعي",IF(AND(N(G194)&gt;0,N(H194)&gt;0),"مدين ودائن معاً",IF(N(G194)+N(H194)=0,"بدون قيمة","OK")))))</f>
        <v>فارغ</v>
      </c>
      <c r="N194" s="55" t="str">
        <f aca="false">IF(AND(E194&lt;&gt;"",E194='كشف حساب مشروع'!$C$6,I194="مرحل ✔"),COUNTIFS($E$11:E194,'كشف حساب مشروع'!$C$6,$I$11:I194,"مرحل ✔"),"")</f>
        <v/>
      </c>
      <c r="O194" s="55" t="str">
        <f aca="false">IF(AND(C194&lt;&gt;"",C194='دفتر الأستاذ'!$C$6,I194="مرحل ✔"),COUNTIFS($C$11:C194,'دفتر الأستاذ'!$C$6,$I$11:I194,"مرحل ✔"),"")</f>
        <v/>
      </c>
    </row>
    <row r="195" customFormat="false" ht="15" hidden="false" customHeight="false" outlineLevel="0" collapsed="false">
      <c r="A195" s="49"/>
      <c r="B195" s="50"/>
      <c r="C195" s="49"/>
      <c r="D195" s="51" t="str">
        <f aca="false">IF(C195="","",IFERROR(INDEX('شجرة الحسابات'!$B$9:$B$208,MATCH(C195,'شجرة الحسابات'!$A$9:$A$208,0)),"⚠ حساب غير معرف"))</f>
        <v/>
      </c>
      <c r="E195" s="52"/>
      <c r="F195" s="52"/>
      <c r="G195" s="53"/>
      <c r="H195" s="53"/>
      <c r="I195" s="54" t="str">
        <f aca="false">IF(A195="",IF(M195="فارغ","","✖ بدون رقم قيد"),IF(COUNTIFS('قيود اليومية'!$A$11:$A$1010,A195,'قيود اليومية'!$M$11:$M$1010,"&lt;&gt;OK",'قيود اليومية'!$M$11:$M$1010,"&lt;&gt;فارغ")&gt;0,"✖ خطأ بالحساب",IF(ROUND(SUMIFS('قيود اليومية'!$G$11:$G$1010,'قيود اليومية'!$A$11:$A$1010,A195)-SUMIFS('قيود اليومية'!$H$11:$H$1010,'قيود اليومية'!$A$11:$A$1010,A195),2)&lt;&gt;0,"✖ غير متوازن","مرحل ✔")))</f>
        <v/>
      </c>
      <c r="J195" s="55" t="str">
        <f aca="false">IF(C195="","",IFERROR(INDEX('شجرة الحسابات'!$E$9:$E$208,MATCH(C195,'شجرة الحسابات'!$A$9:$A$208,0))&amp;"",""))</f>
        <v/>
      </c>
      <c r="K195" s="55" t="str">
        <f aca="false">IF(C195="","",IFERROR(INDEX('شجرة الحسابات'!$I$9:$I$208,MATCH(C195,'شجرة الحسابات'!$A$9:$A$208,0))&amp;"",""))</f>
        <v/>
      </c>
      <c r="L195" s="55" t="str">
        <f aca="false">IF(C195="","",IFERROR(INDEX('شجرة الحسابات'!$C$9:$C$208,MATCH(C195,'شجرة الحسابات'!$A$9:$A$208,0))&amp;"",""))</f>
        <v/>
      </c>
      <c r="M195" s="55" t="str">
        <f aca="false">IF(AND(C195="",G195="",H195=""),"فارغ",IF(ISNA(MATCH(C195,'شجرة الحسابات'!$A$9:$A$208,0)),"حساب غير معرف",IF(L195&lt;&gt;"تحليلي","حساب تجميعي",IF(AND(N(G195)&gt;0,N(H195)&gt;0),"مدين ودائن معاً",IF(N(G195)+N(H195)=0,"بدون قيمة","OK")))))</f>
        <v>فارغ</v>
      </c>
      <c r="N195" s="55" t="str">
        <f aca="false">IF(AND(E195&lt;&gt;"",E195='كشف حساب مشروع'!$C$6,I195="مرحل ✔"),COUNTIFS($E$11:E195,'كشف حساب مشروع'!$C$6,$I$11:I195,"مرحل ✔"),"")</f>
        <v/>
      </c>
      <c r="O195" s="55" t="str">
        <f aca="false">IF(AND(C195&lt;&gt;"",C195='دفتر الأستاذ'!$C$6,I195="مرحل ✔"),COUNTIFS($C$11:C195,'دفتر الأستاذ'!$C$6,$I$11:I195,"مرحل ✔"),"")</f>
        <v/>
      </c>
    </row>
    <row r="196" customFormat="false" ht="15" hidden="false" customHeight="false" outlineLevel="0" collapsed="false">
      <c r="A196" s="49"/>
      <c r="B196" s="50"/>
      <c r="C196" s="49"/>
      <c r="D196" s="51" t="str">
        <f aca="false">IF(C196="","",IFERROR(INDEX('شجرة الحسابات'!$B$9:$B$208,MATCH(C196,'شجرة الحسابات'!$A$9:$A$208,0)),"⚠ حساب غير معرف"))</f>
        <v/>
      </c>
      <c r="E196" s="52"/>
      <c r="F196" s="52"/>
      <c r="G196" s="53"/>
      <c r="H196" s="53"/>
      <c r="I196" s="54" t="str">
        <f aca="false">IF(A196="",IF(M196="فارغ","","✖ بدون رقم قيد"),IF(COUNTIFS('قيود اليومية'!$A$11:$A$1010,A196,'قيود اليومية'!$M$11:$M$1010,"&lt;&gt;OK",'قيود اليومية'!$M$11:$M$1010,"&lt;&gt;فارغ")&gt;0,"✖ خطأ بالحساب",IF(ROUND(SUMIFS('قيود اليومية'!$G$11:$G$1010,'قيود اليومية'!$A$11:$A$1010,A196)-SUMIFS('قيود اليومية'!$H$11:$H$1010,'قيود اليومية'!$A$11:$A$1010,A196),2)&lt;&gt;0,"✖ غير متوازن","مرحل ✔")))</f>
        <v/>
      </c>
      <c r="J196" s="55" t="str">
        <f aca="false">IF(C196="","",IFERROR(INDEX('شجرة الحسابات'!$E$9:$E$208,MATCH(C196,'شجرة الحسابات'!$A$9:$A$208,0))&amp;"",""))</f>
        <v/>
      </c>
      <c r="K196" s="55" t="str">
        <f aca="false">IF(C196="","",IFERROR(INDEX('شجرة الحسابات'!$I$9:$I$208,MATCH(C196,'شجرة الحسابات'!$A$9:$A$208,0))&amp;"",""))</f>
        <v/>
      </c>
      <c r="L196" s="55" t="str">
        <f aca="false">IF(C196="","",IFERROR(INDEX('شجرة الحسابات'!$C$9:$C$208,MATCH(C196,'شجرة الحسابات'!$A$9:$A$208,0))&amp;"",""))</f>
        <v/>
      </c>
      <c r="M196" s="55" t="str">
        <f aca="false">IF(AND(C196="",G196="",H196=""),"فارغ",IF(ISNA(MATCH(C196,'شجرة الحسابات'!$A$9:$A$208,0)),"حساب غير معرف",IF(L196&lt;&gt;"تحليلي","حساب تجميعي",IF(AND(N(G196)&gt;0,N(H196)&gt;0),"مدين ودائن معاً",IF(N(G196)+N(H196)=0,"بدون قيمة","OK")))))</f>
        <v>فارغ</v>
      </c>
      <c r="N196" s="55" t="str">
        <f aca="false">IF(AND(E196&lt;&gt;"",E196='كشف حساب مشروع'!$C$6,I196="مرحل ✔"),COUNTIFS($E$11:E196,'كشف حساب مشروع'!$C$6,$I$11:I196,"مرحل ✔"),"")</f>
        <v/>
      </c>
      <c r="O196" s="55" t="str">
        <f aca="false">IF(AND(C196&lt;&gt;"",C196='دفتر الأستاذ'!$C$6,I196="مرحل ✔"),COUNTIFS($C$11:C196,'دفتر الأستاذ'!$C$6,$I$11:I196,"مرحل ✔"),"")</f>
        <v/>
      </c>
    </row>
    <row r="197" customFormat="false" ht="15" hidden="false" customHeight="false" outlineLevel="0" collapsed="false">
      <c r="A197" s="49"/>
      <c r="B197" s="50"/>
      <c r="C197" s="49"/>
      <c r="D197" s="51" t="str">
        <f aca="false">IF(C197="","",IFERROR(INDEX('شجرة الحسابات'!$B$9:$B$208,MATCH(C197,'شجرة الحسابات'!$A$9:$A$208,0)),"⚠ حساب غير معرف"))</f>
        <v/>
      </c>
      <c r="E197" s="52"/>
      <c r="F197" s="52"/>
      <c r="G197" s="53"/>
      <c r="H197" s="53"/>
      <c r="I197" s="54" t="str">
        <f aca="false">IF(A197="",IF(M197="فارغ","","✖ بدون رقم قيد"),IF(COUNTIFS('قيود اليومية'!$A$11:$A$1010,A197,'قيود اليومية'!$M$11:$M$1010,"&lt;&gt;OK",'قيود اليومية'!$M$11:$M$1010,"&lt;&gt;فارغ")&gt;0,"✖ خطأ بالحساب",IF(ROUND(SUMIFS('قيود اليومية'!$G$11:$G$1010,'قيود اليومية'!$A$11:$A$1010,A197)-SUMIFS('قيود اليومية'!$H$11:$H$1010,'قيود اليومية'!$A$11:$A$1010,A197),2)&lt;&gt;0,"✖ غير متوازن","مرحل ✔")))</f>
        <v/>
      </c>
      <c r="J197" s="55" t="str">
        <f aca="false">IF(C197="","",IFERROR(INDEX('شجرة الحسابات'!$E$9:$E$208,MATCH(C197,'شجرة الحسابات'!$A$9:$A$208,0))&amp;"",""))</f>
        <v/>
      </c>
      <c r="K197" s="55" t="str">
        <f aca="false">IF(C197="","",IFERROR(INDEX('شجرة الحسابات'!$I$9:$I$208,MATCH(C197,'شجرة الحسابات'!$A$9:$A$208,0))&amp;"",""))</f>
        <v/>
      </c>
      <c r="L197" s="55" t="str">
        <f aca="false">IF(C197="","",IFERROR(INDEX('شجرة الحسابات'!$C$9:$C$208,MATCH(C197,'شجرة الحسابات'!$A$9:$A$208,0))&amp;"",""))</f>
        <v/>
      </c>
      <c r="M197" s="55" t="str">
        <f aca="false">IF(AND(C197="",G197="",H197=""),"فارغ",IF(ISNA(MATCH(C197,'شجرة الحسابات'!$A$9:$A$208,0)),"حساب غير معرف",IF(L197&lt;&gt;"تحليلي","حساب تجميعي",IF(AND(N(G197)&gt;0,N(H197)&gt;0),"مدين ودائن معاً",IF(N(G197)+N(H197)=0,"بدون قيمة","OK")))))</f>
        <v>فارغ</v>
      </c>
      <c r="N197" s="55" t="str">
        <f aca="false">IF(AND(E197&lt;&gt;"",E197='كشف حساب مشروع'!$C$6,I197="مرحل ✔"),COUNTIFS($E$11:E197,'كشف حساب مشروع'!$C$6,$I$11:I197,"مرحل ✔"),"")</f>
        <v/>
      </c>
      <c r="O197" s="55" t="str">
        <f aca="false">IF(AND(C197&lt;&gt;"",C197='دفتر الأستاذ'!$C$6,I197="مرحل ✔"),COUNTIFS($C$11:C197,'دفتر الأستاذ'!$C$6,$I$11:I197,"مرحل ✔"),"")</f>
        <v/>
      </c>
    </row>
    <row r="198" customFormat="false" ht="15" hidden="false" customHeight="false" outlineLevel="0" collapsed="false">
      <c r="A198" s="49"/>
      <c r="B198" s="50"/>
      <c r="C198" s="49"/>
      <c r="D198" s="51" t="str">
        <f aca="false">IF(C198="","",IFERROR(INDEX('شجرة الحسابات'!$B$9:$B$208,MATCH(C198,'شجرة الحسابات'!$A$9:$A$208,0)),"⚠ حساب غير معرف"))</f>
        <v/>
      </c>
      <c r="E198" s="52"/>
      <c r="F198" s="52"/>
      <c r="G198" s="53"/>
      <c r="H198" s="53"/>
      <c r="I198" s="54" t="str">
        <f aca="false">IF(A198="",IF(M198="فارغ","","✖ بدون رقم قيد"),IF(COUNTIFS('قيود اليومية'!$A$11:$A$1010,A198,'قيود اليومية'!$M$11:$M$1010,"&lt;&gt;OK",'قيود اليومية'!$M$11:$M$1010,"&lt;&gt;فارغ")&gt;0,"✖ خطأ بالحساب",IF(ROUND(SUMIFS('قيود اليومية'!$G$11:$G$1010,'قيود اليومية'!$A$11:$A$1010,A198)-SUMIFS('قيود اليومية'!$H$11:$H$1010,'قيود اليومية'!$A$11:$A$1010,A198),2)&lt;&gt;0,"✖ غير متوازن","مرحل ✔")))</f>
        <v/>
      </c>
      <c r="J198" s="55" t="str">
        <f aca="false">IF(C198="","",IFERROR(INDEX('شجرة الحسابات'!$E$9:$E$208,MATCH(C198,'شجرة الحسابات'!$A$9:$A$208,0))&amp;"",""))</f>
        <v/>
      </c>
      <c r="K198" s="55" t="str">
        <f aca="false">IF(C198="","",IFERROR(INDEX('شجرة الحسابات'!$I$9:$I$208,MATCH(C198,'شجرة الحسابات'!$A$9:$A$208,0))&amp;"",""))</f>
        <v/>
      </c>
      <c r="L198" s="55" t="str">
        <f aca="false">IF(C198="","",IFERROR(INDEX('شجرة الحسابات'!$C$9:$C$208,MATCH(C198,'شجرة الحسابات'!$A$9:$A$208,0))&amp;"",""))</f>
        <v/>
      </c>
      <c r="M198" s="55" t="str">
        <f aca="false">IF(AND(C198="",G198="",H198=""),"فارغ",IF(ISNA(MATCH(C198,'شجرة الحسابات'!$A$9:$A$208,0)),"حساب غير معرف",IF(L198&lt;&gt;"تحليلي","حساب تجميعي",IF(AND(N(G198)&gt;0,N(H198)&gt;0),"مدين ودائن معاً",IF(N(G198)+N(H198)=0,"بدون قيمة","OK")))))</f>
        <v>فارغ</v>
      </c>
      <c r="N198" s="55" t="str">
        <f aca="false">IF(AND(E198&lt;&gt;"",E198='كشف حساب مشروع'!$C$6,I198="مرحل ✔"),COUNTIFS($E$11:E198,'كشف حساب مشروع'!$C$6,$I$11:I198,"مرحل ✔"),"")</f>
        <v/>
      </c>
      <c r="O198" s="55" t="str">
        <f aca="false">IF(AND(C198&lt;&gt;"",C198='دفتر الأستاذ'!$C$6,I198="مرحل ✔"),COUNTIFS($C$11:C198,'دفتر الأستاذ'!$C$6,$I$11:I198,"مرحل ✔"),"")</f>
        <v/>
      </c>
    </row>
    <row r="199" customFormat="false" ht="15" hidden="false" customHeight="false" outlineLevel="0" collapsed="false">
      <c r="A199" s="49"/>
      <c r="B199" s="50"/>
      <c r="C199" s="49"/>
      <c r="D199" s="51" t="str">
        <f aca="false">IF(C199="","",IFERROR(INDEX('شجرة الحسابات'!$B$9:$B$208,MATCH(C199,'شجرة الحسابات'!$A$9:$A$208,0)),"⚠ حساب غير معرف"))</f>
        <v/>
      </c>
      <c r="E199" s="52"/>
      <c r="F199" s="52"/>
      <c r="G199" s="53"/>
      <c r="H199" s="53"/>
      <c r="I199" s="54" t="str">
        <f aca="false">IF(A199="",IF(M199="فارغ","","✖ بدون رقم قيد"),IF(COUNTIFS('قيود اليومية'!$A$11:$A$1010,A199,'قيود اليومية'!$M$11:$M$1010,"&lt;&gt;OK",'قيود اليومية'!$M$11:$M$1010,"&lt;&gt;فارغ")&gt;0,"✖ خطأ بالحساب",IF(ROUND(SUMIFS('قيود اليومية'!$G$11:$G$1010,'قيود اليومية'!$A$11:$A$1010,A199)-SUMIFS('قيود اليومية'!$H$11:$H$1010,'قيود اليومية'!$A$11:$A$1010,A199),2)&lt;&gt;0,"✖ غير متوازن","مرحل ✔")))</f>
        <v/>
      </c>
      <c r="J199" s="55" t="str">
        <f aca="false">IF(C199="","",IFERROR(INDEX('شجرة الحسابات'!$E$9:$E$208,MATCH(C199,'شجرة الحسابات'!$A$9:$A$208,0))&amp;"",""))</f>
        <v/>
      </c>
      <c r="K199" s="55" t="str">
        <f aca="false">IF(C199="","",IFERROR(INDEX('شجرة الحسابات'!$I$9:$I$208,MATCH(C199,'شجرة الحسابات'!$A$9:$A$208,0))&amp;"",""))</f>
        <v/>
      </c>
      <c r="L199" s="55" t="str">
        <f aca="false">IF(C199="","",IFERROR(INDEX('شجرة الحسابات'!$C$9:$C$208,MATCH(C199,'شجرة الحسابات'!$A$9:$A$208,0))&amp;"",""))</f>
        <v/>
      </c>
      <c r="M199" s="55" t="str">
        <f aca="false">IF(AND(C199="",G199="",H199=""),"فارغ",IF(ISNA(MATCH(C199,'شجرة الحسابات'!$A$9:$A$208,0)),"حساب غير معرف",IF(L199&lt;&gt;"تحليلي","حساب تجميعي",IF(AND(N(G199)&gt;0,N(H199)&gt;0),"مدين ودائن معاً",IF(N(G199)+N(H199)=0,"بدون قيمة","OK")))))</f>
        <v>فارغ</v>
      </c>
      <c r="N199" s="55" t="str">
        <f aca="false">IF(AND(E199&lt;&gt;"",E199='كشف حساب مشروع'!$C$6,I199="مرحل ✔"),COUNTIFS($E$11:E199,'كشف حساب مشروع'!$C$6,$I$11:I199,"مرحل ✔"),"")</f>
        <v/>
      </c>
      <c r="O199" s="55" t="str">
        <f aca="false">IF(AND(C199&lt;&gt;"",C199='دفتر الأستاذ'!$C$6,I199="مرحل ✔"),COUNTIFS($C$11:C199,'دفتر الأستاذ'!$C$6,$I$11:I199,"مرحل ✔"),"")</f>
        <v/>
      </c>
    </row>
    <row r="200" customFormat="false" ht="15" hidden="false" customHeight="false" outlineLevel="0" collapsed="false">
      <c r="A200" s="49"/>
      <c r="B200" s="50"/>
      <c r="C200" s="49"/>
      <c r="D200" s="51" t="str">
        <f aca="false">IF(C200="","",IFERROR(INDEX('شجرة الحسابات'!$B$9:$B$208,MATCH(C200,'شجرة الحسابات'!$A$9:$A$208,0)),"⚠ حساب غير معرف"))</f>
        <v/>
      </c>
      <c r="E200" s="52"/>
      <c r="F200" s="52"/>
      <c r="G200" s="53"/>
      <c r="H200" s="53"/>
      <c r="I200" s="54" t="str">
        <f aca="false">IF(A200="",IF(M200="فارغ","","✖ بدون رقم قيد"),IF(COUNTIFS('قيود اليومية'!$A$11:$A$1010,A200,'قيود اليومية'!$M$11:$M$1010,"&lt;&gt;OK",'قيود اليومية'!$M$11:$M$1010,"&lt;&gt;فارغ")&gt;0,"✖ خطأ بالحساب",IF(ROUND(SUMIFS('قيود اليومية'!$G$11:$G$1010,'قيود اليومية'!$A$11:$A$1010,A200)-SUMIFS('قيود اليومية'!$H$11:$H$1010,'قيود اليومية'!$A$11:$A$1010,A200),2)&lt;&gt;0,"✖ غير متوازن","مرحل ✔")))</f>
        <v/>
      </c>
      <c r="J200" s="55" t="str">
        <f aca="false">IF(C200="","",IFERROR(INDEX('شجرة الحسابات'!$E$9:$E$208,MATCH(C200,'شجرة الحسابات'!$A$9:$A$208,0))&amp;"",""))</f>
        <v/>
      </c>
      <c r="K200" s="55" t="str">
        <f aca="false">IF(C200="","",IFERROR(INDEX('شجرة الحسابات'!$I$9:$I$208,MATCH(C200,'شجرة الحسابات'!$A$9:$A$208,0))&amp;"",""))</f>
        <v/>
      </c>
      <c r="L200" s="55" t="str">
        <f aca="false">IF(C200="","",IFERROR(INDEX('شجرة الحسابات'!$C$9:$C$208,MATCH(C200,'شجرة الحسابات'!$A$9:$A$208,0))&amp;"",""))</f>
        <v/>
      </c>
      <c r="M200" s="55" t="str">
        <f aca="false">IF(AND(C200="",G200="",H200=""),"فارغ",IF(ISNA(MATCH(C200,'شجرة الحسابات'!$A$9:$A$208,0)),"حساب غير معرف",IF(L200&lt;&gt;"تحليلي","حساب تجميعي",IF(AND(N(G200)&gt;0,N(H200)&gt;0),"مدين ودائن معاً",IF(N(G200)+N(H200)=0,"بدون قيمة","OK")))))</f>
        <v>فارغ</v>
      </c>
      <c r="N200" s="55" t="str">
        <f aca="false">IF(AND(E200&lt;&gt;"",E200='كشف حساب مشروع'!$C$6,I200="مرحل ✔"),COUNTIFS($E$11:E200,'كشف حساب مشروع'!$C$6,$I$11:I200,"مرحل ✔"),"")</f>
        <v/>
      </c>
      <c r="O200" s="55" t="str">
        <f aca="false">IF(AND(C200&lt;&gt;"",C200='دفتر الأستاذ'!$C$6,I200="مرحل ✔"),COUNTIFS($C$11:C200,'دفتر الأستاذ'!$C$6,$I$11:I200,"مرحل ✔"),"")</f>
        <v/>
      </c>
    </row>
    <row r="201" customFormat="false" ht="15" hidden="false" customHeight="false" outlineLevel="0" collapsed="false">
      <c r="A201" s="49"/>
      <c r="B201" s="50"/>
      <c r="C201" s="49"/>
      <c r="D201" s="51" t="str">
        <f aca="false">IF(C201="","",IFERROR(INDEX('شجرة الحسابات'!$B$9:$B$208,MATCH(C201,'شجرة الحسابات'!$A$9:$A$208,0)),"⚠ حساب غير معرف"))</f>
        <v/>
      </c>
      <c r="E201" s="52"/>
      <c r="F201" s="52"/>
      <c r="G201" s="53"/>
      <c r="H201" s="53"/>
      <c r="I201" s="54" t="str">
        <f aca="false">IF(A201="",IF(M201="فارغ","","✖ بدون رقم قيد"),IF(COUNTIFS('قيود اليومية'!$A$11:$A$1010,A201,'قيود اليومية'!$M$11:$M$1010,"&lt;&gt;OK",'قيود اليومية'!$M$11:$M$1010,"&lt;&gt;فارغ")&gt;0,"✖ خطأ بالحساب",IF(ROUND(SUMIFS('قيود اليومية'!$G$11:$G$1010,'قيود اليومية'!$A$11:$A$1010,A201)-SUMIFS('قيود اليومية'!$H$11:$H$1010,'قيود اليومية'!$A$11:$A$1010,A201),2)&lt;&gt;0,"✖ غير متوازن","مرحل ✔")))</f>
        <v/>
      </c>
      <c r="J201" s="55" t="str">
        <f aca="false">IF(C201="","",IFERROR(INDEX('شجرة الحسابات'!$E$9:$E$208,MATCH(C201,'شجرة الحسابات'!$A$9:$A$208,0))&amp;"",""))</f>
        <v/>
      </c>
      <c r="K201" s="55" t="str">
        <f aca="false">IF(C201="","",IFERROR(INDEX('شجرة الحسابات'!$I$9:$I$208,MATCH(C201,'شجرة الحسابات'!$A$9:$A$208,0))&amp;"",""))</f>
        <v/>
      </c>
      <c r="L201" s="55" t="str">
        <f aca="false">IF(C201="","",IFERROR(INDEX('شجرة الحسابات'!$C$9:$C$208,MATCH(C201,'شجرة الحسابات'!$A$9:$A$208,0))&amp;"",""))</f>
        <v/>
      </c>
      <c r="M201" s="55" t="str">
        <f aca="false">IF(AND(C201="",G201="",H201=""),"فارغ",IF(ISNA(MATCH(C201,'شجرة الحسابات'!$A$9:$A$208,0)),"حساب غير معرف",IF(L201&lt;&gt;"تحليلي","حساب تجميعي",IF(AND(N(G201)&gt;0,N(H201)&gt;0),"مدين ودائن معاً",IF(N(G201)+N(H201)=0,"بدون قيمة","OK")))))</f>
        <v>فارغ</v>
      </c>
      <c r="N201" s="55" t="str">
        <f aca="false">IF(AND(E201&lt;&gt;"",E201='كشف حساب مشروع'!$C$6,I201="مرحل ✔"),COUNTIFS($E$11:E201,'كشف حساب مشروع'!$C$6,$I$11:I201,"مرحل ✔"),"")</f>
        <v/>
      </c>
      <c r="O201" s="55" t="str">
        <f aca="false">IF(AND(C201&lt;&gt;"",C201='دفتر الأستاذ'!$C$6,I201="مرحل ✔"),COUNTIFS($C$11:C201,'دفتر الأستاذ'!$C$6,$I$11:I201,"مرحل ✔"),"")</f>
        <v/>
      </c>
    </row>
    <row r="202" customFormat="false" ht="15" hidden="false" customHeight="false" outlineLevel="0" collapsed="false">
      <c r="A202" s="49"/>
      <c r="B202" s="50"/>
      <c r="C202" s="49"/>
      <c r="D202" s="51" t="str">
        <f aca="false">IF(C202="","",IFERROR(INDEX('شجرة الحسابات'!$B$9:$B$208,MATCH(C202,'شجرة الحسابات'!$A$9:$A$208,0)),"⚠ حساب غير معرف"))</f>
        <v/>
      </c>
      <c r="E202" s="52"/>
      <c r="F202" s="52"/>
      <c r="G202" s="53"/>
      <c r="H202" s="53"/>
      <c r="I202" s="54" t="str">
        <f aca="false">IF(A202="",IF(M202="فارغ","","✖ بدون رقم قيد"),IF(COUNTIFS('قيود اليومية'!$A$11:$A$1010,A202,'قيود اليومية'!$M$11:$M$1010,"&lt;&gt;OK",'قيود اليومية'!$M$11:$M$1010,"&lt;&gt;فارغ")&gt;0,"✖ خطأ بالحساب",IF(ROUND(SUMIFS('قيود اليومية'!$G$11:$G$1010,'قيود اليومية'!$A$11:$A$1010,A202)-SUMIFS('قيود اليومية'!$H$11:$H$1010,'قيود اليومية'!$A$11:$A$1010,A202),2)&lt;&gt;0,"✖ غير متوازن","مرحل ✔")))</f>
        <v/>
      </c>
      <c r="J202" s="55" t="str">
        <f aca="false">IF(C202="","",IFERROR(INDEX('شجرة الحسابات'!$E$9:$E$208,MATCH(C202,'شجرة الحسابات'!$A$9:$A$208,0))&amp;"",""))</f>
        <v/>
      </c>
      <c r="K202" s="55" t="str">
        <f aca="false">IF(C202="","",IFERROR(INDEX('شجرة الحسابات'!$I$9:$I$208,MATCH(C202,'شجرة الحسابات'!$A$9:$A$208,0))&amp;"",""))</f>
        <v/>
      </c>
      <c r="L202" s="55" t="str">
        <f aca="false">IF(C202="","",IFERROR(INDEX('شجرة الحسابات'!$C$9:$C$208,MATCH(C202,'شجرة الحسابات'!$A$9:$A$208,0))&amp;"",""))</f>
        <v/>
      </c>
      <c r="M202" s="55" t="str">
        <f aca="false">IF(AND(C202="",G202="",H202=""),"فارغ",IF(ISNA(MATCH(C202,'شجرة الحسابات'!$A$9:$A$208,0)),"حساب غير معرف",IF(L202&lt;&gt;"تحليلي","حساب تجميعي",IF(AND(N(G202)&gt;0,N(H202)&gt;0),"مدين ودائن معاً",IF(N(G202)+N(H202)=0,"بدون قيمة","OK")))))</f>
        <v>فارغ</v>
      </c>
      <c r="N202" s="55" t="str">
        <f aca="false">IF(AND(E202&lt;&gt;"",E202='كشف حساب مشروع'!$C$6,I202="مرحل ✔"),COUNTIFS($E$11:E202,'كشف حساب مشروع'!$C$6,$I$11:I202,"مرحل ✔"),"")</f>
        <v/>
      </c>
      <c r="O202" s="55" t="str">
        <f aca="false">IF(AND(C202&lt;&gt;"",C202='دفتر الأستاذ'!$C$6,I202="مرحل ✔"),COUNTIFS($C$11:C202,'دفتر الأستاذ'!$C$6,$I$11:I202,"مرحل ✔"),"")</f>
        <v/>
      </c>
    </row>
    <row r="203" customFormat="false" ht="15" hidden="false" customHeight="false" outlineLevel="0" collapsed="false">
      <c r="A203" s="49"/>
      <c r="B203" s="50"/>
      <c r="C203" s="49"/>
      <c r="D203" s="51" t="str">
        <f aca="false">IF(C203="","",IFERROR(INDEX('شجرة الحسابات'!$B$9:$B$208,MATCH(C203,'شجرة الحسابات'!$A$9:$A$208,0)),"⚠ حساب غير معرف"))</f>
        <v/>
      </c>
      <c r="E203" s="52"/>
      <c r="F203" s="52"/>
      <c r="G203" s="53"/>
      <c r="H203" s="53"/>
      <c r="I203" s="54" t="str">
        <f aca="false">IF(A203="",IF(M203="فارغ","","✖ بدون رقم قيد"),IF(COUNTIFS('قيود اليومية'!$A$11:$A$1010,A203,'قيود اليومية'!$M$11:$M$1010,"&lt;&gt;OK",'قيود اليومية'!$M$11:$M$1010,"&lt;&gt;فارغ")&gt;0,"✖ خطأ بالحساب",IF(ROUND(SUMIFS('قيود اليومية'!$G$11:$G$1010,'قيود اليومية'!$A$11:$A$1010,A203)-SUMIFS('قيود اليومية'!$H$11:$H$1010,'قيود اليومية'!$A$11:$A$1010,A203),2)&lt;&gt;0,"✖ غير متوازن","مرحل ✔")))</f>
        <v/>
      </c>
      <c r="J203" s="55" t="str">
        <f aca="false">IF(C203="","",IFERROR(INDEX('شجرة الحسابات'!$E$9:$E$208,MATCH(C203,'شجرة الحسابات'!$A$9:$A$208,0))&amp;"",""))</f>
        <v/>
      </c>
      <c r="K203" s="55" t="str">
        <f aca="false">IF(C203="","",IFERROR(INDEX('شجرة الحسابات'!$I$9:$I$208,MATCH(C203,'شجرة الحسابات'!$A$9:$A$208,0))&amp;"",""))</f>
        <v/>
      </c>
      <c r="L203" s="55" t="str">
        <f aca="false">IF(C203="","",IFERROR(INDEX('شجرة الحسابات'!$C$9:$C$208,MATCH(C203,'شجرة الحسابات'!$A$9:$A$208,0))&amp;"",""))</f>
        <v/>
      </c>
      <c r="M203" s="55" t="str">
        <f aca="false">IF(AND(C203="",G203="",H203=""),"فارغ",IF(ISNA(MATCH(C203,'شجرة الحسابات'!$A$9:$A$208,0)),"حساب غير معرف",IF(L203&lt;&gt;"تحليلي","حساب تجميعي",IF(AND(N(G203)&gt;0,N(H203)&gt;0),"مدين ودائن معاً",IF(N(G203)+N(H203)=0,"بدون قيمة","OK")))))</f>
        <v>فارغ</v>
      </c>
      <c r="N203" s="55" t="str">
        <f aca="false">IF(AND(E203&lt;&gt;"",E203='كشف حساب مشروع'!$C$6,I203="مرحل ✔"),COUNTIFS($E$11:E203,'كشف حساب مشروع'!$C$6,$I$11:I203,"مرحل ✔"),"")</f>
        <v/>
      </c>
      <c r="O203" s="55" t="str">
        <f aca="false">IF(AND(C203&lt;&gt;"",C203='دفتر الأستاذ'!$C$6,I203="مرحل ✔"),COUNTIFS($C$11:C203,'دفتر الأستاذ'!$C$6,$I$11:I203,"مرحل ✔"),"")</f>
        <v/>
      </c>
    </row>
    <row r="204" customFormat="false" ht="15" hidden="false" customHeight="false" outlineLevel="0" collapsed="false">
      <c r="A204" s="49"/>
      <c r="B204" s="50"/>
      <c r="C204" s="49"/>
      <c r="D204" s="51" t="str">
        <f aca="false">IF(C204="","",IFERROR(INDEX('شجرة الحسابات'!$B$9:$B$208,MATCH(C204,'شجرة الحسابات'!$A$9:$A$208,0)),"⚠ حساب غير معرف"))</f>
        <v/>
      </c>
      <c r="E204" s="52"/>
      <c r="F204" s="52"/>
      <c r="G204" s="53"/>
      <c r="H204" s="53"/>
      <c r="I204" s="54" t="str">
        <f aca="false">IF(A204="",IF(M204="فارغ","","✖ بدون رقم قيد"),IF(COUNTIFS('قيود اليومية'!$A$11:$A$1010,A204,'قيود اليومية'!$M$11:$M$1010,"&lt;&gt;OK",'قيود اليومية'!$M$11:$M$1010,"&lt;&gt;فارغ")&gt;0,"✖ خطأ بالحساب",IF(ROUND(SUMIFS('قيود اليومية'!$G$11:$G$1010,'قيود اليومية'!$A$11:$A$1010,A204)-SUMIFS('قيود اليومية'!$H$11:$H$1010,'قيود اليومية'!$A$11:$A$1010,A204),2)&lt;&gt;0,"✖ غير متوازن","مرحل ✔")))</f>
        <v/>
      </c>
      <c r="J204" s="55" t="str">
        <f aca="false">IF(C204="","",IFERROR(INDEX('شجرة الحسابات'!$E$9:$E$208,MATCH(C204,'شجرة الحسابات'!$A$9:$A$208,0))&amp;"",""))</f>
        <v/>
      </c>
      <c r="K204" s="55" t="str">
        <f aca="false">IF(C204="","",IFERROR(INDEX('شجرة الحسابات'!$I$9:$I$208,MATCH(C204,'شجرة الحسابات'!$A$9:$A$208,0))&amp;"",""))</f>
        <v/>
      </c>
      <c r="L204" s="55" t="str">
        <f aca="false">IF(C204="","",IFERROR(INDEX('شجرة الحسابات'!$C$9:$C$208,MATCH(C204,'شجرة الحسابات'!$A$9:$A$208,0))&amp;"",""))</f>
        <v/>
      </c>
      <c r="M204" s="55" t="str">
        <f aca="false">IF(AND(C204="",G204="",H204=""),"فارغ",IF(ISNA(MATCH(C204,'شجرة الحسابات'!$A$9:$A$208,0)),"حساب غير معرف",IF(L204&lt;&gt;"تحليلي","حساب تجميعي",IF(AND(N(G204)&gt;0,N(H204)&gt;0),"مدين ودائن معاً",IF(N(G204)+N(H204)=0,"بدون قيمة","OK")))))</f>
        <v>فارغ</v>
      </c>
      <c r="N204" s="55" t="str">
        <f aca="false">IF(AND(E204&lt;&gt;"",E204='كشف حساب مشروع'!$C$6,I204="مرحل ✔"),COUNTIFS($E$11:E204,'كشف حساب مشروع'!$C$6,$I$11:I204,"مرحل ✔"),"")</f>
        <v/>
      </c>
      <c r="O204" s="55" t="str">
        <f aca="false">IF(AND(C204&lt;&gt;"",C204='دفتر الأستاذ'!$C$6,I204="مرحل ✔"),COUNTIFS($C$11:C204,'دفتر الأستاذ'!$C$6,$I$11:I204,"مرحل ✔"),"")</f>
        <v/>
      </c>
    </row>
    <row r="205" customFormat="false" ht="15" hidden="false" customHeight="false" outlineLevel="0" collapsed="false">
      <c r="A205" s="49"/>
      <c r="B205" s="50"/>
      <c r="C205" s="49"/>
      <c r="D205" s="51" t="str">
        <f aca="false">IF(C205="","",IFERROR(INDEX('شجرة الحسابات'!$B$9:$B$208,MATCH(C205,'شجرة الحسابات'!$A$9:$A$208,0)),"⚠ حساب غير معرف"))</f>
        <v/>
      </c>
      <c r="E205" s="52"/>
      <c r="F205" s="52"/>
      <c r="G205" s="53"/>
      <c r="H205" s="53"/>
      <c r="I205" s="54" t="str">
        <f aca="false">IF(A205="",IF(M205="فارغ","","✖ بدون رقم قيد"),IF(COUNTIFS('قيود اليومية'!$A$11:$A$1010,A205,'قيود اليومية'!$M$11:$M$1010,"&lt;&gt;OK",'قيود اليومية'!$M$11:$M$1010,"&lt;&gt;فارغ")&gt;0,"✖ خطأ بالحساب",IF(ROUND(SUMIFS('قيود اليومية'!$G$11:$G$1010,'قيود اليومية'!$A$11:$A$1010,A205)-SUMIFS('قيود اليومية'!$H$11:$H$1010,'قيود اليومية'!$A$11:$A$1010,A205),2)&lt;&gt;0,"✖ غير متوازن","مرحل ✔")))</f>
        <v/>
      </c>
      <c r="J205" s="55" t="str">
        <f aca="false">IF(C205="","",IFERROR(INDEX('شجرة الحسابات'!$E$9:$E$208,MATCH(C205,'شجرة الحسابات'!$A$9:$A$208,0))&amp;"",""))</f>
        <v/>
      </c>
      <c r="K205" s="55" t="str">
        <f aca="false">IF(C205="","",IFERROR(INDEX('شجرة الحسابات'!$I$9:$I$208,MATCH(C205,'شجرة الحسابات'!$A$9:$A$208,0))&amp;"",""))</f>
        <v/>
      </c>
      <c r="L205" s="55" t="str">
        <f aca="false">IF(C205="","",IFERROR(INDEX('شجرة الحسابات'!$C$9:$C$208,MATCH(C205,'شجرة الحسابات'!$A$9:$A$208,0))&amp;"",""))</f>
        <v/>
      </c>
      <c r="M205" s="55" t="str">
        <f aca="false">IF(AND(C205="",G205="",H205=""),"فارغ",IF(ISNA(MATCH(C205,'شجرة الحسابات'!$A$9:$A$208,0)),"حساب غير معرف",IF(L205&lt;&gt;"تحليلي","حساب تجميعي",IF(AND(N(G205)&gt;0,N(H205)&gt;0),"مدين ودائن معاً",IF(N(G205)+N(H205)=0,"بدون قيمة","OK")))))</f>
        <v>فارغ</v>
      </c>
      <c r="N205" s="55" t="str">
        <f aca="false">IF(AND(E205&lt;&gt;"",E205='كشف حساب مشروع'!$C$6,I205="مرحل ✔"),COUNTIFS($E$11:E205,'كشف حساب مشروع'!$C$6,$I$11:I205,"مرحل ✔"),"")</f>
        <v/>
      </c>
      <c r="O205" s="55" t="str">
        <f aca="false">IF(AND(C205&lt;&gt;"",C205='دفتر الأستاذ'!$C$6,I205="مرحل ✔"),COUNTIFS($C$11:C205,'دفتر الأستاذ'!$C$6,$I$11:I205,"مرحل ✔"),"")</f>
        <v/>
      </c>
    </row>
    <row r="206" customFormat="false" ht="15" hidden="false" customHeight="false" outlineLevel="0" collapsed="false">
      <c r="A206" s="49"/>
      <c r="B206" s="50"/>
      <c r="C206" s="49"/>
      <c r="D206" s="51" t="str">
        <f aca="false">IF(C206="","",IFERROR(INDEX('شجرة الحسابات'!$B$9:$B$208,MATCH(C206,'شجرة الحسابات'!$A$9:$A$208,0)),"⚠ حساب غير معرف"))</f>
        <v/>
      </c>
      <c r="E206" s="52"/>
      <c r="F206" s="52"/>
      <c r="G206" s="53"/>
      <c r="H206" s="53"/>
      <c r="I206" s="54" t="str">
        <f aca="false">IF(A206="",IF(M206="فارغ","","✖ بدون رقم قيد"),IF(COUNTIFS('قيود اليومية'!$A$11:$A$1010,A206,'قيود اليومية'!$M$11:$M$1010,"&lt;&gt;OK",'قيود اليومية'!$M$11:$M$1010,"&lt;&gt;فارغ")&gt;0,"✖ خطأ بالحساب",IF(ROUND(SUMIFS('قيود اليومية'!$G$11:$G$1010,'قيود اليومية'!$A$11:$A$1010,A206)-SUMIFS('قيود اليومية'!$H$11:$H$1010,'قيود اليومية'!$A$11:$A$1010,A206),2)&lt;&gt;0,"✖ غير متوازن","مرحل ✔")))</f>
        <v/>
      </c>
      <c r="J206" s="55" t="str">
        <f aca="false">IF(C206="","",IFERROR(INDEX('شجرة الحسابات'!$E$9:$E$208,MATCH(C206,'شجرة الحسابات'!$A$9:$A$208,0))&amp;"",""))</f>
        <v/>
      </c>
      <c r="K206" s="55" t="str">
        <f aca="false">IF(C206="","",IFERROR(INDEX('شجرة الحسابات'!$I$9:$I$208,MATCH(C206,'شجرة الحسابات'!$A$9:$A$208,0))&amp;"",""))</f>
        <v/>
      </c>
      <c r="L206" s="55" t="str">
        <f aca="false">IF(C206="","",IFERROR(INDEX('شجرة الحسابات'!$C$9:$C$208,MATCH(C206,'شجرة الحسابات'!$A$9:$A$208,0))&amp;"",""))</f>
        <v/>
      </c>
      <c r="M206" s="55" t="str">
        <f aca="false">IF(AND(C206="",G206="",H206=""),"فارغ",IF(ISNA(MATCH(C206,'شجرة الحسابات'!$A$9:$A$208,0)),"حساب غير معرف",IF(L206&lt;&gt;"تحليلي","حساب تجميعي",IF(AND(N(G206)&gt;0,N(H206)&gt;0),"مدين ودائن معاً",IF(N(G206)+N(H206)=0,"بدون قيمة","OK")))))</f>
        <v>فارغ</v>
      </c>
      <c r="N206" s="55" t="str">
        <f aca="false">IF(AND(E206&lt;&gt;"",E206='كشف حساب مشروع'!$C$6,I206="مرحل ✔"),COUNTIFS($E$11:E206,'كشف حساب مشروع'!$C$6,$I$11:I206,"مرحل ✔"),"")</f>
        <v/>
      </c>
      <c r="O206" s="55" t="str">
        <f aca="false">IF(AND(C206&lt;&gt;"",C206='دفتر الأستاذ'!$C$6,I206="مرحل ✔"),COUNTIFS($C$11:C206,'دفتر الأستاذ'!$C$6,$I$11:I206,"مرحل ✔"),"")</f>
        <v/>
      </c>
    </row>
    <row r="207" customFormat="false" ht="15" hidden="false" customHeight="false" outlineLevel="0" collapsed="false">
      <c r="A207" s="49"/>
      <c r="B207" s="50"/>
      <c r="C207" s="49"/>
      <c r="D207" s="51" t="str">
        <f aca="false">IF(C207="","",IFERROR(INDEX('شجرة الحسابات'!$B$9:$B$208,MATCH(C207,'شجرة الحسابات'!$A$9:$A$208,0)),"⚠ حساب غير معرف"))</f>
        <v/>
      </c>
      <c r="E207" s="52"/>
      <c r="F207" s="52"/>
      <c r="G207" s="53"/>
      <c r="H207" s="53"/>
      <c r="I207" s="54" t="str">
        <f aca="false">IF(A207="",IF(M207="فارغ","","✖ بدون رقم قيد"),IF(COUNTIFS('قيود اليومية'!$A$11:$A$1010,A207,'قيود اليومية'!$M$11:$M$1010,"&lt;&gt;OK",'قيود اليومية'!$M$11:$M$1010,"&lt;&gt;فارغ")&gt;0,"✖ خطأ بالحساب",IF(ROUND(SUMIFS('قيود اليومية'!$G$11:$G$1010,'قيود اليومية'!$A$11:$A$1010,A207)-SUMIFS('قيود اليومية'!$H$11:$H$1010,'قيود اليومية'!$A$11:$A$1010,A207),2)&lt;&gt;0,"✖ غير متوازن","مرحل ✔")))</f>
        <v/>
      </c>
      <c r="J207" s="55" t="str">
        <f aca="false">IF(C207="","",IFERROR(INDEX('شجرة الحسابات'!$E$9:$E$208,MATCH(C207,'شجرة الحسابات'!$A$9:$A$208,0))&amp;"",""))</f>
        <v/>
      </c>
      <c r="K207" s="55" t="str">
        <f aca="false">IF(C207="","",IFERROR(INDEX('شجرة الحسابات'!$I$9:$I$208,MATCH(C207,'شجرة الحسابات'!$A$9:$A$208,0))&amp;"",""))</f>
        <v/>
      </c>
      <c r="L207" s="55" t="str">
        <f aca="false">IF(C207="","",IFERROR(INDEX('شجرة الحسابات'!$C$9:$C$208,MATCH(C207,'شجرة الحسابات'!$A$9:$A$208,0))&amp;"",""))</f>
        <v/>
      </c>
      <c r="M207" s="55" t="str">
        <f aca="false">IF(AND(C207="",G207="",H207=""),"فارغ",IF(ISNA(MATCH(C207,'شجرة الحسابات'!$A$9:$A$208,0)),"حساب غير معرف",IF(L207&lt;&gt;"تحليلي","حساب تجميعي",IF(AND(N(G207)&gt;0,N(H207)&gt;0),"مدين ودائن معاً",IF(N(G207)+N(H207)=0,"بدون قيمة","OK")))))</f>
        <v>فارغ</v>
      </c>
      <c r="N207" s="55" t="str">
        <f aca="false">IF(AND(E207&lt;&gt;"",E207='كشف حساب مشروع'!$C$6,I207="مرحل ✔"),COUNTIFS($E$11:E207,'كشف حساب مشروع'!$C$6,$I$11:I207,"مرحل ✔"),"")</f>
        <v/>
      </c>
      <c r="O207" s="55" t="str">
        <f aca="false">IF(AND(C207&lt;&gt;"",C207='دفتر الأستاذ'!$C$6,I207="مرحل ✔"),COUNTIFS($C$11:C207,'دفتر الأستاذ'!$C$6,$I$11:I207,"مرحل ✔"),"")</f>
        <v/>
      </c>
    </row>
    <row r="208" customFormat="false" ht="15" hidden="false" customHeight="false" outlineLevel="0" collapsed="false">
      <c r="A208" s="49"/>
      <c r="B208" s="50"/>
      <c r="C208" s="49"/>
      <c r="D208" s="51" t="str">
        <f aca="false">IF(C208="","",IFERROR(INDEX('شجرة الحسابات'!$B$9:$B$208,MATCH(C208,'شجرة الحسابات'!$A$9:$A$208,0)),"⚠ حساب غير معرف"))</f>
        <v/>
      </c>
      <c r="E208" s="52"/>
      <c r="F208" s="52"/>
      <c r="G208" s="53"/>
      <c r="H208" s="53"/>
      <c r="I208" s="54" t="str">
        <f aca="false">IF(A208="",IF(M208="فارغ","","✖ بدون رقم قيد"),IF(COUNTIFS('قيود اليومية'!$A$11:$A$1010,A208,'قيود اليومية'!$M$11:$M$1010,"&lt;&gt;OK",'قيود اليومية'!$M$11:$M$1010,"&lt;&gt;فارغ")&gt;0,"✖ خطأ بالحساب",IF(ROUND(SUMIFS('قيود اليومية'!$G$11:$G$1010,'قيود اليومية'!$A$11:$A$1010,A208)-SUMIFS('قيود اليومية'!$H$11:$H$1010,'قيود اليومية'!$A$11:$A$1010,A208),2)&lt;&gt;0,"✖ غير متوازن","مرحل ✔")))</f>
        <v/>
      </c>
      <c r="J208" s="55" t="str">
        <f aca="false">IF(C208="","",IFERROR(INDEX('شجرة الحسابات'!$E$9:$E$208,MATCH(C208,'شجرة الحسابات'!$A$9:$A$208,0))&amp;"",""))</f>
        <v/>
      </c>
      <c r="K208" s="55" t="str">
        <f aca="false">IF(C208="","",IFERROR(INDEX('شجرة الحسابات'!$I$9:$I$208,MATCH(C208,'شجرة الحسابات'!$A$9:$A$208,0))&amp;"",""))</f>
        <v/>
      </c>
      <c r="L208" s="55" t="str">
        <f aca="false">IF(C208="","",IFERROR(INDEX('شجرة الحسابات'!$C$9:$C$208,MATCH(C208,'شجرة الحسابات'!$A$9:$A$208,0))&amp;"",""))</f>
        <v/>
      </c>
      <c r="M208" s="55" t="str">
        <f aca="false">IF(AND(C208="",G208="",H208=""),"فارغ",IF(ISNA(MATCH(C208,'شجرة الحسابات'!$A$9:$A$208,0)),"حساب غير معرف",IF(L208&lt;&gt;"تحليلي","حساب تجميعي",IF(AND(N(G208)&gt;0,N(H208)&gt;0),"مدين ودائن معاً",IF(N(G208)+N(H208)=0,"بدون قيمة","OK")))))</f>
        <v>فارغ</v>
      </c>
      <c r="N208" s="55" t="str">
        <f aca="false">IF(AND(E208&lt;&gt;"",E208='كشف حساب مشروع'!$C$6,I208="مرحل ✔"),COUNTIFS($E$11:E208,'كشف حساب مشروع'!$C$6,$I$11:I208,"مرحل ✔"),"")</f>
        <v/>
      </c>
      <c r="O208" s="55" t="str">
        <f aca="false">IF(AND(C208&lt;&gt;"",C208='دفتر الأستاذ'!$C$6,I208="مرحل ✔"),COUNTIFS($C$11:C208,'دفتر الأستاذ'!$C$6,$I$11:I208,"مرحل ✔"),"")</f>
        <v/>
      </c>
    </row>
    <row r="209" customFormat="false" ht="15" hidden="false" customHeight="false" outlineLevel="0" collapsed="false">
      <c r="A209" s="49"/>
      <c r="B209" s="50"/>
      <c r="C209" s="49"/>
      <c r="D209" s="51" t="str">
        <f aca="false">IF(C209="","",IFERROR(INDEX('شجرة الحسابات'!$B$9:$B$208,MATCH(C209,'شجرة الحسابات'!$A$9:$A$208,0)),"⚠ حساب غير معرف"))</f>
        <v/>
      </c>
      <c r="E209" s="52"/>
      <c r="F209" s="52"/>
      <c r="G209" s="53"/>
      <c r="H209" s="53"/>
      <c r="I209" s="54" t="str">
        <f aca="false">IF(A209="",IF(M209="فارغ","","✖ بدون رقم قيد"),IF(COUNTIFS('قيود اليومية'!$A$11:$A$1010,A209,'قيود اليومية'!$M$11:$M$1010,"&lt;&gt;OK",'قيود اليومية'!$M$11:$M$1010,"&lt;&gt;فارغ")&gt;0,"✖ خطأ بالحساب",IF(ROUND(SUMIFS('قيود اليومية'!$G$11:$G$1010,'قيود اليومية'!$A$11:$A$1010,A209)-SUMIFS('قيود اليومية'!$H$11:$H$1010,'قيود اليومية'!$A$11:$A$1010,A209),2)&lt;&gt;0,"✖ غير متوازن","مرحل ✔")))</f>
        <v/>
      </c>
      <c r="J209" s="55" t="str">
        <f aca="false">IF(C209="","",IFERROR(INDEX('شجرة الحسابات'!$E$9:$E$208,MATCH(C209,'شجرة الحسابات'!$A$9:$A$208,0))&amp;"",""))</f>
        <v/>
      </c>
      <c r="K209" s="55" t="str">
        <f aca="false">IF(C209="","",IFERROR(INDEX('شجرة الحسابات'!$I$9:$I$208,MATCH(C209,'شجرة الحسابات'!$A$9:$A$208,0))&amp;"",""))</f>
        <v/>
      </c>
      <c r="L209" s="55" t="str">
        <f aca="false">IF(C209="","",IFERROR(INDEX('شجرة الحسابات'!$C$9:$C$208,MATCH(C209,'شجرة الحسابات'!$A$9:$A$208,0))&amp;"",""))</f>
        <v/>
      </c>
      <c r="M209" s="55" t="str">
        <f aca="false">IF(AND(C209="",G209="",H209=""),"فارغ",IF(ISNA(MATCH(C209,'شجرة الحسابات'!$A$9:$A$208,0)),"حساب غير معرف",IF(L209&lt;&gt;"تحليلي","حساب تجميعي",IF(AND(N(G209)&gt;0,N(H209)&gt;0),"مدين ودائن معاً",IF(N(G209)+N(H209)=0,"بدون قيمة","OK")))))</f>
        <v>فارغ</v>
      </c>
      <c r="N209" s="55" t="str">
        <f aca="false">IF(AND(E209&lt;&gt;"",E209='كشف حساب مشروع'!$C$6,I209="مرحل ✔"),COUNTIFS($E$11:E209,'كشف حساب مشروع'!$C$6,$I$11:I209,"مرحل ✔"),"")</f>
        <v/>
      </c>
      <c r="O209" s="55" t="str">
        <f aca="false">IF(AND(C209&lt;&gt;"",C209='دفتر الأستاذ'!$C$6,I209="مرحل ✔"),COUNTIFS($C$11:C209,'دفتر الأستاذ'!$C$6,$I$11:I209,"مرحل ✔"),"")</f>
        <v/>
      </c>
    </row>
    <row r="210" customFormat="false" ht="15" hidden="false" customHeight="false" outlineLevel="0" collapsed="false">
      <c r="A210" s="49"/>
      <c r="B210" s="50"/>
      <c r="C210" s="49"/>
      <c r="D210" s="51" t="str">
        <f aca="false">IF(C210="","",IFERROR(INDEX('شجرة الحسابات'!$B$9:$B$208,MATCH(C210,'شجرة الحسابات'!$A$9:$A$208,0)),"⚠ حساب غير معرف"))</f>
        <v/>
      </c>
      <c r="E210" s="52"/>
      <c r="F210" s="52"/>
      <c r="G210" s="53"/>
      <c r="H210" s="53"/>
      <c r="I210" s="54" t="str">
        <f aca="false">IF(A210="",IF(M210="فارغ","","✖ بدون رقم قيد"),IF(COUNTIFS('قيود اليومية'!$A$11:$A$1010,A210,'قيود اليومية'!$M$11:$M$1010,"&lt;&gt;OK",'قيود اليومية'!$M$11:$M$1010,"&lt;&gt;فارغ")&gt;0,"✖ خطأ بالحساب",IF(ROUND(SUMIFS('قيود اليومية'!$G$11:$G$1010,'قيود اليومية'!$A$11:$A$1010,A210)-SUMIFS('قيود اليومية'!$H$11:$H$1010,'قيود اليومية'!$A$11:$A$1010,A210),2)&lt;&gt;0,"✖ غير متوازن","مرحل ✔")))</f>
        <v/>
      </c>
      <c r="J210" s="55" t="str">
        <f aca="false">IF(C210="","",IFERROR(INDEX('شجرة الحسابات'!$E$9:$E$208,MATCH(C210,'شجرة الحسابات'!$A$9:$A$208,0))&amp;"",""))</f>
        <v/>
      </c>
      <c r="K210" s="55" t="str">
        <f aca="false">IF(C210="","",IFERROR(INDEX('شجرة الحسابات'!$I$9:$I$208,MATCH(C210,'شجرة الحسابات'!$A$9:$A$208,0))&amp;"",""))</f>
        <v/>
      </c>
      <c r="L210" s="55" t="str">
        <f aca="false">IF(C210="","",IFERROR(INDEX('شجرة الحسابات'!$C$9:$C$208,MATCH(C210,'شجرة الحسابات'!$A$9:$A$208,0))&amp;"",""))</f>
        <v/>
      </c>
      <c r="M210" s="55" t="str">
        <f aca="false">IF(AND(C210="",G210="",H210=""),"فارغ",IF(ISNA(MATCH(C210,'شجرة الحسابات'!$A$9:$A$208,0)),"حساب غير معرف",IF(L210&lt;&gt;"تحليلي","حساب تجميعي",IF(AND(N(G210)&gt;0,N(H210)&gt;0),"مدين ودائن معاً",IF(N(G210)+N(H210)=0,"بدون قيمة","OK")))))</f>
        <v>فارغ</v>
      </c>
      <c r="N210" s="55" t="str">
        <f aca="false">IF(AND(E210&lt;&gt;"",E210='كشف حساب مشروع'!$C$6,I210="مرحل ✔"),COUNTIFS($E$11:E210,'كشف حساب مشروع'!$C$6,$I$11:I210,"مرحل ✔"),"")</f>
        <v/>
      </c>
      <c r="O210" s="55" t="str">
        <f aca="false">IF(AND(C210&lt;&gt;"",C210='دفتر الأستاذ'!$C$6,I210="مرحل ✔"),COUNTIFS($C$11:C210,'دفتر الأستاذ'!$C$6,$I$11:I210,"مرحل ✔"),"")</f>
        <v/>
      </c>
    </row>
    <row r="211" customFormat="false" ht="15" hidden="false" customHeight="false" outlineLevel="0" collapsed="false">
      <c r="A211" s="49"/>
      <c r="B211" s="50"/>
      <c r="C211" s="49"/>
      <c r="D211" s="51" t="str">
        <f aca="false">IF(C211="","",IFERROR(INDEX('شجرة الحسابات'!$B$9:$B$208,MATCH(C211,'شجرة الحسابات'!$A$9:$A$208,0)),"⚠ حساب غير معرف"))</f>
        <v/>
      </c>
      <c r="E211" s="52"/>
      <c r="F211" s="52"/>
      <c r="G211" s="53"/>
      <c r="H211" s="53"/>
      <c r="I211" s="54" t="str">
        <f aca="false">IF(A211="",IF(M211="فارغ","","✖ بدون رقم قيد"),IF(COUNTIFS('قيود اليومية'!$A$11:$A$1010,A211,'قيود اليومية'!$M$11:$M$1010,"&lt;&gt;OK",'قيود اليومية'!$M$11:$M$1010,"&lt;&gt;فارغ")&gt;0,"✖ خطأ بالحساب",IF(ROUND(SUMIFS('قيود اليومية'!$G$11:$G$1010,'قيود اليومية'!$A$11:$A$1010,A211)-SUMIFS('قيود اليومية'!$H$11:$H$1010,'قيود اليومية'!$A$11:$A$1010,A211),2)&lt;&gt;0,"✖ غير متوازن","مرحل ✔")))</f>
        <v/>
      </c>
      <c r="J211" s="55" t="str">
        <f aca="false">IF(C211="","",IFERROR(INDEX('شجرة الحسابات'!$E$9:$E$208,MATCH(C211,'شجرة الحسابات'!$A$9:$A$208,0))&amp;"",""))</f>
        <v/>
      </c>
      <c r="K211" s="55" t="str">
        <f aca="false">IF(C211="","",IFERROR(INDEX('شجرة الحسابات'!$I$9:$I$208,MATCH(C211,'شجرة الحسابات'!$A$9:$A$208,0))&amp;"",""))</f>
        <v/>
      </c>
      <c r="L211" s="55" t="str">
        <f aca="false">IF(C211="","",IFERROR(INDEX('شجرة الحسابات'!$C$9:$C$208,MATCH(C211,'شجرة الحسابات'!$A$9:$A$208,0))&amp;"",""))</f>
        <v/>
      </c>
      <c r="M211" s="55" t="str">
        <f aca="false">IF(AND(C211="",G211="",H211=""),"فارغ",IF(ISNA(MATCH(C211,'شجرة الحسابات'!$A$9:$A$208,0)),"حساب غير معرف",IF(L211&lt;&gt;"تحليلي","حساب تجميعي",IF(AND(N(G211)&gt;0,N(H211)&gt;0),"مدين ودائن معاً",IF(N(G211)+N(H211)=0,"بدون قيمة","OK")))))</f>
        <v>فارغ</v>
      </c>
      <c r="N211" s="55" t="str">
        <f aca="false">IF(AND(E211&lt;&gt;"",E211='كشف حساب مشروع'!$C$6,I211="مرحل ✔"),COUNTIFS($E$11:E211,'كشف حساب مشروع'!$C$6,$I$11:I211,"مرحل ✔"),"")</f>
        <v/>
      </c>
      <c r="O211" s="55" t="str">
        <f aca="false">IF(AND(C211&lt;&gt;"",C211='دفتر الأستاذ'!$C$6,I211="مرحل ✔"),COUNTIFS($C$11:C211,'دفتر الأستاذ'!$C$6,$I$11:I211,"مرحل ✔"),"")</f>
        <v/>
      </c>
    </row>
    <row r="212" customFormat="false" ht="15" hidden="false" customHeight="false" outlineLevel="0" collapsed="false">
      <c r="A212" s="49"/>
      <c r="B212" s="50"/>
      <c r="C212" s="49"/>
      <c r="D212" s="51" t="str">
        <f aca="false">IF(C212="","",IFERROR(INDEX('شجرة الحسابات'!$B$9:$B$208,MATCH(C212,'شجرة الحسابات'!$A$9:$A$208,0)),"⚠ حساب غير معرف"))</f>
        <v/>
      </c>
      <c r="E212" s="52"/>
      <c r="F212" s="52"/>
      <c r="G212" s="53"/>
      <c r="H212" s="53"/>
      <c r="I212" s="54" t="str">
        <f aca="false">IF(A212="",IF(M212="فارغ","","✖ بدون رقم قيد"),IF(COUNTIFS('قيود اليومية'!$A$11:$A$1010,A212,'قيود اليومية'!$M$11:$M$1010,"&lt;&gt;OK",'قيود اليومية'!$M$11:$M$1010,"&lt;&gt;فارغ")&gt;0,"✖ خطأ بالحساب",IF(ROUND(SUMIFS('قيود اليومية'!$G$11:$G$1010,'قيود اليومية'!$A$11:$A$1010,A212)-SUMIFS('قيود اليومية'!$H$11:$H$1010,'قيود اليومية'!$A$11:$A$1010,A212),2)&lt;&gt;0,"✖ غير متوازن","مرحل ✔")))</f>
        <v/>
      </c>
      <c r="J212" s="55" t="str">
        <f aca="false">IF(C212="","",IFERROR(INDEX('شجرة الحسابات'!$E$9:$E$208,MATCH(C212,'شجرة الحسابات'!$A$9:$A$208,0))&amp;"",""))</f>
        <v/>
      </c>
      <c r="K212" s="55" t="str">
        <f aca="false">IF(C212="","",IFERROR(INDEX('شجرة الحسابات'!$I$9:$I$208,MATCH(C212,'شجرة الحسابات'!$A$9:$A$208,0))&amp;"",""))</f>
        <v/>
      </c>
      <c r="L212" s="55" t="str">
        <f aca="false">IF(C212="","",IFERROR(INDEX('شجرة الحسابات'!$C$9:$C$208,MATCH(C212,'شجرة الحسابات'!$A$9:$A$208,0))&amp;"",""))</f>
        <v/>
      </c>
      <c r="M212" s="55" t="str">
        <f aca="false">IF(AND(C212="",G212="",H212=""),"فارغ",IF(ISNA(MATCH(C212,'شجرة الحسابات'!$A$9:$A$208,0)),"حساب غير معرف",IF(L212&lt;&gt;"تحليلي","حساب تجميعي",IF(AND(N(G212)&gt;0,N(H212)&gt;0),"مدين ودائن معاً",IF(N(G212)+N(H212)=0,"بدون قيمة","OK")))))</f>
        <v>فارغ</v>
      </c>
      <c r="N212" s="55" t="str">
        <f aca="false">IF(AND(E212&lt;&gt;"",E212='كشف حساب مشروع'!$C$6,I212="مرحل ✔"),COUNTIFS($E$11:E212,'كشف حساب مشروع'!$C$6,$I$11:I212,"مرحل ✔"),"")</f>
        <v/>
      </c>
      <c r="O212" s="55" t="str">
        <f aca="false">IF(AND(C212&lt;&gt;"",C212='دفتر الأستاذ'!$C$6,I212="مرحل ✔"),COUNTIFS($C$11:C212,'دفتر الأستاذ'!$C$6,$I$11:I212,"مرحل ✔"),"")</f>
        <v/>
      </c>
    </row>
    <row r="213" customFormat="false" ht="15" hidden="false" customHeight="false" outlineLevel="0" collapsed="false">
      <c r="A213" s="49"/>
      <c r="B213" s="50"/>
      <c r="C213" s="49"/>
      <c r="D213" s="51" t="str">
        <f aca="false">IF(C213="","",IFERROR(INDEX('شجرة الحسابات'!$B$9:$B$208,MATCH(C213,'شجرة الحسابات'!$A$9:$A$208,0)),"⚠ حساب غير معرف"))</f>
        <v/>
      </c>
      <c r="E213" s="52"/>
      <c r="F213" s="52"/>
      <c r="G213" s="53"/>
      <c r="H213" s="53"/>
      <c r="I213" s="54" t="str">
        <f aca="false">IF(A213="",IF(M213="فارغ","","✖ بدون رقم قيد"),IF(COUNTIFS('قيود اليومية'!$A$11:$A$1010,A213,'قيود اليومية'!$M$11:$M$1010,"&lt;&gt;OK",'قيود اليومية'!$M$11:$M$1010,"&lt;&gt;فارغ")&gt;0,"✖ خطأ بالحساب",IF(ROUND(SUMIFS('قيود اليومية'!$G$11:$G$1010,'قيود اليومية'!$A$11:$A$1010,A213)-SUMIFS('قيود اليومية'!$H$11:$H$1010,'قيود اليومية'!$A$11:$A$1010,A213),2)&lt;&gt;0,"✖ غير متوازن","مرحل ✔")))</f>
        <v/>
      </c>
      <c r="J213" s="55" t="str">
        <f aca="false">IF(C213="","",IFERROR(INDEX('شجرة الحسابات'!$E$9:$E$208,MATCH(C213,'شجرة الحسابات'!$A$9:$A$208,0))&amp;"",""))</f>
        <v/>
      </c>
      <c r="K213" s="55" t="str">
        <f aca="false">IF(C213="","",IFERROR(INDEX('شجرة الحسابات'!$I$9:$I$208,MATCH(C213,'شجرة الحسابات'!$A$9:$A$208,0))&amp;"",""))</f>
        <v/>
      </c>
      <c r="L213" s="55" t="str">
        <f aca="false">IF(C213="","",IFERROR(INDEX('شجرة الحسابات'!$C$9:$C$208,MATCH(C213,'شجرة الحسابات'!$A$9:$A$208,0))&amp;"",""))</f>
        <v/>
      </c>
      <c r="M213" s="55" t="str">
        <f aca="false">IF(AND(C213="",G213="",H213=""),"فارغ",IF(ISNA(MATCH(C213,'شجرة الحسابات'!$A$9:$A$208,0)),"حساب غير معرف",IF(L213&lt;&gt;"تحليلي","حساب تجميعي",IF(AND(N(G213)&gt;0,N(H213)&gt;0),"مدين ودائن معاً",IF(N(G213)+N(H213)=0,"بدون قيمة","OK")))))</f>
        <v>فارغ</v>
      </c>
      <c r="N213" s="55" t="str">
        <f aca="false">IF(AND(E213&lt;&gt;"",E213='كشف حساب مشروع'!$C$6,I213="مرحل ✔"),COUNTIFS($E$11:E213,'كشف حساب مشروع'!$C$6,$I$11:I213,"مرحل ✔"),"")</f>
        <v/>
      </c>
      <c r="O213" s="55" t="str">
        <f aca="false">IF(AND(C213&lt;&gt;"",C213='دفتر الأستاذ'!$C$6,I213="مرحل ✔"),COUNTIFS($C$11:C213,'دفتر الأستاذ'!$C$6,$I$11:I213,"مرحل ✔"),"")</f>
        <v/>
      </c>
    </row>
    <row r="214" customFormat="false" ht="15" hidden="false" customHeight="false" outlineLevel="0" collapsed="false">
      <c r="A214" s="49"/>
      <c r="B214" s="50"/>
      <c r="C214" s="49"/>
      <c r="D214" s="51" t="str">
        <f aca="false">IF(C214="","",IFERROR(INDEX('شجرة الحسابات'!$B$9:$B$208,MATCH(C214,'شجرة الحسابات'!$A$9:$A$208,0)),"⚠ حساب غير معرف"))</f>
        <v/>
      </c>
      <c r="E214" s="52"/>
      <c r="F214" s="52"/>
      <c r="G214" s="53"/>
      <c r="H214" s="53"/>
      <c r="I214" s="54" t="str">
        <f aca="false">IF(A214="",IF(M214="فارغ","","✖ بدون رقم قيد"),IF(COUNTIFS('قيود اليومية'!$A$11:$A$1010,A214,'قيود اليومية'!$M$11:$M$1010,"&lt;&gt;OK",'قيود اليومية'!$M$11:$M$1010,"&lt;&gt;فارغ")&gt;0,"✖ خطأ بالحساب",IF(ROUND(SUMIFS('قيود اليومية'!$G$11:$G$1010,'قيود اليومية'!$A$11:$A$1010,A214)-SUMIFS('قيود اليومية'!$H$11:$H$1010,'قيود اليومية'!$A$11:$A$1010,A214),2)&lt;&gt;0,"✖ غير متوازن","مرحل ✔")))</f>
        <v/>
      </c>
      <c r="J214" s="55" t="str">
        <f aca="false">IF(C214="","",IFERROR(INDEX('شجرة الحسابات'!$E$9:$E$208,MATCH(C214,'شجرة الحسابات'!$A$9:$A$208,0))&amp;"",""))</f>
        <v/>
      </c>
      <c r="K214" s="55" t="str">
        <f aca="false">IF(C214="","",IFERROR(INDEX('شجرة الحسابات'!$I$9:$I$208,MATCH(C214,'شجرة الحسابات'!$A$9:$A$208,0))&amp;"",""))</f>
        <v/>
      </c>
      <c r="L214" s="55" t="str">
        <f aca="false">IF(C214="","",IFERROR(INDEX('شجرة الحسابات'!$C$9:$C$208,MATCH(C214,'شجرة الحسابات'!$A$9:$A$208,0))&amp;"",""))</f>
        <v/>
      </c>
      <c r="M214" s="55" t="str">
        <f aca="false">IF(AND(C214="",G214="",H214=""),"فارغ",IF(ISNA(MATCH(C214,'شجرة الحسابات'!$A$9:$A$208,0)),"حساب غير معرف",IF(L214&lt;&gt;"تحليلي","حساب تجميعي",IF(AND(N(G214)&gt;0,N(H214)&gt;0),"مدين ودائن معاً",IF(N(G214)+N(H214)=0,"بدون قيمة","OK")))))</f>
        <v>فارغ</v>
      </c>
      <c r="N214" s="55" t="str">
        <f aca="false">IF(AND(E214&lt;&gt;"",E214='كشف حساب مشروع'!$C$6,I214="مرحل ✔"),COUNTIFS($E$11:E214,'كشف حساب مشروع'!$C$6,$I$11:I214,"مرحل ✔"),"")</f>
        <v/>
      </c>
      <c r="O214" s="55" t="str">
        <f aca="false">IF(AND(C214&lt;&gt;"",C214='دفتر الأستاذ'!$C$6,I214="مرحل ✔"),COUNTIFS($C$11:C214,'دفتر الأستاذ'!$C$6,$I$11:I214,"مرحل ✔"),"")</f>
        <v/>
      </c>
    </row>
    <row r="215" customFormat="false" ht="15" hidden="false" customHeight="false" outlineLevel="0" collapsed="false">
      <c r="A215" s="49"/>
      <c r="B215" s="50"/>
      <c r="C215" s="49"/>
      <c r="D215" s="51" t="str">
        <f aca="false">IF(C215="","",IFERROR(INDEX('شجرة الحسابات'!$B$9:$B$208,MATCH(C215,'شجرة الحسابات'!$A$9:$A$208,0)),"⚠ حساب غير معرف"))</f>
        <v/>
      </c>
      <c r="E215" s="52"/>
      <c r="F215" s="52"/>
      <c r="G215" s="53"/>
      <c r="H215" s="53"/>
      <c r="I215" s="54" t="str">
        <f aca="false">IF(A215="",IF(M215="فارغ","","✖ بدون رقم قيد"),IF(COUNTIFS('قيود اليومية'!$A$11:$A$1010,A215,'قيود اليومية'!$M$11:$M$1010,"&lt;&gt;OK",'قيود اليومية'!$M$11:$M$1010,"&lt;&gt;فارغ")&gt;0,"✖ خطأ بالحساب",IF(ROUND(SUMIFS('قيود اليومية'!$G$11:$G$1010,'قيود اليومية'!$A$11:$A$1010,A215)-SUMIFS('قيود اليومية'!$H$11:$H$1010,'قيود اليومية'!$A$11:$A$1010,A215),2)&lt;&gt;0,"✖ غير متوازن","مرحل ✔")))</f>
        <v/>
      </c>
      <c r="J215" s="55" t="str">
        <f aca="false">IF(C215="","",IFERROR(INDEX('شجرة الحسابات'!$E$9:$E$208,MATCH(C215,'شجرة الحسابات'!$A$9:$A$208,0))&amp;"",""))</f>
        <v/>
      </c>
      <c r="K215" s="55" t="str">
        <f aca="false">IF(C215="","",IFERROR(INDEX('شجرة الحسابات'!$I$9:$I$208,MATCH(C215,'شجرة الحسابات'!$A$9:$A$208,0))&amp;"",""))</f>
        <v/>
      </c>
      <c r="L215" s="55" t="str">
        <f aca="false">IF(C215="","",IFERROR(INDEX('شجرة الحسابات'!$C$9:$C$208,MATCH(C215,'شجرة الحسابات'!$A$9:$A$208,0))&amp;"",""))</f>
        <v/>
      </c>
      <c r="M215" s="55" t="str">
        <f aca="false">IF(AND(C215="",G215="",H215=""),"فارغ",IF(ISNA(MATCH(C215,'شجرة الحسابات'!$A$9:$A$208,0)),"حساب غير معرف",IF(L215&lt;&gt;"تحليلي","حساب تجميعي",IF(AND(N(G215)&gt;0,N(H215)&gt;0),"مدين ودائن معاً",IF(N(G215)+N(H215)=0,"بدون قيمة","OK")))))</f>
        <v>فارغ</v>
      </c>
      <c r="N215" s="55" t="str">
        <f aca="false">IF(AND(E215&lt;&gt;"",E215='كشف حساب مشروع'!$C$6,I215="مرحل ✔"),COUNTIFS($E$11:E215,'كشف حساب مشروع'!$C$6,$I$11:I215,"مرحل ✔"),"")</f>
        <v/>
      </c>
      <c r="O215" s="55" t="str">
        <f aca="false">IF(AND(C215&lt;&gt;"",C215='دفتر الأستاذ'!$C$6,I215="مرحل ✔"),COUNTIFS($C$11:C215,'دفتر الأستاذ'!$C$6,$I$11:I215,"مرحل ✔"),"")</f>
        <v/>
      </c>
    </row>
    <row r="216" customFormat="false" ht="15" hidden="false" customHeight="false" outlineLevel="0" collapsed="false">
      <c r="A216" s="49"/>
      <c r="B216" s="50"/>
      <c r="C216" s="49"/>
      <c r="D216" s="51" t="str">
        <f aca="false">IF(C216="","",IFERROR(INDEX('شجرة الحسابات'!$B$9:$B$208,MATCH(C216,'شجرة الحسابات'!$A$9:$A$208,0)),"⚠ حساب غير معرف"))</f>
        <v/>
      </c>
      <c r="E216" s="52"/>
      <c r="F216" s="52"/>
      <c r="G216" s="53"/>
      <c r="H216" s="53"/>
      <c r="I216" s="54" t="str">
        <f aca="false">IF(A216="",IF(M216="فارغ","","✖ بدون رقم قيد"),IF(COUNTIFS('قيود اليومية'!$A$11:$A$1010,A216,'قيود اليومية'!$M$11:$M$1010,"&lt;&gt;OK",'قيود اليومية'!$M$11:$M$1010,"&lt;&gt;فارغ")&gt;0,"✖ خطأ بالحساب",IF(ROUND(SUMIFS('قيود اليومية'!$G$11:$G$1010,'قيود اليومية'!$A$11:$A$1010,A216)-SUMIFS('قيود اليومية'!$H$11:$H$1010,'قيود اليومية'!$A$11:$A$1010,A216),2)&lt;&gt;0,"✖ غير متوازن","مرحل ✔")))</f>
        <v/>
      </c>
      <c r="J216" s="55" t="str">
        <f aca="false">IF(C216="","",IFERROR(INDEX('شجرة الحسابات'!$E$9:$E$208,MATCH(C216,'شجرة الحسابات'!$A$9:$A$208,0))&amp;"",""))</f>
        <v/>
      </c>
      <c r="K216" s="55" t="str">
        <f aca="false">IF(C216="","",IFERROR(INDEX('شجرة الحسابات'!$I$9:$I$208,MATCH(C216,'شجرة الحسابات'!$A$9:$A$208,0))&amp;"",""))</f>
        <v/>
      </c>
      <c r="L216" s="55" t="str">
        <f aca="false">IF(C216="","",IFERROR(INDEX('شجرة الحسابات'!$C$9:$C$208,MATCH(C216,'شجرة الحسابات'!$A$9:$A$208,0))&amp;"",""))</f>
        <v/>
      </c>
      <c r="M216" s="55" t="str">
        <f aca="false">IF(AND(C216="",G216="",H216=""),"فارغ",IF(ISNA(MATCH(C216,'شجرة الحسابات'!$A$9:$A$208,0)),"حساب غير معرف",IF(L216&lt;&gt;"تحليلي","حساب تجميعي",IF(AND(N(G216)&gt;0,N(H216)&gt;0),"مدين ودائن معاً",IF(N(G216)+N(H216)=0,"بدون قيمة","OK")))))</f>
        <v>فارغ</v>
      </c>
      <c r="N216" s="55" t="str">
        <f aca="false">IF(AND(E216&lt;&gt;"",E216='كشف حساب مشروع'!$C$6,I216="مرحل ✔"),COUNTIFS($E$11:E216,'كشف حساب مشروع'!$C$6,$I$11:I216,"مرحل ✔"),"")</f>
        <v/>
      </c>
      <c r="O216" s="55" t="str">
        <f aca="false">IF(AND(C216&lt;&gt;"",C216='دفتر الأستاذ'!$C$6,I216="مرحل ✔"),COUNTIFS($C$11:C216,'دفتر الأستاذ'!$C$6,$I$11:I216,"مرحل ✔"),"")</f>
        <v/>
      </c>
    </row>
    <row r="217" customFormat="false" ht="15" hidden="false" customHeight="false" outlineLevel="0" collapsed="false">
      <c r="A217" s="49"/>
      <c r="B217" s="50"/>
      <c r="C217" s="49"/>
      <c r="D217" s="51" t="str">
        <f aca="false">IF(C217="","",IFERROR(INDEX('شجرة الحسابات'!$B$9:$B$208,MATCH(C217,'شجرة الحسابات'!$A$9:$A$208,0)),"⚠ حساب غير معرف"))</f>
        <v/>
      </c>
      <c r="E217" s="52"/>
      <c r="F217" s="52"/>
      <c r="G217" s="53"/>
      <c r="H217" s="53"/>
      <c r="I217" s="54" t="str">
        <f aca="false">IF(A217="",IF(M217="فارغ","","✖ بدون رقم قيد"),IF(COUNTIFS('قيود اليومية'!$A$11:$A$1010,A217,'قيود اليومية'!$M$11:$M$1010,"&lt;&gt;OK",'قيود اليومية'!$M$11:$M$1010,"&lt;&gt;فارغ")&gt;0,"✖ خطأ بالحساب",IF(ROUND(SUMIFS('قيود اليومية'!$G$11:$G$1010,'قيود اليومية'!$A$11:$A$1010,A217)-SUMIFS('قيود اليومية'!$H$11:$H$1010,'قيود اليومية'!$A$11:$A$1010,A217),2)&lt;&gt;0,"✖ غير متوازن","مرحل ✔")))</f>
        <v/>
      </c>
      <c r="J217" s="55" t="str">
        <f aca="false">IF(C217="","",IFERROR(INDEX('شجرة الحسابات'!$E$9:$E$208,MATCH(C217,'شجرة الحسابات'!$A$9:$A$208,0))&amp;"",""))</f>
        <v/>
      </c>
      <c r="K217" s="55" t="str">
        <f aca="false">IF(C217="","",IFERROR(INDEX('شجرة الحسابات'!$I$9:$I$208,MATCH(C217,'شجرة الحسابات'!$A$9:$A$208,0))&amp;"",""))</f>
        <v/>
      </c>
      <c r="L217" s="55" t="str">
        <f aca="false">IF(C217="","",IFERROR(INDEX('شجرة الحسابات'!$C$9:$C$208,MATCH(C217,'شجرة الحسابات'!$A$9:$A$208,0))&amp;"",""))</f>
        <v/>
      </c>
      <c r="M217" s="55" t="str">
        <f aca="false">IF(AND(C217="",G217="",H217=""),"فارغ",IF(ISNA(MATCH(C217,'شجرة الحسابات'!$A$9:$A$208,0)),"حساب غير معرف",IF(L217&lt;&gt;"تحليلي","حساب تجميعي",IF(AND(N(G217)&gt;0,N(H217)&gt;0),"مدين ودائن معاً",IF(N(G217)+N(H217)=0,"بدون قيمة","OK")))))</f>
        <v>فارغ</v>
      </c>
      <c r="N217" s="55" t="str">
        <f aca="false">IF(AND(E217&lt;&gt;"",E217='كشف حساب مشروع'!$C$6,I217="مرحل ✔"),COUNTIFS($E$11:E217,'كشف حساب مشروع'!$C$6,$I$11:I217,"مرحل ✔"),"")</f>
        <v/>
      </c>
      <c r="O217" s="55" t="str">
        <f aca="false">IF(AND(C217&lt;&gt;"",C217='دفتر الأستاذ'!$C$6,I217="مرحل ✔"),COUNTIFS($C$11:C217,'دفتر الأستاذ'!$C$6,$I$11:I217,"مرحل ✔"),"")</f>
        <v/>
      </c>
    </row>
    <row r="218" customFormat="false" ht="15" hidden="false" customHeight="false" outlineLevel="0" collapsed="false">
      <c r="A218" s="49"/>
      <c r="B218" s="50"/>
      <c r="C218" s="49"/>
      <c r="D218" s="51" t="str">
        <f aca="false">IF(C218="","",IFERROR(INDEX('شجرة الحسابات'!$B$9:$B$208,MATCH(C218,'شجرة الحسابات'!$A$9:$A$208,0)),"⚠ حساب غير معرف"))</f>
        <v/>
      </c>
      <c r="E218" s="52"/>
      <c r="F218" s="52"/>
      <c r="G218" s="53"/>
      <c r="H218" s="53"/>
      <c r="I218" s="54" t="str">
        <f aca="false">IF(A218="",IF(M218="فارغ","","✖ بدون رقم قيد"),IF(COUNTIFS('قيود اليومية'!$A$11:$A$1010,A218,'قيود اليومية'!$M$11:$M$1010,"&lt;&gt;OK",'قيود اليومية'!$M$11:$M$1010,"&lt;&gt;فارغ")&gt;0,"✖ خطأ بالحساب",IF(ROUND(SUMIFS('قيود اليومية'!$G$11:$G$1010,'قيود اليومية'!$A$11:$A$1010,A218)-SUMIFS('قيود اليومية'!$H$11:$H$1010,'قيود اليومية'!$A$11:$A$1010,A218),2)&lt;&gt;0,"✖ غير متوازن","مرحل ✔")))</f>
        <v/>
      </c>
      <c r="J218" s="55" t="str">
        <f aca="false">IF(C218="","",IFERROR(INDEX('شجرة الحسابات'!$E$9:$E$208,MATCH(C218,'شجرة الحسابات'!$A$9:$A$208,0))&amp;"",""))</f>
        <v/>
      </c>
      <c r="K218" s="55" t="str">
        <f aca="false">IF(C218="","",IFERROR(INDEX('شجرة الحسابات'!$I$9:$I$208,MATCH(C218,'شجرة الحسابات'!$A$9:$A$208,0))&amp;"",""))</f>
        <v/>
      </c>
      <c r="L218" s="55" t="str">
        <f aca="false">IF(C218="","",IFERROR(INDEX('شجرة الحسابات'!$C$9:$C$208,MATCH(C218,'شجرة الحسابات'!$A$9:$A$208,0))&amp;"",""))</f>
        <v/>
      </c>
      <c r="M218" s="55" t="str">
        <f aca="false">IF(AND(C218="",G218="",H218=""),"فارغ",IF(ISNA(MATCH(C218,'شجرة الحسابات'!$A$9:$A$208,0)),"حساب غير معرف",IF(L218&lt;&gt;"تحليلي","حساب تجميعي",IF(AND(N(G218)&gt;0,N(H218)&gt;0),"مدين ودائن معاً",IF(N(G218)+N(H218)=0,"بدون قيمة","OK")))))</f>
        <v>فارغ</v>
      </c>
      <c r="N218" s="55" t="str">
        <f aca="false">IF(AND(E218&lt;&gt;"",E218='كشف حساب مشروع'!$C$6,I218="مرحل ✔"),COUNTIFS($E$11:E218,'كشف حساب مشروع'!$C$6,$I$11:I218,"مرحل ✔"),"")</f>
        <v/>
      </c>
      <c r="O218" s="55" t="str">
        <f aca="false">IF(AND(C218&lt;&gt;"",C218='دفتر الأستاذ'!$C$6,I218="مرحل ✔"),COUNTIFS($C$11:C218,'دفتر الأستاذ'!$C$6,$I$11:I218,"مرحل ✔"),"")</f>
        <v/>
      </c>
    </row>
    <row r="219" customFormat="false" ht="15" hidden="false" customHeight="false" outlineLevel="0" collapsed="false">
      <c r="A219" s="49"/>
      <c r="B219" s="50"/>
      <c r="C219" s="49"/>
      <c r="D219" s="51" t="str">
        <f aca="false">IF(C219="","",IFERROR(INDEX('شجرة الحسابات'!$B$9:$B$208,MATCH(C219,'شجرة الحسابات'!$A$9:$A$208,0)),"⚠ حساب غير معرف"))</f>
        <v/>
      </c>
      <c r="E219" s="52"/>
      <c r="F219" s="52"/>
      <c r="G219" s="53"/>
      <c r="H219" s="53"/>
      <c r="I219" s="54" t="str">
        <f aca="false">IF(A219="",IF(M219="فارغ","","✖ بدون رقم قيد"),IF(COUNTIFS('قيود اليومية'!$A$11:$A$1010,A219,'قيود اليومية'!$M$11:$M$1010,"&lt;&gt;OK",'قيود اليومية'!$M$11:$M$1010,"&lt;&gt;فارغ")&gt;0,"✖ خطأ بالحساب",IF(ROUND(SUMIFS('قيود اليومية'!$G$11:$G$1010,'قيود اليومية'!$A$11:$A$1010,A219)-SUMIFS('قيود اليومية'!$H$11:$H$1010,'قيود اليومية'!$A$11:$A$1010,A219),2)&lt;&gt;0,"✖ غير متوازن","مرحل ✔")))</f>
        <v/>
      </c>
      <c r="J219" s="55" t="str">
        <f aca="false">IF(C219="","",IFERROR(INDEX('شجرة الحسابات'!$E$9:$E$208,MATCH(C219,'شجرة الحسابات'!$A$9:$A$208,0))&amp;"",""))</f>
        <v/>
      </c>
      <c r="K219" s="55" t="str">
        <f aca="false">IF(C219="","",IFERROR(INDEX('شجرة الحسابات'!$I$9:$I$208,MATCH(C219,'شجرة الحسابات'!$A$9:$A$208,0))&amp;"",""))</f>
        <v/>
      </c>
      <c r="L219" s="55" t="str">
        <f aca="false">IF(C219="","",IFERROR(INDEX('شجرة الحسابات'!$C$9:$C$208,MATCH(C219,'شجرة الحسابات'!$A$9:$A$208,0))&amp;"",""))</f>
        <v/>
      </c>
      <c r="M219" s="55" t="str">
        <f aca="false">IF(AND(C219="",G219="",H219=""),"فارغ",IF(ISNA(MATCH(C219,'شجرة الحسابات'!$A$9:$A$208,0)),"حساب غير معرف",IF(L219&lt;&gt;"تحليلي","حساب تجميعي",IF(AND(N(G219)&gt;0,N(H219)&gt;0),"مدين ودائن معاً",IF(N(G219)+N(H219)=0,"بدون قيمة","OK")))))</f>
        <v>فارغ</v>
      </c>
      <c r="N219" s="55" t="str">
        <f aca="false">IF(AND(E219&lt;&gt;"",E219='كشف حساب مشروع'!$C$6,I219="مرحل ✔"),COUNTIFS($E$11:E219,'كشف حساب مشروع'!$C$6,$I$11:I219,"مرحل ✔"),"")</f>
        <v/>
      </c>
      <c r="O219" s="55" t="str">
        <f aca="false">IF(AND(C219&lt;&gt;"",C219='دفتر الأستاذ'!$C$6,I219="مرحل ✔"),COUNTIFS($C$11:C219,'دفتر الأستاذ'!$C$6,$I$11:I219,"مرحل ✔"),"")</f>
        <v/>
      </c>
    </row>
    <row r="220" customFormat="false" ht="15" hidden="false" customHeight="false" outlineLevel="0" collapsed="false">
      <c r="A220" s="49"/>
      <c r="B220" s="50"/>
      <c r="C220" s="49"/>
      <c r="D220" s="51" t="str">
        <f aca="false">IF(C220="","",IFERROR(INDEX('شجرة الحسابات'!$B$9:$B$208,MATCH(C220,'شجرة الحسابات'!$A$9:$A$208,0)),"⚠ حساب غير معرف"))</f>
        <v/>
      </c>
      <c r="E220" s="52"/>
      <c r="F220" s="52"/>
      <c r="G220" s="53"/>
      <c r="H220" s="53"/>
      <c r="I220" s="54" t="str">
        <f aca="false">IF(A220="",IF(M220="فارغ","","✖ بدون رقم قيد"),IF(COUNTIFS('قيود اليومية'!$A$11:$A$1010,A220,'قيود اليومية'!$M$11:$M$1010,"&lt;&gt;OK",'قيود اليومية'!$M$11:$M$1010,"&lt;&gt;فارغ")&gt;0,"✖ خطأ بالحساب",IF(ROUND(SUMIFS('قيود اليومية'!$G$11:$G$1010,'قيود اليومية'!$A$11:$A$1010,A220)-SUMIFS('قيود اليومية'!$H$11:$H$1010,'قيود اليومية'!$A$11:$A$1010,A220),2)&lt;&gt;0,"✖ غير متوازن","مرحل ✔")))</f>
        <v/>
      </c>
      <c r="J220" s="55" t="str">
        <f aca="false">IF(C220="","",IFERROR(INDEX('شجرة الحسابات'!$E$9:$E$208,MATCH(C220,'شجرة الحسابات'!$A$9:$A$208,0))&amp;"",""))</f>
        <v/>
      </c>
      <c r="K220" s="55" t="str">
        <f aca="false">IF(C220="","",IFERROR(INDEX('شجرة الحسابات'!$I$9:$I$208,MATCH(C220,'شجرة الحسابات'!$A$9:$A$208,0))&amp;"",""))</f>
        <v/>
      </c>
      <c r="L220" s="55" t="str">
        <f aca="false">IF(C220="","",IFERROR(INDEX('شجرة الحسابات'!$C$9:$C$208,MATCH(C220,'شجرة الحسابات'!$A$9:$A$208,0))&amp;"",""))</f>
        <v/>
      </c>
      <c r="M220" s="55" t="str">
        <f aca="false">IF(AND(C220="",G220="",H220=""),"فارغ",IF(ISNA(MATCH(C220,'شجرة الحسابات'!$A$9:$A$208,0)),"حساب غير معرف",IF(L220&lt;&gt;"تحليلي","حساب تجميعي",IF(AND(N(G220)&gt;0,N(H220)&gt;0),"مدين ودائن معاً",IF(N(G220)+N(H220)=0,"بدون قيمة","OK")))))</f>
        <v>فارغ</v>
      </c>
      <c r="N220" s="55" t="str">
        <f aca="false">IF(AND(E220&lt;&gt;"",E220='كشف حساب مشروع'!$C$6,I220="مرحل ✔"),COUNTIFS($E$11:E220,'كشف حساب مشروع'!$C$6,$I$11:I220,"مرحل ✔"),"")</f>
        <v/>
      </c>
      <c r="O220" s="55" t="str">
        <f aca="false">IF(AND(C220&lt;&gt;"",C220='دفتر الأستاذ'!$C$6,I220="مرحل ✔"),COUNTIFS($C$11:C220,'دفتر الأستاذ'!$C$6,$I$11:I220,"مرحل ✔"),"")</f>
        <v/>
      </c>
    </row>
    <row r="221" customFormat="false" ht="15" hidden="false" customHeight="false" outlineLevel="0" collapsed="false">
      <c r="A221" s="49"/>
      <c r="B221" s="50"/>
      <c r="C221" s="49"/>
      <c r="D221" s="51" t="str">
        <f aca="false">IF(C221="","",IFERROR(INDEX('شجرة الحسابات'!$B$9:$B$208,MATCH(C221,'شجرة الحسابات'!$A$9:$A$208,0)),"⚠ حساب غير معرف"))</f>
        <v/>
      </c>
      <c r="E221" s="52"/>
      <c r="F221" s="52"/>
      <c r="G221" s="53"/>
      <c r="H221" s="53"/>
      <c r="I221" s="54" t="str">
        <f aca="false">IF(A221="",IF(M221="فارغ","","✖ بدون رقم قيد"),IF(COUNTIFS('قيود اليومية'!$A$11:$A$1010,A221,'قيود اليومية'!$M$11:$M$1010,"&lt;&gt;OK",'قيود اليومية'!$M$11:$M$1010,"&lt;&gt;فارغ")&gt;0,"✖ خطأ بالحساب",IF(ROUND(SUMIFS('قيود اليومية'!$G$11:$G$1010,'قيود اليومية'!$A$11:$A$1010,A221)-SUMIFS('قيود اليومية'!$H$11:$H$1010,'قيود اليومية'!$A$11:$A$1010,A221),2)&lt;&gt;0,"✖ غير متوازن","مرحل ✔")))</f>
        <v/>
      </c>
      <c r="J221" s="55" t="str">
        <f aca="false">IF(C221="","",IFERROR(INDEX('شجرة الحسابات'!$E$9:$E$208,MATCH(C221,'شجرة الحسابات'!$A$9:$A$208,0))&amp;"",""))</f>
        <v/>
      </c>
      <c r="K221" s="55" t="str">
        <f aca="false">IF(C221="","",IFERROR(INDEX('شجرة الحسابات'!$I$9:$I$208,MATCH(C221,'شجرة الحسابات'!$A$9:$A$208,0))&amp;"",""))</f>
        <v/>
      </c>
      <c r="L221" s="55" t="str">
        <f aca="false">IF(C221="","",IFERROR(INDEX('شجرة الحسابات'!$C$9:$C$208,MATCH(C221,'شجرة الحسابات'!$A$9:$A$208,0))&amp;"",""))</f>
        <v/>
      </c>
      <c r="M221" s="55" t="str">
        <f aca="false">IF(AND(C221="",G221="",H221=""),"فارغ",IF(ISNA(MATCH(C221,'شجرة الحسابات'!$A$9:$A$208,0)),"حساب غير معرف",IF(L221&lt;&gt;"تحليلي","حساب تجميعي",IF(AND(N(G221)&gt;0,N(H221)&gt;0),"مدين ودائن معاً",IF(N(G221)+N(H221)=0,"بدون قيمة","OK")))))</f>
        <v>فارغ</v>
      </c>
      <c r="N221" s="55" t="str">
        <f aca="false">IF(AND(E221&lt;&gt;"",E221='كشف حساب مشروع'!$C$6,I221="مرحل ✔"),COUNTIFS($E$11:E221,'كشف حساب مشروع'!$C$6,$I$11:I221,"مرحل ✔"),"")</f>
        <v/>
      </c>
      <c r="O221" s="55" t="str">
        <f aca="false">IF(AND(C221&lt;&gt;"",C221='دفتر الأستاذ'!$C$6,I221="مرحل ✔"),COUNTIFS($C$11:C221,'دفتر الأستاذ'!$C$6,$I$11:I221,"مرحل ✔"),"")</f>
        <v/>
      </c>
    </row>
    <row r="222" customFormat="false" ht="15" hidden="false" customHeight="false" outlineLevel="0" collapsed="false">
      <c r="A222" s="49"/>
      <c r="B222" s="50"/>
      <c r="C222" s="49"/>
      <c r="D222" s="51" t="str">
        <f aca="false">IF(C222="","",IFERROR(INDEX('شجرة الحسابات'!$B$9:$B$208,MATCH(C222,'شجرة الحسابات'!$A$9:$A$208,0)),"⚠ حساب غير معرف"))</f>
        <v/>
      </c>
      <c r="E222" s="52"/>
      <c r="F222" s="52"/>
      <c r="G222" s="53"/>
      <c r="H222" s="53"/>
      <c r="I222" s="54" t="str">
        <f aca="false">IF(A222="",IF(M222="فارغ","","✖ بدون رقم قيد"),IF(COUNTIFS('قيود اليومية'!$A$11:$A$1010,A222,'قيود اليومية'!$M$11:$M$1010,"&lt;&gt;OK",'قيود اليومية'!$M$11:$M$1010,"&lt;&gt;فارغ")&gt;0,"✖ خطأ بالحساب",IF(ROUND(SUMIFS('قيود اليومية'!$G$11:$G$1010,'قيود اليومية'!$A$11:$A$1010,A222)-SUMIFS('قيود اليومية'!$H$11:$H$1010,'قيود اليومية'!$A$11:$A$1010,A222),2)&lt;&gt;0,"✖ غير متوازن","مرحل ✔")))</f>
        <v/>
      </c>
      <c r="J222" s="55" t="str">
        <f aca="false">IF(C222="","",IFERROR(INDEX('شجرة الحسابات'!$E$9:$E$208,MATCH(C222,'شجرة الحسابات'!$A$9:$A$208,0))&amp;"",""))</f>
        <v/>
      </c>
      <c r="K222" s="55" t="str">
        <f aca="false">IF(C222="","",IFERROR(INDEX('شجرة الحسابات'!$I$9:$I$208,MATCH(C222,'شجرة الحسابات'!$A$9:$A$208,0))&amp;"",""))</f>
        <v/>
      </c>
      <c r="L222" s="55" t="str">
        <f aca="false">IF(C222="","",IFERROR(INDEX('شجرة الحسابات'!$C$9:$C$208,MATCH(C222,'شجرة الحسابات'!$A$9:$A$208,0))&amp;"",""))</f>
        <v/>
      </c>
      <c r="M222" s="55" t="str">
        <f aca="false">IF(AND(C222="",G222="",H222=""),"فارغ",IF(ISNA(MATCH(C222,'شجرة الحسابات'!$A$9:$A$208,0)),"حساب غير معرف",IF(L222&lt;&gt;"تحليلي","حساب تجميعي",IF(AND(N(G222)&gt;0,N(H222)&gt;0),"مدين ودائن معاً",IF(N(G222)+N(H222)=0,"بدون قيمة","OK")))))</f>
        <v>فارغ</v>
      </c>
      <c r="N222" s="55" t="str">
        <f aca="false">IF(AND(E222&lt;&gt;"",E222='كشف حساب مشروع'!$C$6,I222="مرحل ✔"),COUNTIFS($E$11:E222,'كشف حساب مشروع'!$C$6,$I$11:I222,"مرحل ✔"),"")</f>
        <v/>
      </c>
      <c r="O222" s="55" t="str">
        <f aca="false">IF(AND(C222&lt;&gt;"",C222='دفتر الأستاذ'!$C$6,I222="مرحل ✔"),COUNTIFS($C$11:C222,'دفتر الأستاذ'!$C$6,$I$11:I222,"مرحل ✔"),"")</f>
        <v/>
      </c>
    </row>
    <row r="223" customFormat="false" ht="15" hidden="false" customHeight="false" outlineLevel="0" collapsed="false">
      <c r="A223" s="49"/>
      <c r="B223" s="50"/>
      <c r="C223" s="49"/>
      <c r="D223" s="51" t="str">
        <f aca="false">IF(C223="","",IFERROR(INDEX('شجرة الحسابات'!$B$9:$B$208,MATCH(C223,'شجرة الحسابات'!$A$9:$A$208,0)),"⚠ حساب غير معرف"))</f>
        <v/>
      </c>
      <c r="E223" s="52"/>
      <c r="F223" s="52"/>
      <c r="G223" s="53"/>
      <c r="H223" s="53"/>
      <c r="I223" s="54" t="str">
        <f aca="false">IF(A223="",IF(M223="فارغ","","✖ بدون رقم قيد"),IF(COUNTIFS('قيود اليومية'!$A$11:$A$1010,A223,'قيود اليومية'!$M$11:$M$1010,"&lt;&gt;OK",'قيود اليومية'!$M$11:$M$1010,"&lt;&gt;فارغ")&gt;0,"✖ خطأ بالحساب",IF(ROUND(SUMIFS('قيود اليومية'!$G$11:$G$1010,'قيود اليومية'!$A$11:$A$1010,A223)-SUMIFS('قيود اليومية'!$H$11:$H$1010,'قيود اليومية'!$A$11:$A$1010,A223),2)&lt;&gt;0,"✖ غير متوازن","مرحل ✔")))</f>
        <v/>
      </c>
      <c r="J223" s="55" t="str">
        <f aca="false">IF(C223="","",IFERROR(INDEX('شجرة الحسابات'!$E$9:$E$208,MATCH(C223,'شجرة الحسابات'!$A$9:$A$208,0))&amp;"",""))</f>
        <v/>
      </c>
      <c r="K223" s="55" t="str">
        <f aca="false">IF(C223="","",IFERROR(INDEX('شجرة الحسابات'!$I$9:$I$208,MATCH(C223,'شجرة الحسابات'!$A$9:$A$208,0))&amp;"",""))</f>
        <v/>
      </c>
      <c r="L223" s="55" t="str">
        <f aca="false">IF(C223="","",IFERROR(INDEX('شجرة الحسابات'!$C$9:$C$208,MATCH(C223,'شجرة الحسابات'!$A$9:$A$208,0))&amp;"",""))</f>
        <v/>
      </c>
      <c r="M223" s="55" t="str">
        <f aca="false">IF(AND(C223="",G223="",H223=""),"فارغ",IF(ISNA(MATCH(C223,'شجرة الحسابات'!$A$9:$A$208,0)),"حساب غير معرف",IF(L223&lt;&gt;"تحليلي","حساب تجميعي",IF(AND(N(G223)&gt;0,N(H223)&gt;0),"مدين ودائن معاً",IF(N(G223)+N(H223)=0,"بدون قيمة","OK")))))</f>
        <v>فارغ</v>
      </c>
      <c r="N223" s="55" t="str">
        <f aca="false">IF(AND(E223&lt;&gt;"",E223='كشف حساب مشروع'!$C$6,I223="مرحل ✔"),COUNTIFS($E$11:E223,'كشف حساب مشروع'!$C$6,$I$11:I223,"مرحل ✔"),"")</f>
        <v/>
      </c>
      <c r="O223" s="55" t="str">
        <f aca="false">IF(AND(C223&lt;&gt;"",C223='دفتر الأستاذ'!$C$6,I223="مرحل ✔"),COUNTIFS($C$11:C223,'دفتر الأستاذ'!$C$6,$I$11:I223,"مرحل ✔"),"")</f>
        <v/>
      </c>
    </row>
    <row r="224" customFormat="false" ht="15" hidden="false" customHeight="false" outlineLevel="0" collapsed="false">
      <c r="A224" s="49"/>
      <c r="B224" s="50"/>
      <c r="C224" s="49"/>
      <c r="D224" s="51" t="str">
        <f aca="false">IF(C224="","",IFERROR(INDEX('شجرة الحسابات'!$B$9:$B$208,MATCH(C224,'شجرة الحسابات'!$A$9:$A$208,0)),"⚠ حساب غير معرف"))</f>
        <v/>
      </c>
      <c r="E224" s="52"/>
      <c r="F224" s="52"/>
      <c r="G224" s="53"/>
      <c r="H224" s="53"/>
      <c r="I224" s="54" t="str">
        <f aca="false">IF(A224="",IF(M224="فارغ","","✖ بدون رقم قيد"),IF(COUNTIFS('قيود اليومية'!$A$11:$A$1010,A224,'قيود اليومية'!$M$11:$M$1010,"&lt;&gt;OK",'قيود اليومية'!$M$11:$M$1010,"&lt;&gt;فارغ")&gt;0,"✖ خطأ بالحساب",IF(ROUND(SUMIFS('قيود اليومية'!$G$11:$G$1010,'قيود اليومية'!$A$11:$A$1010,A224)-SUMIFS('قيود اليومية'!$H$11:$H$1010,'قيود اليومية'!$A$11:$A$1010,A224),2)&lt;&gt;0,"✖ غير متوازن","مرحل ✔")))</f>
        <v/>
      </c>
      <c r="J224" s="55" t="str">
        <f aca="false">IF(C224="","",IFERROR(INDEX('شجرة الحسابات'!$E$9:$E$208,MATCH(C224,'شجرة الحسابات'!$A$9:$A$208,0))&amp;"",""))</f>
        <v/>
      </c>
      <c r="K224" s="55" t="str">
        <f aca="false">IF(C224="","",IFERROR(INDEX('شجرة الحسابات'!$I$9:$I$208,MATCH(C224,'شجرة الحسابات'!$A$9:$A$208,0))&amp;"",""))</f>
        <v/>
      </c>
      <c r="L224" s="55" t="str">
        <f aca="false">IF(C224="","",IFERROR(INDEX('شجرة الحسابات'!$C$9:$C$208,MATCH(C224,'شجرة الحسابات'!$A$9:$A$208,0))&amp;"",""))</f>
        <v/>
      </c>
      <c r="M224" s="55" t="str">
        <f aca="false">IF(AND(C224="",G224="",H224=""),"فارغ",IF(ISNA(MATCH(C224,'شجرة الحسابات'!$A$9:$A$208,0)),"حساب غير معرف",IF(L224&lt;&gt;"تحليلي","حساب تجميعي",IF(AND(N(G224)&gt;0,N(H224)&gt;0),"مدين ودائن معاً",IF(N(G224)+N(H224)=0,"بدون قيمة","OK")))))</f>
        <v>فارغ</v>
      </c>
      <c r="N224" s="55" t="str">
        <f aca="false">IF(AND(E224&lt;&gt;"",E224='كشف حساب مشروع'!$C$6,I224="مرحل ✔"),COUNTIFS($E$11:E224,'كشف حساب مشروع'!$C$6,$I$11:I224,"مرحل ✔"),"")</f>
        <v/>
      </c>
      <c r="O224" s="55" t="str">
        <f aca="false">IF(AND(C224&lt;&gt;"",C224='دفتر الأستاذ'!$C$6,I224="مرحل ✔"),COUNTIFS($C$11:C224,'دفتر الأستاذ'!$C$6,$I$11:I224,"مرحل ✔"),"")</f>
        <v/>
      </c>
    </row>
    <row r="225" customFormat="false" ht="15" hidden="false" customHeight="false" outlineLevel="0" collapsed="false">
      <c r="A225" s="49"/>
      <c r="B225" s="50"/>
      <c r="C225" s="49"/>
      <c r="D225" s="51" t="str">
        <f aca="false">IF(C225="","",IFERROR(INDEX('شجرة الحسابات'!$B$9:$B$208,MATCH(C225,'شجرة الحسابات'!$A$9:$A$208,0)),"⚠ حساب غير معرف"))</f>
        <v/>
      </c>
      <c r="E225" s="52"/>
      <c r="F225" s="52"/>
      <c r="G225" s="53"/>
      <c r="H225" s="53"/>
      <c r="I225" s="54" t="str">
        <f aca="false">IF(A225="",IF(M225="فارغ","","✖ بدون رقم قيد"),IF(COUNTIFS('قيود اليومية'!$A$11:$A$1010,A225,'قيود اليومية'!$M$11:$M$1010,"&lt;&gt;OK",'قيود اليومية'!$M$11:$M$1010,"&lt;&gt;فارغ")&gt;0,"✖ خطأ بالحساب",IF(ROUND(SUMIFS('قيود اليومية'!$G$11:$G$1010,'قيود اليومية'!$A$11:$A$1010,A225)-SUMIFS('قيود اليومية'!$H$11:$H$1010,'قيود اليومية'!$A$11:$A$1010,A225),2)&lt;&gt;0,"✖ غير متوازن","مرحل ✔")))</f>
        <v/>
      </c>
      <c r="J225" s="55" t="str">
        <f aca="false">IF(C225="","",IFERROR(INDEX('شجرة الحسابات'!$E$9:$E$208,MATCH(C225,'شجرة الحسابات'!$A$9:$A$208,0))&amp;"",""))</f>
        <v/>
      </c>
      <c r="K225" s="55" t="str">
        <f aca="false">IF(C225="","",IFERROR(INDEX('شجرة الحسابات'!$I$9:$I$208,MATCH(C225,'شجرة الحسابات'!$A$9:$A$208,0))&amp;"",""))</f>
        <v/>
      </c>
      <c r="L225" s="55" t="str">
        <f aca="false">IF(C225="","",IFERROR(INDEX('شجرة الحسابات'!$C$9:$C$208,MATCH(C225,'شجرة الحسابات'!$A$9:$A$208,0))&amp;"",""))</f>
        <v/>
      </c>
      <c r="M225" s="55" t="str">
        <f aca="false">IF(AND(C225="",G225="",H225=""),"فارغ",IF(ISNA(MATCH(C225,'شجرة الحسابات'!$A$9:$A$208,0)),"حساب غير معرف",IF(L225&lt;&gt;"تحليلي","حساب تجميعي",IF(AND(N(G225)&gt;0,N(H225)&gt;0),"مدين ودائن معاً",IF(N(G225)+N(H225)=0,"بدون قيمة","OK")))))</f>
        <v>فارغ</v>
      </c>
      <c r="N225" s="55" t="str">
        <f aca="false">IF(AND(E225&lt;&gt;"",E225='كشف حساب مشروع'!$C$6,I225="مرحل ✔"),COUNTIFS($E$11:E225,'كشف حساب مشروع'!$C$6,$I$11:I225,"مرحل ✔"),"")</f>
        <v/>
      </c>
      <c r="O225" s="55" t="str">
        <f aca="false">IF(AND(C225&lt;&gt;"",C225='دفتر الأستاذ'!$C$6,I225="مرحل ✔"),COUNTIFS($C$11:C225,'دفتر الأستاذ'!$C$6,$I$11:I225,"مرحل ✔"),"")</f>
        <v/>
      </c>
    </row>
    <row r="226" customFormat="false" ht="15" hidden="false" customHeight="false" outlineLevel="0" collapsed="false">
      <c r="A226" s="49"/>
      <c r="B226" s="50"/>
      <c r="C226" s="49"/>
      <c r="D226" s="51" t="str">
        <f aca="false">IF(C226="","",IFERROR(INDEX('شجرة الحسابات'!$B$9:$B$208,MATCH(C226,'شجرة الحسابات'!$A$9:$A$208,0)),"⚠ حساب غير معرف"))</f>
        <v/>
      </c>
      <c r="E226" s="52"/>
      <c r="F226" s="52"/>
      <c r="G226" s="53"/>
      <c r="H226" s="53"/>
      <c r="I226" s="54" t="str">
        <f aca="false">IF(A226="",IF(M226="فارغ","","✖ بدون رقم قيد"),IF(COUNTIFS('قيود اليومية'!$A$11:$A$1010,A226,'قيود اليومية'!$M$11:$M$1010,"&lt;&gt;OK",'قيود اليومية'!$M$11:$M$1010,"&lt;&gt;فارغ")&gt;0,"✖ خطأ بالحساب",IF(ROUND(SUMIFS('قيود اليومية'!$G$11:$G$1010,'قيود اليومية'!$A$11:$A$1010,A226)-SUMIFS('قيود اليومية'!$H$11:$H$1010,'قيود اليومية'!$A$11:$A$1010,A226),2)&lt;&gt;0,"✖ غير متوازن","مرحل ✔")))</f>
        <v/>
      </c>
      <c r="J226" s="55" t="str">
        <f aca="false">IF(C226="","",IFERROR(INDEX('شجرة الحسابات'!$E$9:$E$208,MATCH(C226,'شجرة الحسابات'!$A$9:$A$208,0))&amp;"",""))</f>
        <v/>
      </c>
      <c r="K226" s="55" t="str">
        <f aca="false">IF(C226="","",IFERROR(INDEX('شجرة الحسابات'!$I$9:$I$208,MATCH(C226,'شجرة الحسابات'!$A$9:$A$208,0))&amp;"",""))</f>
        <v/>
      </c>
      <c r="L226" s="55" t="str">
        <f aca="false">IF(C226="","",IFERROR(INDEX('شجرة الحسابات'!$C$9:$C$208,MATCH(C226,'شجرة الحسابات'!$A$9:$A$208,0))&amp;"",""))</f>
        <v/>
      </c>
      <c r="M226" s="55" t="str">
        <f aca="false">IF(AND(C226="",G226="",H226=""),"فارغ",IF(ISNA(MATCH(C226,'شجرة الحسابات'!$A$9:$A$208,0)),"حساب غير معرف",IF(L226&lt;&gt;"تحليلي","حساب تجميعي",IF(AND(N(G226)&gt;0,N(H226)&gt;0),"مدين ودائن معاً",IF(N(G226)+N(H226)=0,"بدون قيمة","OK")))))</f>
        <v>فارغ</v>
      </c>
      <c r="N226" s="55" t="str">
        <f aca="false">IF(AND(E226&lt;&gt;"",E226='كشف حساب مشروع'!$C$6,I226="مرحل ✔"),COUNTIFS($E$11:E226,'كشف حساب مشروع'!$C$6,$I$11:I226,"مرحل ✔"),"")</f>
        <v/>
      </c>
      <c r="O226" s="55" t="str">
        <f aca="false">IF(AND(C226&lt;&gt;"",C226='دفتر الأستاذ'!$C$6,I226="مرحل ✔"),COUNTIFS($C$11:C226,'دفتر الأستاذ'!$C$6,$I$11:I226,"مرحل ✔"),"")</f>
        <v/>
      </c>
    </row>
    <row r="227" customFormat="false" ht="15" hidden="false" customHeight="false" outlineLevel="0" collapsed="false">
      <c r="A227" s="49"/>
      <c r="B227" s="50"/>
      <c r="C227" s="49"/>
      <c r="D227" s="51" t="str">
        <f aca="false">IF(C227="","",IFERROR(INDEX('شجرة الحسابات'!$B$9:$B$208,MATCH(C227,'شجرة الحسابات'!$A$9:$A$208,0)),"⚠ حساب غير معرف"))</f>
        <v/>
      </c>
      <c r="E227" s="52"/>
      <c r="F227" s="52"/>
      <c r="G227" s="53"/>
      <c r="H227" s="53"/>
      <c r="I227" s="54" t="str">
        <f aca="false">IF(A227="",IF(M227="فارغ","","✖ بدون رقم قيد"),IF(COUNTIFS('قيود اليومية'!$A$11:$A$1010,A227,'قيود اليومية'!$M$11:$M$1010,"&lt;&gt;OK",'قيود اليومية'!$M$11:$M$1010,"&lt;&gt;فارغ")&gt;0,"✖ خطأ بالحساب",IF(ROUND(SUMIFS('قيود اليومية'!$G$11:$G$1010,'قيود اليومية'!$A$11:$A$1010,A227)-SUMIFS('قيود اليومية'!$H$11:$H$1010,'قيود اليومية'!$A$11:$A$1010,A227),2)&lt;&gt;0,"✖ غير متوازن","مرحل ✔")))</f>
        <v/>
      </c>
      <c r="J227" s="55" t="str">
        <f aca="false">IF(C227="","",IFERROR(INDEX('شجرة الحسابات'!$E$9:$E$208,MATCH(C227,'شجرة الحسابات'!$A$9:$A$208,0))&amp;"",""))</f>
        <v/>
      </c>
      <c r="K227" s="55" t="str">
        <f aca="false">IF(C227="","",IFERROR(INDEX('شجرة الحسابات'!$I$9:$I$208,MATCH(C227,'شجرة الحسابات'!$A$9:$A$208,0))&amp;"",""))</f>
        <v/>
      </c>
      <c r="L227" s="55" t="str">
        <f aca="false">IF(C227="","",IFERROR(INDEX('شجرة الحسابات'!$C$9:$C$208,MATCH(C227,'شجرة الحسابات'!$A$9:$A$208,0))&amp;"",""))</f>
        <v/>
      </c>
      <c r="M227" s="55" t="str">
        <f aca="false">IF(AND(C227="",G227="",H227=""),"فارغ",IF(ISNA(MATCH(C227,'شجرة الحسابات'!$A$9:$A$208,0)),"حساب غير معرف",IF(L227&lt;&gt;"تحليلي","حساب تجميعي",IF(AND(N(G227)&gt;0,N(H227)&gt;0),"مدين ودائن معاً",IF(N(G227)+N(H227)=0,"بدون قيمة","OK")))))</f>
        <v>فارغ</v>
      </c>
      <c r="N227" s="55" t="str">
        <f aca="false">IF(AND(E227&lt;&gt;"",E227='كشف حساب مشروع'!$C$6,I227="مرحل ✔"),COUNTIFS($E$11:E227,'كشف حساب مشروع'!$C$6,$I$11:I227,"مرحل ✔"),"")</f>
        <v/>
      </c>
      <c r="O227" s="55" t="str">
        <f aca="false">IF(AND(C227&lt;&gt;"",C227='دفتر الأستاذ'!$C$6,I227="مرحل ✔"),COUNTIFS($C$11:C227,'دفتر الأستاذ'!$C$6,$I$11:I227,"مرحل ✔"),"")</f>
        <v/>
      </c>
    </row>
    <row r="228" customFormat="false" ht="15" hidden="false" customHeight="false" outlineLevel="0" collapsed="false">
      <c r="A228" s="49"/>
      <c r="B228" s="50"/>
      <c r="C228" s="49"/>
      <c r="D228" s="51" t="str">
        <f aca="false">IF(C228="","",IFERROR(INDEX('شجرة الحسابات'!$B$9:$B$208,MATCH(C228,'شجرة الحسابات'!$A$9:$A$208,0)),"⚠ حساب غير معرف"))</f>
        <v/>
      </c>
      <c r="E228" s="52"/>
      <c r="F228" s="52"/>
      <c r="G228" s="53"/>
      <c r="H228" s="53"/>
      <c r="I228" s="54" t="str">
        <f aca="false">IF(A228="",IF(M228="فارغ","","✖ بدون رقم قيد"),IF(COUNTIFS('قيود اليومية'!$A$11:$A$1010,A228,'قيود اليومية'!$M$11:$M$1010,"&lt;&gt;OK",'قيود اليومية'!$M$11:$M$1010,"&lt;&gt;فارغ")&gt;0,"✖ خطأ بالحساب",IF(ROUND(SUMIFS('قيود اليومية'!$G$11:$G$1010,'قيود اليومية'!$A$11:$A$1010,A228)-SUMIFS('قيود اليومية'!$H$11:$H$1010,'قيود اليومية'!$A$11:$A$1010,A228),2)&lt;&gt;0,"✖ غير متوازن","مرحل ✔")))</f>
        <v/>
      </c>
      <c r="J228" s="55" t="str">
        <f aca="false">IF(C228="","",IFERROR(INDEX('شجرة الحسابات'!$E$9:$E$208,MATCH(C228,'شجرة الحسابات'!$A$9:$A$208,0))&amp;"",""))</f>
        <v/>
      </c>
      <c r="K228" s="55" t="str">
        <f aca="false">IF(C228="","",IFERROR(INDEX('شجرة الحسابات'!$I$9:$I$208,MATCH(C228,'شجرة الحسابات'!$A$9:$A$208,0))&amp;"",""))</f>
        <v/>
      </c>
      <c r="L228" s="55" t="str">
        <f aca="false">IF(C228="","",IFERROR(INDEX('شجرة الحسابات'!$C$9:$C$208,MATCH(C228,'شجرة الحسابات'!$A$9:$A$208,0))&amp;"",""))</f>
        <v/>
      </c>
      <c r="M228" s="55" t="str">
        <f aca="false">IF(AND(C228="",G228="",H228=""),"فارغ",IF(ISNA(MATCH(C228,'شجرة الحسابات'!$A$9:$A$208,0)),"حساب غير معرف",IF(L228&lt;&gt;"تحليلي","حساب تجميعي",IF(AND(N(G228)&gt;0,N(H228)&gt;0),"مدين ودائن معاً",IF(N(G228)+N(H228)=0,"بدون قيمة","OK")))))</f>
        <v>فارغ</v>
      </c>
      <c r="N228" s="55" t="str">
        <f aca="false">IF(AND(E228&lt;&gt;"",E228='كشف حساب مشروع'!$C$6,I228="مرحل ✔"),COUNTIFS($E$11:E228,'كشف حساب مشروع'!$C$6,$I$11:I228,"مرحل ✔"),"")</f>
        <v/>
      </c>
      <c r="O228" s="55" t="str">
        <f aca="false">IF(AND(C228&lt;&gt;"",C228='دفتر الأستاذ'!$C$6,I228="مرحل ✔"),COUNTIFS($C$11:C228,'دفتر الأستاذ'!$C$6,$I$11:I228,"مرحل ✔"),"")</f>
        <v/>
      </c>
    </row>
    <row r="229" customFormat="false" ht="15" hidden="false" customHeight="false" outlineLevel="0" collapsed="false">
      <c r="A229" s="49"/>
      <c r="B229" s="50"/>
      <c r="C229" s="49"/>
      <c r="D229" s="51" t="str">
        <f aca="false">IF(C229="","",IFERROR(INDEX('شجرة الحسابات'!$B$9:$B$208,MATCH(C229,'شجرة الحسابات'!$A$9:$A$208,0)),"⚠ حساب غير معرف"))</f>
        <v/>
      </c>
      <c r="E229" s="52"/>
      <c r="F229" s="52"/>
      <c r="G229" s="53"/>
      <c r="H229" s="53"/>
      <c r="I229" s="54" t="str">
        <f aca="false">IF(A229="",IF(M229="فارغ","","✖ بدون رقم قيد"),IF(COUNTIFS('قيود اليومية'!$A$11:$A$1010,A229,'قيود اليومية'!$M$11:$M$1010,"&lt;&gt;OK",'قيود اليومية'!$M$11:$M$1010,"&lt;&gt;فارغ")&gt;0,"✖ خطأ بالحساب",IF(ROUND(SUMIFS('قيود اليومية'!$G$11:$G$1010,'قيود اليومية'!$A$11:$A$1010,A229)-SUMIFS('قيود اليومية'!$H$11:$H$1010,'قيود اليومية'!$A$11:$A$1010,A229),2)&lt;&gt;0,"✖ غير متوازن","مرحل ✔")))</f>
        <v/>
      </c>
      <c r="J229" s="55" t="str">
        <f aca="false">IF(C229="","",IFERROR(INDEX('شجرة الحسابات'!$E$9:$E$208,MATCH(C229,'شجرة الحسابات'!$A$9:$A$208,0))&amp;"",""))</f>
        <v/>
      </c>
      <c r="K229" s="55" t="str">
        <f aca="false">IF(C229="","",IFERROR(INDEX('شجرة الحسابات'!$I$9:$I$208,MATCH(C229,'شجرة الحسابات'!$A$9:$A$208,0))&amp;"",""))</f>
        <v/>
      </c>
      <c r="L229" s="55" t="str">
        <f aca="false">IF(C229="","",IFERROR(INDEX('شجرة الحسابات'!$C$9:$C$208,MATCH(C229,'شجرة الحسابات'!$A$9:$A$208,0))&amp;"",""))</f>
        <v/>
      </c>
      <c r="M229" s="55" t="str">
        <f aca="false">IF(AND(C229="",G229="",H229=""),"فارغ",IF(ISNA(MATCH(C229,'شجرة الحسابات'!$A$9:$A$208,0)),"حساب غير معرف",IF(L229&lt;&gt;"تحليلي","حساب تجميعي",IF(AND(N(G229)&gt;0,N(H229)&gt;0),"مدين ودائن معاً",IF(N(G229)+N(H229)=0,"بدون قيمة","OK")))))</f>
        <v>فارغ</v>
      </c>
      <c r="N229" s="55" t="str">
        <f aca="false">IF(AND(E229&lt;&gt;"",E229='كشف حساب مشروع'!$C$6,I229="مرحل ✔"),COUNTIFS($E$11:E229,'كشف حساب مشروع'!$C$6,$I$11:I229,"مرحل ✔"),"")</f>
        <v/>
      </c>
      <c r="O229" s="55" t="str">
        <f aca="false">IF(AND(C229&lt;&gt;"",C229='دفتر الأستاذ'!$C$6,I229="مرحل ✔"),COUNTIFS($C$11:C229,'دفتر الأستاذ'!$C$6,$I$11:I229,"مرحل ✔"),"")</f>
        <v/>
      </c>
    </row>
    <row r="230" customFormat="false" ht="15" hidden="false" customHeight="false" outlineLevel="0" collapsed="false">
      <c r="A230" s="49"/>
      <c r="B230" s="50"/>
      <c r="C230" s="49"/>
      <c r="D230" s="51" t="str">
        <f aca="false">IF(C230="","",IFERROR(INDEX('شجرة الحسابات'!$B$9:$B$208,MATCH(C230,'شجرة الحسابات'!$A$9:$A$208,0)),"⚠ حساب غير معرف"))</f>
        <v/>
      </c>
      <c r="E230" s="52"/>
      <c r="F230" s="52"/>
      <c r="G230" s="53"/>
      <c r="H230" s="53"/>
      <c r="I230" s="54" t="str">
        <f aca="false">IF(A230="",IF(M230="فارغ","","✖ بدون رقم قيد"),IF(COUNTIFS('قيود اليومية'!$A$11:$A$1010,A230,'قيود اليومية'!$M$11:$M$1010,"&lt;&gt;OK",'قيود اليومية'!$M$11:$M$1010,"&lt;&gt;فارغ")&gt;0,"✖ خطأ بالحساب",IF(ROUND(SUMIFS('قيود اليومية'!$G$11:$G$1010,'قيود اليومية'!$A$11:$A$1010,A230)-SUMIFS('قيود اليومية'!$H$11:$H$1010,'قيود اليومية'!$A$11:$A$1010,A230),2)&lt;&gt;0,"✖ غير متوازن","مرحل ✔")))</f>
        <v/>
      </c>
      <c r="J230" s="55" t="str">
        <f aca="false">IF(C230="","",IFERROR(INDEX('شجرة الحسابات'!$E$9:$E$208,MATCH(C230,'شجرة الحسابات'!$A$9:$A$208,0))&amp;"",""))</f>
        <v/>
      </c>
      <c r="K230" s="55" t="str">
        <f aca="false">IF(C230="","",IFERROR(INDEX('شجرة الحسابات'!$I$9:$I$208,MATCH(C230,'شجرة الحسابات'!$A$9:$A$208,0))&amp;"",""))</f>
        <v/>
      </c>
      <c r="L230" s="55" t="str">
        <f aca="false">IF(C230="","",IFERROR(INDEX('شجرة الحسابات'!$C$9:$C$208,MATCH(C230,'شجرة الحسابات'!$A$9:$A$208,0))&amp;"",""))</f>
        <v/>
      </c>
      <c r="M230" s="55" t="str">
        <f aca="false">IF(AND(C230="",G230="",H230=""),"فارغ",IF(ISNA(MATCH(C230,'شجرة الحسابات'!$A$9:$A$208,0)),"حساب غير معرف",IF(L230&lt;&gt;"تحليلي","حساب تجميعي",IF(AND(N(G230)&gt;0,N(H230)&gt;0),"مدين ودائن معاً",IF(N(G230)+N(H230)=0,"بدون قيمة","OK")))))</f>
        <v>فارغ</v>
      </c>
      <c r="N230" s="55" t="str">
        <f aca="false">IF(AND(E230&lt;&gt;"",E230='كشف حساب مشروع'!$C$6,I230="مرحل ✔"),COUNTIFS($E$11:E230,'كشف حساب مشروع'!$C$6,$I$11:I230,"مرحل ✔"),"")</f>
        <v/>
      </c>
      <c r="O230" s="55" t="str">
        <f aca="false">IF(AND(C230&lt;&gt;"",C230='دفتر الأستاذ'!$C$6,I230="مرحل ✔"),COUNTIFS($C$11:C230,'دفتر الأستاذ'!$C$6,$I$11:I230,"مرحل ✔"),"")</f>
        <v/>
      </c>
    </row>
    <row r="231" customFormat="false" ht="15" hidden="false" customHeight="false" outlineLevel="0" collapsed="false">
      <c r="A231" s="49"/>
      <c r="B231" s="50"/>
      <c r="C231" s="49"/>
      <c r="D231" s="51" t="str">
        <f aca="false">IF(C231="","",IFERROR(INDEX('شجرة الحسابات'!$B$9:$B$208,MATCH(C231,'شجرة الحسابات'!$A$9:$A$208,0)),"⚠ حساب غير معرف"))</f>
        <v/>
      </c>
      <c r="E231" s="52"/>
      <c r="F231" s="52"/>
      <c r="G231" s="53"/>
      <c r="H231" s="53"/>
      <c r="I231" s="54" t="str">
        <f aca="false">IF(A231="",IF(M231="فارغ","","✖ بدون رقم قيد"),IF(COUNTIFS('قيود اليومية'!$A$11:$A$1010,A231,'قيود اليومية'!$M$11:$M$1010,"&lt;&gt;OK",'قيود اليومية'!$M$11:$M$1010,"&lt;&gt;فارغ")&gt;0,"✖ خطأ بالحساب",IF(ROUND(SUMIFS('قيود اليومية'!$G$11:$G$1010,'قيود اليومية'!$A$11:$A$1010,A231)-SUMIFS('قيود اليومية'!$H$11:$H$1010,'قيود اليومية'!$A$11:$A$1010,A231),2)&lt;&gt;0,"✖ غير متوازن","مرحل ✔")))</f>
        <v/>
      </c>
      <c r="J231" s="55" t="str">
        <f aca="false">IF(C231="","",IFERROR(INDEX('شجرة الحسابات'!$E$9:$E$208,MATCH(C231,'شجرة الحسابات'!$A$9:$A$208,0))&amp;"",""))</f>
        <v/>
      </c>
      <c r="K231" s="55" t="str">
        <f aca="false">IF(C231="","",IFERROR(INDEX('شجرة الحسابات'!$I$9:$I$208,MATCH(C231,'شجرة الحسابات'!$A$9:$A$208,0))&amp;"",""))</f>
        <v/>
      </c>
      <c r="L231" s="55" t="str">
        <f aca="false">IF(C231="","",IFERROR(INDEX('شجرة الحسابات'!$C$9:$C$208,MATCH(C231,'شجرة الحسابات'!$A$9:$A$208,0))&amp;"",""))</f>
        <v/>
      </c>
      <c r="M231" s="55" t="str">
        <f aca="false">IF(AND(C231="",G231="",H231=""),"فارغ",IF(ISNA(MATCH(C231,'شجرة الحسابات'!$A$9:$A$208,0)),"حساب غير معرف",IF(L231&lt;&gt;"تحليلي","حساب تجميعي",IF(AND(N(G231)&gt;0,N(H231)&gt;0),"مدين ودائن معاً",IF(N(G231)+N(H231)=0,"بدون قيمة","OK")))))</f>
        <v>فارغ</v>
      </c>
      <c r="N231" s="55" t="str">
        <f aca="false">IF(AND(E231&lt;&gt;"",E231='كشف حساب مشروع'!$C$6,I231="مرحل ✔"),COUNTIFS($E$11:E231,'كشف حساب مشروع'!$C$6,$I$11:I231,"مرحل ✔"),"")</f>
        <v/>
      </c>
      <c r="O231" s="55" t="str">
        <f aca="false">IF(AND(C231&lt;&gt;"",C231='دفتر الأستاذ'!$C$6,I231="مرحل ✔"),COUNTIFS($C$11:C231,'دفتر الأستاذ'!$C$6,$I$11:I231,"مرحل ✔"),"")</f>
        <v/>
      </c>
    </row>
    <row r="232" customFormat="false" ht="15" hidden="false" customHeight="false" outlineLevel="0" collapsed="false">
      <c r="A232" s="49"/>
      <c r="B232" s="50"/>
      <c r="C232" s="49"/>
      <c r="D232" s="51" t="str">
        <f aca="false">IF(C232="","",IFERROR(INDEX('شجرة الحسابات'!$B$9:$B$208,MATCH(C232,'شجرة الحسابات'!$A$9:$A$208,0)),"⚠ حساب غير معرف"))</f>
        <v/>
      </c>
      <c r="E232" s="52"/>
      <c r="F232" s="52"/>
      <c r="G232" s="53"/>
      <c r="H232" s="53"/>
      <c r="I232" s="54" t="str">
        <f aca="false">IF(A232="",IF(M232="فارغ","","✖ بدون رقم قيد"),IF(COUNTIFS('قيود اليومية'!$A$11:$A$1010,A232,'قيود اليومية'!$M$11:$M$1010,"&lt;&gt;OK",'قيود اليومية'!$M$11:$M$1010,"&lt;&gt;فارغ")&gt;0,"✖ خطأ بالحساب",IF(ROUND(SUMIFS('قيود اليومية'!$G$11:$G$1010,'قيود اليومية'!$A$11:$A$1010,A232)-SUMIFS('قيود اليومية'!$H$11:$H$1010,'قيود اليومية'!$A$11:$A$1010,A232),2)&lt;&gt;0,"✖ غير متوازن","مرحل ✔")))</f>
        <v/>
      </c>
      <c r="J232" s="55" t="str">
        <f aca="false">IF(C232="","",IFERROR(INDEX('شجرة الحسابات'!$E$9:$E$208,MATCH(C232,'شجرة الحسابات'!$A$9:$A$208,0))&amp;"",""))</f>
        <v/>
      </c>
      <c r="K232" s="55" t="str">
        <f aca="false">IF(C232="","",IFERROR(INDEX('شجرة الحسابات'!$I$9:$I$208,MATCH(C232,'شجرة الحسابات'!$A$9:$A$208,0))&amp;"",""))</f>
        <v/>
      </c>
      <c r="L232" s="55" t="str">
        <f aca="false">IF(C232="","",IFERROR(INDEX('شجرة الحسابات'!$C$9:$C$208,MATCH(C232,'شجرة الحسابات'!$A$9:$A$208,0))&amp;"",""))</f>
        <v/>
      </c>
      <c r="M232" s="55" t="str">
        <f aca="false">IF(AND(C232="",G232="",H232=""),"فارغ",IF(ISNA(MATCH(C232,'شجرة الحسابات'!$A$9:$A$208,0)),"حساب غير معرف",IF(L232&lt;&gt;"تحليلي","حساب تجميعي",IF(AND(N(G232)&gt;0,N(H232)&gt;0),"مدين ودائن معاً",IF(N(G232)+N(H232)=0,"بدون قيمة","OK")))))</f>
        <v>فارغ</v>
      </c>
      <c r="N232" s="55" t="str">
        <f aca="false">IF(AND(E232&lt;&gt;"",E232='كشف حساب مشروع'!$C$6,I232="مرحل ✔"),COUNTIFS($E$11:E232,'كشف حساب مشروع'!$C$6,$I$11:I232,"مرحل ✔"),"")</f>
        <v/>
      </c>
      <c r="O232" s="55" t="str">
        <f aca="false">IF(AND(C232&lt;&gt;"",C232='دفتر الأستاذ'!$C$6,I232="مرحل ✔"),COUNTIFS($C$11:C232,'دفتر الأستاذ'!$C$6,$I$11:I232,"مرحل ✔"),"")</f>
        <v/>
      </c>
    </row>
    <row r="233" customFormat="false" ht="15" hidden="false" customHeight="false" outlineLevel="0" collapsed="false">
      <c r="A233" s="49"/>
      <c r="B233" s="50"/>
      <c r="C233" s="49"/>
      <c r="D233" s="51" t="str">
        <f aca="false">IF(C233="","",IFERROR(INDEX('شجرة الحسابات'!$B$9:$B$208,MATCH(C233,'شجرة الحسابات'!$A$9:$A$208,0)),"⚠ حساب غير معرف"))</f>
        <v/>
      </c>
      <c r="E233" s="52"/>
      <c r="F233" s="52"/>
      <c r="G233" s="53"/>
      <c r="H233" s="53"/>
      <c r="I233" s="54" t="str">
        <f aca="false">IF(A233="",IF(M233="فارغ","","✖ بدون رقم قيد"),IF(COUNTIFS('قيود اليومية'!$A$11:$A$1010,A233,'قيود اليومية'!$M$11:$M$1010,"&lt;&gt;OK",'قيود اليومية'!$M$11:$M$1010,"&lt;&gt;فارغ")&gt;0,"✖ خطأ بالحساب",IF(ROUND(SUMIFS('قيود اليومية'!$G$11:$G$1010,'قيود اليومية'!$A$11:$A$1010,A233)-SUMIFS('قيود اليومية'!$H$11:$H$1010,'قيود اليومية'!$A$11:$A$1010,A233),2)&lt;&gt;0,"✖ غير متوازن","مرحل ✔")))</f>
        <v/>
      </c>
      <c r="J233" s="55" t="str">
        <f aca="false">IF(C233="","",IFERROR(INDEX('شجرة الحسابات'!$E$9:$E$208,MATCH(C233,'شجرة الحسابات'!$A$9:$A$208,0))&amp;"",""))</f>
        <v/>
      </c>
      <c r="K233" s="55" t="str">
        <f aca="false">IF(C233="","",IFERROR(INDEX('شجرة الحسابات'!$I$9:$I$208,MATCH(C233,'شجرة الحسابات'!$A$9:$A$208,0))&amp;"",""))</f>
        <v/>
      </c>
      <c r="L233" s="55" t="str">
        <f aca="false">IF(C233="","",IFERROR(INDEX('شجرة الحسابات'!$C$9:$C$208,MATCH(C233,'شجرة الحسابات'!$A$9:$A$208,0))&amp;"",""))</f>
        <v/>
      </c>
      <c r="M233" s="55" t="str">
        <f aca="false">IF(AND(C233="",G233="",H233=""),"فارغ",IF(ISNA(MATCH(C233,'شجرة الحسابات'!$A$9:$A$208,0)),"حساب غير معرف",IF(L233&lt;&gt;"تحليلي","حساب تجميعي",IF(AND(N(G233)&gt;0,N(H233)&gt;0),"مدين ودائن معاً",IF(N(G233)+N(H233)=0,"بدون قيمة","OK")))))</f>
        <v>فارغ</v>
      </c>
      <c r="N233" s="55" t="str">
        <f aca="false">IF(AND(E233&lt;&gt;"",E233='كشف حساب مشروع'!$C$6,I233="مرحل ✔"),COUNTIFS($E$11:E233,'كشف حساب مشروع'!$C$6,$I$11:I233,"مرحل ✔"),"")</f>
        <v/>
      </c>
      <c r="O233" s="55" t="str">
        <f aca="false">IF(AND(C233&lt;&gt;"",C233='دفتر الأستاذ'!$C$6,I233="مرحل ✔"),COUNTIFS($C$11:C233,'دفتر الأستاذ'!$C$6,$I$11:I233,"مرحل ✔"),"")</f>
        <v/>
      </c>
    </row>
    <row r="234" customFormat="false" ht="15" hidden="false" customHeight="false" outlineLevel="0" collapsed="false">
      <c r="A234" s="49"/>
      <c r="B234" s="50"/>
      <c r="C234" s="49"/>
      <c r="D234" s="51" t="str">
        <f aca="false">IF(C234="","",IFERROR(INDEX('شجرة الحسابات'!$B$9:$B$208,MATCH(C234,'شجرة الحسابات'!$A$9:$A$208,0)),"⚠ حساب غير معرف"))</f>
        <v/>
      </c>
      <c r="E234" s="52"/>
      <c r="F234" s="52"/>
      <c r="G234" s="53"/>
      <c r="H234" s="53"/>
      <c r="I234" s="54" t="str">
        <f aca="false">IF(A234="",IF(M234="فارغ","","✖ بدون رقم قيد"),IF(COUNTIFS('قيود اليومية'!$A$11:$A$1010,A234,'قيود اليومية'!$M$11:$M$1010,"&lt;&gt;OK",'قيود اليومية'!$M$11:$M$1010,"&lt;&gt;فارغ")&gt;0,"✖ خطأ بالحساب",IF(ROUND(SUMIFS('قيود اليومية'!$G$11:$G$1010,'قيود اليومية'!$A$11:$A$1010,A234)-SUMIFS('قيود اليومية'!$H$11:$H$1010,'قيود اليومية'!$A$11:$A$1010,A234),2)&lt;&gt;0,"✖ غير متوازن","مرحل ✔")))</f>
        <v/>
      </c>
      <c r="J234" s="55" t="str">
        <f aca="false">IF(C234="","",IFERROR(INDEX('شجرة الحسابات'!$E$9:$E$208,MATCH(C234,'شجرة الحسابات'!$A$9:$A$208,0))&amp;"",""))</f>
        <v/>
      </c>
      <c r="K234" s="55" t="str">
        <f aca="false">IF(C234="","",IFERROR(INDEX('شجرة الحسابات'!$I$9:$I$208,MATCH(C234,'شجرة الحسابات'!$A$9:$A$208,0))&amp;"",""))</f>
        <v/>
      </c>
      <c r="L234" s="55" t="str">
        <f aca="false">IF(C234="","",IFERROR(INDEX('شجرة الحسابات'!$C$9:$C$208,MATCH(C234,'شجرة الحسابات'!$A$9:$A$208,0))&amp;"",""))</f>
        <v/>
      </c>
      <c r="M234" s="55" t="str">
        <f aca="false">IF(AND(C234="",G234="",H234=""),"فارغ",IF(ISNA(MATCH(C234,'شجرة الحسابات'!$A$9:$A$208,0)),"حساب غير معرف",IF(L234&lt;&gt;"تحليلي","حساب تجميعي",IF(AND(N(G234)&gt;0,N(H234)&gt;0),"مدين ودائن معاً",IF(N(G234)+N(H234)=0,"بدون قيمة","OK")))))</f>
        <v>فارغ</v>
      </c>
      <c r="N234" s="55" t="str">
        <f aca="false">IF(AND(E234&lt;&gt;"",E234='كشف حساب مشروع'!$C$6,I234="مرحل ✔"),COUNTIFS($E$11:E234,'كشف حساب مشروع'!$C$6,$I$11:I234,"مرحل ✔"),"")</f>
        <v/>
      </c>
      <c r="O234" s="55" t="str">
        <f aca="false">IF(AND(C234&lt;&gt;"",C234='دفتر الأستاذ'!$C$6,I234="مرحل ✔"),COUNTIFS($C$11:C234,'دفتر الأستاذ'!$C$6,$I$11:I234,"مرحل ✔"),"")</f>
        <v/>
      </c>
    </row>
    <row r="235" customFormat="false" ht="15" hidden="false" customHeight="false" outlineLevel="0" collapsed="false">
      <c r="A235" s="49"/>
      <c r="B235" s="50"/>
      <c r="C235" s="49"/>
      <c r="D235" s="51" t="str">
        <f aca="false">IF(C235="","",IFERROR(INDEX('شجرة الحسابات'!$B$9:$B$208,MATCH(C235,'شجرة الحسابات'!$A$9:$A$208,0)),"⚠ حساب غير معرف"))</f>
        <v/>
      </c>
      <c r="E235" s="52"/>
      <c r="F235" s="52"/>
      <c r="G235" s="53"/>
      <c r="H235" s="53"/>
      <c r="I235" s="54" t="str">
        <f aca="false">IF(A235="",IF(M235="فارغ","","✖ بدون رقم قيد"),IF(COUNTIFS('قيود اليومية'!$A$11:$A$1010,A235,'قيود اليومية'!$M$11:$M$1010,"&lt;&gt;OK",'قيود اليومية'!$M$11:$M$1010,"&lt;&gt;فارغ")&gt;0,"✖ خطأ بالحساب",IF(ROUND(SUMIFS('قيود اليومية'!$G$11:$G$1010,'قيود اليومية'!$A$11:$A$1010,A235)-SUMIFS('قيود اليومية'!$H$11:$H$1010,'قيود اليومية'!$A$11:$A$1010,A235),2)&lt;&gt;0,"✖ غير متوازن","مرحل ✔")))</f>
        <v/>
      </c>
      <c r="J235" s="55" t="str">
        <f aca="false">IF(C235="","",IFERROR(INDEX('شجرة الحسابات'!$E$9:$E$208,MATCH(C235,'شجرة الحسابات'!$A$9:$A$208,0))&amp;"",""))</f>
        <v/>
      </c>
      <c r="K235" s="55" t="str">
        <f aca="false">IF(C235="","",IFERROR(INDEX('شجرة الحسابات'!$I$9:$I$208,MATCH(C235,'شجرة الحسابات'!$A$9:$A$208,0))&amp;"",""))</f>
        <v/>
      </c>
      <c r="L235" s="55" t="str">
        <f aca="false">IF(C235="","",IFERROR(INDEX('شجرة الحسابات'!$C$9:$C$208,MATCH(C235,'شجرة الحسابات'!$A$9:$A$208,0))&amp;"",""))</f>
        <v/>
      </c>
      <c r="M235" s="55" t="str">
        <f aca="false">IF(AND(C235="",G235="",H235=""),"فارغ",IF(ISNA(MATCH(C235,'شجرة الحسابات'!$A$9:$A$208,0)),"حساب غير معرف",IF(L235&lt;&gt;"تحليلي","حساب تجميعي",IF(AND(N(G235)&gt;0,N(H235)&gt;0),"مدين ودائن معاً",IF(N(G235)+N(H235)=0,"بدون قيمة","OK")))))</f>
        <v>فارغ</v>
      </c>
      <c r="N235" s="55" t="str">
        <f aca="false">IF(AND(E235&lt;&gt;"",E235='كشف حساب مشروع'!$C$6,I235="مرحل ✔"),COUNTIFS($E$11:E235,'كشف حساب مشروع'!$C$6,$I$11:I235,"مرحل ✔"),"")</f>
        <v/>
      </c>
      <c r="O235" s="55" t="str">
        <f aca="false">IF(AND(C235&lt;&gt;"",C235='دفتر الأستاذ'!$C$6,I235="مرحل ✔"),COUNTIFS($C$11:C235,'دفتر الأستاذ'!$C$6,$I$11:I235,"مرحل ✔"),"")</f>
        <v/>
      </c>
    </row>
    <row r="236" customFormat="false" ht="15" hidden="false" customHeight="false" outlineLevel="0" collapsed="false">
      <c r="A236" s="49"/>
      <c r="B236" s="50"/>
      <c r="C236" s="49"/>
      <c r="D236" s="51" t="str">
        <f aca="false">IF(C236="","",IFERROR(INDEX('شجرة الحسابات'!$B$9:$B$208,MATCH(C236,'شجرة الحسابات'!$A$9:$A$208,0)),"⚠ حساب غير معرف"))</f>
        <v/>
      </c>
      <c r="E236" s="52"/>
      <c r="F236" s="52"/>
      <c r="G236" s="53"/>
      <c r="H236" s="53"/>
      <c r="I236" s="54" t="str">
        <f aca="false">IF(A236="",IF(M236="فارغ","","✖ بدون رقم قيد"),IF(COUNTIFS('قيود اليومية'!$A$11:$A$1010,A236,'قيود اليومية'!$M$11:$M$1010,"&lt;&gt;OK",'قيود اليومية'!$M$11:$M$1010,"&lt;&gt;فارغ")&gt;0,"✖ خطأ بالحساب",IF(ROUND(SUMIFS('قيود اليومية'!$G$11:$G$1010,'قيود اليومية'!$A$11:$A$1010,A236)-SUMIFS('قيود اليومية'!$H$11:$H$1010,'قيود اليومية'!$A$11:$A$1010,A236),2)&lt;&gt;0,"✖ غير متوازن","مرحل ✔")))</f>
        <v/>
      </c>
      <c r="J236" s="55" t="str">
        <f aca="false">IF(C236="","",IFERROR(INDEX('شجرة الحسابات'!$E$9:$E$208,MATCH(C236,'شجرة الحسابات'!$A$9:$A$208,0))&amp;"",""))</f>
        <v/>
      </c>
      <c r="K236" s="55" t="str">
        <f aca="false">IF(C236="","",IFERROR(INDEX('شجرة الحسابات'!$I$9:$I$208,MATCH(C236,'شجرة الحسابات'!$A$9:$A$208,0))&amp;"",""))</f>
        <v/>
      </c>
      <c r="L236" s="55" t="str">
        <f aca="false">IF(C236="","",IFERROR(INDEX('شجرة الحسابات'!$C$9:$C$208,MATCH(C236,'شجرة الحسابات'!$A$9:$A$208,0))&amp;"",""))</f>
        <v/>
      </c>
      <c r="M236" s="55" t="str">
        <f aca="false">IF(AND(C236="",G236="",H236=""),"فارغ",IF(ISNA(MATCH(C236,'شجرة الحسابات'!$A$9:$A$208,0)),"حساب غير معرف",IF(L236&lt;&gt;"تحليلي","حساب تجميعي",IF(AND(N(G236)&gt;0,N(H236)&gt;0),"مدين ودائن معاً",IF(N(G236)+N(H236)=0,"بدون قيمة","OK")))))</f>
        <v>فارغ</v>
      </c>
      <c r="N236" s="55" t="str">
        <f aca="false">IF(AND(E236&lt;&gt;"",E236='كشف حساب مشروع'!$C$6,I236="مرحل ✔"),COUNTIFS($E$11:E236,'كشف حساب مشروع'!$C$6,$I$11:I236,"مرحل ✔"),"")</f>
        <v/>
      </c>
      <c r="O236" s="55" t="str">
        <f aca="false">IF(AND(C236&lt;&gt;"",C236='دفتر الأستاذ'!$C$6,I236="مرحل ✔"),COUNTIFS($C$11:C236,'دفتر الأستاذ'!$C$6,$I$11:I236,"مرحل ✔"),"")</f>
        <v/>
      </c>
    </row>
    <row r="237" customFormat="false" ht="15" hidden="false" customHeight="false" outlineLevel="0" collapsed="false">
      <c r="A237" s="49"/>
      <c r="B237" s="50"/>
      <c r="C237" s="49"/>
      <c r="D237" s="51" t="str">
        <f aca="false">IF(C237="","",IFERROR(INDEX('شجرة الحسابات'!$B$9:$B$208,MATCH(C237,'شجرة الحسابات'!$A$9:$A$208,0)),"⚠ حساب غير معرف"))</f>
        <v/>
      </c>
      <c r="E237" s="52"/>
      <c r="F237" s="52"/>
      <c r="G237" s="53"/>
      <c r="H237" s="53"/>
      <c r="I237" s="54" t="str">
        <f aca="false">IF(A237="",IF(M237="فارغ","","✖ بدون رقم قيد"),IF(COUNTIFS('قيود اليومية'!$A$11:$A$1010,A237,'قيود اليومية'!$M$11:$M$1010,"&lt;&gt;OK",'قيود اليومية'!$M$11:$M$1010,"&lt;&gt;فارغ")&gt;0,"✖ خطأ بالحساب",IF(ROUND(SUMIFS('قيود اليومية'!$G$11:$G$1010,'قيود اليومية'!$A$11:$A$1010,A237)-SUMIFS('قيود اليومية'!$H$11:$H$1010,'قيود اليومية'!$A$11:$A$1010,A237),2)&lt;&gt;0,"✖ غير متوازن","مرحل ✔")))</f>
        <v/>
      </c>
      <c r="J237" s="55" t="str">
        <f aca="false">IF(C237="","",IFERROR(INDEX('شجرة الحسابات'!$E$9:$E$208,MATCH(C237,'شجرة الحسابات'!$A$9:$A$208,0))&amp;"",""))</f>
        <v/>
      </c>
      <c r="K237" s="55" t="str">
        <f aca="false">IF(C237="","",IFERROR(INDEX('شجرة الحسابات'!$I$9:$I$208,MATCH(C237,'شجرة الحسابات'!$A$9:$A$208,0))&amp;"",""))</f>
        <v/>
      </c>
      <c r="L237" s="55" t="str">
        <f aca="false">IF(C237="","",IFERROR(INDEX('شجرة الحسابات'!$C$9:$C$208,MATCH(C237,'شجرة الحسابات'!$A$9:$A$208,0))&amp;"",""))</f>
        <v/>
      </c>
      <c r="M237" s="55" t="str">
        <f aca="false">IF(AND(C237="",G237="",H237=""),"فارغ",IF(ISNA(MATCH(C237,'شجرة الحسابات'!$A$9:$A$208,0)),"حساب غير معرف",IF(L237&lt;&gt;"تحليلي","حساب تجميعي",IF(AND(N(G237)&gt;0,N(H237)&gt;0),"مدين ودائن معاً",IF(N(G237)+N(H237)=0,"بدون قيمة","OK")))))</f>
        <v>فارغ</v>
      </c>
      <c r="N237" s="55" t="str">
        <f aca="false">IF(AND(E237&lt;&gt;"",E237='كشف حساب مشروع'!$C$6,I237="مرحل ✔"),COUNTIFS($E$11:E237,'كشف حساب مشروع'!$C$6,$I$11:I237,"مرحل ✔"),"")</f>
        <v/>
      </c>
      <c r="O237" s="55" t="str">
        <f aca="false">IF(AND(C237&lt;&gt;"",C237='دفتر الأستاذ'!$C$6,I237="مرحل ✔"),COUNTIFS($C$11:C237,'دفتر الأستاذ'!$C$6,$I$11:I237,"مرحل ✔"),"")</f>
        <v/>
      </c>
    </row>
    <row r="238" customFormat="false" ht="15" hidden="false" customHeight="false" outlineLevel="0" collapsed="false">
      <c r="A238" s="49"/>
      <c r="B238" s="50"/>
      <c r="C238" s="49"/>
      <c r="D238" s="51" t="str">
        <f aca="false">IF(C238="","",IFERROR(INDEX('شجرة الحسابات'!$B$9:$B$208,MATCH(C238,'شجرة الحسابات'!$A$9:$A$208,0)),"⚠ حساب غير معرف"))</f>
        <v/>
      </c>
      <c r="E238" s="52"/>
      <c r="F238" s="52"/>
      <c r="G238" s="53"/>
      <c r="H238" s="53"/>
      <c r="I238" s="54" t="str">
        <f aca="false">IF(A238="",IF(M238="فارغ","","✖ بدون رقم قيد"),IF(COUNTIFS('قيود اليومية'!$A$11:$A$1010,A238,'قيود اليومية'!$M$11:$M$1010,"&lt;&gt;OK",'قيود اليومية'!$M$11:$M$1010,"&lt;&gt;فارغ")&gt;0,"✖ خطأ بالحساب",IF(ROUND(SUMIFS('قيود اليومية'!$G$11:$G$1010,'قيود اليومية'!$A$11:$A$1010,A238)-SUMIFS('قيود اليومية'!$H$11:$H$1010,'قيود اليومية'!$A$11:$A$1010,A238),2)&lt;&gt;0,"✖ غير متوازن","مرحل ✔")))</f>
        <v/>
      </c>
      <c r="J238" s="55" t="str">
        <f aca="false">IF(C238="","",IFERROR(INDEX('شجرة الحسابات'!$E$9:$E$208,MATCH(C238,'شجرة الحسابات'!$A$9:$A$208,0))&amp;"",""))</f>
        <v/>
      </c>
      <c r="K238" s="55" t="str">
        <f aca="false">IF(C238="","",IFERROR(INDEX('شجرة الحسابات'!$I$9:$I$208,MATCH(C238,'شجرة الحسابات'!$A$9:$A$208,0))&amp;"",""))</f>
        <v/>
      </c>
      <c r="L238" s="55" t="str">
        <f aca="false">IF(C238="","",IFERROR(INDEX('شجرة الحسابات'!$C$9:$C$208,MATCH(C238,'شجرة الحسابات'!$A$9:$A$208,0))&amp;"",""))</f>
        <v/>
      </c>
      <c r="M238" s="55" t="str">
        <f aca="false">IF(AND(C238="",G238="",H238=""),"فارغ",IF(ISNA(MATCH(C238,'شجرة الحسابات'!$A$9:$A$208,0)),"حساب غير معرف",IF(L238&lt;&gt;"تحليلي","حساب تجميعي",IF(AND(N(G238)&gt;0,N(H238)&gt;0),"مدين ودائن معاً",IF(N(G238)+N(H238)=0,"بدون قيمة","OK")))))</f>
        <v>فارغ</v>
      </c>
      <c r="N238" s="55" t="str">
        <f aca="false">IF(AND(E238&lt;&gt;"",E238='كشف حساب مشروع'!$C$6,I238="مرحل ✔"),COUNTIFS($E$11:E238,'كشف حساب مشروع'!$C$6,$I$11:I238,"مرحل ✔"),"")</f>
        <v/>
      </c>
      <c r="O238" s="55" t="str">
        <f aca="false">IF(AND(C238&lt;&gt;"",C238='دفتر الأستاذ'!$C$6,I238="مرحل ✔"),COUNTIFS($C$11:C238,'دفتر الأستاذ'!$C$6,$I$11:I238,"مرحل ✔"),"")</f>
        <v/>
      </c>
    </row>
    <row r="239" customFormat="false" ht="15" hidden="false" customHeight="false" outlineLevel="0" collapsed="false">
      <c r="A239" s="49"/>
      <c r="B239" s="50"/>
      <c r="C239" s="49"/>
      <c r="D239" s="51" t="str">
        <f aca="false">IF(C239="","",IFERROR(INDEX('شجرة الحسابات'!$B$9:$B$208,MATCH(C239,'شجرة الحسابات'!$A$9:$A$208,0)),"⚠ حساب غير معرف"))</f>
        <v/>
      </c>
      <c r="E239" s="52"/>
      <c r="F239" s="52"/>
      <c r="G239" s="53"/>
      <c r="H239" s="53"/>
      <c r="I239" s="54" t="str">
        <f aca="false">IF(A239="",IF(M239="فارغ","","✖ بدون رقم قيد"),IF(COUNTIFS('قيود اليومية'!$A$11:$A$1010,A239,'قيود اليومية'!$M$11:$M$1010,"&lt;&gt;OK",'قيود اليومية'!$M$11:$M$1010,"&lt;&gt;فارغ")&gt;0,"✖ خطأ بالحساب",IF(ROUND(SUMIFS('قيود اليومية'!$G$11:$G$1010,'قيود اليومية'!$A$11:$A$1010,A239)-SUMIFS('قيود اليومية'!$H$11:$H$1010,'قيود اليومية'!$A$11:$A$1010,A239),2)&lt;&gt;0,"✖ غير متوازن","مرحل ✔")))</f>
        <v/>
      </c>
      <c r="J239" s="55" t="str">
        <f aca="false">IF(C239="","",IFERROR(INDEX('شجرة الحسابات'!$E$9:$E$208,MATCH(C239,'شجرة الحسابات'!$A$9:$A$208,0))&amp;"",""))</f>
        <v/>
      </c>
      <c r="K239" s="55" t="str">
        <f aca="false">IF(C239="","",IFERROR(INDEX('شجرة الحسابات'!$I$9:$I$208,MATCH(C239,'شجرة الحسابات'!$A$9:$A$208,0))&amp;"",""))</f>
        <v/>
      </c>
      <c r="L239" s="55" t="str">
        <f aca="false">IF(C239="","",IFERROR(INDEX('شجرة الحسابات'!$C$9:$C$208,MATCH(C239,'شجرة الحسابات'!$A$9:$A$208,0))&amp;"",""))</f>
        <v/>
      </c>
      <c r="M239" s="55" t="str">
        <f aca="false">IF(AND(C239="",G239="",H239=""),"فارغ",IF(ISNA(MATCH(C239,'شجرة الحسابات'!$A$9:$A$208,0)),"حساب غير معرف",IF(L239&lt;&gt;"تحليلي","حساب تجميعي",IF(AND(N(G239)&gt;0,N(H239)&gt;0),"مدين ودائن معاً",IF(N(G239)+N(H239)=0,"بدون قيمة","OK")))))</f>
        <v>فارغ</v>
      </c>
      <c r="N239" s="55" t="str">
        <f aca="false">IF(AND(E239&lt;&gt;"",E239='كشف حساب مشروع'!$C$6,I239="مرحل ✔"),COUNTIFS($E$11:E239,'كشف حساب مشروع'!$C$6,$I$11:I239,"مرحل ✔"),"")</f>
        <v/>
      </c>
      <c r="O239" s="55" t="str">
        <f aca="false">IF(AND(C239&lt;&gt;"",C239='دفتر الأستاذ'!$C$6,I239="مرحل ✔"),COUNTIFS($C$11:C239,'دفتر الأستاذ'!$C$6,$I$11:I239,"مرحل ✔"),"")</f>
        <v/>
      </c>
    </row>
    <row r="240" customFormat="false" ht="15" hidden="false" customHeight="false" outlineLevel="0" collapsed="false">
      <c r="A240" s="49"/>
      <c r="B240" s="50"/>
      <c r="C240" s="49"/>
      <c r="D240" s="51" t="str">
        <f aca="false">IF(C240="","",IFERROR(INDEX('شجرة الحسابات'!$B$9:$B$208,MATCH(C240,'شجرة الحسابات'!$A$9:$A$208,0)),"⚠ حساب غير معرف"))</f>
        <v/>
      </c>
      <c r="E240" s="52"/>
      <c r="F240" s="52"/>
      <c r="G240" s="53"/>
      <c r="H240" s="53"/>
      <c r="I240" s="54" t="str">
        <f aca="false">IF(A240="",IF(M240="فارغ","","✖ بدون رقم قيد"),IF(COUNTIFS('قيود اليومية'!$A$11:$A$1010,A240,'قيود اليومية'!$M$11:$M$1010,"&lt;&gt;OK",'قيود اليومية'!$M$11:$M$1010,"&lt;&gt;فارغ")&gt;0,"✖ خطأ بالحساب",IF(ROUND(SUMIFS('قيود اليومية'!$G$11:$G$1010,'قيود اليومية'!$A$11:$A$1010,A240)-SUMIFS('قيود اليومية'!$H$11:$H$1010,'قيود اليومية'!$A$11:$A$1010,A240),2)&lt;&gt;0,"✖ غير متوازن","مرحل ✔")))</f>
        <v/>
      </c>
      <c r="J240" s="55" t="str">
        <f aca="false">IF(C240="","",IFERROR(INDEX('شجرة الحسابات'!$E$9:$E$208,MATCH(C240,'شجرة الحسابات'!$A$9:$A$208,0))&amp;"",""))</f>
        <v/>
      </c>
      <c r="K240" s="55" t="str">
        <f aca="false">IF(C240="","",IFERROR(INDEX('شجرة الحسابات'!$I$9:$I$208,MATCH(C240,'شجرة الحسابات'!$A$9:$A$208,0))&amp;"",""))</f>
        <v/>
      </c>
      <c r="L240" s="55" t="str">
        <f aca="false">IF(C240="","",IFERROR(INDEX('شجرة الحسابات'!$C$9:$C$208,MATCH(C240,'شجرة الحسابات'!$A$9:$A$208,0))&amp;"",""))</f>
        <v/>
      </c>
      <c r="M240" s="55" t="str">
        <f aca="false">IF(AND(C240="",G240="",H240=""),"فارغ",IF(ISNA(MATCH(C240,'شجرة الحسابات'!$A$9:$A$208,0)),"حساب غير معرف",IF(L240&lt;&gt;"تحليلي","حساب تجميعي",IF(AND(N(G240)&gt;0,N(H240)&gt;0),"مدين ودائن معاً",IF(N(G240)+N(H240)=0,"بدون قيمة","OK")))))</f>
        <v>فارغ</v>
      </c>
      <c r="N240" s="55" t="str">
        <f aca="false">IF(AND(E240&lt;&gt;"",E240='كشف حساب مشروع'!$C$6,I240="مرحل ✔"),COUNTIFS($E$11:E240,'كشف حساب مشروع'!$C$6,$I$11:I240,"مرحل ✔"),"")</f>
        <v/>
      </c>
      <c r="O240" s="55" t="str">
        <f aca="false">IF(AND(C240&lt;&gt;"",C240='دفتر الأستاذ'!$C$6,I240="مرحل ✔"),COUNTIFS($C$11:C240,'دفتر الأستاذ'!$C$6,$I$11:I240,"مرحل ✔"),"")</f>
        <v/>
      </c>
    </row>
    <row r="241" customFormat="false" ht="15" hidden="false" customHeight="false" outlineLevel="0" collapsed="false">
      <c r="A241" s="49"/>
      <c r="B241" s="50"/>
      <c r="C241" s="49"/>
      <c r="D241" s="51" t="str">
        <f aca="false">IF(C241="","",IFERROR(INDEX('شجرة الحسابات'!$B$9:$B$208,MATCH(C241,'شجرة الحسابات'!$A$9:$A$208,0)),"⚠ حساب غير معرف"))</f>
        <v/>
      </c>
      <c r="E241" s="52"/>
      <c r="F241" s="52"/>
      <c r="G241" s="53"/>
      <c r="H241" s="53"/>
      <c r="I241" s="54" t="str">
        <f aca="false">IF(A241="",IF(M241="فارغ","","✖ بدون رقم قيد"),IF(COUNTIFS('قيود اليومية'!$A$11:$A$1010,A241,'قيود اليومية'!$M$11:$M$1010,"&lt;&gt;OK",'قيود اليومية'!$M$11:$M$1010,"&lt;&gt;فارغ")&gt;0,"✖ خطأ بالحساب",IF(ROUND(SUMIFS('قيود اليومية'!$G$11:$G$1010,'قيود اليومية'!$A$11:$A$1010,A241)-SUMIFS('قيود اليومية'!$H$11:$H$1010,'قيود اليومية'!$A$11:$A$1010,A241),2)&lt;&gt;0,"✖ غير متوازن","مرحل ✔")))</f>
        <v/>
      </c>
      <c r="J241" s="55" t="str">
        <f aca="false">IF(C241="","",IFERROR(INDEX('شجرة الحسابات'!$E$9:$E$208,MATCH(C241,'شجرة الحسابات'!$A$9:$A$208,0))&amp;"",""))</f>
        <v/>
      </c>
      <c r="K241" s="55" t="str">
        <f aca="false">IF(C241="","",IFERROR(INDEX('شجرة الحسابات'!$I$9:$I$208,MATCH(C241,'شجرة الحسابات'!$A$9:$A$208,0))&amp;"",""))</f>
        <v/>
      </c>
      <c r="L241" s="55" t="str">
        <f aca="false">IF(C241="","",IFERROR(INDEX('شجرة الحسابات'!$C$9:$C$208,MATCH(C241,'شجرة الحسابات'!$A$9:$A$208,0))&amp;"",""))</f>
        <v/>
      </c>
      <c r="M241" s="55" t="str">
        <f aca="false">IF(AND(C241="",G241="",H241=""),"فارغ",IF(ISNA(MATCH(C241,'شجرة الحسابات'!$A$9:$A$208,0)),"حساب غير معرف",IF(L241&lt;&gt;"تحليلي","حساب تجميعي",IF(AND(N(G241)&gt;0,N(H241)&gt;0),"مدين ودائن معاً",IF(N(G241)+N(H241)=0,"بدون قيمة","OK")))))</f>
        <v>فارغ</v>
      </c>
      <c r="N241" s="55" t="str">
        <f aca="false">IF(AND(E241&lt;&gt;"",E241='كشف حساب مشروع'!$C$6,I241="مرحل ✔"),COUNTIFS($E$11:E241,'كشف حساب مشروع'!$C$6,$I$11:I241,"مرحل ✔"),"")</f>
        <v/>
      </c>
      <c r="O241" s="55" t="str">
        <f aca="false">IF(AND(C241&lt;&gt;"",C241='دفتر الأستاذ'!$C$6,I241="مرحل ✔"),COUNTIFS($C$11:C241,'دفتر الأستاذ'!$C$6,$I$11:I241,"مرحل ✔"),"")</f>
        <v/>
      </c>
    </row>
    <row r="242" customFormat="false" ht="15" hidden="false" customHeight="false" outlineLevel="0" collapsed="false">
      <c r="A242" s="49"/>
      <c r="B242" s="50"/>
      <c r="C242" s="49"/>
      <c r="D242" s="51" t="str">
        <f aca="false">IF(C242="","",IFERROR(INDEX('شجرة الحسابات'!$B$9:$B$208,MATCH(C242,'شجرة الحسابات'!$A$9:$A$208,0)),"⚠ حساب غير معرف"))</f>
        <v/>
      </c>
      <c r="E242" s="52"/>
      <c r="F242" s="52"/>
      <c r="G242" s="53"/>
      <c r="H242" s="53"/>
      <c r="I242" s="54" t="str">
        <f aca="false">IF(A242="",IF(M242="فارغ","","✖ بدون رقم قيد"),IF(COUNTIFS('قيود اليومية'!$A$11:$A$1010,A242,'قيود اليومية'!$M$11:$M$1010,"&lt;&gt;OK",'قيود اليومية'!$M$11:$M$1010,"&lt;&gt;فارغ")&gt;0,"✖ خطأ بالحساب",IF(ROUND(SUMIFS('قيود اليومية'!$G$11:$G$1010,'قيود اليومية'!$A$11:$A$1010,A242)-SUMIFS('قيود اليومية'!$H$11:$H$1010,'قيود اليومية'!$A$11:$A$1010,A242),2)&lt;&gt;0,"✖ غير متوازن","مرحل ✔")))</f>
        <v/>
      </c>
      <c r="J242" s="55" t="str">
        <f aca="false">IF(C242="","",IFERROR(INDEX('شجرة الحسابات'!$E$9:$E$208,MATCH(C242,'شجرة الحسابات'!$A$9:$A$208,0))&amp;"",""))</f>
        <v/>
      </c>
      <c r="K242" s="55" t="str">
        <f aca="false">IF(C242="","",IFERROR(INDEX('شجرة الحسابات'!$I$9:$I$208,MATCH(C242,'شجرة الحسابات'!$A$9:$A$208,0))&amp;"",""))</f>
        <v/>
      </c>
      <c r="L242" s="55" t="str">
        <f aca="false">IF(C242="","",IFERROR(INDEX('شجرة الحسابات'!$C$9:$C$208,MATCH(C242,'شجرة الحسابات'!$A$9:$A$208,0))&amp;"",""))</f>
        <v/>
      </c>
      <c r="M242" s="55" t="str">
        <f aca="false">IF(AND(C242="",G242="",H242=""),"فارغ",IF(ISNA(MATCH(C242,'شجرة الحسابات'!$A$9:$A$208,0)),"حساب غير معرف",IF(L242&lt;&gt;"تحليلي","حساب تجميعي",IF(AND(N(G242)&gt;0,N(H242)&gt;0),"مدين ودائن معاً",IF(N(G242)+N(H242)=0,"بدون قيمة","OK")))))</f>
        <v>فارغ</v>
      </c>
      <c r="N242" s="55" t="str">
        <f aca="false">IF(AND(E242&lt;&gt;"",E242='كشف حساب مشروع'!$C$6,I242="مرحل ✔"),COUNTIFS($E$11:E242,'كشف حساب مشروع'!$C$6,$I$11:I242,"مرحل ✔"),"")</f>
        <v/>
      </c>
      <c r="O242" s="55" t="str">
        <f aca="false">IF(AND(C242&lt;&gt;"",C242='دفتر الأستاذ'!$C$6,I242="مرحل ✔"),COUNTIFS($C$11:C242,'دفتر الأستاذ'!$C$6,$I$11:I242,"مرحل ✔"),"")</f>
        <v/>
      </c>
    </row>
    <row r="243" customFormat="false" ht="15" hidden="false" customHeight="false" outlineLevel="0" collapsed="false">
      <c r="A243" s="49"/>
      <c r="B243" s="50"/>
      <c r="C243" s="49"/>
      <c r="D243" s="51" t="str">
        <f aca="false">IF(C243="","",IFERROR(INDEX('شجرة الحسابات'!$B$9:$B$208,MATCH(C243,'شجرة الحسابات'!$A$9:$A$208,0)),"⚠ حساب غير معرف"))</f>
        <v/>
      </c>
      <c r="E243" s="52"/>
      <c r="F243" s="52"/>
      <c r="G243" s="53"/>
      <c r="H243" s="53"/>
      <c r="I243" s="54" t="str">
        <f aca="false">IF(A243="",IF(M243="فارغ","","✖ بدون رقم قيد"),IF(COUNTIFS('قيود اليومية'!$A$11:$A$1010,A243,'قيود اليومية'!$M$11:$M$1010,"&lt;&gt;OK",'قيود اليومية'!$M$11:$M$1010,"&lt;&gt;فارغ")&gt;0,"✖ خطأ بالحساب",IF(ROUND(SUMIFS('قيود اليومية'!$G$11:$G$1010,'قيود اليومية'!$A$11:$A$1010,A243)-SUMIFS('قيود اليومية'!$H$11:$H$1010,'قيود اليومية'!$A$11:$A$1010,A243),2)&lt;&gt;0,"✖ غير متوازن","مرحل ✔")))</f>
        <v/>
      </c>
      <c r="J243" s="55" t="str">
        <f aca="false">IF(C243="","",IFERROR(INDEX('شجرة الحسابات'!$E$9:$E$208,MATCH(C243,'شجرة الحسابات'!$A$9:$A$208,0))&amp;"",""))</f>
        <v/>
      </c>
      <c r="K243" s="55" t="str">
        <f aca="false">IF(C243="","",IFERROR(INDEX('شجرة الحسابات'!$I$9:$I$208,MATCH(C243,'شجرة الحسابات'!$A$9:$A$208,0))&amp;"",""))</f>
        <v/>
      </c>
      <c r="L243" s="55" t="str">
        <f aca="false">IF(C243="","",IFERROR(INDEX('شجرة الحسابات'!$C$9:$C$208,MATCH(C243,'شجرة الحسابات'!$A$9:$A$208,0))&amp;"",""))</f>
        <v/>
      </c>
      <c r="M243" s="55" t="str">
        <f aca="false">IF(AND(C243="",G243="",H243=""),"فارغ",IF(ISNA(MATCH(C243,'شجرة الحسابات'!$A$9:$A$208,0)),"حساب غير معرف",IF(L243&lt;&gt;"تحليلي","حساب تجميعي",IF(AND(N(G243)&gt;0,N(H243)&gt;0),"مدين ودائن معاً",IF(N(G243)+N(H243)=0,"بدون قيمة","OK")))))</f>
        <v>فارغ</v>
      </c>
      <c r="N243" s="55" t="str">
        <f aca="false">IF(AND(E243&lt;&gt;"",E243='كشف حساب مشروع'!$C$6,I243="مرحل ✔"),COUNTIFS($E$11:E243,'كشف حساب مشروع'!$C$6,$I$11:I243,"مرحل ✔"),"")</f>
        <v/>
      </c>
      <c r="O243" s="55" t="str">
        <f aca="false">IF(AND(C243&lt;&gt;"",C243='دفتر الأستاذ'!$C$6,I243="مرحل ✔"),COUNTIFS($C$11:C243,'دفتر الأستاذ'!$C$6,$I$11:I243,"مرحل ✔"),"")</f>
        <v/>
      </c>
    </row>
    <row r="244" customFormat="false" ht="15" hidden="false" customHeight="false" outlineLevel="0" collapsed="false">
      <c r="A244" s="49"/>
      <c r="B244" s="50"/>
      <c r="C244" s="49"/>
      <c r="D244" s="51" t="str">
        <f aca="false">IF(C244="","",IFERROR(INDEX('شجرة الحسابات'!$B$9:$B$208,MATCH(C244,'شجرة الحسابات'!$A$9:$A$208,0)),"⚠ حساب غير معرف"))</f>
        <v/>
      </c>
      <c r="E244" s="52"/>
      <c r="F244" s="52"/>
      <c r="G244" s="53"/>
      <c r="H244" s="53"/>
      <c r="I244" s="54" t="str">
        <f aca="false">IF(A244="",IF(M244="فارغ","","✖ بدون رقم قيد"),IF(COUNTIFS('قيود اليومية'!$A$11:$A$1010,A244,'قيود اليومية'!$M$11:$M$1010,"&lt;&gt;OK",'قيود اليومية'!$M$11:$M$1010,"&lt;&gt;فارغ")&gt;0,"✖ خطأ بالحساب",IF(ROUND(SUMIFS('قيود اليومية'!$G$11:$G$1010,'قيود اليومية'!$A$11:$A$1010,A244)-SUMIFS('قيود اليومية'!$H$11:$H$1010,'قيود اليومية'!$A$11:$A$1010,A244),2)&lt;&gt;0,"✖ غير متوازن","مرحل ✔")))</f>
        <v/>
      </c>
      <c r="J244" s="55" t="str">
        <f aca="false">IF(C244="","",IFERROR(INDEX('شجرة الحسابات'!$E$9:$E$208,MATCH(C244,'شجرة الحسابات'!$A$9:$A$208,0))&amp;"",""))</f>
        <v/>
      </c>
      <c r="K244" s="55" t="str">
        <f aca="false">IF(C244="","",IFERROR(INDEX('شجرة الحسابات'!$I$9:$I$208,MATCH(C244,'شجرة الحسابات'!$A$9:$A$208,0))&amp;"",""))</f>
        <v/>
      </c>
      <c r="L244" s="55" t="str">
        <f aca="false">IF(C244="","",IFERROR(INDEX('شجرة الحسابات'!$C$9:$C$208,MATCH(C244,'شجرة الحسابات'!$A$9:$A$208,0))&amp;"",""))</f>
        <v/>
      </c>
      <c r="M244" s="55" t="str">
        <f aca="false">IF(AND(C244="",G244="",H244=""),"فارغ",IF(ISNA(MATCH(C244,'شجرة الحسابات'!$A$9:$A$208,0)),"حساب غير معرف",IF(L244&lt;&gt;"تحليلي","حساب تجميعي",IF(AND(N(G244)&gt;0,N(H244)&gt;0),"مدين ودائن معاً",IF(N(G244)+N(H244)=0,"بدون قيمة","OK")))))</f>
        <v>فارغ</v>
      </c>
      <c r="N244" s="55" t="str">
        <f aca="false">IF(AND(E244&lt;&gt;"",E244='كشف حساب مشروع'!$C$6,I244="مرحل ✔"),COUNTIFS($E$11:E244,'كشف حساب مشروع'!$C$6,$I$11:I244,"مرحل ✔"),"")</f>
        <v/>
      </c>
      <c r="O244" s="55" t="str">
        <f aca="false">IF(AND(C244&lt;&gt;"",C244='دفتر الأستاذ'!$C$6,I244="مرحل ✔"),COUNTIFS($C$11:C244,'دفتر الأستاذ'!$C$6,$I$11:I244,"مرحل ✔"),"")</f>
        <v/>
      </c>
    </row>
    <row r="245" customFormat="false" ht="15" hidden="false" customHeight="false" outlineLevel="0" collapsed="false">
      <c r="A245" s="49"/>
      <c r="B245" s="50"/>
      <c r="C245" s="49"/>
      <c r="D245" s="51" t="str">
        <f aca="false">IF(C245="","",IFERROR(INDEX('شجرة الحسابات'!$B$9:$B$208,MATCH(C245,'شجرة الحسابات'!$A$9:$A$208,0)),"⚠ حساب غير معرف"))</f>
        <v/>
      </c>
      <c r="E245" s="52"/>
      <c r="F245" s="52"/>
      <c r="G245" s="53"/>
      <c r="H245" s="53"/>
      <c r="I245" s="54" t="str">
        <f aca="false">IF(A245="",IF(M245="فارغ","","✖ بدون رقم قيد"),IF(COUNTIFS('قيود اليومية'!$A$11:$A$1010,A245,'قيود اليومية'!$M$11:$M$1010,"&lt;&gt;OK",'قيود اليومية'!$M$11:$M$1010,"&lt;&gt;فارغ")&gt;0,"✖ خطأ بالحساب",IF(ROUND(SUMIFS('قيود اليومية'!$G$11:$G$1010,'قيود اليومية'!$A$11:$A$1010,A245)-SUMIFS('قيود اليومية'!$H$11:$H$1010,'قيود اليومية'!$A$11:$A$1010,A245),2)&lt;&gt;0,"✖ غير متوازن","مرحل ✔")))</f>
        <v/>
      </c>
      <c r="J245" s="55" t="str">
        <f aca="false">IF(C245="","",IFERROR(INDEX('شجرة الحسابات'!$E$9:$E$208,MATCH(C245,'شجرة الحسابات'!$A$9:$A$208,0))&amp;"",""))</f>
        <v/>
      </c>
      <c r="K245" s="55" t="str">
        <f aca="false">IF(C245="","",IFERROR(INDEX('شجرة الحسابات'!$I$9:$I$208,MATCH(C245,'شجرة الحسابات'!$A$9:$A$208,0))&amp;"",""))</f>
        <v/>
      </c>
      <c r="L245" s="55" t="str">
        <f aca="false">IF(C245="","",IFERROR(INDEX('شجرة الحسابات'!$C$9:$C$208,MATCH(C245,'شجرة الحسابات'!$A$9:$A$208,0))&amp;"",""))</f>
        <v/>
      </c>
      <c r="M245" s="55" t="str">
        <f aca="false">IF(AND(C245="",G245="",H245=""),"فارغ",IF(ISNA(MATCH(C245,'شجرة الحسابات'!$A$9:$A$208,0)),"حساب غير معرف",IF(L245&lt;&gt;"تحليلي","حساب تجميعي",IF(AND(N(G245)&gt;0,N(H245)&gt;0),"مدين ودائن معاً",IF(N(G245)+N(H245)=0,"بدون قيمة","OK")))))</f>
        <v>فارغ</v>
      </c>
      <c r="N245" s="55" t="str">
        <f aca="false">IF(AND(E245&lt;&gt;"",E245='كشف حساب مشروع'!$C$6,I245="مرحل ✔"),COUNTIFS($E$11:E245,'كشف حساب مشروع'!$C$6,$I$11:I245,"مرحل ✔"),"")</f>
        <v/>
      </c>
      <c r="O245" s="55" t="str">
        <f aca="false">IF(AND(C245&lt;&gt;"",C245='دفتر الأستاذ'!$C$6,I245="مرحل ✔"),COUNTIFS($C$11:C245,'دفتر الأستاذ'!$C$6,$I$11:I245,"مرحل ✔"),"")</f>
        <v/>
      </c>
    </row>
    <row r="246" customFormat="false" ht="15" hidden="false" customHeight="false" outlineLevel="0" collapsed="false">
      <c r="A246" s="49"/>
      <c r="B246" s="50"/>
      <c r="C246" s="49"/>
      <c r="D246" s="51" t="str">
        <f aca="false">IF(C246="","",IFERROR(INDEX('شجرة الحسابات'!$B$9:$B$208,MATCH(C246,'شجرة الحسابات'!$A$9:$A$208,0)),"⚠ حساب غير معرف"))</f>
        <v/>
      </c>
      <c r="E246" s="52"/>
      <c r="F246" s="52"/>
      <c r="G246" s="53"/>
      <c r="H246" s="53"/>
      <c r="I246" s="54" t="str">
        <f aca="false">IF(A246="",IF(M246="فارغ","","✖ بدون رقم قيد"),IF(COUNTIFS('قيود اليومية'!$A$11:$A$1010,A246,'قيود اليومية'!$M$11:$M$1010,"&lt;&gt;OK",'قيود اليومية'!$M$11:$M$1010,"&lt;&gt;فارغ")&gt;0,"✖ خطأ بالحساب",IF(ROUND(SUMIFS('قيود اليومية'!$G$11:$G$1010,'قيود اليومية'!$A$11:$A$1010,A246)-SUMIFS('قيود اليومية'!$H$11:$H$1010,'قيود اليومية'!$A$11:$A$1010,A246),2)&lt;&gt;0,"✖ غير متوازن","مرحل ✔")))</f>
        <v/>
      </c>
      <c r="J246" s="55" t="str">
        <f aca="false">IF(C246="","",IFERROR(INDEX('شجرة الحسابات'!$E$9:$E$208,MATCH(C246,'شجرة الحسابات'!$A$9:$A$208,0))&amp;"",""))</f>
        <v/>
      </c>
      <c r="K246" s="55" t="str">
        <f aca="false">IF(C246="","",IFERROR(INDEX('شجرة الحسابات'!$I$9:$I$208,MATCH(C246,'شجرة الحسابات'!$A$9:$A$208,0))&amp;"",""))</f>
        <v/>
      </c>
      <c r="L246" s="55" t="str">
        <f aca="false">IF(C246="","",IFERROR(INDEX('شجرة الحسابات'!$C$9:$C$208,MATCH(C246,'شجرة الحسابات'!$A$9:$A$208,0))&amp;"",""))</f>
        <v/>
      </c>
      <c r="M246" s="55" t="str">
        <f aca="false">IF(AND(C246="",G246="",H246=""),"فارغ",IF(ISNA(MATCH(C246,'شجرة الحسابات'!$A$9:$A$208,0)),"حساب غير معرف",IF(L246&lt;&gt;"تحليلي","حساب تجميعي",IF(AND(N(G246)&gt;0,N(H246)&gt;0),"مدين ودائن معاً",IF(N(G246)+N(H246)=0,"بدون قيمة","OK")))))</f>
        <v>فارغ</v>
      </c>
      <c r="N246" s="55" t="str">
        <f aca="false">IF(AND(E246&lt;&gt;"",E246='كشف حساب مشروع'!$C$6,I246="مرحل ✔"),COUNTIFS($E$11:E246,'كشف حساب مشروع'!$C$6,$I$11:I246,"مرحل ✔"),"")</f>
        <v/>
      </c>
      <c r="O246" s="55" t="str">
        <f aca="false">IF(AND(C246&lt;&gt;"",C246='دفتر الأستاذ'!$C$6,I246="مرحل ✔"),COUNTIFS($C$11:C246,'دفتر الأستاذ'!$C$6,$I$11:I246,"مرحل ✔"),"")</f>
        <v/>
      </c>
    </row>
    <row r="247" customFormat="false" ht="15" hidden="false" customHeight="false" outlineLevel="0" collapsed="false">
      <c r="A247" s="49"/>
      <c r="B247" s="50"/>
      <c r="C247" s="49"/>
      <c r="D247" s="51" t="str">
        <f aca="false">IF(C247="","",IFERROR(INDEX('شجرة الحسابات'!$B$9:$B$208,MATCH(C247,'شجرة الحسابات'!$A$9:$A$208,0)),"⚠ حساب غير معرف"))</f>
        <v/>
      </c>
      <c r="E247" s="52"/>
      <c r="F247" s="52"/>
      <c r="G247" s="53"/>
      <c r="H247" s="53"/>
      <c r="I247" s="54" t="str">
        <f aca="false">IF(A247="",IF(M247="فارغ","","✖ بدون رقم قيد"),IF(COUNTIFS('قيود اليومية'!$A$11:$A$1010,A247,'قيود اليومية'!$M$11:$M$1010,"&lt;&gt;OK",'قيود اليومية'!$M$11:$M$1010,"&lt;&gt;فارغ")&gt;0,"✖ خطأ بالحساب",IF(ROUND(SUMIFS('قيود اليومية'!$G$11:$G$1010,'قيود اليومية'!$A$11:$A$1010,A247)-SUMIFS('قيود اليومية'!$H$11:$H$1010,'قيود اليومية'!$A$11:$A$1010,A247),2)&lt;&gt;0,"✖ غير متوازن","مرحل ✔")))</f>
        <v/>
      </c>
      <c r="J247" s="55" t="str">
        <f aca="false">IF(C247="","",IFERROR(INDEX('شجرة الحسابات'!$E$9:$E$208,MATCH(C247,'شجرة الحسابات'!$A$9:$A$208,0))&amp;"",""))</f>
        <v/>
      </c>
      <c r="K247" s="55" t="str">
        <f aca="false">IF(C247="","",IFERROR(INDEX('شجرة الحسابات'!$I$9:$I$208,MATCH(C247,'شجرة الحسابات'!$A$9:$A$208,0))&amp;"",""))</f>
        <v/>
      </c>
      <c r="L247" s="55" t="str">
        <f aca="false">IF(C247="","",IFERROR(INDEX('شجرة الحسابات'!$C$9:$C$208,MATCH(C247,'شجرة الحسابات'!$A$9:$A$208,0))&amp;"",""))</f>
        <v/>
      </c>
      <c r="M247" s="55" t="str">
        <f aca="false">IF(AND(C247="",G247="",H247=""),"فارغ",IF(ISNA(MATCH(C247,'شجرة الحسابات'!$A$9:$A$208,0)),"حساب غير معرف",IF(L247&lt;&gt;"تحليلي","حساب تجميعي",IF(AND(N(G247)&gt;0,N(H247)&gt;0),"مدين ودائن معاً",IF(N(G247)+N(H247)=0,"بدون قيمة","OK")))))</f>
        <v>فارغ</v>
      </c>
      <c r="N247" s="55" t="str">
        <f aca="false">IF(AND(E247&lt;&gt;"",E247='كشف حساب مشروع'!$C$6,I247="مرحل ✔"),COUNTIFS($E$11:E247,'كشف حساب مشروع'!$C$6,$I$11:I247,"مرحل ✔"),"")</f>
        <v/>
      </c>
      <c r="O247" s="55" t="str">
        <f aca="false">IF(AND(C247&lt;&gt;"",C247='دفتر الأستاذ'!$C$6,I247="مرحل ✔"),COUNTIFS($C$11:C247,'دفتر الأستاذ'!$C$6,$I$11:I247,"مرحل ✔"),"")</f>
        <v/>
      </c>
    </row>
    <row r="248" customFormat="false" ht="15" hidden="false" customHeight="false" outlineLevel="0" collapsed="false">
      <c r="A248" s="49"/>
      <c r="B248" s="50"/>
      <c r="C248" s="49"/>
      <c r="D248" s="51" t="str">
        <f aca="false">IF(C248="","",IFERROR(INDEX('شجرة الحسابات'!$B$9:$B$208,MATCH(C248,'شجرة الحسابات'!$A$9:$A$208,0)),"⚠ حساب غير معرف"))</f>
        <v/>
      </c>
      <c r="E248" s="52"/>
      <c r="F248" s="52"/>
      <c r="G248" s="53"/>
      <c r="H248" s="53"/>
      <c r="I248" s="54" t="str">
        <f aca="false">IF(A248="",IF(M248="فارغ","","✖ بدون رقم قيد"),IF(COUNTIFS('قيود اليومية'!$A$11:$A$1010,A248,'قيود اليومية'!$M$11:$M$1010,"&lt;&gt;OK",'قيود اليومية'!$M$11:$M$1010,"&lt;&gt;فارغ")&gt;0,"✖ خطأ بالحساب",IF(ROUND(SUMIFS('قيود اليومية'!$G$11:$G$1010,'قيود اليومية'!$A$11:$A$1010,A248)-SUMIFS('قيود اليومية'!$H$11:$H$1010,'قيود اليومية'!$A$11:$A$1010,A248),2)&lt;&gt;0,"✖ غير متوازن","مرحل ✔")))</f>
        <v/>
      </c>
      <c r="J248" s="55" t="str">
        <f aca="false">IF(C248="","",IFERROR(INDEX('شجرة الحسابات'!$E$9:$E$208,MATCH(C248,'شجرة الحسابات'!$A$9:$A$208,0))&amp;"",""))</f>
        <v/>
      </c>
      <c r="K248" s="55" t="str">
        <f aca="false">IF(C248="","",IFERROR(INDEX('شجرة الحسابات'!$I$9:$I$208,MATCH(C248,'شجرة الحسابات'!$A$9:$A$208,0))&amp;"",""))</f>
        <v/>
      </c>
      <c r="L248" s="55" t="str">
        <f aca="false">IF(C248="","",IFERROR(INDEX('شجرة الحسابات'!$C$9:$C$208,MATCH(C248,'شجرة الحسابات'!$A$9:$A$208,0))&amp;"",""))</f>
        <v/>
      </c>
      <c r="M248" s="55" t="str">
        <f aca="false">IF(AND(C248="",G248="",H248=""),"فارغ",IF(ISNA(MATCH(C248,'شجرة الحسابات'!$A$9:$A$208,0)),"حساب غير معرف",IF(L248&lt;&gt;"تحليلي","حساب تجميعي",IF(AND(N(G248)&gt;0,N(H248)&gt;0),"مدين ودائن معاً",IF(N(G248)+N(H248)=0,"بدون قيمة","OK")))))</f>
        <v>فارغ</v>
      </c>
      <c r="N248" s="55" t="str">
        <f aca="false">IF(AND(E248&lt;&gt;"",E248='كشف حساب مشروع'!$C$6,I248="مرحل ✔"),COUNTIFS($E$11:E248,'كشف حساب مشروع'!$C$6,$I$11:I248,"مرحل ✔"),"")</f>
        <v/>
      </c>
      <c r="O248" s="55" t="str">
        <f aca="false">IF(AND(C248&lt;&gt;"",C248='دفتر الأستاذ'!$C$6,I248="مرحل ✔"),COUNTIFS($C$11:C248,'دفتر الأستاذ'!$C$6,$I$11:I248,"مرحل ✔"),"")</f>
        <v/>
      </c>
    </row>
    <row r="249" customFormat="false" ht="15" hidden="false" customHeight="false" outlineLevel="0" collapsed="false">
      <c r="A249" s="49"/>
      <c r="B249" s="50"/>
      <c r="C249" s="49"/>
      <c r="D249" s="51" t="str">
        <f aca="false">IF(C249="","",IFERROR(INDEX('شجرة الحسابات'!$B$9:$B$208,MATCH(C249,'شجرة الحسابات'!$A$9:$A$208,0)),"⚠ حساب غير معرف"))</f>
        <v/>
      </c>
      <c r="E249" s="52"/>
      <c r="F249" s="52"/>
      <c r="G249" s="53"/>
      <c r="H249" s="53"/>
      <c r="I249" s="54" t="str">
        <f aca="false">IF(A249="",IF(M249="فارغ","","✖ بدون رقم قيد"),IF(COUNTIFS('قيود اليومية'!$A$11:$A$1010,A249,'قيود اليومية'!$M$11:$M$1010,"&lt;&gt;OK",'قيود اليومية'!$M$11:$M$1010,"&lt;&gt;فارغ")&gt;0,"✖ خطأ بالحساب",IF(ROUND(SUMIFS('قيود اليومية'!$G$11:$G$1010,'قيود اليومية'!$A$11:$A$1010,A249)-SUMIFS('قيود اليومية'!$H$11:$H$1010,'قيود اليومية'!$A$11:$A$1010,A249),2)&lt;&gt;0,"✖ غير متوازن","مرحل ✔")))</f>
        <v/>
      </c>
      <c r="J249" s="55" t="str">
        <f aca="false">IF(C249="","",IFERROR(INDEX('شجرة الحسابات'!$E$9:$E$208,MATCH(C249,'شجرة الحسابات'!$A$9:$A$208,0))&amp;"",""))</f>
        <v/>
      </c>
      <c r="K249" s="55" t="str">
        <f aca="false">IF(C249="","",IFERROR(INDEX('شجرة الحسابات'!$I$9:$I$208,MATCH(C249,'شجرة الحسابات'!$A$9:$A$208,0))&amp;"",""))</f>
        <v/>
      </c>
      <c r="L249" s="55" t="str">
        <f aca="false">IF(C249="","",IFERROR(INDEX('شجرة الحسابات'!$C$9:$C$208,MATCH(C249,'شجرة الحسابات'!$A$9:$A$208,0))&amp;"",""))</f>
        <v/>
      </c>
      <c r="M249" s="55" t="str">
        <f aca="false">IF(AND(C249="",G249="",H249=""),"فارغ",IF(ISNA(MATCH(C249,'شجرة الحسابات'!$A$9:$A$208,0)),"حساب غير معرف",IF(L249&lt;&gt;"تحليلي","حساب تجميعي",IF(AND(N(G249)&gt;0,N(H249)&gt;0),"مدين ودائن معاً",IF(N(G249)+N(H249)=0,"بدون قيمة","OK")))))</f>
        <v>فارغ</v>
      </c>
      <c r="N249" s="55" t="str">
        <f aca="false">IF(AND(E249&lt;&gt;"",E249='كشف حساب مشروع'!$C$6,I249="مرحل ✔"),COUNTIFS($E$11:E249,'كشف حساب مشروع'!$C$6,$I$11:I249,"مرحل ✔"),"")</f>
        <v/>
      </c>
      <c r="O249" s="55" t="str">
        <f aca="false">IF(AND(C249&lt;&gt;"",C249='دفتر الأستاذ'!$C$6,I249="مرحل ✔"),COUNTIFS($C$11:C249,'دفتر الأستاذ'!$C$6,$I$11:I249,"مرحل ✔"),"")</f>
        <v/>
      </c>
    </row>
    <row r="250" customFormat="false" ht="15" hidden="false" customHeight="false" outlineLevel="0" collapsed="false">
      <c r="A250" s="49"/>
      <c r="B250" s="50"/>
      <c r="C250" s="49"/>
      <c r="D250" s="51" t="str">
        <f aca="false">IF(C250="","",IFERROR(INDEX('شجرة الحسابات'!$B$9:$B$208,MATCH(C250,'شجرة الحسابات'!$A$9:$A$208,0)),"⚠ حساب غير معرف"))</f>
        <v/>
      </c>
      <c r="E250" s="52"/>
      <c r="F250" s="52"/>
      <c r="G250" s="53"/>
      <c r="H250" s="53"/>
      <c r="I250" s="54" t="str">
        <f aca="false">IF(A250="",IF(M250="فارغ","","✖ بدون رقم قيد"),IF(COUNTIFS('قيود اليومية'!$A$11:$A$1010,A250,'قيود اليومية'!$M$11:$M$1010,"&lt;&gt;OK",'قيود اليومية'!$M$11:$M$1010,"&lt;&gt;فارغ")&gt;0,"✖ خطأ بالحساب",IF(ROUND(SUMIFS('قيود اليومية'!$G$11:$G$1010,'قيود اليومية'!$A$11:$A$1010,A250)-SUMIFS('قيود اليومية'!$H$11:$H$1010,'قيود اليومية'!$A$11:$A$1010,A250),2)&lt;&gt;0,"✖ غير متوازن","مرحل ✔")))</f>
        <v/>
      </c>
      <c r="J250" s="55" t="str">
        <f aca="false">IF(C250="","",IFERROR(INDEX('شجرة الحسابات'!$E$9:$E$208,MATCH(C250,'شجرة الحسابات'!$A$9:$A$208,0))&amp;"",""))</f>
        <v/>
      </c>
      <c r="K250" s="55" t="str">
        <f aca="false">IF(C250="","",IFERROR(INDEX('شجرة الحسابات'!$I$9:$I$208,MATCH(C250,'شجرة الحسابات'!$A$9:$A$208,0))&amp;"",""))</f>
        <v/>
      </c>
      <c r="L250" s="55" t="str">
        <f aca="false">IF(C250="","",IFERROR(INDEX('شجرة الحسابات'!$C$9:$C$208,MATCH(C250,'شجرة الحسابات'!$A$9:$A$208,0))&amp;"",""))</f>
        <v/>
      </c>
      <c r="M250" s="55" t="str">
        <f aca="false">IF(AND(C250="",G250="",H250=""),"فارغ",IF(ISNA(MATCH(C250,'شجرة الحسابات'!$A$9:$A$208,0)),"حساب غير معرف",IF(L250&lt;&gt;"تحليلي","حساب تجميعي",IF(AND(N(G250)&gt;0,N(H250)&gt;0),"مدين ودائن معاً",IF(N(G250)+N(H250)=0,"بدون قيمة","OK")))))</f>
        <v>فارغ</v>
      </c>
      <c r="N250" s="55" t="str">
        <f aca="false">IF(AND(E250&lt;&gt;"",E250='كشف حساب مشروع'!$C$6,I250="مرحل ✔"),COUNTIFS($E$11:E250,'كشف حساب مشروع'!$C$6,$I$11:I250,"مرحل ✔"),"")</f>
        <v/>
      </c>
      <c r="O250" s="55" t="str">
        <f aca="false">IF(AND(C250&lt;&gt;"",C250='دفتر الأستاذ'!$C$6,I250="مرحل ✔"),COUNTIFS($C$11:C250,'دفتر الأستاذ'!$C$6,$I$11:I250,"مرحل ✔"),"")</f>
        <v/>
      </c>
    </row>
    <row r="251" customFormat="false" ht="15" hidden="false" customHeight="false" outlineLevel="0" collapsed="false">
      <c r="A251" s="49"/>
      <c r="B251" s="50"/>
      <c r="C251" s="49"/>
      <c r="D251" s="51" t="str">
        <f aca="false">IF(C251="","",IFERROR(INDEX('شجرة الحسابات'!$B$9:$B$208,MATCH(C251,'شجرة الحسابات'!$A$9:$A$208,0)),"⚠ حساب غير معرف"))</f>
        <v/>
      </c>
      <c r="E251" s="52"/>
      <c r="F251" s="52"/>
      <c r="G251" s="53"/>
      <c r="H251" s="53"/>
      <c r="I251" s="54" t="str">
        <f aca="false">IF(A251="",IF(M251="فارغ","","✖ بدون رقم قيد"),IF(COUNTIFS('قيود اليومية'!$A$11:$A$1010,A251,'قيود اليومية'!$M$11:$M$1010,"&lt;&gt;OK",'قيود اليومية'!$M$11:$M$1010,"&lt;&gt;فارغ")&gt;0,"✖ خطأ بالحساب",IF(ROUND(SUMIFS('قيود اليومية'!$G$11:$G$1010,'قيود اليومية'!$A$11:$A$1010,A251)-SUMIFS('قيود اليومية'!$H$11:$H$1010,'قيود اليومية'!$A$11:$A$1010,A251),2)&lt;&gt;0,"✖ غير متوازن","مرحل ✔")))</f>
        <v/>
      </c>
      <c r="J251" s="55" t="str">
        <f aca="false">IF(C251="","",IFERROR(INDEX('شجرة الحسابات'!$E$9:$E$208,MATCH(C251,'شجرة الحسابات'!$A$9:$A$208,0))&amp;"",""))</f>
        <v/>
      </c>
      <c r="K251" s="55" t="str">
        <f aca="false">IF(C251="","",IFERROR(INDEX('شجرة الحسابات'!$I$9:$I$208,MATCH(C251,'شجرة الحسابات'!$A$9:$A$208,0))&amp;"",""))</f>
        <v/>
      </c>
      <c r="L251" s="55" t="str">
        <f aca="false">IF(C251="","",IFERROR(INDEX('شجرة الحسابات'!$C$9:$C$208,MATCH(C251,'شجرة الحسابات'!$A$9:$A$208,0))&amp;"",""))</f>
        <v/>
      </c>
      <c r="M251" s="55" t="str">
        <f aca="false">IF(AND(C251="",G251="",H251=""),"فارغ",IF(ISNA(MATCH(C251,'شجرة الحسابات'!$A$9:$A$208,0)),"حساب غير معرف",IF(L251&lt;&gt;"تحليلي","حساب تجميعي",IF(AND(N(G251)&gt;0,N(H251)&gt;0),"مدين ودائن معاً",IF(N(G251)+N(H251)=0,"بدون قيمة","OK")))))</f>
        <v>فارغ</v>
      </c>
      <c r="N251" s="55" t="str">
        <f aca="false">IF(AND(E251&lt;&gt;"",E251='كشف حساب مشروع'!$C$6,I251="مرحل ✔"),COUNTIFS($E$11:E251,'كشف حساب مشروع'!$C$6,$I$11:I251,"مرحل ✔"),"")</f>
        <v/>
      </c>
      <c r="O251" s="55" t="str">
        <f aca="false">IF(AND(C251&lt;&gt;"",C251='دفتر الأستاذ'!$C$6,I251="مرحل ✔"),COUNTIFS($C$11:C251,'دفتر الأستاذ'!$C$6,$I$11:I251,"مرحل ✔"),"")</f>
        <v/>
      </c>
    </row>
    <row r="252" customFormat="false" ht="15" hidden="false" customHeight="false" outlineLevel="0" collapsed="false">
      <c r="A252" s="49"/>
      <c r="B252" s="50"/>
      <c r="C252" s="49"/>
      <c r="D252" s="51" t="str">
        <f aca="false">IF(C252="","",IFERROR(INDEX('شجرة الحسابات'!$B$9:$B$208,MATCH(C252,'شجرة الحسابات'!$A$9:$A$208,0)),"⚠ حساب غير معرف"))</f>
        <v/>
      </c>
      <c r="E252" s="52"/>
      <c r="F252" s="52"/>
      <c r="G252" s="53"/>
      <c r="H252" s="53"/>
      <c r="I252" s="54" t="str">
        <f aca="false">IF(A252="",IF(M252="فارغ","","✖ بدون رقم قيد"),IF(COUNTIFS('قيود اليومية'!$A$11:$A$1010,A252,'قيود اليومية'!$M$11:$M$1010,"&lt;&gt;OK",'قيود اليومية'!$M$11:$M$1010,"&lt;&gt;فارغ")&gt;0,"✖ خطأ بالحساب",IF(ROUND(SUMIFS('قيود اليومية'!$G$11:$G$1010,'قيود اليومية'!$A$11:$A$1010,A252)-SUMIFS('قيود اليومية'!$H$11:$H$1010,'قيود اليومية'!$A$11:$A$1010,A252),2)&lt;&gt;0,"✖ غير متوازن","مرحل ✔")))</f>
        <v/>
      </c>
      <c r="J252" s="55" t="str">
        <f aca="false">IF(C252="","",IFERROR(INDEX('شجرة الحسابات'!$E$9:$E$208,MATCH(C252,'شجرة الحسابات'!$A$9:$A$208,0))&amp;"",""))</f>
        <v/>
      </c>
      <c r="K252" s="55" t="str">
        <f aca="false">IF(C252="","",IFERROR(INDEX('شجرة الحسابات'!$I$9:$I$208,MATCH(C252,'شجرة الحسابات'!$A$9:$A$208,0))&amp;"",""))</f>
        <v/>
      </c>
      <c r="L252" s="55" t="str">
        <f aca="false">IF(C252="","",IFERROR(INDEX('شجرة الحسابات'!$C$9:$C$208,MATCH(C252,'شجرة الحسابات'!$A$9:$A$208,0))&amp;"",""))</f>
        <v/>
      </c>
      <c r="M252" s="55" t="str">
        <f aca="false">IF(AND(C252="",G252="",H252=""),"فارغ",IF(ISNA(MATCH(C252,'شجرة الحسابات'!$A$9:$A$208,0)),"حساب غير معرف",IF(L252&lt;&gt;"تحليلي","حساب تجميعي",IF(AND(N(G252)&gt;0,N(H252)&gt;0),"مدين ودائن معاً",IF(N(G252)+N(H252)=0,"بدون قيمة","OK")))))</f>
        <v>فارغ</v>
      </c>
      <c r="N252" s="55" t="str">
        <f aca="false">IF(AND(E252&lt;&gt;"",E252='كشف حساب مشروع'!$C$6,I252="مرحل ✔"),COUNTIFS($E$11:E252,'كشف حساب مشروع'!$C$6,$I$11:I252,"مرحل ✔"),"")</f>
        <v/>
      </c>
      <c r="O252" s="55" t="str">
        <f aca="false">IF(AND(C252&lt;&gt;"",C252='دفتر الأستاذ'!$C$6,I252="مرحل ✔"),COUNTIFS($C$11:C252,'دفتر الأستاذ'!$C$6,$I$11:I252,"مرحل ✔"),"")</f>
        <v/>
      </c>
    </row>
    <row r="253" customFormat="false" ht="15" hidden="false" customHeight="false" outlineLevel="0" collapsed="false">
      <c r="A253" s="49"/>
      <c r="B253" s="50"/>
      <c r="C253" s="49"/>
      <c r="D253" s="51" t="str">
        <f aca="false">IF(C253="","",IFERROR(INDEX('شجرة الحسابات'!$B$9:$B$208,MATCH(C253,'شجرة الحسابات'!$A$9:$A$208,0)),"⚠ حساب غير معرف"))</f>
        <v/>
      </c>
      <c r="E253" s="52"/>
      <c r="F253" s="52"/>
      <c r="G253" s="53"/>
      <c r="H253" s="53"/>
      <c r="I253" s="54" t="str">
        <f aca="false">IF(A253="",IF(M253="فارغ","","✖ بدون رقم قيد"),IF(COUNTIFS('قيود اليومية'!$A$11:$A$1010,A253,'قيود اليومية'!$M$11:$M$1010,"&lt;&gt;OK",'قيود اليومية'!$M$11:$M$1010,"&lt;&gt;فارغ")&gt;0,"✖ خطأ بالحساب",IF(ROUND(SUMIFS('قيود اليومية'!$G$11:$G$1010,'قيود اليومية'!$A$11:$A$1010,A253)-SUMIFS('قيود اليومية'!$H$11:$H$1010,'قيود اليومية'!$A$11:$A$1010,A253),2)&lt;&gt;0,"✖ غير متوازن","مرحل ✔")))</f>
        <v/>
      </c>
      <c r="J253" s="55" t="str">
        <f aca="false">IF(C253="","",IFERROR(INDEX('شجرة الحسابات'!$E$9:$E$208,MATCH(C253,'شجرة الحسابات'!$A$9:$A$208,0))&amp;"",""))</f>
        <v/>
      </c>
      <c r="K253" s="55" t="str">
        <f aca="false">IF(C253="","",IFERROR(INDEX('شجرة الحسابات'!$I$9:$I$208,MATCH(C253,'شجرة الحسابات'!$A$9:$A$208,0))&amp;"",""))</f>
        <v/>
      </c>
      <c r="L253" s="55" t="str">
        <f aca="false">IF(C253="","",IFERROR(INDEX('شجرة الحسابات'!$C$9:$C$208,MATCH(C253,'شجرة الحسابات'!$A$9:$A$208,0))&amp;"",""))</f>
        <v/>
      </c>
      <c r="M253" s="55" t="str">
        <f aca="false">IF(AND(C253="",G253="",H253=""),"فارغ",IF(ISNA(MATCH(C253,'شجرة الحسابات'!$A$9:$A$208,0)),"حساب غير معرف",IF(L253&lt;&gt;"تحليلي","حساب تجميعي",IF(AND(N(G253)&gt;0,N(H253)&gt;0),"مدين ودائن معاً",IF(N(G253)+N(H253)=0,"بدون قيمة","OK")))))</f>
        <v>فارغ</v>
      </c>
      <c r="N253" s="55" t="str">
        <f aca="false">IF(AND(E253&lt;&gt;"",E253='كشف حساب مشروع'!$C$6,I253="مرحل ✔"),COUNTIFS($E$11:E253,'كشف حساب مشروع'!$C$6,$I$11:I253,"مرحل ✔"),"")</f>
        <v/>
      </c>
      <c r="O253" s="55" t="str">
        <f aca="false">IF(AND(C253&lt;&gt;"",C253='دفتر الأستاذ'!$C$6,I253="مرحل ✔"),COUNTIFS($C$11:C253,'دفتر الأستاذ'!$C$6,$I$11:I253,"مرحل ✔"),"")</f>
        <v/>
      </c>
    </row>
    <row r="254" customFormat="false" ht="15" hidden="false" customHeight="false" outlineLevel="0" collapsed="false">
      <c r="A254" s="49"/>
      <c r="B254" s="50"/>
      <c r="C254" s="49"/>
      <c r="D254" s="51" t="str">
        <f aca="false">IF(C254="","",IFERROR(INDEX('شجرة الحسابات'!$B$9:$B$208,MATCH(C254,'شجرة الحسابات'!$A$9:$A$208,0)),"⚠ حساب غير معرف"))</f>
        <v/>
      </c>
      <c r="E254" s="52"/>
      <c r="F254" s="52"/>
      <c r="G254" s="53"/>
      <c r="H254" s="53"/>
      <c r="I254" s="54" t="str">
        <f aca="false">IF(A254="",IF(M254="فارغ","","✖ بدون رقم قيد"),IF(COUNTIFS('قيود اليومية'!$A$11:$A$1010,A254,'قيود اليومية'!$M$11:$M$1010,"&lt;&gt;OK",'قيود اليومية'!$M$11:$M$1010,"&lt;&gt;فارغ")&gt;0,"✖ خطأ بالحساب",IF(ROUND(SUMIFS('قيود اليومية'!$G$11:$G$1010,'قيود اليومية'!$A$11:$A$1010,A254)-SUMIFS('قيود اليومية'!$H$11:$H$1010,'قيود اليومية'!$A$11:$A$1010,A254),2)&lt;&gt;0,"✖ غير متوازن","مرحل ✔")))</f>
        <v/>
      </c>
      <c r="J254" s="55" t="str">
        <f aca="false">IF(C254="","",IFERROR(INDEX('شجرة الحسابات'!$E$9:$E$208,MATCH(C254,'شجرة الحسابات'!$A$9:$A$208,0))&amp;"",""))</f>
        <v/>
      </c>
      <c r="K254" s="55" t="str">
        <f aca="false">IF(C254="","",IFERROR(INDEX('شجرة الحسابات'!$I$9:$I$208,MATCH(C254,'شجرة الحسابات'!$A$9:$A$208,0))&amp;"",""))</f>
        <v/>
      </c>
      <c r="L254" s="55" t="str">
        <f aca="false">IF(C254="","",IFERROR(INDEX('شجرة الحسابات'!$C$9:$C$208,MATCH(C254,'شجرة الحسابات'!$A$9:$A$208,0))&amp;"",""))</f>
        <v/>
      </c>
      <c r="M254" s="55" t="str">
        <f aca="false">IF(AND(C254="",G254="",H254=""),"فارغ",IF(ISNA(MATCH(C254,'شجرة الحسابات'!$A$9:$A$208,0)),"حساب غير معرف",IF(L254&lt;&gt;"تحليلي","حساب تجميعي",IF(AND(N(G254)&gt;0,N(H254)&gt;0),"مدين ودائن معاً",IF(N(G254)+N(H254)=0,"بدون قيمة","OK")))))</f>
        <v>فارغ</v>
      </c>
      <c r="N254" s="55" t="str">
        <f aca="false">IF(AND(E254&lt;&gt;"",E254='كشف حساب مشروع'!$C$6,I254="مرحل ✔"),COUNTIFS($E$11:E254,'كشف حساب مشروع'!$C$6,$I$11:I254,"مرحل ✔"),"")</f>
        <v/>
      </c>
      <c r="O254" s="55" t="str">
        <f aca="false">IF(AND(C254&lt;&gt;"",C254='دفتر الأستاذ'!$C$6,I254="مرحل ✔"),COUNTIFS($C$11:C254,'دفتر الأستاذ'!$C$6,$I$11:I254,"مرحل ✔"),"")</f>
        <v/>
      </c>
    </row>
    <row r="255" customFormat="false" ht="15" hidden="false" customHeight="false" outlineLevel="0" collapsed="false">
      <c r="A255" s="49"/>
      <c r="B255" s="50"/>
      <c r="C255" s="49"/>
      <c r="D255" s="51" t="str">
        <f aca="false">IF(C255="","",IFERROR(INDEX('شجرة الحسابات'!$B$9:$B$208,MATCH(C255,'شجرة الحسابات'!$A$9:$A$208,0)),"⚠ حساب غير معرف"))</f>
        <v/>
      </c>
      <c r="E255" s="52"/>
      <c r="F255" s="52"/>
      <c r="G255" s="53"/>
      <c r="H255" s="53"/>
      <c r="I255" s="54" t="str">
        <f aca="false">IF(A255="",IF(M255="فارغ","","✖ بدون رقم قيد"),IF(COUNTIFS('قيود اليومية'!$A$11:$A$1010,A255,'قيود اليومية'!$M$11:$M$1010,"&lt;&gt;OK",'قيود اليومية'!$M$11:$M$1010,"&lt;&gt;فارغ")&gt;0,"✖ خطأ بالحساب",IF(ROUND(SUMIFS('قيود اليومية'!$G$11:$G$1010,'قيود اليومية'!$A$11:$A$1010,A255)-SUMIFS('قيود اليومية'!$H$11:$H$1010,'قيود اليومية'!$A$11:$A$1010,A255),2)&lt;&gt;0,"✖ غير متوازن","مرحل ✔")))</f>
        <v/>
      </c>
      <c r="J255" s="55" t="str">
        <f aca="false">IF(C255="","",IFERROR(INDEX('شجرة الحسابات'!$E$9:$E$208,MATCH(C255,'شجرة الحسابات'!$A$9:$A$208,0))&amp;"",""))</f>
        <v/>
      </c>
      <c r="K255" s="55" t="str">
        <f aca="false">IF(C255="","",IFERROR(INDEX('شجرة الحسابات'!$I$9:$I$208,MATCH(C255,'شجرة الحسابات'!$A$9:$A$208,0))&amp;"",""))</f>
        <v/>
      </c>
      <c r="L255" s="55" t="str">
        <f aca="false">IF(C255="","",IFERROR(INDEX('شجرة الحسابات'!$C$9:$C$208,MATCH(C255,'شجرة الحسابات'!$A$9:$A$208,0))&amp;"",""))</f>
        <v/>
      </c>
      <c r="M255" s="55" t="str">
        <f aca="false">IF(AND(C255="",G255="",H255=""),"فارغ",IF(ISNA(MATCH(C255,'شجرة الحسابات'!$A$9:$A$208,0)),"حساب غير معرف",IF(L255&lt;&gt;"تحليلي","حساب تجميعي",IF(AND(N(G255)&gt;0,N(H255)&gt;0),"مدين ودائن معاً",IF(N(G255)+N(H255)=0,"بدون قيمة","OK")))))</f>
        <v>فارغ</v>
      </c>
      <c r="N255" s="55" t="str">
        <f aca="false">IF(AND(E255&lt;&gt;"",E255='كشف حساب مشروع'!$C$6,I255="مرحل ✔"),COUNTIFS($E$11:E255,'كشف حساب مشروع'!$C$6,$I$11:I255,"مرحل ✔"),"")</f>
        <v/>
      </c>
      <c r="O255" s="55" t="str">
        <f aca="false">IF(AND(C255&lt;&gt;"",C255='دفتر الأستاذ'!$C$6,I255="مرحل ✔"),COUNTIFS($C$11:C255,'دفتر الأستاذ'!$C$6,$I$11:I255,"مرحل ✔"),"")</f>
        <v/>
      </c>
    </row>
    <row r="256" customFormat="false" ht="15" hidden="false" customHeight="false" outlineLevel="0" collapsed="false">
      <c r="A256" s="49"/>
      <c r="B256" s="50"/>
      <c r="C256" s="49"/>
      <c r="D256" s="51" t="str">
        <f aca="false">IF(C256="","",IFERROR(INDEX('شجرة الحسابات'!$B$9:$B$208,MATCH(C256,'شجرة الحسابات'!$A$9:$A$208,0)),"⚠ حساب غير معرف"))</f>
        <v/>
      </c>
      <c r="E256" s="52"/>
      <c r="F256" s="52"/>
      <c r="G256" s="53"/>
      <c r="H256" s="53"/>
      <c r="I256" s="54" t="str">
        <f aca="false">IF(A256="",IF(M256="فارغ","","✖ بدون رقم قيد"),IF(COUNTIFS('قيود اليومية'!$A$11:$A$1010,A256,'قيود اليومية'!$M$11:$M$1010,"&lt;&gt;OK",'قيود اليومية'!$M$11:$M$1010,"&lt;&gt;فارغ")&gt;0,"✖ خطأ بالحساب",IF(ROUND(SUMIFS('قيود اليومية'!$G$11:$G$1010,'قيود اليومية'!$A$11:$A$1010,A256)-SUMIFS('قيود اليومية'!$H$11:$H$1010,'قيود اليومية'!$A$11:$A$1010,A256),2)&lt;&gt;0,"✖ غير متوازن","مرحل ✔")))</f>
        <v/>
      </c>
      <c r="J256" s="55" t="str">
        <f aca="false">IF(C256="","",IFERROR(INDEX('شجرة الحسابات'!$E$9:$E$208,MATCH(C256,'شجرة الحسابات'!$A$9:$A$208,0))&amp;"",""))</f>
        <v/>
      </c>
      <c r="K256" s="55" t="str">
        <f aca="false">IF(C256="","",IFERROR(INDEX('شجرة الحسابات'!$I$9:$I$208,MATCH(C256,'شجرة الحسابات'!$A$9:$A$208,0))&amp;"",""))</f>
        <v/>
      </c>
      <c r="L256" s="55" t="str">
        <f aca="false">IF(C256="","",IFERROR(INDEX('شجرة الحسابات'!$C$9:$C$208,MATCH(C256,'شجرة الحسابات'!$A$9:$A$208,0))&amp;"",""))</f>
        <v/>
      </c>
      <c r="M256" s="55" t="str">
        <f aca="false">IF(AND(C256="",G256="",H256=""),"فارغ",IF(ISNA(MATCH(C256,'شجرة الحسابات'!$A$9:$A$208,0)),"حساب غير معرف",IF(L256&lt;&gt;"تحليلي","حساب تجميعي",IF(AND(N(G256)&gt;0,N(H256)&gt;0),"مدين ودائن معاً",IF(N(G256)+N(H256)=0,"بدون قيمة","OK")))))</f>
        <v>فارغ</v>
      </c>
      <c r="N256" s="55" t="str">
        <f aca="false">IF(AND(E256&lt;&gt;"",E256='كشف حساب مشروع'!$C$6,I256="مرحل ✔"),COUNTIFS($E$11:E256,'كشف حساب مشروع'!$C$6,$I$11:I256,"مرحل ✔"),"")</f>
        <v/>
      </c>
      <c r="O256" s="55" t="str">
        <f aca="false">IF(AND(C256&lt;&gt;"",C256='دفتر الأستاذ'!$C$6,I256="مرحل ✔"),COUNTIFS($C$11:C256,'دفتر الأستاذ'!$C$6,$I$11:I256,"مرحل ✔"),"")</f>
        <v/>
      </c>
    </row>
    <row r="257" customFormat="false" ht="15" hidden="false" customHeight="false" outlineLevel="0" collapsed="false">
      <c r="A257" s="49"/>
      <c r="B257" s="50"/>
      <c r="C257" s="49"/>
      <c r="D257" s="51" t="str">
        <f aca="false">IF(C257="","",IFERROR(INDEX('شجرة الحسابات'!$B$9:$B$208,MATCH(C257,'شجرة الحسابات'!$A$9:$A$208,0)),"⚠ حساب غير معرف"))</f>
        <v/>
      </c>
      <c r="E257" s="52"/>
      <c r="F257" s="52"/>
      <c r="G257" s="53"/>
      <c r="H257" s="53"/>
      <c r="I257" s="54" t="str">
        <f aca="false">IF(A257="",IF(M257="فارغ","","✖ بدون رقم قيد"),IF(COUNTIFS('قيود اليومية'!$A$11:$A$1010,A257,'قيود اليومية'!$M$11:$M$1010,"&lt;&gt;OK",'قيود اليومية'!$M$11:$M$1010,"&lt;&gt;فارغ")&gt;0,"✖ خطأ بالحساب",IF(ROUND(SUMIFS('قيود اليومية'!$G$11:$G$1010,'قيود اليومية'!$A$11:$A$1010,A257)-SUMIFS('قيود اليومية'!$H$11:$H$1010,'قيود اليومية'!$A$11:$A$1010,A257),2)&lt;&gt;0,"✖ غير متوازن","مرحل ✔")))</f>
        <v/>
      </c>
      <c r="J257" s="55" t="str">
        <f aca="false">IF(C257="","",IFERROR(INDEX('شجرة الحسابات'!$E$9:$E$208,MATCH(C257,'شجرة الحسابات'!$A$9:$A$208,0))&amp;"",""))</f>
        <v/>
      </c>
      <c r="K257" s="55" t="str">
        <f aca="false">IF(C257="","",IFERROR(INDEX('شجرة الحسابات'!$I$9:$I$208,MATCH(C257,'شجرة الحسابات'!$A$9:$A$208,0))&amp;"",""))</f>
        <v/>
      </c>
      <c r="L257" s="55" t="str">
        <f aca="false">IF(C257="","",IFERROR(INDEX('شجرة الحسابات'!$C$9:$C$208,MATCH(C257,'شجرة الحسابات'!$A$9:$A$208,0))&amp;"",""))</f>
        <v/>
      </c>
      <c r="M257" s="55" t="str">
        <f aca="false">IF(AND(C257="",G257="",H257=""),"فارغ",IF(ISNA(MATCH(C257,'شجرة الحسابات'!$A$9:$A$208,0)),"حساب غير معرف",IF(L257&lt;&gt;"تحليلي","حساب تجميعي",IF(AND(N(G257)&gt;0,N(H257)&gt;0),"مدين ودائن معاً",IF(N(G257)+N(H257)=0,"بدون قيمة","OK")))))</f>
        <v>فارغ</v>
      </c>
      <c r="N257" s="55" t="str">
        <f aca="false">IF(AND(E257&lt;&gt;"",E257='كشف حساب مشروع'!$C$6,I257="مرحل ✔"),COUNTIFS($E$11:E257,'كشف حساب مشروع'!$C$6,$I$11:I257,"مرحل ✔"),"")</f>
        <v/>
      </c>
      <c r="O257" s="55" t="str">
        <f aca="false">IF(AND(C257&lt;&gt;"",C257='دفتر الأستاذ'!$C$6,I257="مرحل ✔"),COUNTIFS($C$11:C257,'دفتر الأستاذ'!$C$6,$I$11:I257,"مرحل ✔"),"")</f>
        <v/>
      </c>
    </row>
    <row r="258" customFormat="false" ht="15" hidden="false" customHeight="false" outlineLevel="0" collapsed="false">
      <c r="A258" s="49"/>
      <c r="B258" s="50"/>
      <c r="C258" s="49"/>
      <c r="D258" s="51" t="str">
        <f aca="false">IF(C258="","",IFERROR(INDEX('شجرة الحسابات'!$B$9:$B$208,MATCH(C258,'شجرة الحسابات'!$A$9:$A$208,0)),"⚠ حساب غير معرف"))</f>
        <v/>
      </c>
      <c r="E258" s="52"/>
      <c r="F258" s="52"/>
      <c r="G258" s="53"/>
      <c r="H258" s="53"/>
      <c r="I258" s="54" t="str">
        <f aca="false">IF(A258="",IF(M258="فارغ","","✖ بدون رقم قيد"),IF(COUNTIFS('قيود اليومية'!$A$11:$A$1010,A258,'قيود اليومية'!$M$11:$M$1010,"&lt;&gt;OK",'قيود اليومية'!$M$11:$M$1010,"&lt;&gt;فارغ")&gt;0,"✖ خطأ بالحساب",IF(ROUND(SUMIFS('قيود اليومية'!$G$11:$G$1010,'قيود اليومية'!$A$11:$A$1010,A258)-SUMIFS('قيود اليومية'!$H$11:$H$1010,'قيود اليومية'!$A$11:$A$1010,A258),2)&lt;&gt;0,"✖ غير متوازن","مرحل ✔")))</f>
        <v/>
      </c>
      <c r="J258" s="55" t="str">
        <f aca="false">IF(C258="","",IFERROR(INDEX('شجرة الحسابات'!$E$9:$E$208,MATCH(C258,'شجرة الحسابات'!$A$9:$A$208,0))&amp;"",""))</f>
        <v/>
      </c>
      <c r="K258" s="55" t="str">
        <f aca="false">IF(C258="","",IFERROR(INDEX('شجرة الحسابات'!$I$9:$I$208,MATCH(C258,'شجرة الحسابات'!$A$9:$A$208,0))&amp;"",""))</f>
        <v/>
      </c>
      <c r="L258" s="55" t="str">
        <f aca="false">IF(C258="","",IFERROR(INDEX('شجرة الحسابات'!$C$9:$C$208,MATCH(C258,'شجرة الحسابات'!$A$9:$A$208,0))&amp;"",""))</f>
        <v/>
      </c>
      <c r="M258" s="55" t="str">
        <f aca="false">IF(AND(C258="",G258="",H258=""),"فارغ",IF(ISNA(MATCH(C258,'شجرة الحسابات'!$A$9:$A$208,0)),"حساب غير معرف",IF(L258&lt;&gt;"تحليلي","حساب تجميعي",IF(AND(N(G258)&gt;0,N(H258)&gt;0),"مدين ودائن معاً",IF(N(G258)+N(H258)=0,"بدون قيمة","OK")))))</f>
        <v>فارغ</v>
      </c>
      <c r="N258" s="55" t="str">
        <f aca="false">IF(AND(E258&lt;&gt;"",E258='كشف حساب مشروع'!$C$6,I258="مرحل ✔"),COUNTIFS($E$11:E258,'كشف حساب مشروع'!$C$6,$I$11:I258,"مرحل ✔"),"")</f>
        <v/>
      </c>
      <c r="O258" s="55" t="str">
        <f aca="false">IF(AND(C258&lt;&gt;"",C258='دفتر الأستاذ'!$C$6,I258="مرحل ✔"),COUNTIFS($C$11:C258,'دفتر الأستاذ'!$C$6,$I$11:I258,"مرحل ✔"),"")</f>
        <v/>
      </c>
    </row>
    <row r="259" customFormat="false" ht="15" hidden="false" customHeight="false" outlineLevel="0" collapsed="false">
      <c r="A259" s="49"/>
      <c r="B259" s="50"/>
      <c r="C259" s="49"/>
      <c r="D259" s="51" t="str">
        <f aca="false">IF(C259="","",IFERROR(INDEX('شجرة الحسابات'!$B$9:$B$208,MATCH(C259,'شجرة الحسابات'!$A$9:$A$208,0)),"⚠ حساب غير معرف"))</f>
        <v/>
      </c>
      <c r="E259" s="52"/>
      <c r="F259" s="52"/>
      <c r="G259" s="53"/>
      <c r="H259" s="53"/>
      <c r="I259" s="54" t="str">
        <f aca="false">IF(A259="",IF(M259="فارغ","","✖ بدون رقم قيد"),IF(COUNTIFS('قيود اليومية'!$A$11:$A$1010,A259,'قيود اليومية'!$M$11:$M$1010,"&lt;&gt;OK",'قيود اليومية'!$M$11:$M$1010,"&lt;&gt;فارغ")&gt;0,"✖ خطأ بالحساب",IF(ROUND(SUMIFS('قيود اليومية'!$G$11:$G$1010,'قيود اليومية'!$A$11:$A$1010,A259)-SUMIFS('قيود اليومية'!$H$11:$H$1010,'قيود اليومية'!$A$11:$A$1010,A259),2)&lt;&gt;0,"✖ غير متوازن","مرحل ✔")))</f>
        <v/>
      </c>
      <c r="J259" s="55" t="str">
        <f aca="false">IF(C259="","",IFERROR(INDEX('شجرة الحسابات'!$E$9:$E$208,MATCH(C259,'شجرة الحسابات'!$A$9:$A$208,0))&amp;"",""))</f>
        <v/>
      </c>
      <c r="K259" s="55" t="str">
        <f aca="false">IF(C259="","",IFERROR(INDEX('شجرة الحسابات'!$I$9:$I$208,MATCH(C259,'شجرة الحسابات'!$A$9:$A$208,0))&amp;"",""))</f>
        <v/>
      </c>
      <c r="L259" s="55" t="str">
        <f aca="false">IF(C259="","",IFERROR(INDEX('شجرة الحسابات'!$C$9:$C$208,MATCH(C259,'شجرة الحسابات'!$A$9:$A$208,0))&amp;"",""))</f>
        <v/>
      </c>
      <c r="M259" s="55" t="str">
        <f aca="false">IF(AND(C259="",G259="",H259=""),"فارغ",IF(ISNA(MATCH(C259,'شجرة الحسابات'!$A$9:$A$208,0)),"حساب غير معرف",IF(L259&lt;&gt;"تحليلي","حساب تجميعي",IF(AND(N(G259)&gt;0,N(H259)&gt;0),"مدين ودائن معاً",IF(N(G259)+N(H259)=0,"بدون قيمة","OK")))))</f>
        <v>فارغ</v>
      </c>
      <c r="N259" s="55" t="str">
        <f aca="false">IF(AND(E259&lt;&gt;"",E259='كشف حساب مشروع'!$C$6,I259="مرحل ✔"),COUNTIFS($E$11:E259,'كشف حساب مشروع'!$C$6,$I$11:I259,"مرحل ✔"),"")</f>
        <v/>
      </c>
      <c r="O259" s="55" t="str">
        <f aca="false">IF(AND(C259&lt;&gt;"",C259='دفتر الأستاذ'!$C$6,I259="مرحل ✔"),COUNTIFS($C$11:C259,'دفتر الأستاذ'!$C$6,$I$11:I259,"مرحل ✔"),"")</f>
        <v/>
      </c>
    </row>
    <row r="260" customFormat="false" ht="15" hidden="false" customHeight="false" outlineLevel="0" collapsed="false">
      <c r="A260" s="49"/>
      <c r="B260" s="50"/>
      <c r="C260" s="49"/>
      <c r="D260" s="51" t="str">
        <f aca="false">IF(C260="","",IFERROR(INDEX('شجرة الحسابات'!$B$9:$B$208,MATCH(C260,'شجرة الحسابات'!$A$9:$A$208,0)),"⚠ حساب غير معرف"))</f>
        <v/>
      </c>
      <c r="E260" s="52"/>
      <c r="F260" s="52"/>
      <c r="G260" s="53"/>
      <c r="H260" s="53"/>
      <c r="I260" s="54" t="str">
        <f aca="false">IF(A260="",IF(M260="فارغ","","✖ بدون رقم قيد"),IF(COUNTIFS('قيود اليومية'!$A$11:$A$1010,A260,'قيود اليومية'!$M$11:$M$1010,"&lt;&gt;OK",'قيود اليومية'!$M$11:$M$1010,"&lt;&gt;فارغ")&gt;0,"✖ خطأ بالحساب",IF(ROUND(SUMIFS('قيود اليومية'!$G$11:$G$1010,'قيود اليومية'!$A$11:$A$1010,A260)-SUMIFS('قيود اليومية'!$H$11:$H$1010,'قيود اليومية'!$A$11:$A$1010,A260),2)&lt;&gt;0,"✖ غير متوازن","مرحل ✔")))</f>
        <v/>
      </c>
      <c r="J260" s="55" t="str">
        <f aca="false">IF(C260="","",IFERROR(INDEX('شجرة الحسابات'!$E$9:$E$208,MATCH(C260,'شجرة الحسابات'!$A$9:$A$208,0))&amp;"",""))</f>
        <v/>
      </c>
      <c r="K260" s="55" t="str">
        <f aca="false">IF(C260="","",IFERROR(INDEX('شجرة الحسابات'!$I$9:$I$208,MATCH(C260,'شجرة الحسابات'!$A$9:$A$208,0))&amp;"",""))</f>
        <v/>
      </c>
      <c r="L260" s="55" t="str">
        <f aca="false">IF(C260="","",IFERROR(INDEX('شجرة الحسابات'!$C$9:$C$208,MATCH(C260,'شجرة الحسابات'!$A$9:$A$208,0))&amp;"",""))</f>
        <v/>
      </c>
      <c r="M260" s="55" t="str">
        <f aca="false">IF(AND(C260="",G260="",H260=""),"فارغ",IF(ISNA(MATCH(C260,'شجرة الحسابات'!$A$9:$A$208,0)),"حساب غير معرف",IF(L260&lt;&gt;"تحليلي","حساب تجميعي",IF(AND(N(G260)&gt;0,N(H260)&gt;0),"مدين ودائن معاً",IF(N(G260)+N(H260)=0,"بدون قيمة","OK")))))</f>
        <v>فارغ</v>
      </c>
      <c r="N260" s="55" t="str">
        <f aca="false">IF(AND(E260&lt;&gt;"",E260='كشف حساب مشروع'!$C$6,I260="مرحل ✔"),COUNTIFS($E$11:E260,'كشف حساب مشروع'!$C$6,$I$11:I260,"مرحل ✔"),"")</f>
        <v/>
      </c>
      <c r="O260" s="55" t="str">
        <f aca="false">IF(AND(C260&lt;&gt;"",C260='دفتر الأستاذ'!$C$6,I260="مرحل ✔"),COUNTIFS($C$11:C260,'دفتر الأستاذ'!$C$6,$I$11:I260,"مرحل ✔"),"")</f>
        <v/>
      </c>
    </row>
    <row r="261" customFormat="false" ht="15" hidden="false" customHeight="false" outlineLevel="0" collapsed="false">
      <c r="A261" s="49"/>
      <c r="B261" s="50"/>
      <c r="C261" s="49"/>
      <c r="D261" s="51" t="str">
        <f aca="false">IF(C261="","",IFERROR(INDEX('شجرة الحسابات'!$B$9:$B$208,MATCH(C261,'شجرة الحسابات'!$A$9:$A$208,0)),"⚠ حساب غير معرف"))</f>
        <v/>
      </c>
      <c r="E261" s="52"/>
      <c r="F261" s="52"/>
      <c r="G261" s="53"/>
      <c r="H261" s="53"/>
      <c r="I261" s="54" t="str">
        <f aca="false">IF(A261="",IF(M261="فارغ","","✖ بدون رقم قيد"),IF(COUNTIFS('قيود اليومية'!$A$11:$A$1010,A261,'قيود اليومية'!$M$11:$M$1010,"&lt;&gt;OK",'قيود اليومية'!$M$11:$M$1010,"&lt;&gt;فارغ")&gt;0,"✖ خطأ بالحساب",IF(ROUND(SUMIFS('قيود اليومية'!$G$11:$G$1010,'قيود اليومية'!$A$11:$A$1010,A261)-SUMIFS('قيود اليومية'!$H$11:$H$1010,'قيود اليومية'!$A$11:$A$1010,A261),2)&lt;&gt;0,"✖ غير متوازن","مرحل ✔")))</f>
        <v/>
      </c>
      <c r="J261" s="55" t="str">
        <f aca="false">IF(C261="","",IFERROR(INDEX('شجرة الحسابات'!$E$9:$E$208,MATCH(C261,'شجرة الحسابات'!$A$9:$A$208,0))&amp;"",""))</f>
        <v/>
      </c>
      <c r="K261" s="55" t="str">
        <f aca="false">IF(C261="","",IFERROR(INDEX('شجرة الحسابات'!$I$9:$I$208,MATCH(C261,'شجرة الحسابات'!$A$9:$A$208,0))&amp;"",""))</f>
        <v/>
      </c>
      <c r="L261" s="55" t="str">
        <f aca="false">IF(C261="","",IFERROR(INDEX('شجرة الحسابات'!$C$9:$C$208,MATCH(C261,'شجرة الحسابات'!$A$9:$A$208,0))&amp;"",""))</f>
        <v/>
      </c>
      <c r="M261" s="55" t="str">
        <f aca="false">IF(AND(C261="",G261="",H261=""),"فارغ",IF(ISNA(MATCH(C261,'شجرة الحسابات'!$A$9:$A$208,0)),"حساب غير معرف",IF(L261&lt;&gt;"تحليلي","حساب تجميعي",IF(AND(N(G261)&gt;0,N(H261)&gt;0),"مدين ودائن معاً",IF(N(G261)+N(H261)=0,"بدون قيمة","OK")))))</f>
        <v>فارغ</v>
      </c>
      <c r="N261" s="55" t="str">
        <f aca="false">IF(AND(E261&lt;&gt;"",E261='كشف حساب مشروع'!$C$6,I261="مرحل ✔"),COUNTIFS($E$11:E261,'كشف حساب مشروع'!$C$6,$I$11:I261,"مرحل ✔"),"")</f>
        <v/>
      </c>
      <c r="O261" s="55" t="str">
        <f aca="false">IF(AND(C261&lt;&gt;"",C261='دفتر الأستاذ'!$C$6,I261="مرحل ✔"),COUNTIFS($C$11:C261,'دفتر الأستاذ'!$C$6,$I$11:I261,"مرحل ✔"),"")</f>
        <v/>
      </c>
    </row>
    <row r="262" customFormat="false" ht="15" hidden="false" customHeight="false" outlineLevel="0" collapsed="false">
      <c r="A262" s="49"/>
      <c r="B262" s="50"/>
      <c r="C262" s="49"/>
      <c r="D262" s="51" t="str">
        <f aca="false">IF(C262="","",IFERROR(INDEX('شجرة الحسابات'!$B$9:$B$208,MATCH(C262,'شجرة الحسابات'!$A$9:$A$208,0)),"⚠ حساب غير معرف"))</f>
        <v/>
      </c>
      <c r="E262" s="52"/>
      <c r="F262" s="52"/>
      <c r="G262" s="53"/>
      <c r="H262" s="53"/>
      <c r="I262" s="54" t="str">
        <f aca="false">IF(A262="",IF(M262="فارغ","","✖ بدون رقم قيد"),IF(COUNTIFS('قيود اليومية'!$A$11:$A$1010,A262,'قيود اليومية'!$M$11:$M$1010,"&lt;&gt;OK",'قيود اليومية'!$M$11:$M$1010,"&lt;&gt;فارغ")&gt;0,"✖ خطأ بالحساب",IF(ROUND(SUMIFS('قيود اليومية'!$G$11:$G$1010,'قيود اليومية'!$A$11:$A$1010,A262)-SUMIFS('قيود اليومية'!$H$11:$H$1010,'قيود اليومية'!$A$11:$A$1010,A262),2)&lt;&gt;0,"✖ غير متوازن","مرحل ✔")))</f>
        <v/>
      </c>
      <c r="J262" s="55" t="str">
        <f aca="false">IF(C262="","",IFERROR(INDEX('شجرة الحسابات'!$E$9:$E$208,MATCH(C262,'شجرة الحسابات'!$A$9:$A$208,0))&amp;"",""))</f>
        <v/>
      </c>
      <c r="K262" s="55" t="str">
        <f aca="false">IF(C262="","",IFERROR(INDEX('شجرة الحسابات'!$I$9:$I$208,MATCH(C262,'شجرة الحسابات'!$A$9:$A$208,0))&amp;"",""))</f>
        <v/>
      </c>
      <c r="L262" s="55" t="str">
        <f aca="false">IF(C262="","",IFERROR(INDEX('شجرة الحسابات'!$C$9:$C$208,MATCH(C262,'شجرة الحسابات'!$A$9:$A$208,0))&amp;"",""))</f>
        <v/>
      </c>
      <c r="M262" s="55" t="str">
        <f aca="false">IF(AND(C262="",G262="",H262=""),"فارغ",IF(ISNA(MATCH(C262,'شجرة الحسابات'!$A$9:$A$208,0)),"حساب غير معرف",IF(L262&lt;&gt;"تحليلي","حساب تجميعي",IF(AND(N(G262)&gt;0,N(H262)&gt;0),"مدين ودائن معاً",IF(N(G262)+N(H262)=0,"بدون قيمة","OK")))))</f>
        <v>فارغ</v>
      </c>
      <c r="N262" s="55" t="str">
        <f aca="false">IF(AND(E262&lt;&gt;"",E262='كشف حساب مشروع'!$C$6,I262="مرحل ✔"),COUNTIFS($E$11:E262,'كشف حساب مشروع'!$C$6,$I$11:I262,"مرحل ✔"),"")</f>
        <v/>
      </c>
      <c r="O262" s="55" t="str">
        <f aca="false">IF(AND(C262&lt;&gt;"",C262='دفتر الأستاذ'!$C$6,I262="مرحل ✔"),COUNTIFS($C$11:C262,'دفتر الأستاذ'!$C$6,$I$11:I262,"مرحل ✔"),"")</f>
        <v/>
      </c>
    </row>
    <row r="263" customFormat="false" ht="15" hidden="false" customHeight="false" outlineLevel="0" collapsed="false">
      <c r="A263" s="49"/>
      <c r="B263" s="50"/>
      <c r="C263" s="49"/>
      <c r="D263" s="51" t="str">
        <f aca="false">IF(C263="","",IFERROR(INDEX('شجرة الحسابات'!$B$9:$B$208,MATCH(C263,'شجرة الحسابات'!$A$9:$A$208,0)),"⚠ حساب غير معرف"))</f>
        <v/>
      </c>
      <c r="E263" s="52"/>
      <c r="F263" s="52"/>
      <c r="G263" s="53"/>
      <c r="H263" s="53"/>
      <c r="I263" s="54" t="str">
        <f aca="false">IF(A263="",IF(M263="فارغ","","✖ بدون رقم قيد"),IF(COUNTIFS('قيود اليومية'!$A$11:$A$1010,A263,'قيود اليومية'!$M$11:$M$1010,"&lt;&gt;OK",'قيود اليومية'!$M$11:$M$1010,"&lt;&gt;فارغ")&gt;0,"✖ خطأ بالحساب",IF(ROUND(SUMIFS('قيود اليومية'!$G$11:$G$1010,'قيود اليومية'!$A$11:$A$1010,A263)-SUMIFS('قيود اليومية'!$H$11:$H$1010,'قيود اليومية'!$A$11:$A$1010,A263),2)&lt;&gt;0,"✖ غير متوازن","مرحل ✔")))</f>
        <v/>
      </c>
      <c r="J263" s="55" t="str">
        <f aca="false">IF(C263="","",IFERROR(INDEX('شجرة الحسابات'!$E$9:$E$208,MATCH(C263,'شجرة الحسابات'!$A$9:$A$208,0))&amp;"",""))</f>
        <v/>
      </c>
      <c r="K263" s="55" t="str">
        <f aca="false">IF(C263="","",IFERROR(INDEX('شجرة الحسابات'!$I$9:$I$208,MATCH(C263,'شجرة الحسابات'!$A$9:$A$208,0))&amp;"",""))</f>
        <v/>
      </c>
      <c r="L263" s="55" t="str">
        <f aca="false">IF(C263="","",IFERROR(INDEX('شجرة الحسابات'!$C$9:$C$208,MATCH(C263,'شجرة الحسابات'!$A$9:$A$208,0))&amp;"",""))</f>
        <v/>
      </c>
      <c r="M263" s="55" t="str">
        <f aca="false">IF(AND(C263="",G263="",H263=""),"فارغ",IF(ISNA(MATCH(C263,'شجرة الحسابات'!$A$9:$A$208,0)),"حساب غير معرف",IF(L263&lt;&gt;"تحليلي","حساب تجميعي",IF(AND(N(G263)&gt;0,N(H263)&gt;0),"مدين ودائن معاً",IF(N(G263)+N(H263)=0,"بدون قيمة","OK")))))</f>
        <v>فارغ</v>
      </c>
      <c r="N263" s="55" t="str">
        <f aca="false">IF(AND(E263&lt;&gt;"",E263='كشف حساب مشروع'!$C$6,I263="مرحل ✔"),COUNTIFS($E$11:E263,'كشف حساب مشروع'!$C$6,$I$11:I263,"مرحل ✔"),"")</f>
        <v/>
      </c>
      <c r="O263" s="55" t="str">
        <f aca="false">IF(AND(C263&lt;&gt;"",C263='دفتر الأستاذ'!$C$6,I263="مرحل ✔"),COUNTIFS($C$11:C263,'دفتر الأستاذ'!$C$6,$I$11:I263,"مرحل ✔"),"")</f>
        <v/>
      </c>
    </row>
    <row r="264" customFormat="false" ht="15" hidden="false" customHeight="false" outlineLevel="0" collapsed="false">
      <c r="A264" s="49"/>
      <c r="B264" s="50"/>
      <c r="C264" s="49"/>
      <c r="D264" s="51" t="str">
        <f aca="false">IF(C264="","",IFERROR(INDEX('شجرة الحسابات'!$B$9:$B$208,MATCH(C264,'شجرة الحسابات'!$A$9:$A$208,0)),"⚠ حساب غير معرف"))</f>
        <v/>
      </c>
      <c r="E264" s="52"/>
      <c r="F264" s="52"/>
      <c r="G264" s="53"/>
      <c r="H264" s="53"/>
      <c r="I264" s="54" t="str">
        <f aca="false">IF(A264="",IF(M264="فارغ","","✖ بدون رقم قيد"),IF(COUNTIFS('قيود اليومية'!$A$11:$A$1010,A264,'قيود اليومية'!$M$11:$M$1010,"&lt;&gt;OK",'قيود اليومية'!$M$11:$M$1010,"&lt;&gt;فارغ")&gt;0,"✖ خطأ بالحساب",IF(ROUND(SUMIFS('قيود اليومية'!$G$11:$G$1010,'قيود اليومية'!$A$11:$A$1010,A264)-SUMIFS('قيود اليومية'!$H$11:$H$1010,'قيود اليومية'!$A$11:$A$1010,A264),2)&lt;&gt;0,"✖ غير متوازن","مرحل ✔")))</f>
        <v/>
      </c>
      <c r="J264" s="55" t="str">
        <f aca="false">IF(C264="","",IFERROR(INDEX('شجرة الحسابات'!$E$9:$E$208,MATCH(C264,'شجرة الحسابات'!$A$9:$A$208,0))&amp;"",""))</f>
        <v/>
      </c>
      <c r="K264" s="55" t="str">
        <f aca="false">IF(C264="","",IFERROR(INDEX('شجرة الحسابات'!$I$9:$I$208,MATCH(C264,'شجرة الحسابات'!$A$9:$A$208,0))&amp;"",""))</f>
        <v/>
      </c>
      <c r="L264" s="55" t="str">
        <f aca="false">IF(C264="","",IFERROR(INDEX('شجرة الحسابات'!$C$9:$C$208,MATCH(C264,'شجرة الحسابات'!$A$9:$A$208,0))&amp;"",""))</f>
        <v/>
      </c>
      <c r="M264" s="55" t="str">
        <f aca="false">IF(AND(C264="",G264="",H264=""),"فارغ",IF(ISNA(MATCH(C264,'شجرة الحسابات'!$A$9:$A$208,0)),"حساب غير معرف",IF(L264&lt;&gt;"تحليلي","حساب تجميعي",IF(AND(N(G264)&gt;0,N(H264)&gt;0),"مدين ودائن معاً",IF(N(G264)+N(H264)=0,"بدون قيمة","OK")))))</f>
        <v>فارغ</v>
      </c>
      <c r="N264" s="55" t="str">
        <f aca="false">IF(AND(E264&lt;&gt;"",E264='كشف حساب مشروع'!$C$6,I264="مرحل ✔"),COUNTIFS($E$11:E264,'كشف حساب مشروع'!$C$6,$I$11:I264,"مرحل ✔"),"")</f>
        <v/>
      </c>
      <c r="O264" s="55" t="str">
        <f aca="false">IF(AND(C264&lt;&gt;"",C264='دفتر الأستاذ'!$C$6,I264="مرحل ✔"),COUNTIFS($C$11:C264,'دفتر الأستاذ'!$C$6,$I$11:I264,"مرحل ✔"),"")</f>
        <v/>
      </c>
    </row>
    <row r="265" customFormat="false" ht="15" hidden="false" customHeight="false" outlineLevel="0" collapsed="false">
      <c r="A265" s="49"/>
      <c r="B265" s="50"/>
      <c r="C265" s="49"/>
      <c r="D265" s="51" t="str">
        <f aca="false">IF(C265="","",IFERROR(INDEX('شجرة الحسابات'!$B$9:$B$208,MATCH(C265,'شجرة الحسابات'!$A$9:$A$208,0)),"⚠ حساب غير معرف"))</f>
        <v/>
      </c>
      <c r="E265" s="52"/>
      <c r="F265" s="52"/>
      <c r="G265" s="53"/>
      <c r="H265" s="53"/>
      <c r="I265" s="54" t="str">
        <f aca="false">IF(A265="",IF(M265="فارغ","","✖ بدون رقم قيد"),IF(COUNTIFS('قيود اليومية'!$A$11:$A$1010,A265,'قيود اليومية'!$M$11:$M$1010,"&lt;&gt;OK",'قيود اليومية'!$M$11:$M$1010,"&lt;&gt;فارغ")&gt;0,"✖ خطأ بالحساب",IF(ROUND(SUMIFS('قيود اليومية'!$G$11:$G$1010,'قيود اليومية'!$A$11:$A$1010,A265)-SUMIFS('قيود اليومية'!$H$11:$H$1010,'قيود اليومية'!$A$11:$A$1010,A265),2)&lt;&gt;0,"✖ غير متوازن","مرحل ✔")))</f>
        <v/>
      </c>
      <c r="J265" s="55" t="str">
        <f aca="false">IF(C265="","",IFERROR(INDEX('شجرة الحسابات'!$E$9:$E$208,MATCH(C265,'شجرة الحسابات'!$A$9:$A$208,0))&amp;"",""))</f>
        <v/>
      </c>
      <c r="K265" s="55" t="str">
        <f aca="false">IF(C265="","",IFERROR(INDEX('شجرة الحسابات'!$I$9:$I$208,MATCH(C265,'شجرة الحسابات'!$A$9:$A$208,0))&amp;"",""))</f>
        <v/>
      </c>
      <c r="L265" s="55" t="str">
        <f aca="false">IF(C265="","",IFERROR(INDEX('شجرة الحسابات'!$C$9:$C$208,MATCH(C265,'شجرة الحسابات'!$A$9:$A$208,0))&amp;"",""))</f>
        <v/>
      </c>
      <c r="M265" s="55" t="str">
        <f aca="false">IF(AND(C265="",G265="",H265=""),"فارغ",IF(ISNA(MATCH(C265,'شجرة الحسابات'!$A$9:$A$208,0)),"حساب غير معرف",IF(L265&lt;&gt;"تحليلي","حساب تجميعي",IF(AND(N(G265)&gt;0,N(H265)&gt;0),"مدين ودائن معاً",IF(N(G265)+N(H265)=0,"بدون قيمة","OK")))))</f>
        <v>فارغ</v>
      </c>
      <c r="N265" s="55" t="str">
        <f aca="false">IF(AND(E265&lt;&gt;"",E265='كشف حساب مشروع'!$C$6,I265="مرحل ✔"),COUNTIFS($E$11:E265,'كشف حساب مشروع'!$C$6,$I$11:I265,"مرحل ✔"),"")</f>
        <v/>
      </c>
      <c r="O265" s="55" t="str">
        <f aca="false">IF(AND(C265&lt;&gt;"",C265='دفتر الأستاذ'!$C$6,I265="مرحل ✔"),COUNTIFS($C$11:C265,'دفتر الأستاذ'!$C$6,$I$11:I265,"مرحل ✔"),"")</f>
        <v/>
      </c>
    </row>
    <row r="266" customFormat="false" ht="15" hidden="false" customHeight="false" outlineLevel="0" collapsed="false">
      <c r="A266" s="49"/>
      <c r="B266" s="50"/>
      <c r="C266" s="49"/>
      <c r="D266" s="51" t="str">
        <f aca="false">IF(C266="","",IFERROR(INDEX('شجرة الحسابات'!$B$9:$B$208,MATCH(C266,'شجرة الحسابات'!$A$9:$A$208,0)),"⚠ حساب غير معرف"))</f>
        <v/>
      </c>
      <c r="E266" s="52"/>
      <c r="F266" s="52"/>
      <c r="G266" s="53"/>
      <c r="H266" s="53"/>
      <c r="I266" s="54" t="str">
        <f aca="false">IF(A266="",IF(M266="فارغ","","✖ بدون رقم قيد"),IF(COUNTIFS('قيود اليومية'!$A$11:$A$1010,A266,'قيود اليومية'!$M$11:$M$1010,"&lt;&gt;OK",'قيود اليومية'!$M$11:$M$1010,"&lt;&gt;فارغ")&gt;0,"✖ خطأ بالحساب",IF(ROUND(SUMIFS('قيود اليومية'!$G$11:$G$1010,'قيود اليومية'!$A$11:$A$1010,A266)-SUMIFS('قيود اليومية'!$H$11:$H$1010,'قيود اليومية'!$A$11:$A$1010,A266),2)&lt;&gt;0,"✖ غير متوازن","مرحل ✔")))</f>
        <v/>
      </c>
      <c r="J266" s="55" t="str">
        <f aca="false">IF(C266="","",IFERROR(INDEX('شجرة الحسابات'!$E$9:$E$208,MATCH(C266,'شجرة الحسابات'!$A$9:$A$208,0))&amp;"",""))</f>
        <v/>
      </c>
      <c r="K266" s="55" t="str">
        <f aca="false">IF(C266="","",IFERROR(INDEX('شجرة الحسابات'!$I$9:$I$208,MATCH(C266,'شجرة الحسابات'!$A$9:$A$208,0))&amp;"",""))</f>
        <v/>
      </c>
      <c r="L266" s="55" t="str">
        <f aca="false">IF(C266="","",IFERROR(INDEX('شجرة الحسابات'!$C$9:$C$208,MATCH(C266,'شجرة الحسابات'!$A$9:$A$208,0))&amp;"",""))</f>
        <v/>
      </c>
      <c r="M266" s="55" t="str">
        <f aca="false">IF(AND(C266="",G266="",H266=""),"فارغ",IF(ISNA(MATCH(C266,'شجرة الحسابات'!$A$9:$A$208,0)),"حساب غير معرف",IF(L266&lt;&gt;"تحليلي","حساب تجميعي",IF(AND(N(G266)&gt;0,N(H266)&gt;0),"مدين ودائن معاً",IF(N(G266)+N(H266)=0,"بدون قيمة","OK")))))</f>
        <v>فارغ</v>
      </c>
      <c r="N266" s="55" t="str">
        <f aca="false">IF(AND(E266&lt;&gt;"",E266='كشف حساب مشروع'!$C$6,I266="مرحل ✔"),COUNTIFS($E$11:E266,'كشف حساب مشروع'!$C$6,$I$11:I266,"مرحل ✔"),"")</f>
        <v/>
      </c>
      <c r="O266" s="55" t="str">
        <f aca="false">IF(AND(C266&lt;&gt;"",C266='دفتر الأستاذ'!$C$6,I266="مرحل ✔"),COUNTIFS($C$11:C266,'دفتر الأستاذ'!$C$6,$I$11:I266,"مرحل ✔"),"")</f>
        <v/>
      </c>
    </row>
    <row r="267" customFormat="false" ht="15" hidden="false" customHeight="false" outlineLevel="0" collapsed="false">
      <c r="A267" s="49"/>
      <c r="B267" s="50"/>
      <c r="C267" s="49"/>
      <c r="D267" s="51" t="str">
        <f aca="false">IF(C267="","",IFERROR(INDEX('شجرة الحسابات'!$B$9:$B$208,MATCH(C267,'شجرة الحسابات'!$A$9:$A$208,0)),"⚠ حساب غير معرف"))</f>
        <v/>
      </c>
      <c r="E267" s="52"/>
      <c r="F267" s="52"/>
      <c r="G267" s="53"/>
      <c r="H267" s="53"/>
      <c r="I267" s="54" t="str">
        <f aca="false">IF(A267="",IF(M267="فارغ","","✖ بدون رقم قيد"),IF(COUNTIFS('قيود اليومية'!$A$11:$A$1010,A267,'قيود اليومية'!$M$11:$M$1010,"&lt;&gt;OK",'قيود اليومية'!$M$11:$M$1010,"&lt;&gt;فارغ")&gt;0,"✖ خطأ بالحساب",IF(ROUND(SUMIFS('قيود اليومية'!$G$11:$G$1010,'قيود اليومية'!$A$11:$A$1010,A267)-SUMIFS('قيود اليومية'!$H$11:$H$1010,'قيود اليومية'!$A$11:$A$1010,A267),2)&lt;&gt;0,"✖ غير متوازن","مرحل ✔")))</f>
        <v/>
      </c>
      <c r="J267" s="55" t="str">
        <f aca="false">IF(C267="","",IFERROR(INDEX('شجرة الحسابات'!$E$9:$E$208,MATCH(C267,'شجرة الحسابات'!$A$9:$A$208,0))&amp;"",""))</f>
        <v/>
      </c>
      <c r="K267" s="55" t="str">
        <f aca="false">IF(C267="","",IFERROR(INDEX('شجرة الحسابات'!$I$9:$I$208,MATCH(C267,'شجرة الحسابات'!$A$9:$A$208,0))&amp;"",""))</f>
        <v/>
      </c>
      <c r="L267" s="55" t="str">
        <f aca="false">IF(C267="","",IFERROR(INDEX('شجرة الحسابات'!$C$9:$C$208,MATCH(C267,'شجرة الحسابات'!$A$9:$A$208,0))&amp;"",""))</f>
        <v/>
      </c>
      <c r="M267" s="55" t="str">
        <f aca="false">IF(AND(C267="",G267="",H267=""),"فارغ",IF(ISNA(MATCH(C267,'شجرة الحسابات'!$A$9:$A$208,0)),"حساب غير معرف",IF(L267&lt;&gt;"تحليلي","حساب تجميعي",IF(AND(N(G267)&gt;0,N(H267)&gt;0),"مدين ودائن معاً",IF(N(G267)+N(H267)=0,"بدون قيمة","OK")))))</f>
        <v>فارغ</v>
      </c>
      <c r="N267" s="55" t="str">
        <f aca="false">IF(AND(E267&lt;&gt;"",E267='كشف حساب مشروع'!$C$6,I267="مرحل ✔"),COUNTIFS($E$11:E267,'كشف حساب مشروع'!$C$6,$I$11:I267,"مرحل ✔"),"")</f>
        <v/>
      </c>
      <c r="O267" s="55" t="str">
        <f aca="false">IF(AND(C267&lt;&gt;"",C267='دفتر الأستاذ'!$C$6,I267="مرحل ✔"),COUNTIFS($C$11:C267,'دفتر الأستاذ'!$C$6,$I$11:I267,"مرحل ✔"),"")</f>
        <v/>
      </c>
    </row>
    <row r="268" customFormat="false" ht="15" hidden="false" customHeight="false" outlineLevel="0" collapsed="false">
      <c r="A268" s="49"/>
      <c r="B268" s="50"/>
      <c r="C268" s="49"/>
      <c r="D268" s="51" t="str">
        <f aca="false">IF(C268="","",IFERROR(INDEX('شجرة الحسابات'!$B$9:$B$208,MATCH(C268,'شجرة الحسابات'!$A$9:$A$208,0)),"⚠ حساب غير معرف"))</f>
        <v/>
      </c>
      <c r="E268" s="52"/>
      <c r="F268" s="52"/>
      <c r="G268" s="53"/>
      <c r="H268" s="53"/>
      <c r="I268" s="54" t="str">
        <f aca="false">IF(A268="",IF(M268="فارغ","","✖ بدون رقم قيد"),IF(COUNTIFS('قيود اليومية'!$A$11:$A$1010,A268,'قيود اليومية'!$M$11:$M$1010,"&lt;&gt;OK",'قيود اليومية'!$M$11:$M$1010,"&lt;&gt;فارغ")&gt;0,"✖ خطأ بالحساب",IF(ROUND(SUMIFS('قيود اليومية'!$G$11:$G$1010,'قيود اليومية'!$A$11:$A$1010,A268)-SUMIFS('قيود اليومية'!$H$11:$H$1010,'قيود اليومية'!$A$11:$A$1010,A268),2)&lt;&gt;0,"✖ غير متوازن","مرحل ✔")))</f>
        <v/>
      </c>
      <c r="J268" s="55" t="str">
        <f aca="false">IF(C268="","",IFERROR(INDEX('شجرة الحسابات'!$E$9:$E$208,MATCH(C268,'شجرة الحسابات'!$A$9:$A$208,0))&amp;"",""))</f>
        <v/>
      </c>
      <c r="K268" s="55" t="str">
        <f aca="false">IF(C268="","",IFERROR(INDEX('شجرة الحسابات'!$I$9:$I$208,MATCH(C268,'شجرة الحسابات'!$A$9:$A$208,0))&amp;"",""))</f>
        <v/>
      </c>
      <c r="L268" s="55" t="str">
        <f aca="false">IF(C268="","",IFERROR(INDEX('شجرة الحسابات'!$C$9:$C$208,MATCH(C268,'شجرة الحسابات'!$A$9:$A$208,0))&amp;"",""))</f>
        <v/>
      </c>
      <c r="M268" s="55" t="str">
        <f aca="false">IF(AND(C268="",G268="",H268=""),"فارغ",IF(ISNA(MATCH(C268,'شجرة الحسابات'!$A$9:$A$208,0)),"حساب غير معرف",IF(L268&lt;&gt;"تحليلي","حساب تجميعي",IF(AND(N(G268)&gt;0,N(H268)&gt;0),"مدين ودائن معاً",IF(N(G268)+N(H268)=0,"بدون قيمة","OK")))))</f>
        <v>فارغ</v>
      </c>
      <c r="N268" s="55" t="str">
        <f aca="false">IF(AND(E268&lt;&gt;"",E268='كشف حساب مشروع'!$C$6,I268="مرحل ✔"),COUNTIFS($E$11:E268,'كشف حساب مشروع'!$C$6,$I$11:I268,"مرحل ✔"),"")</f>
        <v/>
      </c>
      <c r="O268" s="55" t="str">
        <f aca="false">IF(AND(C268&lt;&gt;"",C268='دفتر الأستاذ'!$C$6,I268="مرحل ✔"),COUNTIFS($C$11:C268,'دفتر الأستاذ'!$C$6,$I$11:I268,"مرحل ✔"),"")</f>
        <v/>
      </c>
    </row>
    <row r="269" customFormat="false" ht="15" hidden="false" customHeight="false" outlineLevel="0" collapsed="false">
      <c r="A269" s="49"/>
      <c r="B269" s="50"/>
      <c r="C269" s="49"/>
      <c r="D269" s="51" t="str">
        <f aca="false">IF(C269="","",IFERROR(INDEX('شجرة الحسابات'!$B$9:$B$208,MATCH(C269,'شجرة الحسابات'!$A$9:$A$208,0)),"⚠ حساب غير معرف"))</f>
        <v/>
      </c>
      <c r="E269" s="52"/>
      <c r="F269" s="52"/>
      <c r="G269" s="53"/>
      <c r="H269" s="53"/>
      <c r="I269" s="54" t="str">
        <f aca="false">IF(A269="",IF(M269="فارغ","","✖ بدون رقم قيد"),IF(COUNTIFS('قيود اليومية'!$A$11:$A$1010,A269,'قيود اليومية'!$M$11:$M$1010,"&lt;&gt;OK",'قيود اليومية'!$M$11:$M$1010,"&lt;&gt;فارغ")&gt;0,"✖ خطأ بالحساب",IF(ROUND(SUMIFS('قيود اليومية'!$G$11:$G$1010,'قيود اليومية'!$A$11:$A$1010,A269)-SUMIFS('قيود اليومية'!$H$11:$H$1010,'قيود اليومية'!$A$11:$A$1010,A269),2)&lt;&gt;0,"✖ غير متوازن","مرحل ✔")))</f>
        <v/>
      </c>
      <c r="J269" s="55" t="str">
        <f aca="false">IF(C269="","",IFERROR(INDEX('شجرة الحسابات'!$E$9:$E$208,MATCH(C269,'شجرة الحسابات'!$A$9:$A$208,0))&amp;"",""))</f>
        <v/>
      </c>
      <c r="K269" s="55" t="str">
        <f aca="false">IF(C269="","",IFERROR(INDEX('شجرة الحسابات'!$I$9:$I$208,MATCH(C269,'شجرة الحسابات'!$A$9:$A$208,0))&amp;"",""))</f>
        <v/>
      </c>
      <c r="L269" s="55" t="str">
        <f aca="false">IF(C269="","",IFERROR(INDEX('شجرة الحسابات'!$C$9:$C$208,MATCH(C269,'شجرة الحسابات'!$A$9:$A$208,0))&amp;"",""))</f>
        <v/>
      </c>
      <c r="M269" s="55" t="str">
        <f aca="false">IF(AND(C269="",G269="",H269=""),"فارغ",IF(ISNA(MATCH(C269,'شجرة الحسابات'!$A$9:$A$208,0)),"حساب غير معرف",IF(L269&lt;&gt;"تحليلي","حساب تجميعي",IF(AND(N(G269)&gt;0,N(H269)&gt;0),"مدين ودائن معاً",IF(N(G269)+N(H269)=0,"بدون قيمة","OK")))))</f>
        <v>فارغ</v>
      </c>
      <c r="N269" s="55" t="str">
        <f aca="false">IF(AND(E269&lt;&gt;"",E269='كشف حساب مشروع'!$C$6,I269="مرحل ✔"),COUNTIFS($E$11:E269,'كشف حساب مشروع'!$C$6,$I$11:I269,"مرحل ✔"),"")</f>
        <v/>
      </c>
      <c r="O269" s="55" t="str">
        <f aca="false">IF(AND(C269&lt;&gt;"",C269='دفتر الأستاذ'!$C$6,I269="مرحل ✔"),COUNTIFS($C$11:C269,'دفتر الأستاذ'!$C$6,$I$11:I269,"مرحل ✔"),"")</f>
        <v/>
      </c>
    </row>
    <row r="270" customFormat="false" ht="15" hidden="false" customHeight="false" outlineLevel="0" collapsed="false">
      <c r="A270" s="49"/>
      <c r="B270" s="50"/>
      <c r="C270" s="49"/>
      <c r="D270" s="51" t="str">
        <f aca="false">IF(C270="","",IFERROR(INDEX('شجرة الحسابات'!$B$9:$B$208,MATCH(C270,'شجرة الحسابات'!$A$9:$A$208,0)),"⚠ حساب غير معرف"))</f>
        <v/>
      </c>
      <c r="E270" s="52"/>
      <c r="F270" s="52"/>
      <c r="G270" s="53"/>
      <c r="H270" s="53"/>
      <c r="I270" s="54" t="str">
        <f aca="false">IF(A270="",IF(M270="فارغ","","✖ بدون رقم قيد"),IF(COUNTIFS('قيود اليومية'!$A$11:$A$1010,A270,'قيود اليومية'!$M$11:$M$1010,"&lt;&gt;OK",'قيود اليومية'!$M$11:$M$1010,"&lt;&gt;فارغ")&gt;0,"✖ خطأ بالحساب",IF(ROUND(SUMIFS('قيود اليومية'!$G$11:$G$1010,'قيود اليومية'!$A$11:$A$1010,A270)-SUMIFS('قيود اليومية'!$H$11:$H$1010,'قيود اليومية'!$A$11:$A$1010,A270),2)&lt;&gt;0,"✖ غير متوازن","مرحل ✔")))</f>
        <v/>
      </c>
      <c r="J270" s="55" t="str">
        <f aca="false">IF(C270="","",IFERROR(INDEX('شجرة الحسابات'!$E$9:$E$208,MATCH(C270,'شجرة الحسابات'!$A$9:$A$208,0))&amp;"",""))</f>
        <v/>
      </c>
      <c r="K270" s="55" t="str">
        <f aca="false">IF(C270="","",IFERROR(INDEX('شجرة الحسابات'!$I$9:$I$208,MATCH(C270,'شجرة الحسابات'!$A$9:$A$208,0))&amp;"",""))</f>
        <v/>
      </c>
      <c r="L270" s="55" t="str">
        <f aca="false">IF(C270="","",IFERROR(INDEX('شجرة الحسابات'!$C$9:$C$208,MATCH(C270,'شجرة الحسابات'!$A$9:$A$208,0))&amp;"",""))</f>
        <v/>
      </c>
      <c r="M270" s="55" t="str">
        <f aca="false">IF(AND(C270="",G270="",H270=""),"فارغ",IF(ISNA(MATCH(C270,'شجرة الحسابات'!$A$9:$A$208,0)),"حساب غير معرف",IF(L270&lt;&gt;"تحليلي","حساب تجميعي",IF(AND(N(G270)&gt;0,N(H270)&gt;0),"مدين ودائن معاً",IF(N(G270)+N(H270)=0,"بدون قيمة","OK")))))</f>
        <v>فارغ</v>
      </c>
      <c r="N270" s="55" t="str">
        <f aca="false">IF(AND(E270&lt;&gt;"",E270='كشف حساب مشروع'!$C$6,I270="مرحل ✔"),COUNTIFS($E$11:E270,'كشف حساب مشروع'!$C$6,$I$11:I270,"مرحل ✔"),"")</f>
        <v/>
      </c>
      <c r="O270" s="55" t="str">
        <f aca="false">IF(AND(C270&lt;&gt;"",C270='دفتر الأستاذ'!$C$6,I270="مرحل ✔"),COUNTIFS($C$11:C270,'دفتر الأستاذ'!$C$6,$I$11:I270,"مرحل ✔"),"")</f>
        <v/>
      </c>
    </row>
    <row r="271" customFormat="false" ht="15" hidden="false" customHeight="false" outlineLevel="0" collapsed="false">
      <c r="A271" s="49"/>
      <c r="B271" s="50"/>
      <c r="C271" s="49"/>
      <c r="D271" s="51" t="str">
        <f aca="false">IF(C271="","",IFERROR(INDEX('شجرة الحسابات'!$B$9:$B$208,MATCH(C271,'شجرة الحسابات'!$A$9:$A$208,0)),"⚠ حساب غير معرف"))</f>
        <v/>
      </c>
      <c r="E271" s="52"/>
      <c r="F271" s="52"/>
      <c r="G271" s="53"/>
      <c r="H271" s="53"/>
      <c r="I271" s="54" t="str">
        <f aca="false">IF(A271="",IF(M271="فارغ","","✖ بدون رقم قيد"),IF(COUNTIFS('قيود اليومية'!$A$11:$A$1010,A271,'قيود اليومية'!$M$11:$M$1010,"&lt;&gt;OK",'قيود اليومية'!$M$11:$M$1010,"&lt;&gt;فارغ")&gt;0,"✖ خطأ بالحساب",IF(ROUND(SUMIFS('قيود اليومية'!$G$11:$G$1010,'قيود اليومية'!$A$11:$A$1010,A271)-SUMIFS('قيود اليومية'!$H$11:$H$1010,'قيود اليومية'!$A$11:$A$1010,A271),2)&lt;&gt;0,"✖ غير متوازن","مرحل ✔")))</f>
        <v/>
      </c>
      <c r="J271" s="55" t="str">
        <f aca="false">IF(C271="","",IFERROR(INDEX('شجرة الحسابات'!$E$9:$E$208,MATCH(C271,'شجرة الحسابات'!$A$9:$A$208,0))&amp;"",""))</f>
        <v/>
      </c>
      <c r="K271" s="55" t="str">
        <f aca="false">IF(C271="","",IFERROR(INDEX('شجرة الحسابات'!$I$9:$I$208,MATCH(C271,'شجرة الحسابات'!$A$9:$A$208,0))&amp;"",""))</f>
        <v/>
      </c>
      <c r="L271" s="55" t="str">
        <f aca="false">IF(C271="","",IFERROR(INDEX('شجرة الحسابات'!$C$9:$C$208,MATCH(C271,'شجرة الحسابات'!$A$9:$A$208,0))&amp;"",""))</f>
        <v/>
      </c>
      <c r="M271" s="55" t="str">
        <f aca="false">IF(AND(C271="",G271="",H271=""),"فارغ",IF(ISNA(MATCH(C271,'شجرة الحسابات'!$A$9:$A$208,0)),"حساب غير معرف",IF(L271&lt;&gt;"تحليلي","حساب تجميعي",IF(AND(N(G271)&gt;0,N(H271)&gt;0),"مدين ودائن معاً",IF(N(G271)+N(H271)=0,"بدون قيمة","OK")))))</f>
        <v>فارغ</v>
      </c>
      <c r="N271" s="55" t="str">
        <f aca="false">IF(AND(E271&lt;&gt;"",E271='كشف حساب مشروع'!$C$6,I271="مرحل ✔"),COUNTIFS($E$11:E271,'كشف حساب مشروع'!$C$6,$I$11:I271,"مرحل ✔"),"")</f>
        <v/>
      </c>
      <c r="O271" s="55" t="str">
        <f aca="false">IF(AND(C271&lt;&gt;"",C271='دفتر الأستاذ'!$C$6,I271="مرحل ✔"),COUNTIFS($C$11:C271,'دفتر الأستاذ'!$C$6,$I$11:I271,"مرحل ✔"),"")</f>
        <v/>
      </c>
    </row>
    <row r="272" customFormat="false" ht="15" hidden="false" customHeight="false" outlineLevel="0" collapsed="false">
      <c r="A272" s="49"/>
      <c r="B272" s="50"/>
      <c r="C272" s="49"/>
      <c r="D272" s="51" t="str">
        <f aca="false">IF(C272="","",IFERROR(INDEX('شجرة الحسابات'!$B$9:$B$208,MATCH(C272,'شجرة الحسابات'!$A$9:$A$208,0)),"⚠ حساب غير معرف"))</f>
        <v/>
      </c>
      <c r="E272" s="52"/>
      <c r="F272" s="52"/>
      <c r="G272" s="53"/>
      <c r="H272" s="53"/>
      <c r="I272" s="54" t="str">
        <f aca="false">IF(A272="",IF(M272="فارغ","","✖ بدون رقم قيد"),IF(COUNTIFS('قيود اليومية'!$A$11:$A$1010,A272,'قيود اليومية'!$M$11:$M$1010,"&lt;&gt;OK",'قيود اليومية'!$M$11:$M$1010,"&lt;&gt;فارغ")&gt;0,"✖ خطأ بالحساب",IF(ROUND(SUMIFS('قيود اليومية'!$G$11:$G$1010,'قيود اليومية'!$A$11:$A$1010,A272)-SUMIFS('قيود اليومية'!$H$11:$H$1010,'قيود اليومية'!$A$11:$A$1010,A272),2)&lt;&gt;0,"✖ غير متوازن","مرحل ✔")))</f>
        <v/>
      </c>
      <c r="J272" s="55" t="str">
        <f aca="false">IF(C272="","",IFERROR(INDEX('شجرة الحسابات'!$E$9:$E$208,MATCH(C272,'شجرة الحسابات'!$A$9:$A$208,0))&amp;"",""))</f>
        <v/>
      </c>
      <c r="K272" s="55" t="str">
        <f aca="false">IF(C272="","",IFERROR(INDEX('شجرة الحسابات'!$I$9:$I$208,MATCH(C272,'شجرة الحسابات'!$A$9:$A$208,0))&amp;"",""))</f>
        <v/>
      </c>
      <c r="L272" s="55" t="str">
        <f aca="false">IF(C272="","",IFERROR(INDEX('شجرة الحسابات'!$C$9:$C$208,MATCH(C272,'شجرة الحسابات'!$A$9:$A$208,0))&amp;"",""))</f>
        <v/>
      </c>
      <c r="M272" s="55" t="str">
        <f aca="false">IF(AND(C272="",G272="",H272=""),"فارغ",IF(ISNA(MATCH(C272,'شجرة الحسابات'!$A$9:$A$208,0)),"حساب غير معرف",IF(L272&lt;&gt;"تحليلي","حساب تجميعي",IF(AND(N(G272)&gt;0,N(H272)&gt;0),"مدين ودائن معاً",IF(N(G272)+N(H272)=0,"بدون قيمة","OK")))))</f>
        <v>فارغ</v>
      </c>
      <c r="N272" s="55" t="str">
        <f aca="false">IF(AND(E272&lt;&gt;"",E272='كشف حساب مشروع'!$C$6,I272="مرحل ✔"),COUNTIFS($E$11:E272,'كشف حساب مشروع'!$C$6,$I$11:I272,"مرحل ✔"),"")</f>
        <v/>
      </c>
      <c r="O272" s="55" t="str">
        <f aca="false">IF(AND(C272&lt;&gt;"",C272='دفتر الأستاذ'!$C$6,I272="مرحل ✔"),COUNTIFS($C$11:C272,'دفتر الأستاذ'!$C$6,$I$11:I272,"مرحل ✔"),"")</f>
        <v/>
      </c>
    </row>
    <row r="273" customFormat="false" ht="15" hidden="false" customHeight="false" outlineLevel="0" collapsed="false">
      <c r="A273" s="49"/>
      <c r="B273" s="50"/>
      <c r="C273" s="49"/>
      <c r="D273" s="51" t="str">
        <f aca="false">IF(C273="","",IFERROR(INDEX('شجرة الحسابات'!$B$9:$B$208,MATCH(C273,'شجرة الحسابات'!$A$9:$A$208,0)),"⚠ حساب غير معرف"))</f>
        <v/>
      </c>
      <c r="E273" s="52"/>
      <c r="F273" s="52"/>
      <c r="G273" s="53"/>
      <c r="H273" s="53"/>
      <c r="I273" s="54" t="str">
        <f aca="false">IF(A273="",IF(M273="فارغ","","✖ بدون رقم قيد"),IF(COUNTIFS('قيود اليومية'!$A$11:$A$1010,A273,'قيود اليومية'!$M$11:$M$1010,"&lt;&gt;OK",'قيود اليومية'!$M$11:$M$1010,"&lt;&gt;فارغ")&gt;0,"✖ خطأ بالحساب",IF(ROUND(SUMIFS('قيود اليومية'!$G$11:$G$1010,'قيود اليومية'!$A$11:$A$1010,A273)-SUMIFS('قيود اليومية'!$H$11:$H$1010,'قيود اليومية'!$A$11:$A$1010,A273),2)&lt;&gt;0,"✖ غير متوازن","مرحل ✔")))</f>
        <v/>
      </c>
      <c r="J273" s="55" t="str">
        <f aca="false">IF(C273="","",IFERROR(INDEX('شجرة الحسابات'!$E$9:$E$208,MATCH(C273,'شجرة الحسابات'!$A$9:$A$208,0))&amp;"",""))</f>
        <v/>
      </c>
      <c r="K273" s="55" t="str">
        <f aca="false">IF(C273="","",IFERROR(INDEX('شجرة الحسابات'!$I$9:$I$208,MATCH(C273,'شجرة الحسابات'!$A$9:$A$208,0))&amp;"",""))</f>
        <v/>
      </c>
      <c r="L273" s="55" t="str">
        <f aca="false">IF(C273="","",IFERROR(INDEX('شجرة الحسابات'!$C$9:$C$208,MATCH(C273,'شجرة الحسابات'!$A$9:$A$208,0))&amp;"",""))</f>
        <v/>
      </c>
      <c r="M273" s="55" t="str">
        <f aca="false">IF(AND(C273="",G273="",H273=""),"فارغ",IF(ISNA(MATCH(C273,'شجرة الحسابات'!$A$9:$A$208,0)),"حساب غير معرف",IF(L273&lt;&gt;"تحليلي","حساب تجميعي",IF(AND(N(G273)&gt;0,N(H273)&gt;0),"مدين ودائن معاً",IF(N(G273)+N(H273)=0,"بدون قيمة","OK")))))</f>
        <v>فارغ</v>
      </c>
      <c r="N273" s="55" t="str">
        <f aca="false">IF(AND(E273&lt;&gt;"",E273='كشف حساب مشروع'!$C$6,I273="مرحل ✔"),COUNTIFS($E$11:E273,'كشف حساب مشروع'!$C$6,$I$11:I273,"مرحل ✔"),"")</f>
        <v/>
      </c>
      <c r="O273" s="55" t="str">
        <f aca="false">IF(AND(C273&lt;&gt;"",C273='دفتر الأستاذ'!$C$6,I273="مرحل ✔"),COUNTIFS($C$11:C273,'دفتر الأستاذ'!$C$6,$I$11:I273,"مرحل ✔"),"")</f>
        <v/>
      </c>
    </row>
    <row r="274" customFormat="false" ht="15" hidden="false" customHeight="false" outlineLevel="0" collapsed="false">
      <c r="A274" s="49"/>
      <c r="B274" s="50"/>
      <c r="C274" s="49"/>
      <c r="D274" s="51" t="str">
        <f aca="false">IF(C274="","",IFERROR(INDEX('شجرة الحسابات'!$B$9:$B$208,MATCH(C274,'شجرة الحسابات'!$A$9:$A$208,0)),"⚠ حساب غير معرف"))</f>
        <v/>
      </c>
      <c r="E274" s="52"/>
      <c r="F274" s="52"/>
      <c r="G274" s="53"/>
      <c r="H274" s="53"/>
      <c r="I274" s="54" t="str">
        <f aca="false">IF(A274="",IF(M274="فارغ","","✖ بدون رقم قيد"),IF(COUNTIFS('قيود اليومية'!$A$11:$A$1010,A274,'قيود اليومية'!$M$11:$M$1010,"&lt;&gt;OK",'قيود اليومية'!$M$11:$M$1010,"&lt;&gt;فارغ")&gt;0,"✖ خطأ بالحساب",IF(ROUND(SUMIFS('قيود اليومية'!$G$11:$G$1010,'قيود اليومية'!$A$11:$A$1010,A274)-SUMIFS('قيود اليومية'!$H$11:$H$1010,'قيود اليومية'!$A$11:$A$1010,A274),2)&lt;&gt;0,"✖ غير متوازن","مرحل ✔")))</f>
        <v/>
      </c>
      <c r="J274" s="55" t="str">
        <f aca="false">IF(C274="","",IFERROR(INDEX('شجرة الحسابات'!$E$9:$E$208,MATCH(C274,'شجرة الحسابات'!$A$9:$A$208,0))&amp;"",""))</f>
        <v/>
      </c>
      <c r="K274" s="55" t="str">
        <f aca="false">IF(C274="","",IFERROR(INDEX('شجرة الحسابات'!$I$9:$I$208,MATCH(C274,'شجرة الحسابات'!$A$9:$A$208,0))&amp;"",""))</f>
        <v/>
      </c>
      <c r="L274" s="55" t="str">
        <f aca="false">IF(C274="","",IFERROR(INDEX('شجرة الحسابات'!$C$9:$C$208,MATCH(C274,'شجرة الحسابات'!$A$9:$A$208,0))&amp;"",""))</f>
        <v/>
      </c>
      <c r="M274" s="55" t="str">
        <f aca="false">IF(AND(C274="",G274="",H274=""),"فارغ",IF(ISNA(MATCH(C274,'شجرة الحسابات'!$A$9:$A$208,0)),"حساب غير معرف",IF(L274&lt;&gt;"تحليلي","حساب تجميعي",IF(AND(N(G274)&gt;0,N(H274)&gt;0),"مدين ودائن معاً",IF(N(G274)+N(H274)=0,"بدون قيمة","OK")))))</f>
        <v>فارغ</v>
      </c>
      <c r="N274" s="55" t="str">
        <f aca="false">IF(AND(E274&lt;&gt;"",E274='كشف حساب مشروع'!$C$6,I274="مرحل ✔"),COUNTIFS($E$11:E274,'كشف حساب مشروع'!$C$6,$I$11:I274,"مرحل ✔"),"")</f>
        <v/>
      </c>
      <c r="O274" s="55" t="str">
        <f aca="false">IF(AND(C274&lt;&gt;"",C274='دفتر الأستاذ'!$C$6,I274="مرحل ✔"),COUNTIFS($C$11:C274,'دفتر الأستاذ'!$C$6,$I$11:I274,"مرحل ✔"),"")</f>
        <v/>
      </c>
    </row>
    <row r="275" customFormat="false" ht="15" hidden="false" customHeight="false" outlineLevel="0" collapsed="false">
      <c r="A275" s="49"/>
      <c r="B275" s="50"/>
      <c r="C275" s="49"/>
      <c r="D275" s="51" t="str">
        <f aca="false">IF(C275="","",IFERROR(INDEX('شجرة الحسابات'!$B$9:$B$208,MATCH(C275,'شجرة الحسابات'!$A$9:$A$208,0)),"⚠ حساب غير معرف"))</f>
        <v/>
      </c>
      <c r="E275" s="52"/>
      <c r="F275" s="52"/>
      <c r="G275" s="53"/>
      <c r="H275" s="53"/>
      <c r="I275" s="54" t="str">
        <f aca="false">IF(A275="",IF(M275="فارغ","","✖ بدون رقم قيد"),IF(COUNTIFS('قيود اليومية'!$A$11:$A$1010,A275,'قيود اليومية'!$M$11:$M$1010,"&lt;&gt;OK",'قيود اليومية'!$M$11:$M$1010,"&lt;&gt;فارغ")&gt;0,"✖ خطأ بالحساب",IF(ROUND(SUMIFS('قيود اليومية'!$G$11:$G$1010,'قيود اليومية'!$A$11:$A$1010,A275)-SUMIFS('قيود اليومية'!$H$11:$H$1010,'قيود اليومية'!$A$11:$A$1010,A275),2)&lt;&gt;0,"✖ غير متوازن","مرحل ✔")))</f>
        <v/>
      </c>
      <c r="J275" s="55" t="str">
        <f aca="false">IF(C275="","",IFERROR(INDEX('شجرة الحسابات'!$E$9:$E$208,MATCH(C275,'شجرة الحسابات'!$A$9:$A$208,0))&amp;"",""))</f>
        <v/>
      </c>
      <c r="K275" s="55" t="str">
        <f aca="false">IF(C275="","",IFERROR(INDEX('شجرة الحسابات'!$I$9:$I$208,MATCH(C275,'شجرة الحسابات'!$A$9:$A$208,0))&amp;"",""))</f>
        <v/>
      </c>
      <c r="L275" s="55" t="str">
        <f aca="false">IF(C275="","",IFERROR(INDEX('شجرة الحسابات'!$C$9:$C$208,MATCH(C275,'شجرة الحسابات'!$A$9:$A$208,0))&amp;"",""))</f>
        <v/>
      </c>
      <c r="M275" s="55" t="str">
        <f aca="false">IF(AND(C275="",G275="",H275=""),"فارغ",IF(ISNA(MATCH(C275,'شجرة الحسابات'!$A$9:$A$208,0)),"حساب غير معرف",IF(L275&lt;&gt;"تحليلي","حساب تجميعي",IF(AND(N(G275)&gt;0,N(H275)&gt;0),"مدين ودائن معاً",IF(N(G275)+N(H275)=0,"بدون قيمة","OK")))))</f>
        <v>فارغ</v>
      </c>
      <c r="N275" s="55" t="str">
        <f aca="false">IF(AND(E275&lt;&gt;"",E275='كشف حساب مشروع'!$C$6,I275="مرحل ✔"),COUNTIFS($E$11:E275,'كشف حساب مشروع'!$C$6,$I$11:I275,"مرحل ✔"),"")</f>
        <v/>
      </c>
      <c r="O275" s="55" t="str">
        <f aca="false">IF(AND(C275&lt;&gt;"",C275='دفتر الأستاذ'!$C$6,I275="مرحل ✔"),COUNTIFS($C$11:C275,'دفتر الأستاذ'!$C$6,$I$11:I275,"مرحل ✔"),"")</f>
        <v/>
      </c>
    </row>
    <row r="276" customFormat="false" ht="15" hidden="false" customHeight="false" outlineLevel="0" collapsed="false">
      <c r="A276" s="49"/>
      <c r="B276" s="50"/>
      <c r="C276" s="49"/>
      <c r="D276" s="51" t="str">
        <f aca="false">IF(C276="","",IFERROR(INDEX('شجرة الحسابات'!$B$9:$B$208,MATCH(C276,'شجرة الحسابات'!$A$9:$A$208,0)),"⚠ حساب غير معرف"))</f>
        <v/>
      </c>
      <c r="E276" s="52"/>
      <c r="F276" s="52"/>
      <c r="G276" s="53"/>
      <c r="H276" s="53"/>
      <c r="I276" s="54" t="str">
        <f aca="false">IF(A276="",IF(M276="فارغ","","✖ بدون رقم قيد"),IF(COUNTIFS('قيود اليومية'!$A$11:$A$1010,A276,'قيود اليومية'!$M$11:$M$1010,"&lt;&gt;OK",'قيود اليومية'!$M$11:$M$1010,"&lt;&gt;فارغ")&gt;0,"✖ خطأ بالحساب",IF(ROUND(SUMIFS('قيود اليومية'!$G$11:$G$1010,'قيود اليومية'!$A$11:$A$1010,A276)-SUMIFS('قيود اليومية'!$H$11:$H$1010,'قيود اليومية'!$A$11:$A$1010,A276),2)&lt;&gt;0,"✖ غير متوازن","مرحل ✔")))</f>
        <v/>
      </c>
      <c r="J276" s="55" t="str">
        <f aca="false">IF(C276="","",IFERROR(INDEX('شجرة الحسابات'!$E$9:$E$208,MATCH(C276,'شجرة الحسابات'!$A$9:$A$208,0))&amp;"",""))</f>
        <v/>
      </c>
      <c r="K276" s="55" t="str">
        <f aca="false">IF(C276="","",IFERROR(INDEX('شجرة الحسابات'!$I$9:$I$208,MATCH(C276,'شجرة الحسابات'!$A$9:$A$208,0))&amp;"",""))</f>
        <v/>
      </c>
      <c r="L276" s="55" t="str">
        <f aca="false">IF(C276="","",IFERROR(INDEX('شجرة الحسابات'!$C$9:$C$208,MATCH(C276,'شجرة الحسابات'!$A$9:$A$208,0))&amp;"",""))</f>
        <v/>
      </c>
      <c r="M276" s="55" t="str">
        <f aca="false">IF(AND(C276="",G276="",H276=""),"فارغ",IF(ISNA(MATCH(C276,'شجرة الحسابات'!$A$9:$A$208,0)),"حساب غير معرف",IF(L276&lt;&gt;"تحليلي","حساب تجميعي",IF(AND(N(G276)&gt;0,N(H276)&gt;0),"مدين ودائن معاً",IF(N(G276)+N(H276)=0,"بدون قيمة","OK")))))</f>
        <v>فارغ</v>
      </c>
      <c r="N276" s="55" t="str">
        <f aca="false">IF(AND(E276&lt;&gt;"",E276='كشف حساب مشروع'!$C$6,I276="مرحل ✔"),COUNTIFS($E$11:E276,'كشف حساب مشروع'!$C$6,$I$11:I276,"مرحل ✔"),"")</f>
        <v/>
      </c>
      <c r="O276" s="55" t="str">
        <f aca="false">IF(AND(C276&lt;&gt;"",C276='دفتر الأستاذ'!$C$6,I276="مرحل ✔"),COUNTIFS($C$11:C276,'دفتر الأستاذ'!$C$6,$I$11:I276,"مرحل ✔"),"")</f>
        <v/>
      </c>
    </row>
    <row r="277" customFormat="false" ht="15" hidden="false" customHeight="false" outlineLevel="0" collapsed="false">
      <c r="A277" s="49"/>
      <c r="B277" s="50"/>
      <c r="C277" s="49"/>
      <c r="D277" s="51" t="str">
        <f aca="false">IF(C277="","",IFERROR(INDEX('شجرة الحسابات'!$B$9:$B$208,MATCH(C277,'شجرة الحسابات'!$A$9:$A$208,0)),"⚠ حساب غير معرف"))</f>
        <v/>
      </c>
      <c r="E277" s="52"/>
      <c r="F277" s="52"/>
      <c r="G277" s="53"/>
      <c r="H277" s="53"/>
      <c r="I277" s="54" t="str">
        <f aca="false">IF(A277="",IF(M277="فارغ","","✖ بدون رقم قيد"),IF(COUNTIFS('قيود اليومية'!$A$11:$A$1010,A277,'قيود اليومية'!$M$11:$M$1010,"&lt;&gt;OK",'قيود اليومية'!$M$11:$M$1010,"&lt;&gt;فارغ")&gt;0,"✖ خطأ بالحساب",IF(ROUND(SUMIFS('قيود اليومية'!$G$11:$G$1010,'قيود اليومية'!$A$11:$A$1010,A277)-SUMIFS('قيود اليومية'!$H$11:$H$1010,'قيود اليومية'!$A$11:$A$1010,A277),2)&lt;&gt;0,"✖ غير متوازن","مرحل ✔")))</f>
        <v/>
      </c>
      <c r="J277" s="55" t="str">
        <f aca="false">IF(C277="","",IFERROR(INDEX('شجرة الحسابات'!$E$9:$E$208,MATCH(C277,'شجرة الحسابات'!$A$9:$A$208,0))&amp;"",""))</f>
        <v/>
      </c>
      <c r="K277" s="55" t="str">
        <f aca="false">IF(C277="","",IFERROR(INDEX('شجرة الحسابات'!$I$9:$I$208,MATCH(C277,'شجرة الحسابات'!$A$9:$A$208,0))&amp;"",""))</f>
        <v/>
      </c>
      <c r="L277" s="55" t="str">
        <f aca="false">IF(C277="","",IFERROR(INDEX('شجرة الحسابات'!$C$9:$C$208,MATCH(C277,'شجرة الحسابات'!$A$9:$A$208,0))&amp;"",""))</f>
        <v/>
      </c>
      <c r="M277" s="55" t="str">
        <f aca="false">IF(AND(C277="",G277="",H277=""),"فارغ",IF(ISNA(MATCH(C277,'شجرة الحسابات'!$A$9:$A$208,0)),"حساب غير معرف",IF(L277&lt;&gt;"تحليلي","حساب تجميعي",IF(AND(N(G277)&gt;0,N(H277)&gt;0),"مدين ودائن معاً",IF(N(G277)+N(H277)=0,"بدون قيمة","OK")))))</f>
        <v>فارغ</v>
      </c>
      <c r="N277" s="55" t="str">
        <f aca="false">IF(AND(E277&lt;&gt;"",E277='كشف حساب مشروع'!$C$6,I277="مرحل ✔"),COUNTIFS($E$11:E277,'كشف حساب مشروع'!$C$6,$I$11:I277,"مرحل ✔"),"")</f>
        <v/>
      </c>
      <c r="O277" s="55" t="str">
        <f aca="false">IF(AND(C277&lt;&gt;"",C277='دفتر الأستاذ'!$C$6,I277="مرحل ✔"),COUNTIFS($C$11:C277,'دفتر الأستاذ'!$C$6,$I$11:I277,"مرحل ✔"),"")</f>
        <v/>
      </c>
    </row>
    <row r="278" customFormat="false" ht="15" hidden="false" customHeight="false" outlineLevel="0" collapsed="false">
      <c r="A278" s="49"/>
      <c r="B278" s="50"/>
      <c r="C278" s="49"/>
      <c r="D278" s="51" t="str">
        <f aca="false">IF(C278="","",IFERROR(INDEX('شجرة الحسابات'!$B$9:$B$208,MATCH(C278,'شجرة الحسابات'!$A$9:$A$208,0)),"⚠ حساب غير معرف"))</f>
        <v/>
      </c>
      <c r="E278" s="52"/>
      <c r="F278" s="52"/>
      <c r="G278" s="53"/>
      <c r="H278" s="53"/>
      <c r="I278" s="54" t="str">
        <f aca="false">IF(A278="",IF(M278="فارغ","","✖ بدون رقم قيد"),IF(COUNTIFS('قيود اليومية'!$A$11:$A$1010,A278,'قيود اليومية'!$M$11:$M$1010,"&lt;&gt;OK",'قيود اليومية'!$M$11:$M$1010,"&lt;&gt;فارغ")&gt;0,"✖ خطأ بالحساب",IF(ROUND(SUMIFS('قيود اليومية'!$G$11:$G$1010,'قيود اليومية'!$A$11:$A$1010,A278)-SUMIFS('قيود اليومية'!$H$11:$H$1010,'قيود اليومية'!$A$11:$A$1010,A278),2)&lt;&gt;0,"✖ غير متوازن","مرحل ✔")))</f>
        <v/>
      </c>
      <c r="J278" s="55" t="str">
        <f aca="false">IF(C278="","",IFERROR(INDEX('شجرة الحسابات'!$E$9:$E$208,MATCH(C278,'شجرة الحسابات'!$A$9:$A$208,0))&amp;"",""))</f>
        <v/>
      </c>
      <c r="K278" s="55" t="str">
        <f aca="false">IF(C278="","",IFERROR(INDEX('شجرة الحسابات'!$I$9:$I$208,MATCH(C278,'شجرة الحسابات'!$A$9:$A$208,0))&amp;"",""))</f>
        <v/>
      </c>
      <c r="L278" s="55" t="str">
        <f aca="false">IF(C278="","",IFERROR(INDEX('شجرة الحسابات'!$C$9:$C$208,MATCH(C278,'شجرة الحسابات'!$A$9:$A$208,0))&amp;"",""))</f>
        <v/>
      </c>
      <c r="M278" s="55" t="str">
        <f aca="false">IF(AND(C278="",G278="",H278=""),"فارغ",IF(ISNA(MATCH(C278,'شجرة الحسابات'!$A$9:$A$208,0)),"حساب غير معرف",IF(L278&lt;&gt;"تحليلي","حساب تجميعي",IF(AND(N(G278)&gt;0,N(H278)&gt;0),"مدين ودائن معاً",IF(N(G278)+N(H278)=0,"بدون قيمة","OK")))))</f>
        <v>فارغ</v>
      </c>
      <c r="N278" s="55" t="str">
        <f aca="false">IF(AND(E278&lt;&gt;"",E278='كشف حساب مشروع'!$C$6,I278="مرحل ✔"),COUNTIFS($E$11:E278,'كشف حساب مشروع'!$C$6,$I$11:I278,"مرحل ✔"),"")</f>
        <v/>
      </c>
      <c r="O278" s="55" t="str">
        <f aca="false">IF(AND(C278&lt;&gt;"",C278='دفتر الأستاذ'!$C$6,I278="مرحل ✔"),COUNTIFS($C$11:C278,'دفتر الأستاذ'!$C$6,$I$11:I278,"مرحل ✔"),"")</f>
        <v/>
      </c>
    </row>
    <row r="279" customFormat="false" ht="15" hidden="false" customHeight="false" outlineLevel="0" collapsed="false">
      <c r="A279" s="49"/>
      <c r="B279" s="50"/>
      <c r="C279" s="49"/>
      <c r="D279" s="51" t="str">
        <f aca="false">IF(C279="","",IFERROR(INDEX('شجرة الحسابات'!$B$9:$B$208,MATCH(C279,'شجرة الحسابات'!$A$9:$A$208,0)),"⚠ حساب غير معرف"))</f>
        <v/>
      </c>
      <c r="E279" s="52"/>
      <c r="F279" s="52"/>
      <c r="G279" s="53"/>
      <c r="H279" s="53"/>
      <c r="I279" s="54" t="str">
        <f aca="false">IF(A279="",IF(M279="فارغ","","✖ بدون رقم قيد"),IF(COUNTIFS('قيود اليومية'!$A$11:$A$1010,A279,'قيود اليومية'!$M$11:$M$1010,"&lt;&gt;OK",'قيود اليومية'!$M$11:$M$1010,"&lt;&gt;فارغ")&gt;0,"✖ خطأ بالحساب",IF(ROUND(SUMIFS('قيود اليومية'!$G$11:$G$1010,'قيود اليومية'!$A$11:$A$1010,A279)-SUMIFS('قيود اليومية'!$H$11:$H$1010,'قيود اليومية'!$A$11:$A$1010,A279),2)&lt;&gt;0,"✖ غير متوازن","مرحل ✔")))</f>
        <v/>
      </c>
      <c r="J279" s="55" t="str">
        <f aca="false">IF(C279="","",IFERROR(INDEX('شجرة الحسابات'!$E$9:$E$208,MATCH(C279,'شجرة الحسابات'!$A$9:$A$208,0))&amp;"",""))</f>
        <v/>
      </c>
      <c r="K279" s="55" t="str">
        <f aca="false">IF(C279="","",IFERROR(INDEX('شجرة الحسابات'!$I$9:$I$208,MATCH(C279,'شجرة الحسابات'!$A$9:$A$208,0))&amp;"",""))</f>
        <v/>
      </c>
      <c r="L279" s="55" t="str">
        <f aca="false">IF(C279="","",IFERROR(INDEX('شجرة الحسابات'!$C$9:$C$208,MATCH(C279,'شجرة الحسابات'!$A$9:$A$208,0))&amp;"",""))</f>
        <v/>
      </c>
      <c r="M279" s="55" t="str">
        <f aca="false">IF(AND(C279="",G279="",H279=""),"فارغ",IF(ISNA(MATCH(C279,'شجرة الحسابات'!$A$9:$A$208,0)),"حساب غير معرف",IF(L279&lt;&gt;"تحليلي","حساب تجميعي",IF(AND(N(G279)&gt;0,N(H279)&gt;0),"مدين ودائن معاً",IF(N(G279)+N(H279)=0,"بدون قيمة","OK")))))</f>
        <v>فارغ</v>
      </c>
      <c r="N279" s="55" t="str">
        <f aca="false">IF(AND(E279&lt;&gt;"",E279='كشف حساب مشروع'!$C$6,I279="مرحل ✔"),COUNTIFS($E$11:E279,'كشف حساب مشروع'!$C$6,$I$11:I279,"مرحل ✔"),"")</f>
        <v/>
      </c>
      <c r="O279" s="55" t="str">
        <f aca="false">IF(AND(C279&lt;&gt;"",C279='دفتر الأستاذ'!$C$6,I279="مرحل ✔"),COUNTIFS($C$11:C279,'دفتر الأستاذ'!$C$6,$I$11:I279,"مرحل ✔"),"")</f>
        <v/>
      </c>
    </row>
    <row r="280" customFormat="false" ht="15" hidden="false" customHeight="false" outlineLevel="0" collapsed="false">
      <c r="A280" s="49"/>
      <c r="B280" s="50"/>
      <c r="C280" s="49"/>
      <c r="D280" s="51" t="str">
        <f aca="false">IF(C280="","",IFERROR(INDEX('شجرة الحسابات'!$B$9:$B$208,MATCH(C280,'شجرة الحسابات'!$A$9:$A$208,0)),"⚠ حساب غير معرف"))</f>
        <v/>
      </c>
      <c r="E280" s="52"/>
      <c r="F280" s="52"/>
      <c r="G280" s="53"/>
      <c r="H280" s="53"/>
      <c r="I280" s="54" t="str">
        <f aca="false">IF(A280="",IF(M280="فارغ","","✖ بدون رقم قيد"),IF(COUNTIFS('قيود اليومية'!$A$11:$A$1010,A280,'قيود اليومية'!$M$11:$M$1010,"&lt;&gt;OK",'قيود اليومية'!$M$11:$M$1010,"&lt;&gt;فارغ")&gt;0,"✖ خطأ بالحساب",IF(ROUND(SUMIFS('قيود اليومية'!$G$11:$G$1010,'قيود اليومية'!$A$11:$A$1010,A280)-SUMIFS('قيود اليومية'!$H$11:$H$1010,'قيود اليومية'!$A$11:$A$1010,A280),2)&lt;&gt;0,"✖ غير متوازن","مرحل ✔")))</f>
        <v/>
      </c>
      <c r="J280" s="55" t="str">
        <f aca="false">IF(C280="","",IFERROR(INDEX('شجرة الحسابات'!$E$9:$E$208,MATCH(C280,'شجرة الحسابات'!$A$9:$A$208,0))&amp;"",""))</f>
        <v/>
      </c>
      <c r="K280" s="55" t="str">
        <f aca="false">IF(C280="","",IFERROR(INDEX('شجرة الحسابات'!$I$9:$I$208,MATCH(C280,'شجرة الحسابات'!$A$9:$A$208,0))&amp;"",""))</f>
        <v/>
      </c>
      <c r="L280" s="55" t="str">
        <f aca="false">IF(C280="","",IFERROR(INDEX('شجرة الحسابات'!$C$9:$C$208,MATCH(C280,'شجرة الحسابات'!$A$9:$A$208,0))&amp;"",""))</f>
        <v/>
      </c>
      <c r="M280" s="55" t="str">
        <f aca="false">IF(AND(C280="",G280="",H280=""),"فارغ",IF(ISNA(MATCH(C280,'شجرة الحسابات'!$A$9:$A$208,0)),"حساب غير معرف",IF(L280&lt;&gt;"تحليلي","حساب تجميعي",IF(AND(N(G280)&gt;0,N(H280)&gt;0),"مدين ودائن معاً",IF(N(G280)+N(H280)=0,"بدون قيمة","OK")))))</f>
        <v>فارغ</v>
      </c>
      <c r="N280" s="55" t="str">
        <f aca="false">IF(AND(E280&lt;&gt;"",E280='كشف حساب مشروع'!$C$6,I280="مرحل ✔"),COUNTIFS($E$11:E280,'كشف حساب مشروع'!$C$6,$I$11:I280,"مرحل ✔"),"")</f>
        <v/>
      </c>
      <c r="O280" s="55" t="str">
        <f aca="false">IF(AND(C280&lt;&gt;"",C280='دفتر الأستاذ'!$C$6,I280="مرحل ✔"),COUNTIFS($C$11:C280,'دفتر الأستاذ'!$C$6,$I$11:I280,"مرحل ✔"),"")</f>
        <v/>
      </c>
    </row>
    <row r="281" customFormat="false" ht="15" hidden="false" customHeight="false" outlineLevel="0" collapsed="false">
      <c r="A281" s="49"/>
      <c r="B281" s="50"/>
      <c r="C281" s="49"/>
      <c r="D281" s="51" t="str">
        <f aca="false">IF(C281="","",IFERROR(INDEX('شجرة الحسابات'!$B$9:$B$208,MATCH(C281,'شجرة الحسابات'!$A$9:$A$208,0)),"⚠ حساب غير معرف"))</f>
        <v/>
      </c>
      <c r="E281" s="52"/>
      <c r="F281" s="52"/>
      <c r="G281" s="53"/>
      <c r="H281" s="53"/>
      <c r="I281" s="54" t="str">
        <f aca="false">IF(A281="",IF(M281="فارغ","","✖ بدون رقم قيد"),IF(COUNTIFS('قيود اليومية'!$A$11:$A$1010,A281,'قيود اليومية'!$M$11:$M$1010,"&lt;&gt;OK",'قيود اليومية'!$M$11:$M$1010,"&lt;&gt;فارغ")&gt;0,"✖ خطأ بالحساب",IF(ROUND(SUMIFS('قيود اليومية'!$G$11:$G$1010,'قيود اليومية'!$A$11:$A$1010,A281)-SUMIFS('قيود اليومية'!$H$11:$H$1010,'قيود اليومية'!$A$11:$A$1010,A281),2)&lt;&gt;0,"✖ غير متوازن","مرحل ✔")))</f>
        <v/>
      </c>
      <c r="J281" s="55" t="str">
        <f aca="false">IF(C281="","",IFERROR(INDEX('شجرة الحسابات'!$E$9:$E$208,MATCH(C281,'شجرة الحسابات'!$A$9:$A$208,0))&amp;"",""))</f>
        <v/>
      </c>
      <c r="K281" s="55" t="str">
        <f aca="false">IF(C281="","",IFERROR(INDEX('شجرة الحسابات'!$I$9:$I$208,MATCH(C281,'شجرة الحسابات'!$A$9:$A$208,0))&amp;"",""))</f>
        <v/>
      </c>
      <c r="L281" s="55" t="str">
        <f aca="false">IF(C281="","",IFERROR(INDEX('شجرة الحسابات'!$C$9:$C$208,MATCH(C281,'شجرة الحسابات'!$A$9:$A$208,0))&amp;"",""))</f>
        <v/>
      </c>
      <c r="M281" s="55" t="str">
        <f aca="false">IF(AND(C281="",G281="",H281=""),"فارغ",IF(ISNA(MATCH(C281,'شجرة الحسابات'!$A$9:$A$208,0)),"حساب غير معرف",IF(L281&lt;&gt;"تحليلي","حساب تجميعي",IF(AND(N(G281)&gt;0,N(H281)&gt;0),"مدين ودائن معاً",IF(N(G281)+N(H281)=0,"بدون قيمة","OK")))))</f>
        <v>فارغ</v>
      </c>
      <c r="N281" s="55" t="str">
        <f aca="false">IF(AND(E281&lt;&gt;"",E281='كشف حساب مشروع'!$C$6,I281="مرحل ✔"),COUNTIFS($E$11:E281,'كشف حساب مشروع'!$C$6,$I$11:I281,"مرحل ✔"),"")</f>
        <v/>
      </c>
      <c r="O281" s="55" t="str">
        <f aca="false">IF(AND(C281&lt;&gt;"",C281='دفتر الأستاذ'!$C$6,I281="مرحل ✔"),COUNTIFS($C$11:C281,'دفتر الأستاذ'!$C$6,$I$11:I281,"مرحل ✔"),"")</f>
        <v/>
      </c>
    </row>
    <row r="282" customFormat="false" ht="15" hidden="false" customHeight="false" outlineLevel="0" collapsed="false">
      <c r="A282" s="49"/>
      <c r="B282" s="50"/>
      <c r="C282" s="49"/>
      <c r="D282" s="51" t="str">
        <f aca="false">IF(C282="","",IFERROR(INDEX('شجرة الحسابات'!$B$9:$B$208,MATCH(C282,'شجرة الحسابات'!$A$9:$A$208,0)),"⚠ حساب غير معرف"))</f>
        <v/>
      </c>
      <c r="E282" s="52"/>
      <c r="F282" s="52"/>
      <c r="G282" s="53"/>
      <c r="H282" s="53"/>
      <c r="I282" s="54" t="str">
        <f aca="false">IF(A282="",IF(M282="فارغ","","✖ بدون رقم قيد"),IF(COUNTIFS('قيود اليومية'!$A$11:$A$1010,A282,'قيود اليومية'!$M$11:$M$1010,"&lt;&gt;OK",'قيود اليومية'!$M$11:$M$1010,"&lt;&gt;فارغ")&gt;0,"✖ خطأ بالحساب",IF(ROUND(SUMIFS('قيود اليومية'!$G$11:$G$1010,'قيود اليومية'!$A$11:$A$1010,A282)-SUMIFS('قيود اليومية'!$H$11:$H$1010,'قيود اليومية'!$A$11:$A$1010,A282),2)&lt;&gt;0,"✖ غير متوازن","مرحل ✔")))</f>
        <v/>
      </c>
      <c r="J282" s="55" t="str">
        <f aca="false">IF(C282="","",IFERROR(INDEX('شجرة الحسابات'!$E$9:$E$208,MATCH(C282,'شجرة الحسابات'!$A$9:$A$208,0))&amp;"",""))</f>
        <v/>
      </c>
      <c r="K282" s="55" t="str">
        <f aca="false">IF(C282="","",IFERROR(INDEX('شجرة الحسابات'!$I$9:$I$208,MATCH(C282,'شجرة الحسابات'!$A$9:$A$208,0))&amp;"",""))</f>
        <v/>
      </c>
      <c r="L282" s="55" t="str">
        <f aca="false">IF(C282="","",IFERROR(INDEX('شجرة الحسابات'!$C$9:$C$208,MATCH(C282,'شجرة الحسابات'!$A$9:$A$208,0))&amp;"",""))</f>
        <v/>
      </c>
      <c r="M282" s="55" t="str">
        <f aca="false">IF(AND(C282="",G282="",H282=""),"فارغ",IF(ISNA(MATCH(C282,'شجرة الحسابات'!$A$9:$A$208,0)),"حساب غير معرف",IF(L282&lt;&gt;"تحليلي","حساب تجميعي",IF(AND(N(G282)&gt;0,N(H282)&gt;0),"مدين ودائن معاً",IF(N(G282)+N(H282)=0,"بدون قيمة","OK")))))</f>
        <v>فارغ</v>
      </c>
      <c r="N282" s="55" t="str">
        <f aca="false">IF(AND(E282&lt;&gt;"",E282='كشف حساب مشروع'!$C$6,I282="مرحل ✔"),COUNTIFS($E$11:E282,'كشف حساب مشروع'!$C$6,$I$11:I282,"مرحل ✔"),"")</f>
        <v/>
      </c>
      <c r="O282" s="55" t="str">
        <f aca="false">IF(AND(C282&lt;&gt;"",C282='دفتر الأستاذ'!$C$6,I282="مرحل ✔"),COUNTIFS($C$11:C282,'دفتر الأستاذ'!$C$6,$I$11:I282,"مرحل ✔"),"")</f>
        <v/>
      </c>
    </row>
    <row r="283" customFormat="false" ht="15" hidden="false" customHeight="false" outlineLevel="0" collapsed="false">
      <c r="A283" s="49"/>
      <c r="B283" s="50"/>
      <c r="C283" s="49"/>
      <c r="D283" s="51" t="str">
        <f aca="false">IF(C283="","",IFERROR(INDEX('شجرة الحسابات'!$B$9:$B$208,MATCH(C283,'شجرة الحسابات'!$A$9:$A$208,0)),"⚠ حساب غير معرف"))</f>
        <v/>
      </c>
      <c r="E283" s="52"/>
      <c r="F283" s="52"/>
      <c r="G283" s="53"/>
      <c r="H283" s="53"/>
      <c r="I283" s="54" t="str">
        <f aca="false">IF(A283="",IF(M283="فارغ","","✖ بدون رقم قيد"),IF(COUNTIFS('قيود اليومية'!$A$11:$A$1010,A283,'قيود اليومية'!$M$11:$M$1010,"&lt;&gt;OK",'قيود اليومية'!$M$11:$M$1010,"&lt;&gt;فارغ")&gt;0,"✖ خطأ بالحساب",IF(ROUND(SUMIFS('قيود اليومية'!$G$11:$G$1010,'قيود اليومية'!$A$11:$A$1010,A283)-SUMIFS('قيود اليومية'!$H$11:$H$1010,'قيود اليومية'!$A$11:$A$1010,A283),2)&lt;&gt;0,"✖ غير متوازن","مرحل ✔")))</f>
        <v/>
      </c>
      <c r="J283" s="55" t="str">
        <f aca="false">IF(C283="","",IFERROR(INDEX('شجرة الحسابات'!$E$9:$E$208,MATCH(C283,'شجرة الحسابات'!$A$9:$A$208,0))&amp;"",""))</f>
        <v/>
      </c>
      <c r="K283" s="55" t="str">
        <f aca="false">IF(C283="","",IFERROR(INDEX('شجرة الحسابات'!$I$9:$I$208,MATCH(C283,'شجرة الحسابات'!$A$9:$A$208,0))&amp;"",""))</f>
        <v/>
      </c>
      <c r="L283" s="55" t="str">
        <f aca="false">IF(C283="","",IFERROR(INDEX('شجرة الحسابات'!$C$9:$C$208,MATCH(C283,'شجرة الحسابات'!$A$9:$A$208,0))&amp;"",""))</f>
        <v/>
      </c>
      <c r="M283" s="55" t="str">
        <f aca="false">IF(AND(C283="",G283="",H283=""),"فارغ",IF(ISNA(MATCH(C283,'شجرة الحسابات'!$A$9:$A$208,0)),"حساب غير معرف",IF(L283&lt;&gt;"تحليلي","حساب تجميعي",IF(AND(N(G283)&gt;0,N(H283)&gt;0),"مدين ودائن معاً",IF(N(G283)+N(H283)=0,"بدون قيمة","OK")))))</f>
        <v>فارغ</v>
      </c>
      <c r="N283" s="55" t="str">
        <f aca="false">IF(AND(E283&lt;&gt;"",E283='كشف حساب مشروع'!$C$6,I283="مرحل ✔"),COUNTIFS($E$11:E283,'كشف حساب مشروع'!$C$6,$I$11:I283,"مرحل ✔"),"")</f>
        <v/>
      </c>
      <c r="O283" s="55" t="str">
        <f aca="false">IF(AND(C283&lt;&gt;"",C283='دفتر الأستاذ'!$C$6,I283="مرحل ✔"),COUNTIFS($C$11:C283,'دفتر الأستاذ'!$C$6,$I$11:I283,"مرحل ✔"),"")</f>
        <v/>
      </c>
    </row>
    <row r="284" customFormat="false" ht="15" hidden="false" customHeight="false" outlineLevel="0" collapsed="false">
      <c r="A284" s="49"/>
      <c r="B284" s="50"/>
      <c r="C284" s="49"/>
      <c r="D284" s="51" t="str">
        <f aca="false">IF(C284="","",IFERROR(INDEX('شجرة الحسابات'!$B$9:$B$208,MATCH(C284,'شجرة الحسابات'!$A$9:$A$208,0)),"⚠ حساب غير معرف"))</f>
        <v/>
      </c>
      <c r="E284" s="52"/>
      <c r="F284" s="52"/>
      <c r="G284" s="53"/>
      <c r="H284" s="53"/>
      <c r="I284" s="54" t="str">
        <f aca="false">IF(A284="",IF(M284="فارغ","","✖ بدون رقم قيد"),IF(COUNTIFS('قيود اليومية'!$A$11:$A$1010,A284,'قيود اليومية'!$M$11:$M$1010,"&lt;&gt;OK",'قيود اليومية'!$M$11:$M$1010,"&lt;&gt;فارغ")&gt;0,"✖ خطأ بالحساب",IF(ROUND(SUMIFS('قيود اليومية'!$G$11:$G$1010,'قيود اليومية'!$A$11:$A$1010,A284)-SUMIFS('قيود اليومية'!$H$11:$H$1010,'قيود اليومية'!$A$11:$A$1010,A284),2)&lt;&gt;0,"✖ غير متوازن","مرحل ✔")))</f>
        <v/>
      </c>
      <c r="J284" s="55" t="str">
        <f aca="false">IF(C284="","",IFERROR(INDEX('شجرة الحسابات'!$E$9:$E$208,MATCH(C284,'شجرة الحسابات'!$A$9:$A$208,0))&amp;"",""))</f>
        <v/>
      </c>
      <c r="K284" s="55" t="str">
        <f aca="false">IF(C284="","",IFERROR(INDEX('شجرة الحسابات'!$I$9:$I$208,MATCH(C284,'شجرة الحسابات'!$A$9:$A$208,0))&amp;"",""))</f>
        <v/>
      </c>
      <c r="L284" s="55" t="str">
        <f aca="false">IF(C284="","",IFERROR(INDEX('شجرة الحسابات'!$C$9:$C$208,MATCH(C284,'شجرة الحسابات'!$A$9:$A$208,0))&amp;"",""))</f>
        <v/>
      </c>
      <c r="M284" s="55" t="str">
        <f aca="false">IF(AND(C284="",G284="",H284=""),"فارغ",IF(ISNA(MATCH(C284,'شجرة الحسابات'!$A$9:$A$208,0)),"حساب غير معرف",IF(L284&lt;&gt;"تحليلي","حساب تجميعي",IF(AND(N(G284)&gt;0,N(H284)&gt;0),"مدين ودائن معاً",IF(N(G284)+N(H284)=0,"بدون قيمة","OK")))))</f>
        <v>فارغ</v>
      </c>
      <c r="N284" s="55" t="str">
        <f aca="false">IF(AND(E284&lt;&gt;"",E284='كشف حساب مشروع'!$C$6,I284="مرحل ✔"),COUNTIFS($E$11:E284,'كشف حساب مشروع'!$C$6,$I$11:I284,"مرحل ✔"),"")</f>
        <v/>
      </c>
      <c r="O284" s="55" t="str">
        <f aca="false">IF(AND(C284&lt;&gt;"",C284='دفتر الأستاذ'!$C$6,I284="مرحل ✔"),COUNTIFS($C$11:C284,'دفتر الأستاذ'!$C$6,$I$11:I284,"مرحل ✔"),"")</f>
        <v/>
      </c>
    </row>
    <row r="285" customFormat="false" ht="15" hidden="false" customHeight="false" outlineLevel="0" collapsed="false">
      <c r="A285" s="49"/>
      <c r="B285" s="50"/>
      <c r="C285" s="49"/>
      <c r="D285" s="51" t="str">
        <f aca="false">IF(C285="","",IFERROR(INDEX('شجرة الحسابات'!$B$9:$B$208,MATCH(C285,'شجرة الحسابات'!$A$9:$A$208,0)),"⚠ حساب غير معرف"))</f>
        <v/>
      </c>
      <c r="E285" s="52"/>
      <c r="F285" s="52"/>
      <c r="G285" s="53"/>
      <c r="H285" s="53"/>
      <c r="I285" s="54" t="str">
        <f aca="false">IF(A285="",IF(M285="فارغ","","✖ بدون رقم قيد"),IF(COUNTIFS('قيود اليومية'!$A$11:$A$1010,A285,'قيود اليومية'!$M$11:$M$1010,"&lt;&gt;OK",'قيود اليومية'!$M$11:$M$1010,"&lt;&gt;فارغ")&gt;0,"✖ خطأ بالحساب",IF(ROUND(SUMIFS('قيود اليومية'!$G$11:$G$1010,'قيود اليومية'!$A$11:$A$1010,A285)-SUMIFS('قيود اليومية'!$H$11:$H$1010,'قيود اليومية'!$A$11:$A$1010,A285),2)&lt;&gt;0,"✖ غير متوازن","مرحل ✔")))</f>
        <v/>
      </c>
      <c r="J285" s="55" t="str">
        <f aca="false">IF(C285="","",IFERROR(INDEX('شجرة الحسابات'!$E$9:$E$208,MATCH(C285,'شجرة الحسابات'!$A$9:$A$208,0))&amp;"",""))</f>
        <v/>
      </c>
      <c r="K285" s="55" t="str">
        <f aca="false">IF(C285="","",IFERROR(INDEX('شجرة الحسابات'!$I$9:$I$208,MATCH(C285,'شجرة الحسابات'!$A$9:$A$208,0))&amp;"",""))</f>
        <v/>
      </c>
      <c r="L285" s="55" t="str">
        <f aca="false">IF(C285="","",IFERROR(INDEX('شجرة الحسابات'!$C$9:$C$208,MATCH(C285,'شجرة الحسابات'!$A$9:$A$208,0))&amp;"",""))</f>
        <v/>
      </c>
      <c r="M285" s="55" t="str">
        <f aca="false">IF(AND(C285="",G285="",H285=""),"فارغ",IF(ISNA(MATCH(C285,'شجرة الحسابات'!$A$9:$A$208,0)),"حساب غير معرف",IF(L285&lt;&gt;"تحليلي","حساب تجميعي",IF(AND(N(G285)&gt;0,N(H285)&gt;0),"مدين ودائن معاً",IF(N(G285)+N(H285)=0,"بدون قيمة","OK")))))</f>
        <v>فارغ</v>
      </c>
      <c r="N285" s="55" t="str">
        <f aca="false">IF(AND(E285&lt;&gt;"",E285='كشف حساب مشروع'!$C$6,I285="مرحل ✔"),COUNTIFS($E$11:E285,'كشف حساب مشروع'!$C$6,$I$11:I285,"مرحل ✔"),"")</f>
        <v/>
      </c>
      <c r="O285" s="55" t="str">
        <f aca="false">IF(AND(C285&lt;&gt;"",C285='دفتر الأستاذ'!$C$6,I285="مرحل ✔"),COUNTIFS($C$11:C285,'دفتر الأستاذ'!$C$6,$I$11:I285,"مرحل ✔"),"")</f>
        <v/>
      </c>
    </row>
    <row r="286" customFormat="false" ht="15" hidden="false" customHeight="false" outlineLevel="0" collapsed="false">
      <c r="A286" s="49"/>
      <c r="B286" s="50"/>
      <c r="C286" s="49"/>
      <c r="D286" s="51" t="str">
        <f aca="false">IF(C286="","",IFERROR(INDEX('شجرة الحسابات'!$B$9:$B$208,MATCH(C286,'شجرة الحسابات'!$A$9:$A$208,0)),"⚠ حساب غير معرف"))</f>
        <v/>
      </c>
      <c r="E286" s="52"/>
      <c r="F286" s="52"/>
      <c r="G286" s="53"/>
      <c r="H286" s="53"/>
      <c r="I286" s="54" t="str">
        <f aca="false">IF(A286="",IF(M286="فارغ","","✖ بدون رقم قيد"),IF(COUNTIFS('قيود اليومية'!$A$11:$A$1010,A286,'قيود اليومية'!$M$11:$M$1010,"&lt;&gt;OK",'قيود اليومية'!$M$11:$M$1010,"&lt;&gt;فارغ")&gt;0,"✖ خطأ بالحساب",IF(ROUND(SUMIFS('قيود اليومية'!$G$11:$G$1010,'قيود اليومية'!$A$11:$A$1010,A286)-SUMIFS('قيود اليومية'!$H$11:$H$1010,'قيود اليومية'!$A$11:$A$1010,A286),2)&lt;&gt;0,"✖ غير متوازن","مرحل ✔")))</f>
        <v/>
      </c>
      <c r="J286" s="55" t="str">
        <f aca="false">IF(C286="","",IFERROR(INDEX('شجرة الحسابات'!$E$9:$E$208,MATCH(C286,'شجرة الحسابات'!$A$9:$A$208,0))&amp;"",""))</f>
        <v/>
      </c>
      <c r="K286" s="55" t="str">
        <f aca="false">IF(C286="","",IFERROR(INDEX('شجرة الحسابات'!$I$9:$I$208,MATCH(C286,'شجرة الحسابات'!$A$9:$A$208,0))&amp;"",""))</f>
        <v/>
      </c>
      <c r="L286" s="55" t="str">
        <f aca="false">IF(C286="","",IFERROR(INDEX('شجرة الحسابات'!$C$9:$C$208,MATCH(C286,'شجرة الحسابات'!$A$9:$A$208,0))&amp;"",""))</f>
        <v/>
      </c>
      <c r="M286" s="55" t="str">
        <f aca="false">IF(AND(C286="",G286="",H286=""),"فارغ",IF(ISNA(MATCH(C286,'شجرة الحسابات'!$A$9:$A$208,0)),"حساب غير معرف",IF(L286&lt;&gt;"تحليلي","حساب تجميعي",IF(AND(N(G286)&gt;0,N(H286)&gt;0),"مدين ودائن معاً",IF(N(G286)+N(H286)=0,"بدون قيمة","OK")))))</f>
        <v>فارغ</v>
      </c>
      <c r="N286" s="55" t="str">
        <f aca="false">IF(AND(E286&lt;&gt;"",E286='كشف حساب مشروع'!$C$6,I286="مرحل ✔"),COUNTIFS($E$11:E286,'كشف حساب مشروع'!$C$6,$I$11:I286,"مرحل ✔"),"")</f>
        <v/>
      </c>
      <c r="O286" s="55" t="str">
        <f aca="false">IF(AND(C286&lt;&gt;"",C286='دفتر الأستاذ'!$C$6,I286="مرحل ✔"),COUNTIFS($C$11:C286,'دفتر الأستاذ'!$C$6,$I$11:I286,"مرحل ✔"),"")</f>
        <v/>
      </c>
    </row>
    <row r="287" customFormat="false" ht="15" hidden="false" customHeight="false" outlineLevel="0" collapsed="false">
      <c r="A287" s="49"/>
      <c r="B287" s="50"/>
      <c r="C287" s="49"/>
      <c r="D287" s="51" t="str">
        <f aca="false">IF(C287="","",IFERROR(INDEX('شجرة الحسابات'!$B$9:$B$208,MATCH(C287,'شجرة الحسابات'!$A$9:$A$208,0)),"⚠ حساب غير معرف"))</f>
        <v/>
      </c>
      <c r="E287" s="52"/>
      <c r="F287" s="52"/>
      <c r="G287" s="53"/>
      <c r="H287" s="53"/>
      <c r="I287" s="54" t="str">
        <f aca="false">IF(A287="",IF(M287="فارغ","","✖ بدون رقم قيد"),IF(COUNTIFS('قيود اليومية'!$A$11:$A$1010,A287,'قيود اليومية'!$M$11:$M$1010,"&lt;&gt;OK",'قيود اليومية'!$M$11:$M$1010,"&lt;&gt;فارغ")&gt;0,"✖ خطأ بالحساب",IF(ROUND(SUMIFS('قيود اليومية'!$G$11:$G$1010,'قيود اليومية'!$A$11:$A$1010,A287)-SUMIFS('قيود اليومية'!$H$11:$H$1010,'قيود اليومية'!$A$11:$A$1010,A287),2)&lt;&gt;0,"✖ غير متوازن","مرحل ✔")))</f>
        <v/>
      </c>
      <c r="J287" s="55" t="str">
        <f aca="false">IF(C287="","",IFERROR(INDEX('شجرة الحسابات'!$E$9:$E$208,MATCH(C287,'شجرة الحسابات'!$A$9:$A$208,0))&amp;"",""))</f>
        <v/>
      </c>
      <c r="K287" s="55" t="str">
        <f aca="false">IF(C287="","",IFERROR(INDEX('شجرة الحسابات'!$I$9:$I$208,MATCH(C287,'شجرة الحسابات'!$A$9:$A$208,0))&amp;"",""))</f>
        <v/>
      </c>
      <c r="L287" s="55" t="str">
        <f aca="false">IF(C287="","",IFERROR(INDEX('شجرة الحسابات'!$C$9:$C$208,MATCH(C287,'شجرة الحسابات'!$A$9:$A$208,0))&amp;"",""))</f>
        <v/>
      </c>
      <c r="M287" s="55" t="str">
        <f aca="false">IF(AND(C287="",G287="",H287=""),"فارغ",IF(ISNA(MATCH(C287,'شجرة الحسابات'!$A$9:$A$208,0)),"حساب غير معرف",IF(L287&lt;&gt;"تحليلي","حساب تجميعي",IF(AND(N(G287)&gt;0,N(H287)&gt;0),"مدين ودائن معاً",IF(N(G287)+N(H287)=0,"بدون قيمة","OK")))))</f>
        <v>فارغ</v>
      </c>
      <c r="N287" s="55" t="str">
        <f aca="false">IF(AND(E287&lt;&gt;"",E287='كشف حساب مشروع'!$C$6,I287="مرحل ✔"),COUNTIFS($E$11:E287,'كشف حساب مشروع'!$C$6,$I$11:I287,"مرحل ✔"),"")</f>
        <v/>
      </c>
      <c r="O287" s="55" t="str">
        <f aca="false">IF(AND(C287&lt;&gt;"",C287='دفتر الأستاذ'!$C$6,I287="مرحل ✔"),COUNTIFS($C$11:C287,'دفتر الأستاذ'!$C$6,$I$11:I287,"مرحل ✔"),"")</f>
        <v/>
      </c>
    </row>
    <row r="288" customFormat="false" ht="15" hidden="false" customHeight="false" outlineLevel="0" collapsed="false">
      <c r="A288" s="49"/>
      <c r="B288" s="50"/>
      <c r="C288" s="49"/>
      <c r="D288" s="51" t="str">
        <f aca="false">IF(C288="","",IFERROR(INDEX('شجرة الحسابات'!$B$9:$B$208,MATCH(C288,'شجرة الحسابات'!$A$9:$A$208,0)),"⚠ حساب غير معرف"))</f>
        <v/>
      </c>
      <c r="E288" s="52"/>
      <c r="F288" s="52"/>
      <c r="G288" s="53"/>
      <c r="H288" s="53"/>
      <c r="I288" s="54" t="str">
        <f aca="false">IF(A288="",IF(M288="فارغ","","✖ بدون رقم قيد"),IF(COUNTIFS('قيود اليومية'!$A$11:$A$1010,A288,'قيود اليومية'!$M$11:$M$1010,"&lt;&gt;OK",'قيود اليومية'!$M$11:$M$1010,"&lt;&gt;فارغ")&gt;0,"✖ خطأ بالحساب",IF(ROUND(SUMIFS('قيود اليومية'!$G$11:$G$1010,'قيود اليومية'!$A$11:$A$1010,A288)-SUMIFS('قيود اليومية'!$H$11:$H$1010,'قيود اليومية'!$A$11:$A$1010,A288),2)&lt;&gt;0,"✖ غير متوازن","مرحل ✔")))</f>
        <v/>
      </c>
      <c r="J288" s="55" t="str">
        <f aca="false">IF(C288="","",IFERROR(INDEX('شجرة الحسابات'!$E$9:$E$208,MATCH(C288,'شجرة الحسابات'!$A$9:$A$208,0))&amp;"",""))</f>
        <v/>
      </c>
      <c r="K288" s="55" t="str">
        <f aca="false">IF(C288="","",IFERROR(INDEX('شجرة الحسابات'!$I$9:$I$208,MATCH(C288,'شجرة الحسابات'!$A$9:$A$208,0))&amp;"",""))</f>
        <v/>
      </c>
      <c r="L288" s="55" t="str">
        <f aca="false">IF(C288="","",IFERROR(INDEX('شجرة الحسابات'!$C$9:$C$208,MATCH(C288,'شجرة الحسابات'!$A$9:$A$208,0))&amp;"",""))</f>
        <v/>
      </c>
      <c r="M288" s="55" t="str">
        <f aca="false">IF(AND(C288="",G288="",H288=""),"فارغ",IF(ISNA(MATCH(C288,'شجرة الحسابات'!$A$9:$A$208,0)),"حساب غير معرف",IF(L288&lt;&gt;"تحليلي","حساب تجميعي",IF(AND(N(G288)&gt;0,N(H288)&gt;0),"مدين ودائن معاً",IF(N(G288)+N(H288)=0,"بدون قيمة","OK")))))</f>
        <v>فارغ</v>
      </c>
      <c r="N288" s="55" t="str">
        <f aca="false">IF(AND(E288&lt;&gt;"",E288='كشف حساب مشروع'!$C$6,I288="مرحل ✔"),COUNTIFS($E$11:E288,'كشف حساب مشروع'!$C$6,$I$11:I288,"مرحل ✔"),"")</f>
        <v/>
      </c>
      <c r="O288" s="55" t="str">
        <f aca="false">IF(AND(C288&lt;&gt;"",C288='دفتر الأستاذ'!$C$6,I288="مرحل ✔"),COUNTIFS($C$11:C288,'دفتر الأستاذ'!$C$6,$I$11:I288,"مرحل ✔"),"")</f>
        <v/>
      </c>
    </row>
    <row r="289" customFormat="false" ht="15" hidden="false" customHeight="false" outlineLevel="0" collapsed="false">
      <c r="A289" s="49"/>
      <c r="B289" s="50"/>
      <c r="C289" s="49"/>
      <c r="D289" s="51" t="str">
        <f aca="false">IF(C289="","",IFERROR(INDEX('شجرة الحسابات'!$B$9:$B$208,MATCH(C289,'شجرة الحسابات'!$A$9:$A$208,0)),"⚠ حساب غير معرف"))</f>
        <v/>
      </c>
      <c r="E289" s="52"/>
      <c r="F289" s="52"/>
      <c r="G289" s="53"/>
      <c r="H289" s="53"/>
      <c r="I289" s="54" t="str">
        <f aca="false">IF(A289="",IF(M289="فارغ","","✖ بدون رقم قيد"),IF(COUNTIFS('قيود اليومية'!$A$11:$A$1010,A289,'قيود اليومية'!$M$11:$M$1010,"&lt;&gt;OK",'قيود اليومية'!$M$11:$M$1010,"&lt;&gt;فارغ")&gt;0,"✖ خطأ بالحساب",IF(ROUND(SUMIFS('قيود اليومية'!$G$11:$G$1010,'قيود اليومية'!$A$11:$A$1010,A289)-SUMIFS('قيود اليومية'!$H$11:$H$1010,'قيود اليومية'!$A$11:$A$1010,A289),2)&lt;&gt;0,"✖ غير متوازن","مرحل ✔")))</f>
        <v/>
      </c>
      <c r="J289" s="55" t="str">
        <f aca="false">IF(C289="","",IFERROR(INDEX('شجرة الحسابات'!$E$9:$E$208,MATCH(C289,'شجرة الحسابات'!$A$9:$A$208,0))&amp;"",""))</f>
        <v/>
      </c>
      <c r="K289" s="55" t="str">
        <f aca="false">IF(C289="","",IFERROR(INDEX('شجرة الحسابات'!$I$9:$I$208,MATCH(C289,'شجرة الحسابات'!$A$9:$A$208,0))&amp;"",""))</f>
        <v/>
      </c>
      <c r="L289" s="55" t="str">
        <f aca="false">IF(C289="","",IFERROR(INDEX('شجرة الحسابات'!$C$9:$C$208,MATCH(C289,'شجرة الحسابات'!$A$9:$A$208,0))&amp;"",""))</f>
        <v/>
      </c>
      <c r="M289" s="55" t="str">
        <f aca="false">IF(AND(C289="",G289="",H289=""),"فارغ",IF(ISNA(MATCH(C289,'شجرة الحسابات'!$A$9:$A$208,0)),"حساب غير معرف",IF(L289&lt;&gt;"تحليلي","حساب تجميعي",IF(AND(N(G289)&gt;0,N(H289)&gt;0),"مدين ودائن معاً",IF(N(G289)+N(H289)=0,"بدون قيمة","OK")))))</f>
        <v>فارغ</v>
      </c>
      <c r="N289" s="55" t="str">
        <f aca="false">IF(AND(E289&lt;&gt;"",E289='كشف حساب مشروع'!$C$6,I289="مرحل ✔"),COUNTIFS($E$11:E289,'كشف حساب مشروع'!$C$6,$I$11:I289,"مرحل ✔"),"")</f>
        <v/>
      </c>
      <c r="O289" s="55" t="str">
        <f aca="false">IF(AND(C289&lt;&gt;"",C289='دفتر الأستاذ'!$C$6,I289="مرحل ✔"),COUNTIFS($C$11:C289,'دفتر الأستاذ'!$C$6,$I$11:I289,"مرحل ✔"),"")</f>
        <v/>
      </c>
    </row>
    <row r="290" customFormat="false" ht="15" hidden="false" customHeight="false" outlineLevel="0" collapsed="false">
      <c r="A290" s="49"/>
      <c r="B290" s="50"/>
      <c r="C290" s="49"/>
      <c r="D290" s="51" t="str">
        <f aca="false">IF(C290="","",IFERROR(INDEX('شجرة الحسابات'!$B$9:$B$208,MATCH(C290,'شجرة الحسابات'!$A$9:$A$208,0)),"⚠ حساب غير معرف"))</f>
        <v/>
      </c>
      <c r="E290" s="52"/>
      <c r="F290" s="52"/>
      <c r="G290" s="53"/>
      <c r="H290" s="53"/>
      <c r="I290" s="54" t="str">
        <f aca="false">IF(A290="",IF(M290="فارغ","","✖ بدون رقم قيد"),IF(COUNTIFS('قيود اليومية'!$A$11:$A$1010,A290,'قيود اليومية'!$M$11:$M$1010,"&lt;&gt;OK",'قيود اليومية'!$M$11:$M$1010,"&lt;&gt;فارغ")&gt;0,"✖ خطأ بالحساب",IF(ROUND(SUMIFS('قيود اليومية'!$G$11:$G$1010,'قيود اليومية'!$A$11:$A$1010,A290)-SUMIFS('قيود اليومية'!$H$11:$H$1010,'قيود اليومية'!$A$11:$A$1010,A290),2)&lt;&gt;0,"✖ غير متوازن","مرحل ✔")))</f>
        <v/>
      </c>
      <c r="J290" s="55" t="str">
        <f aca="false">IF(C290="","",IFERROR(INDEX('شجرة الحسابات'!$E$9:$E$208,MATCH(C290,'شجرة الحسابات'!$A$9:$A$208,0))&amp;"",""))</f>
        <v/>
      </c>
      <c r="K290" s="55" t="str">
        <f aca="false">IF(C290="","",IFERROR(INDEX('شجرة الحسابات'!$I$9:$I$208,MATCH(C290,'شجرة الحسابات'!$A$9:$A$208,0))&amp;"",""))</f>
        <v/>
      </c>
      <c r="L290" s="55" t="str">
        <f aca="false">IF(C290="","",IFERROR(INDEX('شجرة الحسابات'!$C$9:$C$208,MATCH(C290,'شجرة الحسابات'!$A$9:$A$208,0))&amp;"",""))</f>
        <v/>
      </c>
      <c r="M290" s="55" t="str">
        <f aca="false">IF(AND(C290="",G290="",H290=""),"فارغ",IF(ISNA(MATCH(C290,'شجرة الحسابات'!$A$9:$A$208,0)),"حساب غير معرف",IF(L290&lt;&gt;"تحليلي","حساب تجميعي",IF(AND(N(G290)&gt;0,N(H290)&gt;0),"مدين ودائن معاً",IF(N(G290)+N(H290)=0,"بدون قيمة","OK")))))</f>
        <v>فارغ</v>
      </c>
      <c r="N290" s="55" t="str">
        <f aca="false">IF(AND(E290&lt;&gt;"",E290='كشف حساب مشروع'!$C$6,I290="مرحل ✔"),COUNTIFS($E$11:E290,'كشف حساب مشروع'!$C$6,$I$11:I290,"مرحل ✔"),"")</f>
        <v/>
      </c>
      <c r="O290" s="55" t="str">
        <f aca="false">IF(AND(C290&lt;&gt;"",C290='دفتر الأستاذ'!$C$6,I290="مرحل ✔"),COUNTIFS($C$11:C290,'دفتر الأستاذ'!$C$6,$I$11:I290,"مرحل ✔"),"")</f>
        <v/>
      </c>
    </row>
    <row r="291" customFormat="false" ht="15" hidden="false" customHeight="false" outlineLevel="0" collapsed="false">
      <c r="A291" s="49"/>
      <c r="B291" s="50"/>
      <c r="C291" s="49"/>
      <c r="D291" s="51" t="str">
        <f aca="false">IF(C291="","",IFERROR(INDEX('شجرة الحسابات'!$B$9:$B$208,MATCH(C291,'شجرة الحسابات'!$A$9:$A$208,0)),"⚠ حساب غير معرف"))</f>
        <v/>
      </c>
      <c r="E291" s="52"/>
      <c r="F291" s="52"/>
      <c r="G291" s="53"/>
      <c r="H291" s="53"/>
      <c r="I291" s="54" t="str">
        <f aca="false">IF(A291="",IF(M291="فارغ","","✖ بدون رقم قيد"),IF(COUNTIFS('قيود اليومية'!$A$11:$A$1010,A291,'قيود اليومية'!$M$11:$M$1010,"&lt;&gt;OK",'قيود اليومية'!$M$11:$M$1010,"&lt;&gt;فارغ")&gt;0,"✖ خطأ بالحساب",IF(ROUND(SUMIFS('قيود اليومية'!$G$11:$G$1010,'قيود اليومية'!$A$11:$A$1010,A291)-SUMIFS('قيود اليومية'!$H$11:$H$1010,'قيود اليومية'!$A$11:$A$1010,A291),2)&lt;&gt;0,"✖ غير متوازن","مرحل ✔")))</f>
        <v/>
      </c>
      <c r="J291" s="55" t="str">
        <f aca="false">IF(C291="","",IFERROR(INDEX('شجرة الحسابات'!$E$9:$E$208,MATCH(C291,'شجرة الحسابات'!$A$9:$A$208,0))&amp;"",""))</f>
        <v/>
      </c>
      <c r="K291" s="55" t="str">
        <f aca="false">IF(C291="","",IFERROR(INDEX('شجرة الحسابات'!$I$9:$I$208,MATCH(C291,'شجرة الحسابات'!$A$9:$A$208,0))&amp;"",""))</f>
        <v/>
      </c>
      <c r="L291" s="55" t="str">
        <f aca="false">IF(C291="","",IFERROR(INDEX('شجرة الحسابات'!$C$9:$C$208,MATCH(C291,'شجرة الحسابات'!$A$9:$A$208,0))&amp;"",""))</f>
        <v/>
      </c>
      <c r="M291" s="55" t="str">
        <f aca="false">IF(AND(C291="",G291="",H291=""),"فارغ",IF(ISNA(MATCH(C291,'شجرة الحسابات'!$A$9:$A$208,0)),"حساب غير معرف",IF(L291&lt;&gt;"تحليلي","حساب تجميعي",IF(AND(N(G291)&gt;0,N(H291)&gt;0),"مدين ودائن معاً",IF(N(G291)+N(H291)=0,"بدون قيمة","OK")))))</f>
        <v>فارغ</v>
      </c>
      <c r="N291" s="55" t="str">
        <f aca="false">IF(AND(E291&lt;&gt;"",E291='كشف حساب مشروع'!$C$6,I291="مرحل ✔"),COUNTIFS($E$11:E291,'كشف حساب مشروع'!$C$6,$I$11:I291,"مرحل ✔"),"")</f>
        <v/>
      </c>
      <c r="O291" s="55" t="str">
        <f aca="false">IF(AND(C291&lt;&gt;"",C291='دفتر الأستاذ'!$C$6,I291="مرحل ✔"),COUNTIFS($C$11:C291,'دفتر الأستاذ'!$C$6,$I$11:I291,"مرحل ✔"),"")</f>
        <v/>
      </c>
    </row>
    <row r="292" customFormat="false" ht="15" hidden="false" customHeight="false" outlineLevel="0" collapsed="false">
      <c r="A292" s="49"/>
      <c r="B292" s="50"/>
      <c r="C292" s="49"/>
      <c r="D292" s="51" t="str">
        <f aca="false">IF(C292="","",IFERROR(INDEX('شجرة الحسابات'!$B$9:$B$208,MATCH(C292,'شجرة الحسابات'!$A$9:$A$208,0)),"⚠ حساب غير معرف"))</f>
        <v/>
      </c>
      <c r="E292" s="52"/>
      <c r="F292" s="52"/>
      <c r="G292" s="53"/>
      <c r="H292" s="53"/>
      <c r="I292" s="54" t="str">
        <f aca="false">IF(A292="",IF(M292="فارغ","","✖ بدون رقم قيد"),IF(COUNTIFS('قيود اليومية'!$A$11:$A$1010,A292,'قيود اليومية'!$M$11:$M$1010,"&lt;&gt;OK",'قيود اليومية'!$M$11:$M$1010,"&lt;&gt;فارغ")&gt;0,"✖ خطأ بالحساب",IF(ROUND(SUMIFS('قيود اليومية'!$G$11:$G$1010,'قيود اليومية'!$A$11:$A$1010,A292)-SUMIFS('قيود اليومية'!$H$11:$H$1010,'قيود اليومية'!$A$11:$A$1010,A292),2)&lt;&gt;0,"✖ غير متوازن","مرحل ✔")))</f>
        <v/>
      </c>
      <c r="J292" s="55" t="str">
        <f aca="false">IF(C292="","",IFERROR(INDEX('شجرة الحسابات'!$E$9:$E$208,MATCH(C292,'شجرة الحسابات'!$A$9:$A$208,0))&amp;"",""))</f>
        <v/>
      </c>
      <c r="K292" s="55" t="str">
        <f aca="false">IF(C292="","",IFERROR(INDEX('شجرة الحسابات'!$I$9:$I$208,MATCH(C292,'شجرة الحسابات'!$A$9:$A$208,0))&amp;"",""))</f>
        <v/>
      </c>
      <c r="L292" s="55" t="str">
        <f aca="false">IF(C292="","",IFERROR(INDEX('شجرة الحسابات'!$C$9:$C$208,MATCH(C292,'شجرة الحسابات'!$A$9:$A$208,0))&amp;"",""))</f>
        <v/>
      </c>
      <c r="M292" s="55" t="str">
        <f aca="false">IF(AND(C292="",G292="",H292=""),"فارغ",IF(ISNA(MATCH(C292,'شجرة الحسابات'!$A$9:$A$208,0)),"حساب غير معرف",IF(L292&lt;&gt;"تحليلي","حساب تجميعي",IF(AND(N(G292)&gt;0,N(H292)&gt;0),"مدين ودائن معاً",IF(N(G292)+N(H292)=0,"بدون قيمة","OK")))))</f>
        <v>فارغ</v>
      </c>
      <c r="N292" s="55" t="str">
        <f aca="false">IF(AND(E292&lt;&gt;"",E292='كشف حساب مشروع'!$C$6,I292="مرحل ✔"),COUNTIFS($E$11:E292,'كشف حساب مشروع'!$C$6,$I$11:I292,"مرحل ✔"),"")</f>
        <v/>
      </c>
      <c r="O292" s="55" t="str">
        <f aca="false">IF(AND(C292&lt;&gt;"",C292='دفتر الأستاذ'!$C$6,I292="مرحل ✔"),COUNTIFS($C$11:C292,'دفتر الأستاذ'!$C$6,$I$11:I292,"مرحل ✔"),"")</f>
        <v/>
      </c>
    </row>
    <row r="293" customFormat="false" ht="15" hidden="false" customHeight="false" outlineLevel="0" collapsed="false">
      <c r="A293" s="49"/>
      <c r="B293" s="50"/>
      <c r="C293" s="49"/>
      <c r="D293" s="51" t="str">
        <f aca="false">IF(C293="","",IFERROR(INDEX('شجرة الحسابات'!$B$9:$B$208,MATCH(C293,'شجرة الحسابات'!$A$9:$A$208,0)),"⚠ حساب غير معرف"))</f>
        <v/>
      </c>
      <c r="E293" s="52"/>
      <c r="F293" s="52"/>
      <c r="G293" s="53"/>
      <c r="H293" s="53"/>
      <c r="I293" s="54" t="str">
        <f aca="false">IF(A293="",IF(M293="فارغ","","✖ بدون رقم قيد"),IF(COUNTIFS('قيود اليومية'!$A$11:$A$1010,A293,'قيود اليومية'!$M$11:$M$1010,"&lt;&gt;OK",'قيود اليومية'!$M$11:$M$1010,"&lt;&gt;فارغ")&gt;0,"✖ خطأ بالحساب",IF(ROUND(SUMIFS('قيود اليومية'!$G$11:$G$1010,'قيود اليومية'!$A$11:$A$1010,A293)-SUMIFS('قيود اليومية'!$H$11:$H$1010,'قيود اليومية'!$A$11:$A$1010,A293),2)&lt;&gt;0,"✖ غير متوازن","مرحل ✔")))</f>
        <v/>
      </c>
      <c r="J293" s="55" t="str">
        <f aca="false">IF(C293="","",IFERROR(INDEX('شجرة الحسابات'!$E$9:$E$208,MATCH(C293,'شجرة الحسابات'!$A$9:$A$208,0))&amp;"",""))</f>
        <v/>
      </c>
      <c r="K293" s="55" t="str">
        <f aca="false">IF(C293="","",IFERROR(INDEX('شجرة الحسابات'!$I$9:$I$208,MATCH(C293,'شجرة الحسابات'!$A$9:$A$208,0))&amp;"",""))</f>
        <v/>
      </c>
      <c r="L293" s="55" t="str">
        <f aca="false">IF(C293="","",IFERROR(INDEX('شجرة الحسابات'!$C$9:$C$208,MATCH(C293,'شجرة الحسابات'!$A$9:$A$208,0))&amp;"",""))</f>
        <v/>
      </c>
      <c r="M293" s="55" t="str">
        <f aca="false">IF(AND(C293="",G293="",H293=""),"فارغ",IF(ISNA(MATCH(C293,'شجرة الحسابات'!$A$9:$A$208,0)),"حساب غير معرف",IF(L293&lt;&gt;"تحليلي","حساب تجميعي",IF(AND(N(G293)&gt;0,N(H293)&gt;0),"مدين ودائن معاً",IF(N(G293)+N(H293)=0,"بدون قيمة","OK")))))</f>
        <v>فارغ</v>
      </c>
      <c r="N293" s="55" t="str">
        <f aca="false">IF(AND(E293&lt;&gt;"",E293='كشف حساب مشروع'!$C$6,I293="مرحل ✔"),COUNTIFS($E$11:E293,'كشف حساب مشروع'!$C$6,$I$11:I293,"مرحل ✔"),"")</f>
        <v/>
      </c>
      <c r="O293" s="55" t="str">
        <f aca="false">IF(AND(C293&lt;&gt;"",C293='دفتر الأستاذ'!$C$6,I293="مرحل ✔"),COUNTIFS($C$11:C293,'دفتر الأستاذ'!$C$6,$I$11:I293,"مرحل ✔"),"")</f>
        <v/>
      </c>
    </row>
    <row r="294" customFormat="false" ht="15" hidden="false" customHeight="false" outlineLevel="0" collapsed="false">
      <c r="A294" s="49"/>
      <c r="B294" s="50"/>
      <c r="C294" s="49"/>
      <c r="D294" s="51" t="str">
        <f aca="false">IF(C294="","",IFERROR(INDEX('شجرة الحسابات'!$B$9:$B$208,MATCH(C294,'شجرة الحسابات'!$A$9:$A$208,0)),"⚠ حساب غير معرف"))</f>
        <v/>
      </c>
      <c r="E294" s="52"/>
      <c r="F294" s="52"/>
      <c r="G294" s="53"/>
      <c r="H294" s="53"/>
      <c r="I294" s="54" t="str">
        <f aca="false">IF(A294="",IF(M294="فارغ","","✖ بدون رقم قيد"),IF(COUNTIFS('قيود اليومية'!$A$11:$A$1010,A294,'قيود اليومية'!$M$11:$M$1010,"&lt;&gt;OK",'قيود اليومية'!$M$11:$M$1010,"&lt;&gt;فارغ")&gt;0,"✖ خطأ بالحساب",IF(ROUND(SUMIFS('قيود اليومية'!$G$11:$G$1010,'قيود اليومية'!$A$11:$A$1010,A294)-SUMIFS('قيود اليومية'!$H$11:$H$1010,'قيود اليومية'!$A$11:$A$1010,A294),2)&lt;&gt;0,"✖ غير متوازن","مرحل ✔")))</f>
        <v/>
      </c>
      <c r="J294" s="55" t="str">
        <f aca="false">IF(C294="","",IFERROR(INDEX('شجرة الحسابات'!$E$9:$E$208,MATCH(C294,'شجرة الحسابات'!$A$9:$A$208,0))&amp;"",""))</f>
        <v/>
      </c>
      <c r="K294" s="55" t="str">
        <f aca="false">IF(C294="","",IFERROR(INDEX('شجرة الحسابات'!$I$9:$I$208,MATCH(C294,'شجرة الحسابات'!$A$9:$A$208,0))&amp;"",""))</f>
        <v/>
      </c>
      <c r="L294" s="55" t="str">
        <f aca="false">IF(C294="","",IFERROR(INDEX('شجرة الحسابات'!$C$9:$C$208,MATCH(C294,'شجرة الحسابات'!$A$9:$A$208,0))&amp;"",""))</f>
        <v/>
      </c>
      <c r="M294" s="55" t="str">
        <f aca="false">IF(AND(C294="",G294="",H294=""),"فارغ",IF(ISNA(MATCH(C294,'شجرة الحسابات'!$A$9:$A$208,0)),"حساب غير معرف",IF(L294&lt;&gt;"تحليلي","حساب تجميعي",IF(AND(N(G294)&gt;0,N(H294)&gt;0),"مدين ودائن معاً",IF(N(G294)+N(H294)=0,"بدون قيمة","OK")))))</f>
        <v>فارغ</v>
      </c>
      <c r="N294" s="55" t="str">
        <f aca="false">IF(AND(E294&lt;&gt;"",E294='كشف حساب مشروع'!$C$6,I294="مرحل ✔"),COUNTIFS($E$11:E294,'كشف حساب مشروع'!$C$6,$I$11:I294,"مرحل ✔"),"")</f>
        <v/>
      </c>
      <c r="O294" s="55" t="str">
        <f aca="false">IF(AND(C294&lt;&gt;"",C294='دفتر الأستاذ'!$C$6,I294="مرحل ✔"),COUNTIFS($C$11:C294,'دفتر الأستاذ'!$C$6,$I$11:I294,"مرحل ✔"),"")</f>
        <v/>
      </c>
    </row>
    <row r="295" customFormat="false" ht="15" hidden="false" customHeight="false" outlineLevel="0" collapsed="false">
      <c r="A295" s="49"/>
      <c r="B295" s="50"/>
      <c r="C295" s="49"/>
      <c r="D295" s="51" t="str">
        <f aca="false">IF(C295="","",IFERROR(INDEX('شجرة الحسابات'!$B$9:$B$208,MATCH(C295,'شجرة الحسابات'!$A$9:$A$208,0)),"⚠ حساب غير معرف"))</f>
        <v/>
      </c>
      <c r="E295" s="52"/>
      <c r="F295" s="52"/>
      <c r="G295" s="53"/>
      <c r="H295" s="53"/>
      <c r="I295" s="54" t="str">
        <f aca="false">IF(A295="",IF(M295="فارغ","","✖ بدون رقم قيد"),IF(COUNTIFS('قيود اليومية'!$A$11:$A$1010,A295,'قيود اليومية'!$M$11:$M$1010,"&lt;&gt;OK",'قيود اليومية'!$M$11:$M$1010,"&lt;&gt;فارغ")&gt;0,"✖ خطأ بالحساب",IF(ROUND(SUMIFS('قيود اليومية'!$G$11:$G$1010,'قيود اليومية'!$A$11:$A$1010,A295)-SUMIFS('قيود اليومية'!$H$11:$H$1010,'قيود اليومية'!$A$11:$A$1010,A295),2)&lt;&gt;0,"✖ غير متوازن","مرحل ✔")))</f>
        <v/>
      </c>
      <c r="J295" s="55" t="str">
        <f aca="false">IF(C295="","",IFERROR(INDEX('شجرة الحسابات'!$E$9:$E$208,MATCH(C295,'شجرة الحسابات'!$A$9:$A$208,0))&amp;"",""))</f>
        <v/>
      </c>
      <c r="K295" s="55" t="str">
        <f aca="false">IF(C295="","",IFERROR(INDEX('شجرة الحسابات'!$I$9:$I$208,MATCH(C295,'شجرة الحسابات'!$A$9:$A$208,0))&amp;"",""))</f>
        <v/>
      </c>
      <c r="L295" s="55" t="str">
        <f aca="false">IF(C295="","",IFERROR(INDEX('شجرة الحسابات'!$C$9:$C$208,MATCH(C295,'شجرة الحسابات'!$A$9:$A$208,0))&amp;"",""))</f>
        <v/>
      </c>
      <c r="M295" s="55" t="str">
        <f aca="false">IF(AND(C295="",G295="",H295=""),"فارغ",IF(ISNA(MATCH(C295,'شجرة الحسابات'!$A$9:$A$208,0)),"حساب غير معرف",IF(L295&lt;&gt;"تحليلي","حساب تجميعي",IF(AND(N(G295)&gt;0,N(H295)&gt;0),"مدين ودائن معاً",IF(N(G295)+N(H295)=0,"بدون قيمة","OK")))))</f>
        <v>فارغ</v>
      </c>
      <c r="N295" s="55" t="str">
        <f aca="false">IF(AND(E295&lt;&gt;"",E295='كشف حساب مشروع'!$C$6,I295="مرحل ✔"),COUNTIFS($E$11:E295,'كشف حساب مشروع'!$C$6,$I$11:I295,"مرحل ✔"),"")</f>
        <v/>
      </c>
      <c r="O295" s="55" t="str">
        <f aca="false">IF(AND(C295&lt;&gt;"",C295='دفتر الأستاذ'!$C$6,I295="مرحل ✔"),COUNTIFS($C$11:C295,'دفتر الأستاذ'!$C$6,$I$11:I295,"مرحل ✔"),"")</f>
        <v/>
      </c>
    </row>
    <row r="296" customFormat="false" ht="15" hidden="false" customHeight="false" outlineLevel="0" collapsed="false">
      <c r="A296" s="49"/>
      <c r="B296" s="50"/>
      <c r="C296" s="49"/>
      <c r="D296" s="51" t="str">
        <f aca="false">IF(C296="","",IFERROR(INDEX('شجرة الحسابات'!$B$9:$B$208,MATCH(C296,'شجرة الحسابات'!$A$9:$A$208,0)),"⚠ حساب غير معرف"))</f>
        <v/>
      </c>
      <c r="E296" s="52"/>
      <c r="F296" s="52"/>
      <c r="G296" s="53"/>
      <c r="H296" s="53"/>
      <c r="I296" s="54" t="str">
        <f aca="false">IF(A296="",IF(M296="فارغ","","✖ بدون رقم قيد"),IF(COUNTIFS('قيود اليومية'!$A$11:$A$1010,A296,'قيود اليومية'!$M$11:$M$1010,"&lt;&gt;OK",'قيود اليومية'!$M$11:$M$1010,"&lt;&gt;فارغ")&gt;0,"✖ خطأ بالحساب",IF(ROUND(SUMIFS('قيود اليومية'!$G$11:$G$1010,'قيود اليومية'!$A$11:$A$1010,A296)-SUMIFS('قيود اليومية'!$H$11:$H$1010,'قيود اليومية'!$A$11:$A$1010,A296),2)&lt;&gt;0,"✖ غير متوازن","مرحل ✔")))</f>
        <v/>
      </c>
      <c r="J296" s="55" t="str">
        <f aca="false">IF(C296="","",IFERROR(INDEX('شجرة الحسابات'!$E$9:$E$208,MATCH(C296,'شجرة الحسابات'!$A$9:$A$208,0))&amp;"",""))</f>
        <v/>
      </c>
      <c r="K296" s="55" t="str">
        <f aca="false">IF(C296="","",IFERROR(INDEX('شجرة الحسابات'!$I$9:$I$208,MATCH(C296,'شجرة الحسابات'!$A$9:$A$208,0))&amp;"",""))</f>
        <v/>
      </c>
      <c r="L296" s="55" t="str">
        <f aca="false">IF(C296="","",IFERROR(INDEX('شجرة الحسابات'!$C$9:$C$208,MATCH(C296,'شجرة الحسابات'!$A$9:$A$208,0))&amp;"",""))</f>
        <v/>
      </c>
      <c r="M296" s="55" t="str">
        <f aca="false">IF(AND(C296="",G296="",H296=""),"فارغ",IF(ISNA(MATCH(C296,'شجرة الحسابات'!$A$9:$A$208,0)),"حساب غير معرف",IF(L296&lt;&gt;"تحليلي","حساب تجميعي",IF(AND(N(G296)&gt;0,N(H296)&gt;0),"مدين ودائن معاً",IF(N(G296)+N(H296)=0,"بدون قيمة","OK")))))</f>
        <v>فارغ</v>
      </c>
      <c r="N296" s="55" t="str">
        <f aca="false">IF(AND(E296&lt;&gt;"",E296='كشف حساب مشروع'!$C$6,I296="مرحل ✔"),COUNTIFS($E$11:E296,'كشف حساب مشروع'!$C$6,$I$11:I296,"مرحل ✔"),"")</f>
        <v/>
      </c>
      <c r="O296" s="55" t="str">
        <f aca="false">IF(AND(C296&lt;&gt;"",C296='دفتر الأستاذ'!$C$6,I296="مرحل ✔"),COUNTIFS($C$11:C296,'دفتر الأستاذ'!$C$6,$I$11:I296,"مرحل ✔"),"")</f>
        <v/>
      </c>
    </row>
    <row r="297" customFormat="false" ht="15" hidden="false" customHeight="false" outlineLevel="0" collapsed="false">
      <c r="A297" s="49"/>
      <c r="B297" s="50"/>
      <c r="C297" s="49"/>
      <c r="D297" s="51" t="str">
        <f aca="false">IF(C297="","",IFERROR(INDEX('شجرة الحسابات'!$B$9:$B$208,MATCH(C297,'شجرة الحسابات'!$A$9:$A$208,0)),"⚠ حساب غير معرف"))</f>
        <v/>
      </c>
      <c r="E297" s="52"/>
      <c r="F297" s="52"/>
      <c r="G297" s="53"/>
      <c r="H297" s="53"/>
      <c r="I297" s="54" t="str">
        <f aca="false">IF(A297="",IF(M297="فارغ","","✖ بدون رقم قيد"),IF(COUNTIFS('قيود اليومية'!$A$11:$A$1010,A297,'قيود اليومية'!$M$11:$M$1010,"&lt;&gt;OK",'قيود اليومية'!$M$11:$M$1010,"&lt;&gt;فارغ")&gt;0,"✖ خطأ بالحساب",IF(ROUND(SUMIFS('قيود اليومية'!$G$11:$G$1010,'قيود اليومية'!$A$11:$A$1010,A297)-SUMIFS('قيود اليومية'!$H$11:$H$1010,'قيود اليومية'!$A$11:$A$1010,A297),2)&lt;&gt;0,"✖ غير متوازن","مرحل ✔")))</f>
        <v/>
      </c>
      <c r="J297" s="55" t="str">
        <f aca="false">IF(C297="","",IFERROR(INDEX('شجرة الحسابات'!$E$9:$E$208,MATCH(C297,'شجرة الحسابات'!$A$9:$A$208,0))&amp;"",""))</f>
        <v/>
      </c>
      <c r="K297" s="55" t="str">
        <f aca="false">IF(C297="","",IFERROR(INDEX('شجرة الحسابات'!$I$9:$I$208,MATCH(C297,'شجرة الحسابات'!$A$9:$A$208,0))&amp;"",""))</f>
        <v/>
      </c>
      <c r="L297" s="55" t="str">
        <f aca="false">IF(C297="","",IFERROR(INDEX('شجرة الحسابات'!$C$9:$C$208,MATCH(C297,'شجرة الحسابات'!$A$9:$A$208,0))&amp;"",""))</f>
        <v/>
      </c>
      <c r="M297" s="55" t="str">
        <f aca="false">IF(AND(C297="",G297="",H297=""),"فارغ",IF(ISNA(MATCH(C297,'شجرة الحسابات'!$A$9:$A$208,0)),"حساب غير معرف",IF(L297&lt;&gt;"تحليلي","حساب تجميعي",IF(AND(N(G297)&gt;0,N(H297)&gt;0),"مدين ودائن معاً",IF(N(G297)+N(H297)=0,"بدون قيمة","OK")))))</f>
        <v>فارغ</v>
      </c>
      <c r="N297" s="55" t="str">
        <f aca="false">IF(AND(E297&lt;&gt;"",E297='كشف حساب مشروع'!$C$6,I297="مرحل ✔"),COUNTIFS($E$11:E297,'كشف حساب مشروع'!$C$6,$I$11:I297,"مرحل ✔"),"")</f>
        <v/>
      </c>
      <c r="O297" s="55" t="str">
        <f aca="false">IF(AND(C297&lt;&gt;"",C297='دفتر الأستاذ'!$C$6,I297="مرحل ✔"),COUNTIFS($C$11:C297,'دفتر الأستاذ'!$C$6,$I$11:I297,"مرحل ✔"),"")</f>
        <v/>
      </c>
    </row>
    <row r="298" customFormat="false" ht="15" hidden="false" customHeight="false" outlineLevel="0" collapsed="false">
      <c r="A298" s="49"/>
      <c r="B298" s="50"/>
      <c r="C298" s="49"/>
      <c r="D298" s="51" t="str">
        <f aca="false">IF(C298="","",IFERROR(INDEX('شجرة الحسابات'!$B$9:$B$208,MATCH(C298,'شجرة الحسابات'!$A$9:$A$208,0)),"⚠ حساب غير معرف"))</f>
        <v/>
      </c>
      <c r="E298" s="52"/>
      <c r="F298" s="52"/>
      <c r="G298" s="53"/>
      <c r="H298" s="53"/>
      <c r="I298" s="54" t="str">
        <f aca="false">IF(A298="",IF(M298="فارغ","","✖ بدون رقم قيد"),IF(COUNTIFS('قيود اليومية'!$A$11:$A$1010,A298,'قيود اليومية'!$M$11:$M$1010,"&lt;&gt;OK",'قيود اليومية'!$M$11:$M$1010,"&lt;&gt;فارغ")&gt;0,"✖ خطأ بالحساب",IF(ROUND(SUMIFS('قيود اليومية'!$G$11:$G$1010,'قيود اليومية'!$A$11:$A$1010,A298)-SUMIFS('قيود اليومية'!$H$11:$H$1010,'قيود اليومية'!$A$11:$A$1010,A298),2)&lt;&gt;0,"✖ غير متوازن","مرحل ✔")))</f>
        <v/>
      </c>
      <c r="J298" s="55" t="str">
        <f aca="false">IF(C298="","",IFERROR(INDEX('شجرة الحسابات'!$E$9:$E$208,MATCH(C298,'شجرة الحسابات'!$A$9:$A$208,0))&amp;"",""))</f>
        <v/>
      </c>
      <c r="K298" s="55" t="str">
        <f aca="false">IF(C298="","",IFERROR(INDEX('شجرة الحسابات'!$I$9:$I$208,MATCH(C298,'شجرة الحسابات'!$A$9:$A$208,0))&amp;"",""))</f>
        <v/>
      </c>
      <c r="L298" s="55" t="str">
        <f aca="false">IF(C298="","",IFERROR(INDEX('شجرة الحسابات'!$C$9:$C$208,MATCH(C298,'شجرة الحسابات'!$A$9:$A$208,0))&amp;"",""))</f>
        <v/>
      </c>
      <c r="M298" s="55" t="str">
        <f aca="false">IF(AND(C298="",G298="",H298=""),"فارغ",IF(ISNA(MATCH(C298,'شجرة الحسابات'!$A$9:$A$208,0)),"حساب غير معرف",IF(L298&lt;&gt;"تحليلي","حساب تجميعي",IF(AND(N(G298)&gt;0,N(H298)&gt;0),"مدين ودائن معاً",IF(N(G298)+N(H298)=0,"بدون قيمة","OK")))))</f>
        <v>فارغ</v>
      </c>
      <c r="N298" s="55" t="str">
        <f aca="false">IF(AND(E298&lt;&gt;"",E298='كشف حساب مشروع'!$C$6,I298="مرحل ✔"),COUNTIFS($E$11:E298,'كشف حساب مشروع'!$C$6,$I$11:I298,"مرحل ✔"),"")</f>
        <v/>
      </c>
      <c r="O298" s="55" t="str">
        <f aca="false">IF(AND(C298&lt;&gt;"",C298='دفتر الأستاذ'!$C$6,I298="مرحل ✔"),COUNTIFS($C$11:C298,'دفتر الأستاذ'!$C$6,$I$11:I298,"مرحل ✔"),"")</f>
        <v/>
      </c>
    </row>
    <row r="299" customFormat="false" ht="15" hidden="false" customHeight="false" outlineLevel="0" collapsed="false">
      <c r="A299" s="49"/>
      <c r="B299" s="50"/>
      <c r="C299" s="49"/>
      <c r="D299" s="51" t="str">
        <f aca="false">IF(C299="","",IFERROR(INDEX('شجرة الحسابات'!$B$9:$B$208,MATCH(C299,'شجرة الحسابات'!$A$9:$A$208,0)),"⚠ حساب غير معرف"))</f>
        <v/>
      </c>
      <c r="E299" s="52"/>
      <c r="F299" s="52"/>
      <c r="G299" s="53"/>
      <c r="H299" s="53"/>
      <c r="I299" s="54" t="str">
        <f aca="false">IF(A299="",IF(M299="فارغ","","✖ بدون رقم قيد"),IF(COUNTIFS('قيود اليومية'!$A$11:$A$1010,A299,'قيود اليومية'!$M$11:$M$1010,"&lt;&gt;OK",'قيود اليومية'!$M$11:$M$1010,"&lt;&gt;فارغ")&gt;0,"✖ خطأ بالحساب",IF(ROUND(SUMIFS('قيود اليومية'!$G$11:$G$1010,'قيود اليومية'!$A$11:$A$1010,A299)-SUMIFS('قيود اليومية'!$H$11:$H$1010,'قيود اليومية'!$A$11:$A$1010,A299),2)&lt;&gt;0,"✖ غير متوازن","مرحل ✔")))</f>
        <v/>
      </c>
      <c r="J299" s="55" t="str">
        <f aca="false">IF(C299="","",IFERROR(INDEX('شجرة الحسابات'!$E$9:$E$208,MATCH(C299,'شجرة الحسابات'!$A$9:$A$208,0))&amp;"",""))</f>
        <v/>
      </c>
      <c r="K299" s="55" t="str">
        <f aca="false">IF(C299="","",IFERROR(INDEX('شجرة الحسابات'!$I$9:$I$208,MATCH(C299,'شجرة الحسابات'!$A$9:$A$208,0))&amp;"",""))</f>
        <v/>
      </c>
      <c r="L299" s="55" t="str">
        <f aca="false">IF(C299="","",IFERROR(INDEX('شجرة الحسابات'!$C$9:$C$208,MATCH(C299,'شجرة الحسابات'!$A$9:$A$208,0))&amp;"",""))</f>
        <v/>
      </c>
      <c r="M299" s="55" t="str">
        <f aca="false">IF(AND(C299="",G299="",H299=""),"فارغ",IF(ISNA(MATCH(C299,'شجرة الحسابات'!$A$9:$A$208,0)),"حساب غير معرف",IF(L299&lt;&gt;"تحليلي","حساب تجميعي",IF(AND(N(G299)&gt;0,N(H299)&gt;0),"مدين ودائن معاً",IF(N(G299)+N(H299)=0,"بدون قيمة","OK")))))</f>
        <v>فارغ</v>
      </c>
      <c r="N299" s="55" t="str">
        <f aca="false">IF(AND(E299&lt;&gt;"",E299='كشف حساب مشروع'!$C$6,I299="مرحل ✔"),COUNTIFS($E$11:E299,'كشف حساب مشروع'!$C$6,$I$11:I299,"مرحل ✔"),"")</f>
        <v/>
      </c>
      <c r="O299" s="55" t="str">
        <f aca="false">IF(AND(C299&lt;&gt;"",C299='دفتر الأستاذ'!$C$6,I299="مرحل ✔"),COUNTIFS($C$11:C299,'دفتر الأستاذ'!$C$6,$I$11:I299,"مرحل ✔"),"")</f>
        <v/>
      </c>
    </row>
    <row r="300" customFormat="false" ht="15" hidden="false" customHeight="false" outlineLevel="0" collapsed="false">
      <c r="A300" s="49"/>
      <c r="B300" s="50"/>
      <c r="C300" s="49"/>
      <c r="D300" s="51" t="str">
        <f aca="false">IF(C300="","",IFERROR(INDEX('شجرة الحسابات'!$B$9:$B$208,MATCH(C300,'شجرة الحسابات'!$A$9:$A$208,0)),"⚠ حساب غير معرف"))</f>
        <v/>
      </c>
      <c r="E300" s="52"/>
      <c r="F300" s="52"/>
      <c r="G300" s="53"/>
      <c r="H300" s="53"/>
      <c r="I300" s="54" t="str">
        <f aca="false">IF(A300="",IF(M300="فارغ","","✖ بدون رقم قيد"),IF(COUNTIFS('قيود اليومية'!$A$11:$A$1010,A300,'قيود اليومية'!$M$11:$M$1010,"&lt;&gt;OK",'قيود اليومية'!$M$11:$M$1010,"&lt;&gt;فارغ")&gt;0,"✖ خطأ بالحساب",IF(ROUND(SUMIFS('قيود اليومية'!$G$11:$G$1010,'قيود اليومية'!$A$11:$A$1010,A300)-SUMIFS('قيود اليومية'!$H$11:$H$1010,'قيود اليومية'!$A$11:$A$1010,A300),2)&lt;&gt;0,"✖ غير متوازن","مرحل ✔")))</f>
        <v/>
      </c>
      <c r="J300" s="55" t="str">
        <f aca="false">IF(C300="","",IFERROR(INDEX('شجرة الحسابات'!$E$9:$E$208,MATCH(C300,'شجرة الحسابات'!$A$9:$A$208,0))&amp;"",""))</f>
        <v/>
      </c>
      <c r="K300" s="55" t="str">
        <f aca="false">IF(C300="","",IFERROR(INDEX('شجرة الحسابات'!$I$9:$I$208,MATCH(C300,'شجرة الحسابات'!$A$9:$A$208,0))&amp;"",""))</f>
        <v/>
      </c>
      <c r="L300" s="55" t="str">
        <f aca="false">IF(C300="","",IFERROR(INDEX('شجرة الحسابات'!$C$9:$C$208,MATCH(C300,'شجرة الحسابات'!$A$9:$A$208,0))&amp;"",""))</f>
        <v/>
      </c>
      <c r="M300" s="55" t="str">
        <f aca="false">IF(AND(C300="",G300="",H300=""),"فارغ",IF(ISNA(MATCH(C300,'شجرة الحسابات'!$A$9:$A$208,0)),"حساب غير معرف",IF(L300&lt;&gt;"تحليلي","حساب تجميعي",IF(AND(N(G300)&gt;0,N(H300)&gt;0),"مدين ودائن معاً",IF(N(G300)+N(H300)=0,"بدون قيمة","OK")))))</f>
        <v>فارغ</v>
      </c>
      <c r="N300" s="55" t="str">
        <f aca="false">IF(AND(E300&lt;&gt;"",E300='كشف حساب مشروع'!$C$6,I300="مرحل ✔"),COUNTIFS($E$11:E300,'كشف حساب مشروع'!$C$6,$I$11:I300,"مرحل ✔"),"")</f>
        <v/>
      </c>
      <c r="O300" s="55" t="str">
        <f aca="false">IF(AND(C300&lt;&gt;"",C300='دفتر الأستاذ'!$C$6,I300="مرحل ✔"),COUNTIFS($C$11:C300,'دفتر الأستاذ'!$C$6,$I$11:I300,"مرحل ✔"),"")</f>
        <v/>
      </c>
    </row>
    <row r="301" customFormat="false" ht="15" hidden="false" customHeight="false" outlineLevel="0" collapsed="false">
      <c r="A301" s="49"/>
      <c r="B301" s="50"/>
      <c r="C301" s="49"/>
      <c r="D301" s="51" t="str">
        <f aca="false">IF(C301="","",IFERROR(INDEX('شجرة الحسابات'!$B$9:$B$208,MATCH(C301,'شجرة الحسابات'!$A$9:$A$208,0)),"⚠ حساب غير معرف"))</f>
        <v/>
      </c>
      <c r="E301" s="52"/>
      <c r="F301" s="52"/>
      <c r="G301" s="53"/>
      <c r="H301" s="53"/>
      <c r="I301" s="54" t="str">
        <f aca="false">IF(A301="",IF(M301="فارغ","","✖ بدون رقم قيد"),IF(COUNTIFS('قيود اليومية'!$A$11:$A$1010,A301,'قيود اليومية'!$M$11:$M$1010,"&lt;&gt;OK",'قيود اليومية'!$M$11:$M$1010,"&lt;&gt;فارغ")&gt;0,"✖ خطأ بالحساب",IF(ROUND(SUMIFS('قيود اليومية'!$G$11:$G$1010,'قيود اليومية'!$A$11:$A$1010,A301)-SUMIFS('قيود اليومية'!$H$11:$H$1010,'قيود اليومية'!$A$11:$A$1010,A301),2)&lt;&gt;0,"✖ غير متوازن","مرحل ✔")))</f>
        <v/>
      </c>
      <c r="J301" s="55" t="str">
        <f aca="false">IF(C301="","",IFERROR(INDEX('شجرة الحسابات'!$E$9:$E$208,MATCH(C301,'شجرة الحسابات'!$A$9:$A$208,0))&amp;"",""))</f>
        <v/>
      </c>
      <c r="K301" s="55" t="str">
        <f aca="false">IF(C301="","",IFERROR(INDEX('شجرة الحسابات'!$I$9:$I$208,MATCH(C301,'شجرة الحسابات'!$A$9:$A$208,0))&amp;"",""))</f>
        <v/>
      </c>
      <c r="L301" s="55" t="str">
        <f aca="false">IF(C301="","",IFERROR(INDEX('شجرة الحسابات'!$C$9:$C$208,MATCH(C301,'شجرة الحسابات'!$A$9:$A$208,0))&amp;"",""))</f>
        <v/>
      </c>
      <c r="M301" s="55" t="str">
        <f aca="false">IF(AND(C301="",G301="",H301=""),"فارغ",IF(ISNA(MATCH(C301,'شجرة الحسابات'!$A$9:$A$208,0)),"حساب غير معرف",IF(L301&lt;&gt;"تحليلي","حساب تجميعي",IF(AND(N(G301)&gt;0,N(H301)&gt;0),"مدين ودائن معاً",IF(N(G301)+N(H301)=0,"بدون قيمة","OK")))))</f>
        <v>فارغ</v>
      </c>
      <c r="N301" s="55" t="str">
        <f aca="false">IF(AND(E301&lt;&gt;"",E301='كشف حساب مشروع'!$C$6,I301="مرحل ✔"),COUNTIFS($E$11:E301,'كشف حساب مشروع'!$C$6,$I$11:I301,"مرحل ✔"),"")</f>
        <v/>
      </c>
      <c r="O301" s="55" t="str">
        <f aca="false">IF(AND(C301&lt;&gt;"",C301='دفتر الأستاذ'!$C$6,I301="مرحل ✔"),COUNTIFS($C$11:C301,'دفتر الأستاذ'!$C$6,$I$11:I301,"مرحل ✔"),"")</f>
        <v/>
      </c>
    </row>
    <row r="302" customFormat="false" ht="15" hidden="false" customHeight="false" outlineLevel="0" collapsed="false">
      <c r="A302" s="49"/>
      <c r="B302" s="50"/>
      <c r="C302" s="49"/>
      <c r="D302" s="51" t="str">
        <f aca="false">IF(C302="","",IFERROR(INDEX('شجرة الحسابات'!$B$9:$B$208,MATCH(C302,'شجرة الحسابات'!$A$9:$A$208,0)),"⚠ حساب غير معرف"))</f>
        <v/>
      </c>
      <c r="E302" s="52"/>
      <c r="F302" s="52"/>
      <c r="G302" s="53"/>
      <c r="H302" s="53"/>
      <c r="I302" s="54" t="str">
        <f aca="false">IF(A302="",IF(M302="فارغ","","✖ بدون رقم قيد"),IF(COUNTIFS('قيود اليومية'!$A$11:$A$1010,A302,'قيود اليومية'!$M$11:$M$1010,"&lt;&gt;OK",'قيود اليومية'!$M$11:$M$1010,"&lt;&gt;فارغ")&gt;0,"✖ خطأ بالحساب",IF(ROUND(SUMIFS('قيود اليومية'!$G$11:$G$1010,'قيود اليومية'!$A$11:$A$1010,A302)-SUMIFS('قيود اليومية'!$H$11:$H$1010,'قيود اليومية'!$A$11:$A$1010,A302),2)&lt;&gt;0,"✖ غير متوازن","مرحل ✔")))</f>
        <v/>
      </c>
      <c r="J302" s="55" t="str">
        <f aca="false">IF(C302="","",IFERROR(INDEX('شجرة الحسابات'!$E$9:$E$208,MATCH(C302,'شجرة الحسابات'!$A$9:$A$208,0))&amp;"",""))</f>
        <v/>
      </c>
      <c r="K302" s="55" t="str">
        <f aca="false">IF(C302="","",IFERROR(INDEX('شجرة الحسابات'!$I$9:$I$208,MATCH(C302,'شجرة الحسابات'!$A$9:$A$208,0))&amp;"",""))</f>
        <v/>
      </c>
      <c r="L302" s="55" t="str">
        <f aca="false">IF(C302="","",IFERROR(INDEX('شجرة الحسابات'!$C$9:$C$208,MATCH(C302,'شجرة الحسابات'!$A$9:$A$208,0))&amp;"",""))</f>
        <v/>
      </c>
      <c r="M302" s="55" t="str">
        <f aca="false">IF(AND(C302="",G302="",H302=""),"فارغ",IF(ISNA(MATCH(C302,'شجرة الحسابات'!$A$9:$A$208,0)),"حساب غير معرف",IF(L302&lt;&gt;"تحليلي","حساب تجميعي",IF(AND(N(G302)&gt;0,N(H302)&gt;0),"مدين ودائن معاً",IF(N(G302)+N(H302)=0,"بدون قيمة","OK")))))</f>
        <v>فارغ</v>
      </c>
      <c r="N302" s="55" t="str">
        <f aca="false">IF(AND(E302&lt;&gt;"",E302='كشف حساب مشروع'!$C$6,I302="مرحل ✔"),COUNTIFS($E$11:E302,'كشف حساب مشروع'!$C$6,$I$11:I302,"مرحل ✔"),"")</f>
        <v/>
      </c>
      <c r="O302" s="55" t="str">
        <f aca="false">IF(AND(C302&lt;&gt;"",C302='دفتر الأستاذ'!$C$6,I302="مرحل ✔"),COUNTIFS($C$11:C302,'دفتر الأستاذ'!$C$6,$I$11:I302,"مرحل ✔"),"")</f>
        <v/>
      </c>
    </row>
    <row r="303" customFormat="false" ht="15" hidden="false" customHeight="false" outlineLevel="0" collapsed="false">
      <c r="A303" s="49"/>
      <c r="B303" s="50"/>
      <c r="C303" s="49"/>
      <c r="D303" s="51" t="str">
        <f aca="false">IF(C303="","",IFERROR(INDEX('شجرة الحسابات'!$B$9:$B$208,MATCH(C303,'شجرة الحسابات'!$A$9:$A$208,0)),"⚠ حساب غير معرف"))</f>
        <v/>
      </c>
      <c r="E303" s="52"/>
      <c r="F303" s="52"/>
      <c r="G303" s="53"/>
      <c r="H303" s="53"/>
      <c r="I303" s="54" t="str">
        <f aca="false">IF(A303="",IF(M303="فارغ","","✖ بدون رقم قيد"),IF(COUNTIFS('قيود اليومية'!$A$11:$A$1010,A303,'قيود اليومية'!$M$11:$M$1010,"&lt;&gt;OK",'قيود اليومية'!$M$11:$M$1010,"&lt;&gt;فارغ")&gt;0,"✖ خطأ بالحساب",IF(ROUND(SUMIFS('قيود اليومية'!$G$11:$G$1010,'قيود اليومية'!$A$11:$A$1010,A303)-SUMIFS('قيود اليومية'!$H$11:$H$1010,'قيود اليومية'!$A$11:$A$1010,A303),2)&lt;&gt;0,"✖ غير متوازن","مرحل ✔")))</f>
        <v/>
      </c>
      <c r="J303" s="55" t="str">
        <f aca="false">IF(C303="","",IFERROR(INDEX('شجرة الحسابات'!$E$9:$E$208,MATCH(C303,'شجرة الحسابات'!$A$9:$A$208,0))&amp;"",""))</f>
        <v/>
      </c>
      <c r="K303" s="55" t="str">
        <f aca="false">IF(C303="","",IFERROR(INDEX('شجرة الحسابات'!$I$9:$I$208,MATCH(C303,'شجرة الحسابات'!$A$9:$A$208,0))&amp;"",""))</f>
        <v/>
      </c>
      <c r="L303" s="55" t="str">
        <f aca="false">IF(C303="","",IFERROR(INDEX('شجرة الحسابات'!$C$9:$C$208,MATCH(C303,'شجرة الحسابات'!$A$9:$A$208,0))&amp;"",""))</f>
        <v/>
      </c>
      <c r="M303" s="55" t="str">
        <f aca="false">IF(AND(C303="",G303="",H303=""),"فارغ",IF(ISNA(MATCH(C303,'شجرة الحسابات'!$A$9:$A$208,0)),"حساب غير معرف",IF(L303&lt;&gt;"تحليلي","حساب تجميعي",IF(AND(N(G303)&gt;0,N(H303)&gt;0),"مدين ودائن معاً",IF(N(G303)+N(H303)=0,"بدون قيمة","OK")))))</f>
        <v>فارغ</v>
      </c>
      <c r="N303" s="55" t="str">
        <f aca="false">IF(AND(E303&lt;&gt;"",E303='كشف حساب مشروع'!$C$6,I303="مرحل ✔"),COUNTIFS($E$11:E303,'كشف حساب مشروع'!$C$6,$I$11:I303,"مرحل ✔"),"")</f>
        <v/>
      </c>
      <c r="O303" s="55" t="str">
        <f aca="false">IF(AND(C303&lt;&gt;"",C303='دفتر الأستاذ'!$C$6,I303="مرحل ✔"),COUNTIFS($C$11:C303,'دفتر الأستاذ'!$C$6,$I$11:I303,"مرحل ✔"),"")</f>
        <v/>
      </c>
    </row>
    <row r="304" customFormat="false" ht="15" hidden="false" customHeight="false" outlineLevel="0" collapsed="false">
      <c r="A304" s="49"/>
      <c r="B304" s="50"/>
      <c r="C304" s="49"/>
      <c r="D304" s="51" t="str">
        <f aca="false">IF(C304="","",IFERROR(INDEX('شجرة الحسابات'!$B$9:$B$208,MATCH(C304,'شجرة الحسابات'!$A$9:$A$208,0)),"⚠ حساب غير معرف"))</f>
        <v/>
      </c>
      <c r="E304" s="52"/>
      <c r="F304" s="52"/>
      <c r="G304" s="53"/>
      <c r="H304" s="53"/>
      <c r="I304" s="54" t="str">
        <f aca="false">IF(A304="",IF(M304="فارغ","","✖ بدون رقم قيد"),IF(COUNTIFS('قيود اليومية'!$A$11:$A$1010,A304,'قيود اليومية'!$M$11:$M$1010,"&lt;&gt;OK",'قيود اليومية'!$M$11:$M$1010,"&lt;&gt;فارغ")&gt;0,"✖ خطأ بالحساب",IF(ROUND(SUMIFS('قيود اليومية'!$G$11:$G$1010,'قيود اليومية'!$A$11:$A$1010,A304)-SUMIFS('قيود اليومية'!$H$11:$H$1010,'قيود اليومية'!$A$11:$A$1010,A304),2)&lt;&gt;0,"✖ غير متوازن","مرحل ✔")))</f>
        <v/>
      </c>
      <c r="J304" s="55" t="str">
        <f aca="false">IF(C304="","",IFERROR(INDEX('شجرة الحسابات'!$E$9:$E$208,MATCH(C304,'شجرة الحسابات'!$A$9:$A$208,0))&amp;"",""))</f>
        <v/>
      </c>
      <c r="K304" s="55" t="str">
        <f aca="false">IF(C304="","",IFERROR(INDEX('شجرة الحسابات'!$I$9:$I$208,MATCH(C304,'شجرة الحسابات'!$A$9:$A$208,0))&amp;"",""))</f>
        <v/>
      </c>
      <c r="L304" s="55" t="str">
        <f aca="false">IF(C304="","",IFERROR(INDEX('شجرة الحسابات'!$C$9:$C$208,MATCH(C304,'شجرة الحسابات'!$A$9:$A$208,0))&amp;"",""))</f>
        <v/>
      </c>
      <c r="M304" s="55" t="str">
        <f aca="false">IF(AND(C304="",G304="",H304=""),"فارغ",IF(ISNA(MATCH(C304,'شجرة الحسابات'!$A$9:$A$208,0)),"حساب غير معرف",IF(L304&lt;&gt;"تحليلي","حساب تجميعي",IF(AND(N(G304)&gt;0,N(H304)&gt;0),"مدين ودائن معاً",IF(N(G304)+N(H304)=0,"بدون قيمة","OK")))))</f>
        <v>فارغ</v>
      </c>
      <c r="N304" s="55" t="str">
        <f aca="false">IF(AND(E304&lt;&gt;"",E304='كشف حساب مشروع'!$C$6,I304="مرحل ✔"),COUNTIFS($E$11:E304,'كشف حساب مشروع'!$C$6,$I$11:I304,"مرحل ✔"),"")</f>
        <v/>
      </c>
      <c r="O304" s="55" t="str">
        <f aca="false">IF(AND(C304&lt;&gt;"",C304='دفتر الأستاذ'!$C$6,I304="مرحل ✔"),COUNTIFS($C$11:C304,'دفتر الأستاذ'!$C$6,$I$11:I304,"مرحل ✔"),"")</f>
        <v/>
      </c>
    </row>
    <row r="305" customFormat="false" ht="15" hidden="false" customHeight="false" outlineLevel="0" collapsed="false">
      <c r="A305" s="49"/>
      <c r="B305" s="50"/>
      <c r="C305" s="49"/>
      <c r="D305" s="51" t="str">
        <f aca="false">IF(C305="","",IFERROR(INDEX('شجرة الحسابات'!$B$9:$B$208,MATCH(C305,'شجرة الحسابات'!$A$9:$A$208,0)),"⚠ حساب غير معرف"))</f>
        <v/>
      </c>
      <c r="E305" s="52"/>
      <c r="F305" s="52"/>
      <c r="G305" s="53"/>
      <c r="H305" s="53"/>
      <c r="I305" s="54" t="str">
        <f aca="false">IF(A305="",IF(M305="فارغ","","✖ بدون رقم قيد"),IF(COUNTIFS('قيود اليومية'!$A$11:$A$1010,A305,'قيود اليومية'!$M$11:$M$1010,"&lt;&gt;OK",'قيود اليومية'!$M$11:$M$1010,"&lt;&gt;فارغ")&gt;0,"✖ خطأ بالحساب",IF(ROUND(SUMIFS('قيود اليومية'!$G$11:$G$1010,'قيود اليومية'!$A$11:$A$1010,A305)-SUMIFS('قيود اليومية'!$H$11:$H$1010,'قيود اليومية'!$A$11:$A$1010,A305),2)&lt;&gt;0,"✖ غير متوازن","مرحل ✔")))</f>
        <v/>
      </c>
      <c r="J305" s="55" t="str">
        <f aca="false">IF(C305="","",IFERROR(INDEX('شجرة الحسابات'!$E$9:$E$208,MATCH(C305,'شجرة الحسابات'!$A$9:$A$208,0))&amp;"",""))</f>
        <v/>
      </c>
      <c r="K305" s="55" t="str">
        <f aca="false">IF(C305="","",IFERROR(INDEX('شجرة الحسابات'!$I$9:$I$208,MATCH(C305,'شجرة الحسابات'!$A$9:$A$208,0))&amp;"",""))</f>
        <v/>
      </c>
      <c r="L305" s="55" t="str">
        <f aca="false">IF(C305="","",IFERROR(INDEX('شجرة الحسابات'!$C$9:$C$208,MATCH(C305,'شجرة الحسابات'!$A$9:$A$208,0))&amp;"",""))</f>
        <v/>
      </c>
      <c r="M305" s="55" t="str">
        <f aca="false">IF(AND(C305="",G305="",H305=""),"فارغ",IF(ISNA(MATCH(C305,'شجرة الحسابات'!$A$9:$A$208,0)),"حساب غير معرف",IF(L305&lt;&gt;"تحليلي","حساب تجميعي",IF(AND(N(G305)&gt;0,N(H305)&gt;0),"مدين ودائن معاً",IF(N(G305)+N(H305)=0,"بدون قيمة","OK")))))</f>
        <v>فارغ</v>
      </c>
      <c r="N305" s="55" t="str">
        <f aca="false">IF(AND(E305&lt;&gt;"",E305='كشف حساب مشروع'!$C$6,I305="مرحل ✔"),COUNTIFS($E$11:E305,'كشف حساب مشروع'!$C$6,$I$11:I305,"مرحل ✔"),"")</f>
        <v/>
      </c>
      <c r="O305" s="55" t="str">
        <f aca="false">IF(AND(C305&lt;&gt;"",C305='دفتر الأستاذ'!$C$6,I305="مرحل ✔"),COUNTIFS($C$11:C305,'دفتر الأستاذ'!$C$6,$I$11:I305,"مرحل ✔"),"")</f>
        <v/>
      </c>
    </row>
    <row r="306" customFormat="false" ht="15" hidden="false" customHeight="false" outlineLevel="0" collapsed="false">
      <c r="A306" s="49"/>
      <c r="B306" s="50"/>
      <c r="C306" s="49"/>
      <c r="D306" s="51" t="str">
        <f aca="false">IF(C306="","",IFERROR(INDEX('شجرة الحسابات'!$B$9:$B$208,MATCH(C306,'شجرة الحسابات'!$A$9:$A$208,0)),"⚠ حساب غير معرف"))</f>
        <v/>
      </c>
      <c r="E306" s="52"/>
      <c r="F306" s="52"/>
      <c r="G306" s="53"/>
      <c r="H306" s="53"/>
      <c r="I306" s="54" t="str">
        <f aca="false">IF(A306="",IF(M306="فارغ","","✖ بدون رقم قيد"),IF(COUNTIFS('قيود اليومية'!$A$11:$A$1010,A306,'قيود اليومية'!$M$11:$M$1010,"&lt;&gt;OK",'قيود اليومية'!$M$11:$M$1010,"&lt;&gt;فارغ")&gt;0,"✖ خطأ بالحساب",IF(ROUND(SUMIFS('قيود اليومية'!$G$11:$G$1010,'قيود اليومية'!$A$11:$A$1010,A306)-SUMIFS('قيود اليومية'!$H$11:$H$1010,'قيود اليومية'!$A$11:$A$1010,A306),2)&lt;&gt;0,"✖ غير متوازن","مرحل ✔")))</f>
        <v/>
      </c>
      <c r="J306" s="55" t="str">
        <f aca="false">IF(C306="","",IFERROR(INDEX('شجرة الحسابات'!$E$9:$E$208,MATCH(C306,'شجرة الحسابات'!$A$9:$A$208,0))&amp;"",""))</f>
        <v/>
      </c>
      <c r="K306" s="55" t="str">
        <f aca="false">IF(C306="","",IFERROR(INDEX('شجرة الحسابات'!$I$9:$I$208,MATCH(C306,'شجرة الحسابات'!$A$9:$A$208,0))&amp;"",""))</f>
        <v/>
      </c>
      <c r="L306" s="55" t="str">
        <f aca="false">IF(C306="","",IFERROR(INDEX('شجرة الحسابات'!$C$9:$C$208,MATCH(C306,'شجرة الحسابات'!$A$9:$A$208,0))&amp;"",""))</f>
        <v/>
      </c>
      <c r="M306" s="55" t="str">
        <f aca="false">IF(AND(C306="",G306="",H306=""),"فارغ",IF(ISNA(MATCH(C306,'شجرة الحسابات'!$A$9:$A$208,0)),"حساب غير معرف",IF(L306&lt;&gt;"تحليلي","حساب تجميعي",IF(AND(N(G306)&gt;0,N(H306)&gt;0),"مدين ودائن معاً",IF(N(G306)+N(H306)=0,"بدون قيمة","OK")))))</f>
        <v>فارغ</v>
      </c>
      <c r="N306" s="55" t="str">
        <f aca="false">IF(AND(E306&lt;&gt;"",E306='كشف حساب مشروع'!$C$6,I306="مرحل ✔"),COUNTIFS($E$11:E306,'كشف حساب مشروع'!$C$6,$I$11:I306,"مرحل ✔"),"")</f>
        <v/>
      </c>
      <c r="O306" s="55" t="str">
        <f aca="false">IF(AND(C306&lt;&gt;"",C306='دفتر الأستاذ'!$C$6,I306="مرحل ✔"),COUNTIFS($C$11:C306,'دفتر الأستاذ'!$C$6,$I$11:I306,"مرحل ✔"),"")</f>
        <v/>
      </c>
    </row>
    <row r="307" customFormat="false" ht="15" hidden="false" customHeight="false" outlineLevel="0" collapsed="false">
      <c r="A307" s="49"/>
      <c r="B307" s="50"/>
      <c r="C307" s="49"/>
      <c r="D307" s="51" t="str">
        <f aca="false">IF(C307="","",IFERROR(INDEX('شجرة الحسابات'!$B$9:$B$208,MATCH(C307,'شجرة الحسابات'!$A$9:$A$208,0)),"⚠ حساب غير معرف"))</f>
        <v/>
      </c>
      <c r="E307" s="52"/>
      <c r="F307" s="52"/>
      <c r="G307" s="53"/>
      <c r="H307" s="53"/>
      <c r="I307" s="54" t="str">
        <f aca="false">IF(A307="",IF(M307="فارغ","","✖ بدون رقم قيد"),IF(COUNTIFS('قيود اليومية'!$A$11:$A$1010,A307,'قيود اليومية'!$M$11:$M$1010,"&lt;&gt;OK",'قيود اليومية'!$M$11:$M$1010,"&lt;&gt;فارغ")&gt;0,"✖ خطأ بالحساب",IF(ROUND(SUMIFS('قيود اليومية'!$G$11:$G$1010,'قيود اليومية'!$A$11:$A$1010,A307)-SUMIFS('قيود اليومية'!$H$11:$H$1010,'قيود اليومية'!$A$11:$A$1010,A307),2)&lt;&gt;0,"✖ غير متوازن","مرحل ✔")))</f>
        <v/>
      </c>
      <c r="J307" s="55" t="str">
        <f aca="false">IF(C307="","",IFERROR(INDEX('شجرة الحسابات'!$E$9:$E$208,MATCH(C307,'شجرة الحسابات'!$A$9:$A$208,0))&amp;"",""))</f>
        <v/>
      </c>
      <c r="K307" s="55" t="str">
        <f aca="false">IF(C307="","",IFERROR(INDEX('شجرة الحسابات'!$I$9:$I$208,MATCH(C307,'شجرة الحسابات'!$A$9:$A$208,0))&amp;"",""))</f>
        <v/>
      </c>
      <c r="L307" s="55" t="str">
        <f aca="false">IF(C307="","",IFERROR(INDEX('شجرة الحسابات'!$C$9:$C$208,MATCH(C307,'شجرة الحسابات'!$A$9:$A$208,0))&amp;"",""))</f>
        <v/>
      </c>
      <c r="M307" s="55" t="str">
        <f aca="false">IF(AND(C307="",G307="",H307=""),"فارغ",IF(ISNA(MATCH(C307,'شجرة الحسابات'!$A$9:$A$208,0)),"حساب غير معرف",IF(L307&lt;&gt;"تحليلي","حساب تجميعي",IF(AND(N(G307)&gt;0,N(H307)&gt;0),"مدين ودائن معاً",IF(N(G307)+N(H307)=0,"بدون قيمة","OK")))))</f>
        <v>فارغ</v>
      </c>
      <c r="N307" s="55" t="str">
        <f aca="false">IF(AND(E307&lt;&gt;"",E307='كشف حساب مشروع'!$C$6,I307="مرحل ✔"),COUNTIFS($E$11:E307,'كشف حساب مشروع'!$C$6,$I$11:I307,"مرحل ✔"),"")</f>
        <v/>
      </c>
      <c r="O307" s="55" t="str">
        <f aca="false">IF(AND(C307&lt;&gt;"",C307='دفتر الأستاذ'!$C$6,I307="مرحل ✔"),COUNTIFS($C$11:C307,'دفتر الأستاذ'!$C$6,$I$11:I307,"مرحل ✔"),"")</f>
        <v/>
      </c>
    </row>
    <row r="308" customFormat="false" ht="15" hidden="false" customHeight="false" outlineLevel="0" collapsed="false">
      <c r="A308" s="49"/>
      <c r="B308" s="50"/>
      <c r="C308" s="49"/>
      <c r="D308" s="51" t="str">
        <f aca="false">IF(C308="","",IFERROR(INDEX('شجرة الحسابات'!$B$9:$B$208,MATCH(C308,'شجرة الحسابات'!$A$9:$A$208,0)),"⚠ حساب غير معرف"))</f>
        <v/>
      </c>
      <c r="E308" s="52"/>
      <c r="F308" s="52"/>
      <c r="G308" s="53"/>
      <c r="H308" s="53"/>
      <c r="I308" s="54" t="str">
        <f aca="false">IF(A308="",IF(M308="فارغ","","✖ بدون رقم قيد"),IF(COUNTIFS('قيود اليومية'!$A$11:$A$1010,A308,'قيود اليومية'!$M$11:$M$1010,"&lt;&gt;OK",'قيود اليومية'!$M$11:$M$1010,"&lt;&gt;فارغ")&gt;0,"✖ خطأ بالحساب",IF(ROUND(SUMIFS('قيود اليومية'!$G$11:$G$1010,'قيود اليومية'!$A$11:$A$1010,A308)-SUMIFS('قيود اليومية'!$H$11:$H$1010,'قيود اليومية'!$A$11:$A$1010,A308),2)&lt;&gt;0,"✖ غير متوازن","مرحل ✔")))</f>
        <v/>
      </c>
      <c r="J308" s="55" t="str">
        <f aca="false">IF(C308="","",IFERROR(INDEX('شجرة الحسابات'!$E$9:$E$208,MATCH(C308,'شجرة الحسابات'!$A$9:$A$208,0))&amp;"",""))</f>
        <v/>
      </c>
      <c r="K308" s="55" t="str">
        <f aca="false">IF(C308="","",IFERROR(INDEX('شجرة الحسابات'!$I$9:$I$208,MATCH(C308,'شجرة الحسابات'!$A$9:$A$208,0))&amp;"",""))</f>
        <v/>
      </c>
      <c r="L308" s="55" t="str">
        <f aca="false">IF(C308="","",IFERROR(INDEX('شجرة الحسابات'!$C$9:$C$208,MATCH(C308,'شجرة الحسابات'!$A$9:$A$208,0))&amp;"",""))</f>
        <v/>
      </c>
      <c r="M308" s="55" t="str">
        <f aca="false">IF(AND(C308="",G308="",H308=""),"فارغ",IF(ISNA(MATCH(C308,'شجرة الحسابات'!$A$9:$A$208,0)),"حساب غير معرف",IF(L308&lt;&gt;"تحليلي","حساب تجميعي",IF(AND(N(G308)&gt;0,N(H308)&gt;0),"مدين ودائن معاً",IF(N(G308)+N(H308)=0,"بدون قيمة","OK")))))</f>
        <v>فارغ</v>
      </c>
      <c r="N308" s="55" t="str">
        <f aca="false">IF(AND(E308&lt;&gt;"",E308='كشف حساب مشروع'!$C$6,I308="مرحل ✔"),COUNTIFS($E$11:E308,'كشف حساب مشروع'!$C$6,$I$11:I308,"مرحل ✔"),"")</f>
        <v/>
      </c>
      <c r="O308" s="55" t="str">
        <f aca="false">IF(AND(C308&lt;&gt;"",C308='دفتر الأستاذ'!$C$6,I308="مرحل ✔"),COUNTIFS($C$11:C308,'دفتر الأستاذ'!$C$6,$I$11:I308,"مرحل ✔"),"")</f>
        <v/>
      </c>
    </row>
    <row r="309" customFormat="false" ht="15" hidden="false" customHeight="false" outlineLevel="0" collapsed="false">
      <c r="A309" s="49"/>
      <c r="B309" s="50"/>
      <c r="C309" s="49"/>
      <c r="D309" s="51" t="str">
        <f aca="false">IF(C309="","",IFERROR(INDEX('شجرة الحسابات'!$B$9:$B$208,MATCH(C309,'شجرة الحسابات'!$A$9:$A$208,0)),"⚠ حساب غير معرف"))</f>
        <v/>
      </c>
      <c r="E309" s="52"/>
      <c r="F309" s="52"/>
      <c r="G309" s="53"/>
      <c r="H309" s="53"/>
      <c r="I309" s="54" t="str">
        <f aca="false">IF(A309="",IF(M309="فارغ","","✖ بدون رقم قيد"),IF(COUNTIFS('قيود اليومية'!$A$11:$A$1010,A309,'قيود اليومية'!$M$11:$M$1010,"&lt;&gt;OK",'قيود اليومية'!$M$11:$M$1010,"&lt;&gt;فارغ")&gt;0,"✖ خطأ بالحساب",IF(ROUND(SUMIFS('قيود اليومية'!$G$11:$G$1010,'قيود اليومية'!$A$11:$A$1010,A309)-SUMIFS('قيود اليومية'!$H$11:$H$1010,'قيود اليومية'!$A$11:$A$1010,A309),2)&lt;&gt;0,"✖ غير متوازن","مرحل ✔")))</f>
        <v/>
      </c>
      <c r="J309" s="55" t="str">
        <f aca="false">IF(C309="","",IFERROR(INDEX('شجرة الحسابات'!$E$9:$E$208,MATCH(C309,'شجرة الحسابات'!$A$9:$A$208,0))&amp;"",""))</f>
        <v/>
      </c>
      <c r="K309" s="55" t="str">
        <f aca="false">IF(C309="","",IFERROR(INDEX('شجرة الحسابات'!$I$9:$I$208,MATCH(C309,'شجرة الحسابات'!$A$9:$A$208,0))&amp;"",""))</f>
        <v/>
      </c>
      <c r="L309" s="55" t="str">
        <f aca="false">IF(C309="","",IFERROR(INDEX('شجرة الحسابات'!$C$9:$C$208,MATCH(C309,'شجرة الحسابات'!$A$9:$A$208,0))&amp;"",""))</f>
        <v/>
      </c>
      <c r="M309" s="55" t="str">
        <f aca="false">IF(AND(C309="",G309="",H309=""),"فارغ",IF(ISNA(MATCH(C309,'شجرة الحسابات'!$A$9:$A$208,0)),"حساب غير معرف",IF(L309&lt;&gt;"تحليلي","حساب تجميعي",IF(AND(N(G309)&gt;0,N(H309)&gt;0),"مدين ودائن معاً",IF(N(G309)+N(H309)=0,"بدون قيمة","OK")))))</f>
        <v>فارغ</v>
      </c>
      <c r="N309" s="55" t="str">
        <f aca="false">IF(AND(E309&lt;&gt;"",E309='كشف حساب مشروع'!$C$6,I309="مرحل ✔"),COUNTIFS($E$11:E309,'كشف حساب مشروع'!$C$6,$I$11:I309,"مرحل ✔"),"")</f>
        <v/>
      </c>
      <c r="O309" s="55" t="str">
        <f aca="false">IF(AND(C309&lt;&gt;"",C309='دفتر الأستاذ'!$C$6,I309="مرحل ✔"),COUNTIFS($C$11:C309,'دفتر الأستاذ'!$C$6,$I$11:I309,"مرحل ✔"),"")</f>
        <v/>
      </c>
    </row>
    <row r="310" customFormat="false" ht="15" hidden="false" customHeight="false" outlineLevel="0" collapsed="false">
      <c r="A310" s="49"/>
      <c r="B310" s="50"/>
      <c r="C310" s="49"/>
      <c r="D310" s="51" t="str">
        <f aca="false">IF(C310="","",IFERROR(INDEX('شجرة الحسابات'!$B$9:$B$208,MATCH(C310,'شجرة الحسابات'!$A$9:$A$208,0)),"⚠ حساب غير معرف"))</f>
        <v/>
      </c>
      <c r="E310" s="52"/>
      <c r="F310" s="52"/>
      <c r="G310" s="53"/>
      <c r="H310" s="53"/>
      <c r="I310" s="54" t="str">
        <f aca="false">IF(A310="",IF(M310="فارغ","","✖ بدون رقم قيد"),IF(COUNTIFS('قيود اليومية'!$A$11:$A$1010,A310,'قيود اليومية'!$M$11:$M$1010,"&lt;&gt;OK",'قيود اليومية'!$M$11:$M$1010,"&lt;&gt;فارغ")&gt;0,"✖ خطأ بالحساب",IF(ROUND(SUMIFS('قيود اليومية'!$G$11:$G$1010,'قيود اليومية'!$A$11:$A$1010,A310)-SUMIFS('قيود اليومية'!$H$11:$H$1010,'قيود اليومية'!$A$11:$A$1010,A310),2)&lt;&gt;0,"✖ غير متوازن","مرحل ✔")))</f>
        <v/>
      </c>
      <c r="J310" s="55" t="str">
        <f aca="false">IF(C310="","",IFERROR(INDEX('شجرة الحسابات'!$E$9:$E$208,MATCH(C310,'شجرة الحسابات'!$A$9:$A$208,0))&amp;"",""))</f>
        <v/>
      </c>
      <c r="K310" s="55" t="str">
        <f aca="false">IF(C310="","",IFERROR(INDEX('شجرة الحسابات'!$I$9:$I$208,MATCH(C310,'شجرة الحسابات'!$A$9:$A$208,0))&amp;"",""))</f>
        <v/>
      </c>
      <c r="L310" s="55" t="str">
        <f aca="false">IF(C310="","",IFERROR(INDEX('شجرة الحسابات'!$C$9:$C$208,MATCH(C310,'شجرة الحسابات'!$A$9:$A$208,0))&amp;"",""))</f>
        <v/>
      </c>
      <c r="M310" s="55" t="str">
        <f aca="false">IF(AND(C310="",G310="",H310=""),"فارغ",IF(ISNA(MATCH(C310,'شجرة الحسابات'!$A$9:$A$208,0)),"حساب غير معرف",IF(L310&lt;&gt;"تحليلي","حساب تجميعي",IF(AND(N(G310)&gt;0,N(H310)&gt;0),"مدين ودائن معاً",IF(N(G310)+N(H310)=0,"بدون قيمة","OK")))))</f>
        <v>فارغ</v>
      </c>
      <c r="N310" s="55" t="str">
        <f aca="false">IF(AND(E310&lt;&gt;"",E310='كشف حساب مشروع'!$C$6,I310="مرحل ✔"),COUNTIFS($E$11:E310,'كشف حساب مشروع'!$C$6,$I$11:I310,"مرحل ✔"),"")</f>
        <v/>
      </c>
      <c r="O310" s="55" t="str">
        <f aca="false">IF(AND(C310&lt;&gt;"",C310='دفتر الأستاذ'!$C$6,I310="مرحل ✔"),COUNTIFS($C$11:C310,'دفتر الأستاذ'!$C$6,$I$11:I310,"مرحل ✔"),"")</f>
        <v/>
      </c>
    </row>
    <row r="311" customFormat="false" ht="15" hidden="false" customHeight="false" outlineLevel="0" collapsed="false">
      <c r="A311" s="49"/>
      <c r="B311" s="50"/>
      <c r="C311" s="49"/>
      <c r="D311" s="51" t="str">
        <f aca="false">IF(C311="","",IFERROR(INDEX('شجرة الحسابات'!$B$9:$B$208,MATCH(C311,'شجرة الحسابات'!$A$9:$A$208,0)),"⚠ حساب غير معرف"))</f>
        <v/>
      </c>
      <c r="E311" s="52"/>
      <c r="F311" s="52"/>
      <c r="G311" s="53"/>
      <c r="H311" s="53"/>
      <c r="I311" s="54" t="str">
        <f aca="false">IF(A311="",IF(M311="فارغ","","✖ بدون رقم قيد"),IF(COUNTIFS('قيود اليومية'!$A$11:$A$1010,A311,'قيود اليومية'!$M$11:$M$1010,"&lt;&gt;OK",'قيود اليومية'!$M$11:$M$1010,"&lt;&gt;فارغ")&gt;0,"✖ خطأ بالحساب",IF(ROUND(SUMIFS('قيود اليومية'!$G$11:$G$1010,'قيود اليومية'!$A$11:$A$1010,A311)-SUMIFS('قيود اليومية'!$H$11:$H$1010,'قيود اليومية'!$A$11:$A$1010,A311),2)&lt;&gt;0,"✖ غير متوازن","مرحل ✔")))</f>
        <v/>
      </c>
      <c r="J311" s="55" t="str">
        <f aca="false">IF(C311="","",IFERROR(INDEX('شجرة الحسابات'!$E$9:$E$208,MATCH(C311,'شجرة الحسابات'!$A$9:$A$208,0))&amp;"",""))</f>
        <v/>
      </c>
      <c r="K311" s="55" t="str">
        <f aca="false">IF(C311="","",IFERROR(INDEX('شجرة الحسابات'!$I$9:$I$208,MATCH(C311,'شجرة الحسابات'!$A$9:$A$208,0))&amp;"",""))</f>
        <v/>
      </c>
      <c r="L311" s="55" t="str">
        <f aca="false">IF(C311="","",IFERROR(INDEX('شجرة الحسابات'!$C$9:$C$208,MATCH(C311,'شجرة الحسابات'!$A$9:$A$208,0))&amp;"",""))</f>
        <v/>
      </c>
      <c r="M311" s="55" t="str">
        <f aca="false">IF(AND(C311="",G311="",H311=""),"فارغ",IF(ISNA(MATCH(C311,'شجرة الحسابات'!$A$9:$A$208,0)),"حساب غير معرف",IF(L311&lt;&gt;"تحليلي","حساب تجميعي",IF(AND(N(G311)&gt;0,N(H311)&gt;0),"مدين ودائن معاً",IF(N(G311)+N(H311)=0,"بدون قيمة","OK")))))</f>
        <v>فارغ</v>
      </c>
      <c r="N311" s="55" t="str">
        <f aca="false">IF(AND(E311&lt;&gt;"",E311='كشف حساب مشروع'!$C$6,I311="مرحل ✔"),COUNTIFS($E$11:E311,'كشف حساب مشروع'!$C$6,$I$11:I311,"مرحل ✔"),"")</f>
        <v/>
      </c>
      <c r="O311" s="55" t="str">
        <f aca="false">IF(AND(C311&lt;&gt;"",C311='دفتر الأستاذ'!$C$6,I311="مرحل ✔"),COUNTIFS($C$11:C311,'دفتر الأستاذ'!$C$6,$I$11:I311,"مرحل ✔"),"")</f>
        <v/>
      </c>
    </row>
    <row r="312" customFormat="false" ht="15" hidden="false" customHeight="false" outlineLevel="0" collapsed="false">
      <c r="A312" s="49"/>
      <c r="B312" s="50"/>
      <c r="C312" s="49"/>
      <c r="D312" s="51" t="str">
        <f aca="false">IF(C312="","",IFERROR(INDEX('شجرة الحسابات'!$B$9:$B$208,MATCH(C312,'شجرة الحسابات'!$A$9:$A$208,0)),"⚠ حساب غير معرف"))</f>
        <v/>
      </c>
      <c r="E312" s="52"/>
      <c r="F312" s="52"/>
      <c r="G312" s="53"/>
      <c r="H312" s="53"/>
      <c r="I312" s="54" t="str">
        <f aca="false">IF(A312="",IF(M312="فارغ","","✖ بدون رقم قيد"),IF(COUNTIFS('قيود اليومية'!$A$11:$A$1010,A312,'قيود اليومية'!$M$11:$M$1010,"&lt;&gt;OK",'قيود اليومية'!$M$11:$M$1010,"&lt;&gt;فارغ")&gt;0,"✖ خطأ بالحساب",IF(ROUND(SUMIFS('قيود اليومية'!$G$11:$G$1010,'قيود اليومية'!$A$11:$A$1010,A312)-SUMIFS('قيود اليومية'!$H$11:$H$1010,'قيود اليومية'!$A$11:$A$1010,A312),2)&lt;&gt;0,"✖ غير متوازن","مرحل ✔")))</f>
        <v/>
      </c>
      <c r="J312" s="55" t="str">
        <f aca="false">IF(C312="","",IFERROR(INDEX('شجرة الحسابات'!$E$9:$E$208,MATCH(C312,'شجرة الحسابات'!$A$9:$A$208,0))&amp;"",""))</f>
        <v/>
      </c>
      <c r="K312" s="55" t="str">
        <f aca="false">IF(C312="","",IFERROR(INDEX('شجرة الحسابات'!$I$9:$I$208,MATCH(C312,'شجرة الحسابات'!$A$9:$A$208,0))&amp;"",""))</f>
        <v/>
      </c>
      <c r="L312" s="55" t="str">
        <f aca="false">IF(C312="","",IFERROR(INDEX('شجرة الحسابات'!$C$9:$C$208,MATCH(C312,'شجرة الحسابات'!$A$9:$A$208,0))&amp;"",""))</f>
        <v/>
      </c>
      <c r="M312" s="55" t="str">
        <f aca="false">IF(AND(C312="",G312="",H312=""),"فارغ",IF(ISNA(MATCH(C312,'شجرة الحسابات'!$A$9:$A$208,0)),"حساب غير معرف",IF(L312&lt;&gt;"تحليلي","حساب تجميعي",IF(AND(N(G312)&gt;0,N(H312)&gt;0),"مدين ودائن معاً",IF(N(G312)+N(H312)=0,"بدون قيمة","OK")))))</f>
        <v>فارغ</v>
      </c>
      <c r="N312" s="55" t="str">
        <f aca="false">IF(AND(E312&lt;&gt;"",E312='كشف حساب مشروع'!$C$6,I312="مرحل ✔"),COUNTIFS($E$11:E312,'كشف حساب مشروع'!$C$6,$I$11:I312,"مرحل ✔"),"")</f>
        <v/>
      </c>
      <c r="O312" s="55" t="str">
        <f aca="false">IF(AND(C312&lt;&gt;"",C312='دفتر الأستاذ'!$C$6,I312="مرحل ✔"),COUNTIFS($C$11:C312,'دفتر الأستاذ'!$C$6,$I$11:I312,"مرحل ✔"),"")</f>
        <v/>
      </c>
    </row>
    <row r="313" customFormat="false" ht="15" hidden="false" customHeight="false" outlineLevel="0" collapsed="false">
      <c r="A313" s="49"/>
      <c r="B313" s="50"/>
      <c r="C313" s="49"/>
      <c r="D313" s="51" t="str">
        <f aca="false">IF(C313="","",IFERROR(INDEX('شجرة الحسابات'!$B$9:$B$208,MATCH(C313,'شجرة الحسابات'!$A$9:$A$208,0)),"⚠ حساب غير معرف"))</f>
        <v/>
      </c>
      <c r="E313" s="52"/>
      <c r="F313" s="52"/>
      <c r="G313" s="53"/>
      <c r="H313" s="53"/>
      <c r="I313" s="54" t="str">
        <f aca="false">IF(A313="",IF(M313="فارغ","","✖ بدون رقم قيد"),IF(COUNTIFS('قيود اليومية'!$A$11:$A$1010,A313,'قيود اليومية'!$M$11:$M$1010,"&lt;&gt;OK",'قيود اليومية'!$M$11:$M$1010,"&lt;&gt;فارغ")&gt;0,"✖ خطأ بالحساب",IF(ROUND(SUMIFS('قيود اليومية'!$G$11:$G$1010,'قيود اليومية'!$A$11:$A$1010,A313)-SUMIFS('قيود اليومية'!$H$11:$H$1010,'قيود اليومية'!$A$11:$A$1010,A313),2)&lt;&gt;0,"✖ غير متوازن","مرحل ✔")))</f>
        <v/>
      </c>
      <c r="J313" s="55" t="str">
        <f aca="false">IF(C313="","",IFERROR(INDEX('شجرة الحسابات'!$E$9:$E$208,MATCH(C313,'شجرة الحسابات'!$A$9:$A$208,0))&amp;"",""))</f>
        <v/>
      </c>
      <c r="K313" s="55" t="str">
        <f aca="false">IF(C313="","",IFERROR(INDEX('شجرة الحسابات'!$I$9:$I$208,MATCH(C313,'شجرة الحسابات'!$A$9:$A$208,0))&amp;"",""))</f>
        <v/>
      </c>
      <c r="L313" s="55" t="str">
        <f aca="false">IF(C313="","",IFERROR(INDEX('شجرة الحسابات'!$C$9:$C$208,MATCH(C313,'شجرة الحسابات'!$A$9:$A$208,0))&amp;"",""))</f>
        <v/>
      </c>
      <c r="M313" s="55" t="str">
        <f aca="false">IF(AND(C313="",G313="",H313=""),"فارغ",IF(ISNA(MATCH(C313,'شجرة الحسابات'!$A$9:$A$208,0)),"حساب غير معرف",IF(L313&lt;&gt;"تحليلي","حساب تجميعي",IF(AND(N(G313)&gt;0,N(H313)&gt;0),"مدين ودائن معاً",IF(N(G313)+N(H313)=0,"بدون قيمة","OK")))))</f>
        <v>فارغ</v>
      </c>
      <c r="N313" s="55" t="str">
        <f aca="false">IF(AND(E313&lt;&gt;"",E313='كشف حساب مشروع'!$C$6,I313="مرحل ✔"),COUNTIFS($E$11:E313,'كشف حساب مشروع'!$C$6,$I$11:I313,"مرحل ✔"),"")</f>
        <v/>
      </c>
      <c r="O313" s="55" t="str">
        <f aca="false">IF(AND(C313&lt;&gt;"",C313='دفتر الأستاذ'!$C$6,I313="مرحل ✔"),COUNTIFS($C$11:C313,'دفتر الأستاذ'!$C$6,$I$11:I313,"مرحل ✔"),"")</f>
        <v/>
      </c>
    </row>
    <row r="314" customFormat="false" ht="15" hidden="false" customHeight="false" outlineLevel="0" collapsed="false">
      <c r="A314" s="49"/>
      <c r="B314" s="50"/>
      <c r="C314" s="49"/>
      <c r="D314" s="51" t="str">
        <f aca="false">IF(C314="","",IFERROR(INDEX('شجرة الحسابات'!$B$9:$B$208,MATCH(C314,'شجرة الحسابات'!$A$9:$A$208,0)),"⚠ حساب غير معرف"))</f>
        <v/>
      </c>
      <c r="E314" s="52"/>
      <c r="F314" s="52"/>
      <c r="G314" s="53"/>
      <c r="H314" s="53"/>
      <c r="I314" s="54" t="str">
        <f aca="false">IF(A314="",IF(M314="فارغ","","✖ بدون رقم قيد"),IF(COUNTIFS('قيود اليومية'!$A$11:$A$1010,A314,'قيود اليومية'!$M$11:$M$1010,"&lt;&gt;OK",'قيود اليومية'!$M$11:$M$1010,"&lt;&gt;فارغ")&gt;0,"✖ خطأ بالحساب",IF(ROUND(SUMIFS('قيود اليومية'!$G$11:$G$1010,'قيود اليومية'!$A$11:$A$1010,A314)-SUMIFS('قيود اليومية'!$H$11:$H$1010,'قيود اليومية'!$A$11:$A$1010,A314),2)&lt;&gt;0,"✖ غير متوازن","مرحل ✔")))</f>
        <v/>
      </c>
      <c r="J314" s="55" t="str">
        <f aca="false">IF(C314="","",IFERROR(INDEX('شجرة الحسابات'!$E$9:$E$208,MATCH(C314,'شجرة الحسابات'!$A$9:$A$208,0))&amp;"",""))</f>
        <v/>
      </c>
      <c r="K314" s="55" t="str">
        <f aca="false">IF(C314="","",IFERROR(INDEX('شجرة الحسابات'!$I$9:$I$208,MATCH(C314,'شجرة الحسابات'!$A$9:$A$208,0))&amp;"",""))</f>
        <v/>
      </c>
      <c r="L314" s="55" t="str">
        <f aca="false">IF(C314="","",IFERROR(INDEX('شجرة الحسابات'!$C$9:$C$208,MATCH(C314,'شجرة الحسابات'!$A$9:$A$208,0))&amp;"",""))</f>
        <v/>
      </c>
      <c r="M314" s="55" t="str">
        <f aca="false">IF(AND(C314="",G314="",H314=""),"فارغ",IF(ISNA(MATCH(C314,'شجرة الحسابات'!$A$9:$A$208,0)),"حساب غير معرف",IF(L314&lt;&gt;"تحليلي","حساب تجميعي",IF(AND(N(G314)&gt;0,N(H314)&gt;0),"مدين ودائن معاً",IF(N(G314)+N(H314)=0,"بدون قيمة","OK")))))</f>
        <v>فارغ</v>
      </c>
      <c r="N314" s="55" t="str">
        <f aca="false">IF(AND(E314&lt;&gt;"",E314='كشف حساب مشروع'!$C$6,I314="مرحل ✔"),COUNTIFS($E$11:E314,'كشف حساب مشروع'!$C$6,$I$11:I314,"مرحل ✔"),"")</f>
        <v/>
      </c>
      <c r="O314" s="55" t="str">
        <f aca="false">IF(AND(C314&lt;&gt;"",C314='دفتر الأستاذ'!$C$6,I314="مرحل ✔"),COUNTIFS($C$11:C314,'دفتر الأستاذ'!$C$6,$I$11:I314,"مرحل ✔"),"")</f>
        <v/>
      </c>
    </row>
    <row r="315" customFormat="false" ht="15" hidden="false" customHeight="false" outlineLevel="0" collapsed="false">
      <c r="A315" s="49"/>
      <c r="B315" s="50"/>
      <c r="C315" s="49"/>
      <c r="D315" s="51" t="str">
        <f aca="false">IF(C315="","",IFERROR(INDEX('شجرة الحسابات'!$B$9:$B$208,MATCH(C315,'شجرة الحسابات'!$A$9:$A$208,0)),"⚠ حساب غير معرف"))</f>
        <v/>
      </c>
      <c r="E315" s="52"/>
      <c r="F315" s="52"/>
      <c r="G315" s="53"/>
      <c r="H315" s="53"/>
      <c r="I315" s="54" t="str">
        <f aca="false">IF(A315="",IF(M315="فارغ","","✖ بدون رقم قيد"),IF(COUNTIFS('قيود اليومية'!$A$11:$A$1010,A315,'قيود اليومية'!$M$11:$M$1010,"&lt;&gt;OK",'قيود اليومية'!$M$11:$M$1010,"&lt;&gt;فارغ")&gt;0,"✖ خطأ بالحساب",IF(ROUND(SUMIFS('قيود اليومية'!$G$11:$G$1010,'قيود اليومية'!$A$11:$A$1010,A315)-SUMIFS('قيود اليومية'!$H$11:$H$1010,'قيود اليومية'!$A$11:$A$1010,A315),2)&lt;&gt;0,"✖ غير متوازن","مرحل ✔")))</f>
        <v/>
      </c>
      <c r="J315" s="55" t="str">
        <f aca="false">IF(C315="","",IFERROR(INDEX('شجرة الحسابات'!$E$9:$E$208,MATCH(C315,'شجرة الحسابات'!$A$9:$A$208,0))&amp;"",""))</f>
        <v/>
      </c>
      <c r="K315" s="55" t="str">
        <f aca="false">IF(C315="","",IFERROR(INDEX('شجرة الحسابات'!$I$9:$I$208,MATCH(C315,'شجرة الحسابات'!$A$9:$A$208,0))&amp;"",""))</f>
        <v/>
      </c>
      <c r="L315" s="55" t="str">
        <f aca="false">IF(C315="","",IFERROR(INDEX('شجرة الحسابات'!$C$9:$C$208,MATCH(C315,'شجرة الحسابات'!$A$9:$A$208,0))&amp;"",""))</f>
        <v/>
      </c>
      <c r="M315" s="55" t="str">
        <f aca="false">IF(AND(C315="",G315="",H315=""),"فارغ",IF(ISNA(MATCH(C315,'شجرة الحسابات'!$A$9:$A$208,0)),"حساب غير معرف",IF(L315&lt;&gt;"تحليلي","حساب تجميعي",IF(AND(N(G315)&gt;0,N(H315)&gt;0),"مدين ودائن معاً",IF(N(G315)+N(H315)=0,"بدون قيمة","OK")))))</f>
        <v>فارغ</v>
      </c>
      <c r="N315" s="55" t="str">
        <f aca="false">IF(AND(E315&lt;&gt;"",E315='كشف حساب مشروع'!$C$6,I315="مرحل ✔"),COUNTIFS($E$11:E315,'كشف حساب مشروع'!$C$6,$I$11:I315,"مرحل ✔"),"")</f>
        <v/>
      </c>
      <c r="O315" s="55" t="str">
        <f aca="false">IF(AND(C315&lt;&gt;"",C315='دفتر الأستاذ'!$C$6,I315="مرحل ✔"),COUNTIFS($C$11:C315,'دفتر الأستاذ'!$C$6,$I$11:I315,"مرحل ✔"),"")</f>
        <v/>
      </c>
    </row>
    <row r="316" customFormat="false" ht="15" hidden="false" customHeight="false" outlineLevel="0" collapsed="false">
      <c r="A316" s="49"/>
      <c r="B316" s="50"/>
      <c r="C316" s="49"/>
      <c r="D316" s="51" t="str">
        <f aca="false">IF(C316="","",IFERROR(INDEX('شجرة الحسابات'!$B$9:$B$208,MATCH(C316,'شجرة الحسابات'!$A$9:$A$208,0)),"⚠ حساب غير معرف"))</f>
        <v/>
      </c>
      <c r="E316" s="52"/>
      <c r="F316" s="52"/>
      <c r="G316" s="53"/>
      <c r="H316" s="53"/>
      <c r="I316" s="54" t="str">
        <f aca="false">IF(A316="",IF(M316="فارغ","","✖ بدون رقم قيد"),IF(COUNTIFS('قيود اليومية'!$A$11:$A$1010,A316,'قيود اليومية'!$M$11:$M$1010,"&lt;&gt;OK",'قيود اليومية'!$M$11:$M$1010,"&lt;&gt;فارغ")&gt;0,"✖ خطأ بالحساب",IF(ROUND(SUMIFS('قيود اليومية'!$G$11:$G$1010,'قيود اليومية'!$A$11:$A$1010,A316)-SUMIFS('قيود اليومية'!$H$11:$H$1010,'قيود اليومية'!$A$11:$A$1010,A316),2)&lt;&gt;0,"✖ غير متوازن","مرحل ✔")))</f>
        <v/>
      </c>
      <c r="J316" s="55" t="str">
        <f aca="false">IF(C316="","",IFERROR(INDEX('شجرة الحسابات'!$E$9:$E$208,MATCH(C316,'شجرة الحسابات'!$A$9:$A$208,0))&amp;"",""))</f>
        <v/>
      </c>
      <c r="K316" s="55" t="str">
        <f aca="false">IF(C316="","",IFERROR(INDEX('شجرة الحسابات'!$I$9:$I$208,MATCH(C316,'شجرة الحسابات'!$A$9:$A$208,0))&amp;"",""))</f>
        <v/>
      </c>
      <c r="L316" s="55" t="str">
        <f aca="false">IF(C316="","",IFERROR(INDEX('شجرة الحسابات'!$C$9:$C$208,MATCH(C316,'شجرة الحسابات'!$A$9:$A$208,0))&amp;"",""))</f>
        <v/>
      </c>
      <c r="M316" s="55" t="str">
        <f aca="false">IF(AND(C316="",G316="",H316=""),"فارغ",IF(ISNA(MATCH(C316,'شجرة الحسابات'!$A$9:$A$208,0)),"حساب غير معرف",IF(L316&lt;&gt;"تحليلي","حساب تجميعي",IF(AND(N(G316)&gt;0,N(H316)&gt;0),"مدين ودائن معاً",IF(N(G316)+N(H316)=0,"بدون قيمة","OK")))))</f>
        <v>فارغ</v>
      </c>
      <c r="N316" s="55" t="str">
        <f aca="false">IF(AND(E316&lt;&gt;"",E316='كشف حساب مشروع'!$C$6,I316="مرحل ✔"),COUNTIFS($E$11:E316,'كشف حساب مشروع'!$C$6,$I$11:I316,"مرحل ✔"),"")</f>
        <v/>
      </c>
      <c r="O316" s="55" t="str">
        <f aca="false">IF(AND(C316&lt;&gt;"",C316='دفتر الأستاذ'!$C$6,I316="مرحل ✔"),COUNTIFS($C$11:C316,'دفتر الأستاذ'!$C$6,$I$11:I316,"مرحل ✔"),"")</f>
        <v/>
      </c>
    </row>
    <row r="317" customFormat="false" ht="15" hidden="false" customHeight="false" outlineLevel="0" collapsed="false">
      <c r="A317" s="49"/>
      <c r="B317" s="50"/>
      <c r="C317" s="49"/>
      <c r="D317" s="51" t="str">
        <f aca="false">IF(C317="","",IFERROR(INDEX('شجرة الحسابات'!$B$9:$B$208,MATCH(C317,'شجرة الحسابات'!$A$9:$A$208,0)),"⚠ حساب غير معرف"))</f>
        <v/>
      </c>
      <c r="E317" s="52"/>
      <c r="F317" s="52"/>
      <c r="G317" s="53"/>
      <c r="H317" s="53"/>
      <c r="I317" s="54" t="str">
        <f aca="false">IF(A317="",IF(M317="فارغ","","✖ بدون رقم قيد"),IF(COUNTIFS('قيود اليومية'!$A$11:$A$1010,A317,'قيود اليومية'!$M$11:$M$1010,"&lt;&gt;OK",'قيود اليومية'!$M$11:$M$1010,"&lt;&gt;فارغ")&gt;0,"✖ خطأ بالحساب",IF(ROUND(SUMIFS('قيود اليومية'!$G$11:$G$1010,'قيود اليومية'!$A$11:$A$1010,A317)-SUMIFS('قيود اليومية'!$H$11:$H$1010,'قيود اليومية'!$A$11:$A$1010,A317),2)&lt;&gt;0,"✖ غير متوازن","مرحل ✔")))</f>
        <v/>
      </c>
      <c r="J317" s="55" t="str">
        <f aca="false">IF(C317="","",IFERROR(INDEX('شجرة الحسابات'!$E$9:$E$208,MATCH(C317,'شجرة الحسابات'!$A$9:$A$208,0))&amp;"",""))</f>
        <v/>
      </c>
      <c r="K317" s="55" t="str">
        <f aca="false">IF(C317="","",IFERROR(INDEX('شجرة الحسابات'!$I$9:$I$208,MATCH(C317,'شجرة الحسابات'!$A$9:$A$208,0))&amp;"",""))</f>
        <v/>
      </c>
      <c r="L317" s="55" t="str">
        <f aca="false">IF(C317="","",IFERROR(INDEX('شجرة الحسابات'!$C$9:$C$208,MATCH(C317,'شجرة الحسابات'!$A$9:$A$208,0))&amp;"",""))</f>
        <v/>
      </c>
      <c r="M317" s="55" t="str">
        <f aca="false">IF(AND(C317="",G317="",H317=""),"فارغ",IF(ISNA(MATCH(C317,'شجرة الحسابات'!$A$9:$A$208,0)),"حساب غير معرف",IF(L317&lt;&gt;"تحليلي","حساب تجميعي",IF(AND(N(G317)&gt;0,N(H317)&gt;0),"مدين ودائن معاً",IF(N(G317)+N(H317)=0,"بدون قيمة","OK")))))</f>
        <v>فارغ</v>
      </c>
      <c r="N317" s="55" t="str">
        <f aca="false">IF(AND(E317&lt;&gt;"",E317='كشف حساب مشروع'!$C$6,I317="مرحل ✔"),COUNTIFS($E$11:E317,'كشف حساب مشروع'!$C$6,$I$11:I317,"مرحل ✔"),"")</f>
        <v/>
      </c>
      <c r="O317" s="55" t="str">
        <f aca="false">IF(AND(C317&lt;&gt;"",C317='دفتر الأستاذ'!$C$6,I317="مرحل ✔"),COUNTIFS($C$11:C317,'دفتر الأستاذ'!$C$6,$I$11:I317,"مرحل ✔"),"")</f>
        <v/>
      </c>
    </row>
    <row r="318" customFormat="false" ht="15" hidden="false" customHeight="false" outlineLevel="0" collapsed="false">
      <c r="A318" s="49"/>
      <c r="B318" s="50"/>
      <c r="C318" s="49"/>
      <c r="D318" s="51" t="str">
        <f aca="false">IF(C318="","",IFERROR(INDEX('شجرة الحسابات'!$B$9:$B$208,MATCH(C318,'شجرة الحسابات'!$A$9:$A$208,0)),"⚠ حساب غير معرف"))</f>
        <v/>
      </c>
      <c r="E318" s="52"/>
      <c r="F318" s="52"/>
      <c r="G318" s="53"/>
      <c r="H318" s="53"/>
      <c r="I318" s="54" t="str">
        <f aca="false">IF(A318="",IF(M318="فارغ","","✖ بدون رقم قيد"),IF(COUNTIFS('قيود اليومية'!$A$11:$A$1010,A318,'قيود اليومية'!$M$11:$M$1010,"&lt;&gt;OK",'قيود اليومية'!$M$11:$M$1010,"&lt;&gt;فارغ")&gt;0,"✖ خطأ بالحساب",IF(ROUND(SUMIFS('قيود اليومية'!$G$11:$G$1010,'قيود اليومية'!$A$11:$A$1010,A318)-SUMIFS('قيود اليومية'!$H$11:$H$1010,'قيود اليومية'!$A$11:$A$1010,A318),2)&lt;&gt;0,"✖ غير متوازن","مرحل ✔")))</f>
        <v/>
      </c>
      <c r="J318" s="55" t="str">
        <f aca="false">IF(C318="","",IFERROR(INDEX('شجرة الحسابات'!$E$9:$E$208,MATCH(C318,'شجرة الحسابات'!$A$9:$A$208,0))&amp;"",""))</f>
        <v/>
      </c>
      <c r="K318" s="55" t="str">
        <f aca="false">IF(C318="","",IFERROR(INDEX('شجرة الحسابات'!$I$9:$I$208,MATCH(C318,'شجرة الحسابات'!$A$9:$A$208,0))&amp;"",""))</f>
        <v/>
      </c>
      <c r="L318" s="55" t="str">
        <f aca="false">IF(C318="","",IFERROR(INDEX('شجرة الحسابات'!$C$9:$C$208,MATCH(C318,'شجرة الحسابات'!$A$9:$A$208,0))&amp;"",""))</f>
        <v/>
      </c>
      <c r="M318" s="55" t="str">
        <f aca="false">IF(AND(C318="",G318="",H318=""),"فارغ",IF(ISNA(MATCH(C318,'شجرة الحسابات'!$A$9:$A$208,0)),"حساب غير معرف",IF(L318&lt;&gt;"تحليلي","حساب تجميعي",IF(AND(N(G318)&gt;0,N(H318)&gt;0),"مدين ودائن معاً",IF(N(G318)+N(H318)=0,"بدون قيمة","OK")))))</f>
        <v>فارغ</v>
      </c>
      <c r="N318" s="55" t="str">
        <f aca="false">IF(AND(E318&lt;&gt;"",E318='كشف حساب مشروع'!$C$6,I318="مرحل ✔"),COUNTIFS($E$11:E318,'كشف حساب مشروع'!$C$6,$I$11:I318,"مرحل ✔"),"")</f>
        <v/>
      </c>
      <c r="O318" s="55" t="str">
        <f aca="false">IF(AND(C318&lt;&gt;"",C318='دفتر الأستاذ'!$C$6,I318="مرحل ✔"),COUNTIFS($C$11:C318,'دفتر الأستاذ'!$C$6,$I$11:I318,"مرحل ✔"),"")</f>
        <v/>
      </c>
    </row>
    <row r="319" customFormat="false" ht="15" hidden="false" customHeight="false" outlineLevel="0" collapsed="false">
      <c r="A319" s="49"/>
      <c r="B319" s="50"/>
      <c r="C319" s="49"/>
      <c r="D319" s="51" t="str">
        <f aca="false">IF(C319="","",IFERROR(INDEX('شجرة الحسابات'!$B$9:$B$208,MATCH(C319,'شجرة الحسابات'!$A$9:$A$208,0)),"⚠ حساب غير معرف"))</f>
        <v/>
      </c>
      <c r="E319" s="52"/>
      <c r="F319" s="52"/>
      <c r="G319" s="53"/>
      <c r="H319" s="53"/>
      <c r="I319" s="54" t="str">
        <f aca="false">IF(A319="",IF(M319="فارغ","","✖ بدون رقم قيد"),IF(COUNTIFS('قيود اليومية'!$A$11:$A$1010,A319,'قيود اليومية'!$M$11:$M$1010,"&lt;&gt;OK",'قيود اليومية'!$M$11:$M$1010,"&lt;&gt;فارغ")&gt;0,"✖ خطأ بالحساب",IF(ROUND(SUMIFS('قيود اليومية'!$G$11:$G$1010,'قيود اليومية'!$A$11:$A$1010,A319)-SUMIFS('قيود اليومية'!$H$11:$H$1010,'قيود اليومية'!$A$11:$A$1010,A319),2)&lt;&gt;0,"✖ غير متوازن","مرحل ✔")))</f>
        <v/>
      </c>
      <c r="J319" s="55" t="str">
        <f aca="false">IF(C319="","",IFERROR(INDEX('شجرة الحسابات'!$E$9:$E$208,MATCH(C319,'شجرة الحسابات'!$A$9:$A$208,0))&amp;"",""))</f>
        <v/>
      </c>
      <c r="K319" s="55" t="str">
        <f aca="false">IF(C319="","",IFERROR(INDEX('شجرة الحسابات'!$I$9:$I$208,MATCH(C319,'شجرة الحسابات'!$A$9:$A$208,0))&amp;"",""))</f>
        <v/>
      </c>
      <c r="L319" s="55" t="str">
        <f aca="false">IF(C319="","",IFERROR(INDEX('شجرة الحسابات'!$C$9:$C$208,MATCH(C319,'شجرة الحسابات'!$A$9:$A$208,0))&amp;"",""))</f>
        <v/>
      </c>
      <c r="M319" s="55" t="str">
        <f aca="false">IF(AND(C319="",G319="",H319=""),"فارغ",IF(ISNA(MATCH(C319,'شجرة الحسابات'!$A$9:$A$208,0)),"حساب غير معرف",IF(L319&lt;&gt;"تحليلي","حساب تجميعي",IF(AND(N(G319)&gt;0,N(H319)&gt;0),"مدين ودائن معاً",IF(N(G319)+N(H319)=0,"بدون قيمة","OK")))))</f>
        <v>فارغ</v>
      </c>
      <c r="N319" s="55" t="str">
        <f aca="false">IF(AND(E319&lt;&gt;"",E319='كشف حساب مشروع'!$C$6,I319="مرحل ✔"),COUNTIFS($E$11:E319,'كشف حساب مشروع'!$C$6,$I$11:I319,"مرحل ✔"),"")</f>
        <v/>
      </c>
      <c r="O319" s="55" t="str">
        <f aca="false">IF(AND(C319&lt;&gt;"",C319='دفتر الأستاذ'!$C$6,I319="مرحل ✔"),COUNTIFS($C$11:C319,'دفتر الأستاذ'!$C$6,$I$11:I319,"مرحل ✔"),"")</f>
        <v/>
      </c>
    </row>
    <row r="320" customFormat="false" ht="15" hidden="false" customHeight="false" outlineLevel="0" collapsed="false">
      <c r="A320" s="49"/>
      <c r="B320" s="50"/>
      <c r="C320" s="49"/>
      <c r="D320" s="51" t="str">
        <f aca="false">IF(C320="","",IFERROR(INDEX('شجرة الحسابات'!$B$9:$B$208,MATCH(C320,'شجرة الحسابات'!$A$9:$A$208,0)),"⚠ حساب غير معرف"))</f>
        <v/>
      </c>
      <c r="E320" s="52"/>
      <c r="F320" s="52"/>
      <c r="G320" s="53"/>
      <c r="H320" s="53"/>
      <c r="I320" s="54" t="str">
        <f aca="false">IF(A320="",IF(M320="فارغ","","✖ بدون رقم قيد"),IF(COUNTIFS('قيود اليومية'!$A$11:$A$1010,A320,'قيود اليومية'!$M$11:$M$1010,"&lt;&gt;OK",'قيود اليومية'!$M$11:$M$1010,"&lt;&gt;فارغ")&gt;0,"✖ خطأ بالحساب",IF(ROUND(SUMIFS('قيود اليومية'!$G$11:$G$1010,'قيود اليومية'!$A$11:$A$1010,A320)-SUMIFS('قيود اليومية'!$H$11:$H$1010,'قيود اليومية'!$A$11:$A$1010,A320),2)&lt;&gt;0,"✖ غير متوازن","مرحل ✔")))</f>
        <v/>
      </c>
      <c r="J320" s="55" t="str">
        <f aca="false">IF(C320="","",IFERROR(INDEX('شجرة الحسابات'!$E$9:$E$208,MATCH(C320,'شجرة الحسابات'!$A$9:$A$208,0))&amp;"",""))</f>
        <v/>
      </c>
      <c r="K320" s="55" t="str">
        <f aca="false">IF(C320="","",IFERROR(INDEX('شجرة الحسابات'!$I$9:$I$208,MATCH(C320,'شجرة الحسابات'!$A$9:$A$208,0))&amp;"",""))</f>
        <v/>
      </c>
      <c r="L320" s="55" t="str">
        <f aca="false">IF(C320="","",IFERROR(INDEX('شجرة الحسابات'!$C$9:$C$208,MATCH(C320,'شجرة الحسابات'!$A$9:$A$208,0))&amp;"",""))</f>
        <v/>
      </c>
      <c r="M320" s="55" t="str">
        <f aca="false">IF(AND(C320="",G320="",H320=""),"فارغ",IF(ISNA(MATCH(C320,'شجرة الحسابات'!$A$9:$A$208,0)),"حساب غير معرف",IF(L320&lt;&gt;"تحليلي","حساب تجميعي",IF(AND(N(G320)&gt;0,N(H320)&gt;0),"مدين ودائن معاً",IF(N(G320)+N(H320)=0,"بدون قيمة","OK")))))</f>
        <v>فارغ</v>
      </c>
      <c r="N320" s="55" t="str">
        <f aca="false">IF(AND(E320&lt;&gt;"",E320='كشف حساب مشروع'!$C$6,I320="مرحل ✔"),COUNTIFS($E$11:E320,'كشف حساب مشروع'!$C$6,$I$11:I320,"مرحل ✔"),"")</f>
        <v/>
      </c>
      <c r="O320" s="55" t="str">
        <f aca="false">IF(AND(C320&lt;&gt;"",C320='دفتر الأستاذ'!$C$6,I320="مرحل ✔"),COUNTIFS($C$11:C320,'دفتر الأستاذ'!$C$6,$I$11:I320,"مرحل ✔"),"")</f>
        <v/>
      </c>
    </row>
    <row r="321" customFormat="false" ht="15" hidden="false" customHeight="false" outlineLevel="0" collapsed="false">
      <c r="A321" s="49"/>
      <c r="B321" s="50"/>
      <c r="C321" s="49"/>
      <c r="D321" s="51" t="str">
        <f aca="false">IF(C321="","",IFERROR(INDEX('شجرة الحسابات'!$B$9:$B$208,MATCH(C321,'شجرة الحسابات'!$A$9:$A$208,0)),"⚠ حساب غير معرف"))</f>
        <v/>
      </c>
      <c r="E321" s="52"/>
      <c r="F321" s="52"/>
      <c r="G321" s="53"/>
      <c r="H321" s="53"/>
      <c r="I321" s="54" t="str">
        <f aca="false">IF(A321="",IF(M321="فارغ","","✖ بدون رقم قيد"),IF(COUNTIFS('قيود اليومية'!$A$11:$A$1010,A321,'قيود اليومية'!$M$11:$M$1010,"&lt;&gt;OK",'قيود اليومية'!$M$11:$M$1010,"&lt;&gt;فارغ")&gt;0,"✖ خطأ بالحساب",IF(ROUND(SUMIFS('قيود اليومية'!$G$11:$G$1010,'قيود اليومية'!$A$11:$A$1010,A321)-SUMIFS('قيود اليومية'!$H$11:$H$1010,'قيود اليومية'!$A$11:$A$1010,A321),2)&lt;&gt;0,"✖ غير متوازن","مرحل ✔")))</f>
        <v/>
      </c>
      <c r="J321" s="55" t="str">
        <f aca="false">IF(C321="","",IFERROR(INDEX('شجرة الحسابات'!$E$9:$E$208,MATCH(C321,'شجرة الحسابات'!$A$9:$A$208,0))&amp;"",""))</f>
        <v/>
      </c>
      <c r="K321" s="55" t="str">
        <f aca="false">IF(C321="","",IFERROR(INDEX('شجرة الحسابات'!$I$9:$I$208,MATCH(C321,'شجرة الحسابات'!$A$9:$A$208,0))&amp;"",""))</f>
        <v/>
      </c>
      <c r="L321" s="55" t="str">
        <f aca="false">IF(C321="","",IFERROR(INDEX('شجرة الحسابات'!$C$9:$C$208,MATCH(C321,'شجرة الحسابات'!$A$9:$A$208,0))&amp;"",""))</f>
        <v/>
      </c>
      <c r="M321" s="55" t="str">
        <f aca="false">IF(AND(C321="",G321="",H321=""),"فارغ",IF(ISNA(MATCH(C321,'شجرة الحسابات'!$A$9:$A$208,0)),"حساب غير معرف",IF(L321&lt;&gt;"تحليلي","حساب تجميعي",IF(AND(N(G321)&gt;0,N(H321)&gt;0),"مدين ودائن معاً",IF(N(G321)+N(H321)=0,"بدون قيمة","OK")))))</f>
        <v>فارغ</v>
      </c>
      <c r="N321" s="55" t="str">
        <f aca="false">IF(AND(E321&lt;&gt;"",E321='كشف حساب مشروع'!$C$6,I321="مرحل ✔"),COUNTIFS($E$11:E321,'كشف حساب مشروع'!$C$6,$I$11:I321,"مرحل ✔"),"")</f>
        <v/>
      </c>
      <c r="O321" s="55" t="str">
        <f aca="false">IF(AND(C321&lt;&gt;"",C321='دفتر الأستاذ'!$C$6,I321="مرحل ✔"),COUNTIFS($C$11:C321,'دفتر الأستاذ'!$C$6,$I$11:I321,"مرحل ✔"),"")</f>
        <v/>
      </c>
    </row>
    <row r="322" customFormat="false" ht="15" hidden="false" customHeight="false" outlineLevel="0" collapsed="false">
      <c r="A322" s="49"/>
      <c r="B322" s="50"/>
      <c r="C322" s="49"/>
      <c r="D322" s="51" t="str">
        <f aca="false">IF(C322="","",IFERROR(INDEX('شجرة الحسابات'!$B$9:$B$208,MATCH(C322,'شجرة الحسابات'!$A$9:$A$208,0)),"⚠ حساب غير معرف"))</f>
        <v/>
      </c>
      <c r="E322" s="52"/>
      <c r="F322" s="52"/>
      <c r="G322" s="53"/>
      <c r="H322" s="53"/>
      <c r="I322" s="54" t="str">
        <f aca="false">IF(A322="",IF(M322="فارغ","","✖ بدون رقم قيد"),IF(COUNTIFS('قيود اليومية'!$A$11:$A$1010,A322,'قيود اليومية'!$M$11:$M$1010,"&lt;&gt;OK",'قيود اليومية'!$M$11:$M$1010,"&lt;&gt;فارغ")&gt;0,"✖ خطأ بالحساب",IF(ROUND(SUMIFS('قيود اليومية'!$G$11:$G$1010,'قيود اليومية'!$A$11:$A$1010,A322)-SUMIFS('قيود اليومية'!$H$11:$H$1010,'قيود اليومية'!$A$11:$A$1010,A322),2)&lt;&gt;0,"✖ غير متوازن","مرحل ✔")))</f>
        <v/>
      </c>
      <c r="J322" s="55" t="str">
        <f aca="false">IF(C322="","",IFERROR(INDEX('شجرة الحسابات'!$E$9:$E$208,MATCH(C322,'شجرة الحسابات'!$A$9:$A$208,0))&amp;"",""))</f>
        <v/>
      </c>
      <c r="K322" s="55" t="str">
        <f aca="false">IF(C322="","",IFERROR(INDEX('شجرة الحسابات'!$I$9:$I$208,MATCH(C322,'شجرة الحسابات'!$A$9:$A$208,0))&amp;"",""))</f>
        <v/>
      </c>
      <c r="L322" s="55" t="str">
        <f aca="false">IF(C322="","",IFERROR(INDEX('شجرة الحسابات'!$C$9:$C$208,MATCH(C322,'شجرة الحسابات'!$A$9:$A$208,0))&amp;"",""))</f>
        <v/>
      </c>
      <c r="M322" s="55" t="str">
        <f aca="false">IF(AND(C322="",G322="",H322=""),"فارغ",IF(ISNA(MATCH(C322,'شجرة الحسابات'!$A$9:$A$208,0)),"حساب غير معرف",IF(L322&lt;&gt;"تحليلي","حساب تجميعي",IF(AND(N(G322)&gt;0,N(H322)&gt;0),"مدين ودائن معاً",IF(N(G322)+N(H322)=0,"بدون قيمة","OK")))))</f>
        <v>فارغ</v>
      </c>
      <c r="N322" s="55" t="str">
        <f aca="false">IF(AND(E322&lt;&gt;"",E322='كشف حساب مشروع'!$C$6,I322="مرحل ✔"),COUNTIFS($E$11:E322,'كشف حساب مشروع'!$C$6,$I$11:I322,"مرحل ✔"),"")</f>
        <v/>
      </c>
      <c r="O322" s="55" t="str">
        <f aca="false">IF(AND(C322&lt;&gt;"",C322='دفتر الأستاذ'!$C$6,I322="مرحل ✔"),COUNTIFS($C$11:C322,'دفتر الأستاذ'!$C$6,$I$11:I322,"مرحل ✔"),"")</f>
        <v/>
      </c>
    </row>
    <row r="323" customFormat="false" ht="15" hidden="false" customHeight="false" outlineLevel="0" collapsed="false">
      <c r="A323" s="49"/>
      <c r="B323" s="50"/>
      <c r="C323" s="49"/>
      <c r="D323" s="51" t="str">
        <f aca="false">IF(C323="","",IFERROR(INDEX('شجرة الحسابات'!$B$9:$B$208,MATCH(C323,'شجرة الحسابات'!$A$9:$A$208,0)),"⚠ حساب غير معرف"))</f>
        <v/>
      </c>
      <c r="E323" s="52"/>
      <c r="F323" s="52"/>
      <c r="G323" s="53"/>
      <c r="H323" s="53"/>
      <c r="I323" s="54" t="str">
        <f aca="false">IF(A323="",IF(M323="فارغ","","✖ بدون رقم قيد"),IF(COUNTIFS('قيود اليومية'!$A$11:$A$1010,A323,'قيود اليومية'!$M$11:$M$1010,"&lt;&gt;OK",'قيود اليومية'!$M$11:$M$1010,"&lt;&gt;فارغ")&gt;0,"✖ خطأ بالحساب",IF(ROUND(SUMIFS('قيود اليومية'!$G$11:$G$1010,'قيود اليومية'!$A$11:$A$1010,A323)-SUMIFS('قيود اليومية'!$H$11:$H$1010,'قيود اليومية'!$A$11:$A$1010,A323),2)&lt;&gt;0,"✖ غير متوازن","مرحل ✔")))</f>
        <v/>
      </c>
      <c r="J323" s="55" t="str">
        <f aca="false">IF(C323="","",IFERROR(INDEX('شجرة الحسابات'!$E$9:$E$208,MATCH(C323,'شجرة الحسابات'!$A$9:$A$208,0))&amp;"",""))</f>
        <v/>
      </c>
      <c r="K323" s="55" t="str">
        <f aca="false">IF(C323="","",IFERROR(INDEX('شجرة الحسابات'!$I$9:$I$208,MATCH(C323,'شجرة الحسابات'!$A$9:$A$208,0))&amp;"",""))</f>
        <v/>
      </c>
      <c r="L323" s="55" t="str">
        <f aca="false">IF(C323="","",IFERROR(INDEX('شجرة الحسابات'!$C$9:$C$208,MATCH(C323,'شجرة الحسابات'!$A$9:$A$208,0))&amp;"",""))</f>
        <v/>
      </c>
      <c r="M323" s="55" t="str">
        <f aca="false">IF(AND(C323="",G323="",H323=""),"فارغ",IF(ISNA(MATCH(C323,'شجرة الحسابات'!$A$9:$A$208,0)),"حساب غير معرف",IF(L323&lt;&gt;"تحليلي","حساب تجميعي",IF(AND(N(G323)&gt;0,N(H323)&gt;0),"مدين ودائن معاً",IF(N(G323)+N(H323)=0,"بدون قيمة","OK")))))</f>
        <v>فارغ</v>
      </c>
      <c r="N323" s="55" t="str">
        <f aca="false">IF(AND(E323&lt;&gt;"",E323='كشف حساب مشروع'!$C$6,I323="مرحل ✔"),COUNTIFS($E$11:E323,'كشف حساب مشروع'!$C$6,$I$11:I323,"مرحل ✔"),"")</f>
        <v/>
      </c>
      <c r="O323" s="55" t="str">
        <f aca="false">IF(AND(C323&lt;&gt;"",C323='دفتر الأستاذ'!$C$6,I323="مرحل ✔"),COUNTIFS($C$11:C323,'دفتر الأستاذ'!$C$6,$I$11:I323,"مرحل ✔"),"")</f>
        <v/>
      </c>
    </row>
    <row r="324" customFormat="false" ht="15" hidden="false" customHeight="false" outlineLevel="0" collapsed="false">
      <c r="A324" s="49"/>
      <c r="B324" s="50"/>
      <c r="C324" s="49"/>
      <c r="D324" s="51" t="str">
        <f aca="false">IF(C324="","",IFERROR(INDEX('شجرة الحسابات'!$B$9:$B$208,MATCH(C324,'شجرة الحسابات'!$A$9:$A$208,0)),"⚠ حساب غير معرف"))</f>
        <v/>
      </c>
      <c r="E324" s="52"/>
      <c r="F324" s="52"/>
      <c r="G324" s="53"/>
      <c r="H324" s="53"/>
      <c r="I324" s="54" t="str">
        <f aca="false">IF(A324="",IF(M324="فارغ","","✖ بدون رقم قيد"),IF(COUNTIFS('قيود اليومية'!$A$11:$A$1010,A324,'قيود اليومية'!$M$11:$M$1010,"&lt;&gt;OK",'قيود اليومية'!$M$11:$M$1010,"&lt;&gt;فارغ")&gt;0,"✖ خطأ بالحساب",IF(ROUND(SUMIFS('قيود اليومية'!$G$11:$G$1010,'قيود اليومية'!$A$11:$A$1010,A324)-SUMIFS('قيود اليومية'!$H$11:$H$1010,'قيود اليومية'!$A$11:$A$1010,A324),2)&lt;&gt;0,"✖ غير متوازن","مرحل ✔")))</f>
        <v/>
      </c>
      <c r="J324" s="55" t="str">
        <f aca="false">IF(C324="","",IFERROR(INDEX('شجرة الحسابات'!$E$9:$E$208,MATCH(C324,'شجرة الحسابات'!$A$9:$A$208,0))&amp;"",""))</f>
        <v/>
      </c>
      <c r="K324" s="55" t="str">
        <f aca="false">IF(C324="","",IFERROR(INDEX('شجرة الحسابات'!$I$9:$I$208,MATCH(C324,'شجرة الحسابات'!$A$9:$A$208,0))&amp;"",""))</f>
        <v/>
      </c>
      <c r="L324" s="55" t="str">
        <f aca="false">IF(C324="","",IFERROR(INDEX('شجرة الحسابات'!$C$9:$C$208,MATCH(C324,'شجرة الحسابات'!$A$9:$A$208,0))&amp;"",""))</f>
        <v/>
      </c>
      <c r="M324" s="55" t="str">
        <f aca="false">IF(AND(C324="",G324="",H324=""),"فارغ",IF(ISNA(MATCH(C324,'شجرة الحسابات'!$A$9:$A$208,0)),"حساب غير معرف",IF(L324&lt;&gt;"تحليلي","حساب تجميعي",IF(AND(N(G324)&gt;0,N(H324)&gt;0),"مدين ودائن معاً",IF(N(G324)+N(H324)=0,"بدون قيمة","OK")))))</f>
        <v>فارغ</v>
      </c>
      <c r="N324" s="55" t="str">
        <f aca="false">IF(AND(E324&lt;&gt;"",E324='كشف حساب مشروع'!$C$6,I324="مرحل ✔"),COUNTIFS($E$11:E324,'كشف حساب مشروع'!$C$6,$I$11:I324,"مرحل ✔"),"")</f>
        <v/>
      </c>
      <c r="O324" s="55" t="str">
        <f aca="false">IF(AND(C324&lt;&gt;"",C324='دفتر الأستاذ'!$C$6,I324="مرحل ✔"),COUNTIFS($C$11:C324,'دفتر الأستاذ'!$C$6,$I$11:I324,"مرحل ✔"),"")</f>
        <v/>
      </c>
    </row>
    <row r="325" customFormat="false" ht="15" hidden="false" customHeight="false" outlineLevel="0" collapsed="false">
      <c r="A325" s="49"/>
      <c r="B325" s="50"/>
      <c r="C325" s="49"/>
      <c r="D325" s="51" t="str">
        <f aca="false">IF(C325="","",IFERROR(INDEX('شجرة الحسابات'!$B$9:$B$208,MATCH(C325,'شجرة الحسابات'!$A$9:$A$208,0)),"⚠ حساب غير معرف"))</f>
        <v/>
      </c>
      <c r="E325" s="52"/>
      <c r="F325" s="52"/>
      <c r="G325" s="53"/>
      <c r="H325" s="53"/>
      <c r="I325" s="54" t="str">
        <f aca="false">IF(A325="",IF(M325="فارغ","","✖ بدون رقم قيد"),IF(COUNTIFS('قيود اليومية'!$A$11:$A$1010,A325,'قيود اليومية'!$M$11:$M$1010,"&lt;&gt;OK",'قيود اليومية'!$M$11:$M$1010,"&lt;&gt;فارغ")&gt;0,"✖ خطأ بالحساب",IF(ROUND(SUMIFS('قيود اليومية'!$G$11:$G$1010,'قيود اليومية'!$A$11:$A$1010,A325)-SUMIFS('قيود اليومية'!$H$11:$H$1010,'قيود اليومية'!$A$11:$A$1010,A325),2)&lt;&gt;0,"✖ غير متوازن","مرحل ✔")))</f>
        <v/>
      </c>
      <c r="J325" s="55" t="str">
        <f aca="false">IF(C325="","",IFERROR(INDEX('شجرة الحسابات'!$E$9:$E$208,MATCH(C325,'شجرة الحسابات'!$A$9:$A$208,0))&amp;"",""))</f>
        <v/>
      </c>
      <c r="K325" s="55" t="str">
        <f aca="false">IF(C325="","",IFERROR(INDEX('شجرة الحسابات'!$I$9:$I$208,MATCH(C325,'شجرة الحسابات'!$A$9:$A$208,0))&amp;"",""))</f>
        <v/>
      </c>
      <c r="L325" s="55" t="str">
        <f aca="false">IF(C325="","",IFERROR(INDEX('شجرة الحسابات'!$C$9:$C$208,MATCH(C325,'شجرة الحسابات'!$A$9:$A$208,0))&amp;"",""))</f>
        <v/>
      </c>
      <c r="M325" s="55" t="str">
        <f aca="false">IF(AND(C325="",G325="",H325=""),"فارغ",IF(ISNA(MATCH(C325,'شجرة الحسابات'!$A$9:$A$208,0)),"حساب غير معرف",IF(L325&lt;&gt;"تحليلي","حساب تجميعي",IF(AND(N(G325)&gt;0,N(H325)&gt;0),"مدين ودائن معاً",IF(N(G325)+N(H325)=0,"بدون قيمة","OK")))))</f>
        <v>فارغ</v>
      </c>
      <c r="N325" s="55" t="str">
        <f aca="false">IF(AND(E325&lt;&gt;"",E325='كشف حساب مشروع'!$C$6,I325="مرحل ✔"),COUNTIFS($E$11:E325,'كشف حساب مشروع'!$C$6,$I$11:I325,"مرحل ✔"),"")</f>
        <v/>
      </c>
      <c r="O325" s="55" t="str">
        <f aca="false">IF(AND(C325&lt;&gt;"",C325='دفتر الأستاذ'!$C$6,I325="مرحل ✔"),COUNTIFS($C$11:C325,'دفتر الأستاذ'!$C$6,$I$11:I325,"مرحل ✔"),"")</f>
        <v/>
      </c>
    </row>
    <row r="326" customFormat="false" ht="15" hidden="false" customHeight="false" outlineLevel="0" collapsed="false">
      <c r="A326" s="49"/>
      <c r="B326" s="50"/>
      <c r="C326" s="49"/>
      <c r="D326" s="51" t="str">
        <f aca="false">IF(C326="","",IFERROR(INDEX('شجرة الحسابات'!$B$9:$B$208,MATCH(C326,'شجرة الحسابات'!$A$9:$A$208,0)),"⚠ حساب غير معرف"))</f>
        <v/>
      </c>
      <c r="E326" s="52"/>
      <c r="F326" s="52"/>
      <c r="G326" s="53"/>
      <c r="H326" s="53"/>
      <c r="I326" s="54" t="str">
        <f aca="false">IF(A326="",IF(M326="فارغ","","✖ بدون رقم قيد"),IF(COUNTIFS('قيود اليومية'!$A$11:$A$1010,A326,'قيود اليومية'!$M$11:$M$1010,"&lt;&gt;OK",'قيود اليومية'!$M$11:$M$1010,"&lt;&gt;فارغ")&gt;0,"✖ خطأ بالحساب",IF(ROUND(SUMIFS('قيود اليومية'!$G$11:$G$1010,'قيود اليومية'!$A$11:$A$1010,A326)-SUMIFS('قيود اليومية'!$H$11:$H$1010,'قيود اليومية'!$A$11:$A$1010,A326),2)&lt;&gt;0,"✖ غير متوازن","مرحل ✔")))</f>
        <v/>
      </c>
      <c r="J326" s="55" t="str">
        <f aca="false">IF(C326="","",IFERROR(INDEX('شجرة الحسابات'!$E$9:$E$208,MATCH(C326,'شجرة الحسابات'!$A$9:$A$208,0))&amp;"",""))</f>
        <v/>
      </c>
      <c r="K326" s="55" t="str">
        <f aca="false">IF(C326="","",IFERROR(INDEX('شجرة الحسابات'!$I$9:$I$208,MATCH(C326,'شجرة الحسابات'!$A$9:$A$208,0))&amp;"",""))</f>
        <v/>
      </c>
      <c r="L326" s="55" t="str">
        <f aca="false">IF(C326="","",IFERROR(INDEX('شجرة الحسابات'!$C$9:$C$208,MATCH(C326,'شجرة الحسابات'!$A$9:$A$208,0))&amp;"",""))</f>
        <v/>
      </c>
      <c r="M326" s="55" t="str">
        <f aca="false">IF(AND(C326="",G326="",H326=""),"فارغ",IF(ISNA(MATCH(C326,'شجرة الحسابات'!$A$9:$A$208,0)),"حساب غير معرف",IF(L326&lt;&gt;"تحليلي","حساب تجميعي",IF(AND(N(G326)&gt;0,N(H326)&gt;0),"مدين ودائن معاً",IF(N(G326)+N(H326)=0,"بدون قيمة","OK")))))</f>
        <v>فارغ</v>
      </c>
      <c r="N326" s="55" t="str">
        <f aca="false">IF(AND(E326&lt;&gt;"",E326='كشف حساب مشروع'!$C$6,I326="مرحل ✔"),COUNTIFS($E$11:E326,'كشف حساب مشروع'!$C$6,$I$11:I326,"مرحل ✔"),"")</f>
        <v/>
      </c>
      <c r="O326" s="55" t="str">
        <f aca="false">IF(AND(C326&lt;&gt;"",C326='دفتر الأستاذ'!$C$6,I326="مرحل ✔"),COUNTIFS($C$11:C326,'دفتر الأستاذ'!$C$6,$I$11:I326,"مرحل ✔"),"")</f>
        <v/>
      </c>
    </row>
    <row r="327" customFormat="false" ht="15" hidden="false" customHeight="false" outlineLevel="0" collapsed="false">
      <c r="A327" s="49"/>
      <c r="B327" s="50"/>
      <c r="C327" s="49"/>
      <c r="D327" s="51" t="str">
        <f aca="false">IF(C327="","",IFERROR(INDEX('شجرة الحسابات'!$B$9:$B$208,MATCH(C327,'شجرة الحسابات'!$A$9:$A$208,0)),"⚠ حساب غير معرف"))</f>
        <v/>
      </c>
      <c r="E327" s="52"/>
      <c r="F327" s="52"/>
      <c r="G327" s="53"/>
      <c r="H327" s="53"/>
      <c r="I327" s="54" t="str">
        <f aca="false">IF(A327="",IF(M327="فارغ","","✖ بدون رقم قيد"),IF(COUNTIFS('قيود اليومية'!$A$11:$A$1010,A327,'قيود اليومية'!$M$11:$M$1010,"&lt;&gt;OK",'قيود اليومية'!$M$11:$M$1010,"&lt;&gt;فارغ")&gt;0,"✖ خطأ بالحساب",IF(ROUND(SUMIFS('قيود اليومية'!$G$11:$G$1010,'قيود اليومية'!$A$11:$A$1010,A327)-SUMIFS('قيود اليومية'!$H$11:$H$1010,'قيود اليومية'!$A$11:$A$1010,A327),2)&lt;&gt;0,"✖ غير متوازن","مرحل ✔")))</f>
        <v/>
      </c>
      <c r="J327" s="55" t="str">
        <f aca="false">IF(C327="","",IFERROR(INDEX('شجرة الحسابات'!$E$9:$E$208,MATCH(C327,'شجرة الحسابات'!$A$9:$A$208,0))&amp;"",""))</f>
        <v/>
      </c>
      <c r="K327" s="55" t="str">
        <f aca="false">IF(C327="","",IFERROR(INDEX('شجرة الحسابات'!$I$9:$I$208,MATCH(C327,'شجرة الحسابات'!$A$9:$A$208,0))&amp;"",""))</f>
        <v/>
      </c>
      <c r="L327" s="55" t="str">
        <f aca="false">IF(C327="","",IFERROR(INDEX('شجرة الحسابات'!$C$9:$C$208,MATCH(C327,'شجرة الحسابات'!$A$9:$A$208,0))&amp;"",""))</f>
        <v/>
      </c>
      <c r="M327" s="55" t="str">
        <f aca="false">IF(AND(C327="",G327="",H327=""),"فارغ",IF(ISNA(MATCH(C327,'شجرة الحسابات'!$A$9:$A$208,0)),"حساب غير معرف",IF(L327&lt;&gt;"تحليلي","حساب تجميعي",IF(AND(N(G327)&gt;0,N(H327)&gt;0),"مدين ودائن معاً",IF(N(G327)+N(H327)=0,"بدون قيمة","OK")))))</f>
        <v>فارغ</v>
      </c>
      <c r="N327" s="55" t="str">
        <f aca="false">IF(AND(E327&lt;&gt;"",E327='كشف حساب مشروع'!$C$6,I327="مرحل ✔"),COUNTIFS($E$11:E327,'كشف حساب مشروع'!$C$6,$I$11:I327,"مرحل ✔"),"")</f>
        <v/>
      </c>
      <c r="O327" s="55" t="str">
        <f aca="false">IF(AND(C327&lt;&gt;"",C327='دفتر الأستاذ'!$C$6,I327="مرحل ✔"),COUNTIFS($C$11:C327,'دفتر الأستاذ'!$C$6,$I$11:I327,"مرحل ✔"),"")</f>
        <v/>
      </c>
    </row>
    <row r="328" customFormat="false" ht="15" hidden="false" customHeight="false" outlineLevel="0" collapsed="false">
      <c r="A328" s="49"/>
      <c r="B328" s="50"/>
      <c r="C328" s="49"/>
      <c r="D328" s="51" t="str">
        <f aca="false">IF(C328="","",IFERROR(INDEX('شجرة الحسابات'!$B$9:$B$208,MATCH(C328,'شجرة الحسابات'!$A$9:$A$208,0)),"⚠ حساب غير معرف"))</f>
        <v/>
      </c>
      <c r="E328" s="52"/>
      <c r="F328" s="52"/>
      <c r="G328" s="53"/>
      <c r="H328" s="53"/>
      <c r="I328" s="54" t="str">
        <f aca="false">IF(A328="",IF(M328="فارغ","","✖ بدون رقم قيد"),IF(COUNTIFS('قيود اليومية'!$A$11:$A$1010,A328,'قيود اليومية'!$M$11:$M$1010,"&lt;&gt;OK",'قيود اليومية'!$M$11:$M$1010,"&lt;&gt;فارغ")&gt;0,"✖ خطأ بالحساب",IF(ROUND(SUMIFS('قيود اليومية'!$G$11:$G$1010,'قيود اليومية'!$A$11:$A$1010,A328)-SUMIFS('قيود اليومية'!$H$11:$H$1010,'قيود اليومية'!$A$11:$A$1010,A328),2)&lt;&gt;0,"✖ غير متوازن","مرحل ✔")))</f>
        <v/>
      </c>
      <c r="J328" s="55" t="str">
        <f aca="false">IF(C328="","",IFERROR(INDEX('شجرة الحسابات'!$E$9:$E$208,MATCH(C328,'شجرة الحسابات'!$A$9:$A$208,0))&amp;"",""))</f>
        <v/>
      </c>
      <c r="K328" s="55" t="str">
        <f aca="false">IF(C328="","",IFERROR(INDEX('شجرة الحسابات'!$I$9:$I$208,MATCH(C328,'شجرة الحسابات'!$A$9:$A$208,0))&amp;"",""))</f>
        <v/>
      </c>
      <c r="L328" s="55" t="str">
        <f aca="false">IF(C328="","",IFERROR(INDEX('شجرة الحسابات'!$C$9:$C$208,MATCH(C328,'شجرة الحسابات'!$A$9:$A$208,0))&amp;"",""))</f>
        <v/>
      </c>
      <c r="M328" s="55" t="str">
        <f aca="false">IF(AND(C328="",G328="",H328=""),"فارغ",IF(ISNA(MATCH(C328,'شجرة الحسابات'!$A$9:$A$208,0)),"حساب غير معرف",IF(L328&lt;&gt;"تحليلي","حساب تجميعي",IF(AND(N(G328)&gt;0,N(H328)&gt;0),"مدين ودائن معاً",IF(N(G328)+N(H328)=0,"بدون قيمة","OK")))))</f>
        <v>فارغ</v>
      </c>
      <c r="N328" s="55" t="str">
        <f aca="false">IF(AND(E328&lt;&gt;"",E328='كشف حساب مشروع'!$C$6,I328="مرحل ✔"),COUNTIFS($E$11:E328,'كشف حساب مشروع'!$C$6,$I$11:I328,"مرحل ✔"),"")</f>
        <v/>
      </c>
      <c r="O328" s="55" t="str">
        <f aca="false">IF(AND(C328&lt;&gt;"",C328='دفتر الأستاذ'!$C$6,I328="مرحل ✔"),COUNTIFS($C$11:C328,'دفتر الأستاذ'!$C$6,$I$11:I328,"مرحل ✔"),"")</f>
        <v/>
      </c>
    </row>
    <row r="329" customFormat="false" ht="15" hidden="false" customHeight="false" outlineLevel="0" collapsed="false">
      <c r="A329" s="49"/>
      <c r="B329" s="50"/>
      <c r="C329" s="49"/>
      <c r="D329" s="51" t="str">
        <f aca="false">IF(C329="","",IFERROR(INDEX('شجرة الحسابات'!$B$9:$B$208,MATCH(C329,'شجرة الحسابات'!$A$9:$A$208,0)),"⚠ حساب غير معرف"))</f>
        <v/>
      </c>
      <c r="E329" s="52"/>
      <c r="F329" s="52"/>
      <c r="G329" s="53"/>
      <c r="H329" s="53"/>
      <c r="I329" s="54" t="str">
        <f aca="false">IF(A329="",IF(M329="فارغ","","✖ بدون رقم قيد"),IF(COUNTIFS('قيود اليومية'!$A$11:$A$1010,A329,'قيود اليومية'!$M$11:$M$1010,"&lt;&gt;OK",'قيود اليومية'!$M$11:$M$1010,"&lt;&gt;فارغ")&gt;0,"✖ خطأ بالحساب",IF(ROUND(SUMIFS('قيود اليومية'!$G$11:$G$1010,'قيود اليومية'!$A$11:$A$1010,A329)-SUMIFS('قيود اليومية'!$H$11:$H$1010,'قيود اليومية'!$A$11:$A$1010,A329),2)&lt;&gt;0,"✖ غير متوازن","مرحل ✔")))</f>
        <v/>
      </c>
      <c r="J329" s="55" t="str">
        <f aca="false">IF(C329="","",IFERROR(INDEX('شجرة الحسابات'!$E$9:$E$208,MATCH(C329,'شجرة الحسابات'!$A$9:$A$208,0))&amp;"",""))</f>
        <v/>
      </c>
      <c r="K329" s="55" t="str">
        <f aca="false">IF(C329="","",IFERROR(INDEX('شجرة الحسابات'!$I$9:$I$208,MATCH(C329,'شجرة الحسابات'!$A$9:$A$208,0))&amp;"",""))</f>
        <v/>
      </c>
      <c r="L329" s="55" t="str">
        <f aca="false">IF(C329="","",IFERROR(INDEX('شجرة الحسابات'!$C$9:$C$208,MATCH(C329,'شجرة الحسابات'!$A$9:$A$208,0))&amp;"",""))</f>
        <v/>
      </c>
      <c r="M329" s="55" t="str">
        <f aca="false">IF(AND(C329="",G329="",H329=""),"فارغ",IF(ISNA(MATCH(C329,'شجرة الحسابات'!$A$9:$A$208,0)),"حساب غير معرف",IF(L329&lt;&gt;"تحليلي","حساب تجميعي",IF(AND(N(G329)&gt;0,N(H329)&gt;0),"مدين ودائن معاً",IF(N(G329)+N(H329)=0,"بدون قيمة","OK")))))</f>
        <v>فارغ</v>
      </c>
      <c r="N329" s="55" t="str">
        <f aca="false">IF(AND(E329&lt;&gt;"",E329='كشف حساب مشروع'!$C$6,I329="مرحل ✔"),COUNTIFS($E$11:E329,'كشف حساب مشروع'!$C$6,$I$11:I329,"مرحل ✔"),"")</f>
        <v/>
      </c>
      <c r="O329" s="55" t="str">
        <f aca="false">IF(AND(C329&lt;&gt;"",C329='دفتر الأستاذ'!$C$6,I329="مرحل ✔"),COUNTIFS($C$11:C329,'دفتر الأستاذ'!$C$6,$I$11:I329,"مرحل ✔"),"")</f>
        <v/>
      </c>
    </row>
    <row r="330" customFormat="false" ht="15" hidden="false" customHeight="false" outlineLevel="0" collapsed="false">
      <c r="A330" s="49"/>
      <c r="B330" s="50"/>
      <c r="C330" s="49"/>
      <c r="D330" s="51" t="str">
        <f aca="false">IF(C330="","",IFERROR(INDEX('شجرة الحسابات'!$B$9:$B$208,MATCH(C330,'شجرة الحسابات'!$A$9:$A$208,0)),"⚠ حساب غير معرف"))</f>
        <v/>
      </c>
      <c r="E330" s="52"/>
      <c r="F330" s="52"/>
      <c r="G330" s="53"/>
      <c r="H330" s="53"/>
      <c r="I330" s="54" t="str">
        <f aca="false">IF(A330="",IF(M330="فارغ","","✖ بدون رقم قيد"),IF(COUNTIFS('قيود اليومية'!$A$11:$A$1010,A330,'قيود اليومية'!$M$11:$M$1010,"&lt;&gt;OK",'قيود اليومية'!$M$11:$M$1010,"&lt;&gt;فارغ")&gt;0,"✖ خطأ بالحساب",IF(ROUND(SUMIFS('قيود اليومية'!$G$11:$G$1010,'قيود اليومية'!$A$11:$A$1010,A330)-SUMIFS('قيود اليومية'!$H$11:$H$1010,'قيود اليومية'!$A$11:$A$1010,A330),2)&lt;&gt;0,"✖ غير متوازن","مرحل ✔")))</f>
        <v/>
      </c>
      <c r="J330" s="55" t="str">
        <f aca="false">IF(C330="","",IFERROR(INDEX('شجرة الحسابات'!$E$9:$E$208,MATCH(C330,'شجرة الحسابات'!$A$9:$A$208,0))&amp;"",""))</f>
        <v/>
      </c>
      <c r="K330" s="55" t="str">
        <f aca="false">IF(C330="","",IFERROR(INDEX('شجرة الحسابات'!$I$9:$I$208,MATCH(C330,'شجرة الحسابات'!$A$9:$A$208,0))&amp;"",""))</f>
        <v/>
      </c>
      <c r="L330" s="55" t="str">
        <f aca="false">IF(C330="","",IFERROR(INDEX('شجرة الحسابات'!$C$9:$C$208,MATCH(C330,'شجرة الحسابات'!$A$9:$A$208,0))&amp;"",""))</f>
        <v/>
      </c>
      <c r="M330" s="55" t="str">
        <f aca="false">IF(AND(C330="",G330="",H330=""),"فارغ",IF(ISNA(MATCH(C330,'شجرة الحسابات'!$A$9:$A$208,0)),"حساب غير معرف",IF(L330&lt;&gt;"تحليلي","حساب تجميعي",IF(AND(N(G330)&gt;0,N(H330)&gt;0),"مدين ودائن معاً",IF(N(G330)+N(H330)=0,"بدون قيمة","OK")))))</f>
        <v>فارغ</v>
      </c>
      <c r="N330" s="55" t="str">
        <f aca="false">IF(AND(E330&lt;&gt;"",E330='كشف حساب مشروع'!$C$6,I330="مرحل ✔"),COUNTIFS($E$11:E330,'كشف حساب مشروع'!$C$6,$I$11:I330,"مرحل ✔"),"")</f>
        <v/>
      </c>
      <c r="O330" s="55" t="str">
        <f aca="false">IF(AND(C330&lt;&gt;"",C330='دفتر الأستاذ'!$C$6,I330="مرحل ✔"),COUNTIFS($C$11:C330,'دفتر الأستاذ'!$C$6,$I$11:I330,"مرحل ✔"),"")</f>
        <v/>
      </c>
    </row>
    <row r="331" customFormat="false" ht="15" hidden="false" customHeight="false" outlineLevel="0" collapsed="false">
      <c r="A331" s="49"/>
      <c r="B331" s="50"/>
      <c r="C331" s="49"/>
      <c r="D331" s="51" t="str">
        <f aca="false">IF(C331="","",IFERROR(INDEX('شجرة الحسابات'!$B$9:$B$208,MATCH(C331,'شجرة الحسابات'!$A$9:$A$208,0)),"⚠ حساب غير معرف"))</f>
        <v/>
      </c>
      <c r="E331" s="52"/>
      <c r="F331" s="52"/>
      <c r="G331" s="53"/>
      <c r="H331" s="53"/>
      <c r="I331" s="54" t="str">
        <f aca="false">IF(A331="",IF(M331="فارغ","","✖ بدون رقم قيد"),IF(COUNTIFS('قيود اليومية'!$A$11:$A$1010,A331,'قيود اليومية'!$M$11:$M$1010,"&lt;&gt;OK",'قيود اليومية'!$M$11:$M$1010,"&lt;&gt;فارغ")&gt;0,"✖ خطأ بالحساب",IF(ROUND(SUMIFS('قيود اليومية'!$G$11:$G$1010,'قيود اليومية'!$A$11:$A$1010,A331)-SUMIFS('قيود اليومية'!$H$11:$H$1010,'قيود اليومية'!$A$11:$A$1010,A331),2)&lt;&gt;0,"✖ غير متوازن","مرحل ✔")))</f>
        <v/>
      </c>
      <c r="J331" s="55" t="str">
        <f aca="false">IF(C331="","",IFERROR(INDEX('شجرة الحسابات'!$E$9:$E$208,MATCH(C331,'شجرة الحسابات'!$A$9:$A$208,0))&amp;"",""))</f>
        <v/>
      </c>
      <c r="K331" s="55" t="str">
        <f aca="false">IF(C331="","",IFERROR(INDEX('شجرة الحسابات'!$I$9:$I$208,MATCH(C331,'شجرة الحسابات'!$A$9:$A$208,0))&amp;"",""))</f>
        <v/>
      </c>
      <c r="L331" s="55" t="str">
        <f aca="false">IF(C331="","",IFERROR(INDEX('شجرة الحسابات'!$C$9:$C$208,MATCH(C331,'شجرة الحسابات'!$A$9:$A$208,0))&amp;"",""))</f>
        <v/>
      </c>
      <c r="M331" s="55" t="str">
        <f aca="false">IF(AND(C331="",G331="",H331=""),"فارغ",IF(ISNA(MATCH(C331,'شجرة الحسابات'!$A$9:$A$208,0)),"حساب غير معرف",IF(L331&lt;&gt;"تحليلي","حساب تجميعي",IF(AND(N(G331)&gt;0,N(H331)&gt;0),"مدين ودائن معاً",IF(N(G331)+N(H331)=0,"بدون قيمة","OK")))))</f>
        <v>فارغ</v>
      </c>
      <c r="N331" s="55" t="str">
        <f aca="false">IF(AND(E331&lt;&gt;"",E331='كشف حساب مشروع'!$C$6,I331="مرحل ✔"),COUNTIFS($E$11:E331,'كشف حساب مشروع'!$C$6,$I$11:I331,"مرحل ✔"),"")</f>
        <v/>
      </c>
      <c r="O331" s="55" t="str">
        <f aca="false">IF(AND(C331&lt;&gt;"",C331='دفتر الأستاذ'!$C$6,I331="مرحل ✔"),COUNTIFS($C$11:C331,'دفتر الأستاذ'!$C$6,$I$11:I331,"مرحل ✔"),"")</f>
        <v/>
      </c>
    </row>
    <row r="332" customFormat="false" ht="15" hidden="false" customHeight="false" outlineLevel="0" collapsed="false">
      <c r="A332" s="49"/>
      <c r="B332" s="50"/>
      <c r="C332" s="49"/>
      <c r="D332" s="51" t="str">
        <f aca="false">IF(C332="","",IFERROR(INDEX('شجرة الحسابات'!$B$9:$B$208,MATCH(C332,'شجرة الحسابات'!$A$9:$A$208,0)),"⚠ حساب غير معرف"))</f>
        <v/>
      </c>
      <c r="E332" s="52"/>
      <c r="F332" s="52"/>
      <c r="G332" s="53"/>
      <c r="H332" s="53"/>
      <c r="I332" s="54" t="str">
        <f aca="false">IF(A332="",IF(M332="فارغ","","✖ بدون رقم قيد"),IF(COUNTIFS('قيود اليومية'!$A$11:$A$1010,A332,'قيود اليومية'!$M$11:$M$1010,"&lt;&gt;OK",'قيود اليومية'!$M$11:$M$1010,"&lt;&gt;فارغ")&gt;0,"✖ خطأ بالحساب",IF(ROUND(SUMIFS('قيود اليومية'!$G$11:$G$1010,'قيود اليومية'!$A$11:$A$1010,A332)-SUMIFS('قيود اليومية'!$H$11:$H$1010,'قيود اليومية'!$A$11:$A$1010,A332),2)&lt;&gt;0,"✖ غير متوازن","مرحل ✔")))</f>
        <v/>
      </c>
      <c r="J332" s="55" t="str">
        <f aca="false">IF(C332="","",IFERROR(INDEX('شجرة الحسابات'!$E$9:$E$208,MATCH(C332,'شجرة الحسابات'!$A$9:$A$208,0))&amp;"",""))</f>
        <v/>
      </c>
      <c r="K332" s="55" t="str">
        <f aca="false">IF(C332="","",IFERROR(INDEX('شجرة الحسابات'!$I$9:$I$208,MATCH(C332,'شجرة الحسابات'!$A$9:$A$208,0))&amp;"",""))</f>
        <v/>
      </c>
      <c r="L332" s="55" t="str">
        <f aca="false">IF(C332="","",IFERROR(INDEX('شجرة الحسابات'!$C$9:$C$208,MATCH(C332,'شجرة الحسابات'!$A$9:$A$208,0))&amp;"",""))</f>
        <v/>
      </c>
      <c r="M332" s="55" t="str">
        <f aca="false">IF(AND(C332="",G332="",H332=""),"فارغ",IF(ISNA(MATCH(C332,'شجرة الحسابات'!$A$9:$A$208,0)),"حساب غير معرف",IF(L332&lt;&gt;"تحليلي","حساب تجميعي",IF(AND(N(G332)&gt;0,N(H332)&gt;0),"مدين ودائن معاً",IF(N(G332)+N(H332)=0,"بدون قيمة","OK")))))</f>
        <v>فارغ</v>
      </c>
      <c r="N332" s="55" t="str">
        <f aca="false">IF(AND(E332&lt;&gt;"",E332='كشف حساب مشروع'!$C$6,I332="مرحل ✔"),COUNTIFS($E$11:E332,'كشف حساب مشروع'!$C$6,$I$11:I332,"مرحل ✔"),"")</f>
        <v/>
      </c>
      <c r="O332" s="55" t="str">
        <f aca="false">IF(AND(C332&lt;&gt;"",C332='دفتر الأستاذ'!$C$6,I332="مرحل ✔"),COUNTIFS($C$11:C332,'دفتر الأستاذ'!$C$6,$I$11:I332,"مرحل ✔"),"")</f>
        <v/>
      </c>
    </row>
    <row r="333" customFormat="false" ht="15" hidden="false" customHeight="false" outlineLevel="0" collapsed="false">
      <c r="A333" s="49"/>
      <c r="B333" s="50"/>
      <c r="C333" s="49"/>
      <c r="D333" s="51" t="str">
        <f aca="false">IF(C333="","",IFERROR(INDEX('شجرة الحسابات'!$B$9:$B$208,MATCH(C333,'شجرة الحسابات'!$A$9:$A$208,0)),"⚠ حساب غير معرف"))</f>
        <v/>
      </c>
      <c r="E333" s="52"/>
      <c r="F333" s="52"/>
      <c r="G333" s="53"/>
      <c r="H333" s="53"/>
      <c r="I333" s="54" t="str">
        <f aca="false">IF(A333="",IF(M333="فارغ","","✖ بدون رقم قيد"),IF(COUNTIFS('قيود اليومية'!$A$11:$A$1010,A333,'قيود اليومية'!$M$11:$M$1010,"&lt;&gt;OK",'قيود اليومية'!$M$11:$M$1010,"&lt;&gt;فارغ")&gt;0,"✖ خطأ بالحساب",IF(ROUND(SUMIFS('قيود اليومية'!$G$11:$G$1010,'قيود اليومية'!$A$11:$A$1010,A333)-SUMIFS('قيود اليومية'!$H$11:$H$1010,'قيود اليومية'!$A$11:$A$1010,A333),2)&lt;&gt;0,"✖ غير متوازن","مرحل ✔")))</f>
        <v/>
      </c>
      <c r="J333" s="55" t="str">
        <f aca="false">IF(C333="","",IFERROR(INDEX('شجرة الحسابات'!$E$9:$E$208,MATCH(C333,'شجرة الحسابات'!$A$9:$A$208,0))&amp;"",""))</f>
        <v/>
      </c>
      <c r="K333" s="55" t="str">
        <f aca="false">IF(C333="","",IFERROR(INDEX('شجرة الحسابات'!$I$9:$I$208,MATCH(C333,'شجرة الحسابات'!$A$9:$A$208,0))&amp;"",""))</f>
        <v/>
      </c>
      <c r="L333" s="55" t="str">
        <f aca="false">IF(C333="","",IFERROR(INDEX('شجرة الحسابات'!$C$9:$C$208,MATCH(C333,'شجرة الحسابات'!$A$9:$A$208,0))&amp;"",""))</f>
        <v/>
      </c>
      <c r="M333" s="55" t="str">
        <f aca="false">IF(AND(C333="",G333="",H333=""),"فارغ",IF(ISNA(MATCH(C333,'شجرة الحسابات'!$A$9:$A$208,0)),"حساب غير معرف",IF(L333&lt;&gt;"تحليلي","حساب تجميعي",IF(AND(N(G333)&gt;0,N(H333)&gt;0),"مدين ودائن معاً",IF(N(G333)+N(H333)=0,"بدون قيمة","OK")))))</f>
        <v>فارغ</v>
      </c>
      <c r="N333" s="55" t="str">
        <f aca="false">IF(AND(E333&lt;&gt;"",E333='كشف حساب مشروع'!$C$6,I333="مرحل ✔"),COUNTIFS($E$11:E333,'كشف حساب مشروع'!$C$6,$I$11:I333,"مرحل ✔"),"")</f>
        <v/>
      </c>
      <c r="O333" s="55" t="str">
        <f aca="false">IF(AND(C333&lt;&gt;"",C333='دفتر الأستاذ'!$C$6,I333="مرحل ✔"),COUNTIFS($C$11:C333,'دفتر الأستاذ'!$C$6,$I$11:I333,"مرحل ✔"),"")</f>
        <v/>
      </c>
    </row>
    <row r="334" customFormat="false" ht="15" hidden="false" customHeight="false" outlineLevel="0" collapsed="false">
      <c r="A334" s="49"/>
      <c r="B334" s="50"/>
      <c r="C334" s="49"/>
      <c r="D334" s="51" t="str">
        <f aca="false">IF(C334="","",IFERROR(INDEX('شجرة الحسابات'!$B$9:$B$208,MATCH(C334,'شجرة الحسابات'!$A$9:$A$208,0)),"⚠ حساب غير معرف"))</f>
        <v/>
      </c>
      <c r="E334" s="52"/>
      <c r="F334" s="52"/>
      <c r="G334" s="53"/>
      <c r="H334" s="53"/>
      <c r="I334" s="54" t="str">
        <f aca="false">IF(A334="",IF(M334="فارغ","","✖ بدون رقم قيد"),IF(COUNTIFS('قيود اليومية'!$A$11:$A$1010,A334,'قيود اليومية'!$M$11:$M$1010,"&lt;&gt;OK",'قيود اليومية'!$M$11:$M$1010,"&lt;&gt;فارغ")&gt;0,"✖ خطأ بالحساب",IF(ROUND(SUMIFS('قيود اليومية'!$G$11:$G$1010,'قيود اليومية'!$A$11:$A$1010,A334)-SUMIFS('قيود اليومية'!$H$11:$H$1010,'قيود اليومية'!$A$11:$A$1010,A334),2)&lt;&gt;0,"✖ غير متوازن","مرحل ✔")))</f>
        <v/>
      </c>
      <c r="J334" s="55" t="str">
        <f aca="false">IF(C334="","",IFERROR(INDEX('شجرة الحسابات'!$E$9:$E$208,MATCH(C334,'شجرة الحسابات'!$A$9:$A$208,0))&amp;"",""))</f>
        <v/>
      </c>
      <c r="K334" s="55" t="str">
        <f aca="false">IF(C334="","",IFERROR(INDEX('شجرة الحسابات'!$I$9:$I$208,MATCH(C334,'شجرة الحسابات'!$A$9:$A$208,0))&amp;"",""))</f>
        <v/>
      </c>
      <c r="L334" s="55" t="str">
        <f aca="false">IF(C334="","",IFERROR(INDEX('شجرة الحسابات'!$C$9:$C$208,MATCH(C334,'شجرة الحسابات'!$A$9:$A$208,0))&amp;"",""))</f>
        <v/>
      </c>
      <c r="M334" s="55" t="str">
        <f aca="false">IF(AND(C334="",G334="",H334=""),"فارغ",IF(ISNA(MATCH(C334,'شجرة الحسابات'!$A$9:$A$208,0)),"حساب غير معرف",IF(L334&lt;&gt;"تحليلي","حساب تجميعي",IF(AND(N(G334)&gt;0,N(H334)&gt;0),"مدين ودائن معاً",IF(N(G334)+N(H334)=0,"بدون قيمة","OK")))))</f>
        <v>فارغ</v>
      </c>
      <c r="N334" s="55" t="str">
        <f aca="false">IF(AND(E334&lt;&gt;"",E334='كشف حساب مشروع'!$C$6,I334="مرحل ✔"),COUNTIFS($E$11:E334,'كشف حساب مشروع'!$C$6,$I$11:I334,"مرحل ✔"),"")</f>
        <v/>
      </c>
      <c r="O334" s="55" t="str">
        <f aca="false">IF(AND(C334&lt;&gt;"",C334='دفتر الأستاذ'!$C$6,I334="مرحل ✔"),COUNTIFS($C$11:C334,'دفتر الأستاذ'!$C$6,$I$11:I334,"مرحل ✔"),"")</f>
        <v/>
      </c>
    </row>
    <row r="335" customFormat="false" ht="15" hidden="false" customHeight="false" outlineLevel="0" collapsed="false">
      <c r="A335" s="49"/>
      <c r="B335" s="50"/>
      <c r="C335" s="49"/>
      <c r="D335" s="51" t="str">
        <f aca="false">IF(C335="","",IFERROR(INDEX('شجرة الحسابات'!$B$9:$B$208,MATCH(C335,'شجرة الحسابات'!$A$9:$A$208,0)),"⚠ حساب غير معرف"))</f>
        <v/>
      </c>
      <c r="E335" s="52"/>
      <c r="F335" s="52"/>
      <c r="G335" s="53"/>
      <c r="H335" s="53"/>
      <c r="I335" s="54" t="str">
        <f aca="false">IF(A335="",IF(M335="فارغ","","✖ بدون رقم قيد"),IF(COUNTIFS('قيود اليومية'!$A$11:$A$1010,A335,'قيود اليومية'!$M$11:$M$1010,"&lt;&gt;OK",'قيود اليومية'!$M$11:$M$1010,"&lt;&gt;فارغ")&gt;0,"✖ خطأ بالحساب",IF(ROUND(SUMIFS('قيود اليومية'!$G$11:$G$1010,'قيود اليومية'!$A$11:$A$1010,A335)-SUMIFS('قيود اليومية'!$H$11:$H$1010,'قيود اليومية'!$A$11:$A$1010,A335),2)&lt;&gt;0,"✖ غير متوازن","مرحل ✔")))</f>
        <v/>
      </c>
      <c r="J335" s="55" t="str">
        <f aca="false">IF(C335="","",IFERROR(INDEX('شجرة الحسابات'!$E$9:$E$208,MATCH(C335,'شجرة الحسابات'!$A$9:$A$208,0))&amp;"",""))</f>
        <v/>
      </c>
      <c r="K335" s="55" t="str">
        <f aca="false">IF(C335="","",IFERROR(INDEX('شجرة الحسابات'!$I$9:$I$208,MATCH(C335,'شجرة الحسابات'!$A$9:$A$208,0))&amp;"",""))</f>
        <v/>
      </c>
      <c r="L335" s="55" t="str">
        <f aca="false">IF(C335="","",IFERROR(INDEX('شجرة الحسابات'!$C$9:$C$208,MATCH(C335,'شجرة الحسابات'!$A$9:$A$208,0))&amp;"",""))</f>
        <v/>
      </c>
      <c r="M335" s="55" t="str">
        <f aca="false">IF(AND(C335="",G335="",H335=""),"فارغ",IF(ISNA(MATCH(C335,'شجرة الحسابات'!$A$9:$A$208,0)),"حساب غير معرف",IF(L335&lt;&gt;"تحليلي","حساب تجميعي",IF(AND(N(G335)&gt;0,N(H335)&gt;0),"مدين ودائن معاً",IF(N(G335)+N(H335)=0,"بدون قيمة","OK")))))</f>
        <v>فارغ</v>
      </c>
      <c r="N335" s="55" t="str">
        <f aca="false">IF(AND(E335&lt;&gt;"",E335='كشف حساب مشروع'!$C$6,I335="مرحل ✔"),COUNTIFS($E$11:E335,'كشف حساب مشروع'!$C$6,$I$11:I335,"مرحل ✔"),"")</f>
        <v/>
      </c>
      <c r="O335" s="55" t="str">
        <f aca="false">IF(AND(C335&lt;&gt;"",C335='دفتر الأستاذ'!$C$6,I335="مرحل ✔"),COUNTIFS($C$11:C335,'دفتر الأستاذ'!$C$6,$I$11:I335,"مرحل ✔"),"")</f>
        <v/>
      </c>
    </row>
    <row r="336" customFormat="false" ht="15" hidden="false" customHeight="false" outlineLevel="0" collapsed="false">
      <c r="A336" s="49"/>
      <c r="B336" s="50"/>
      <c r="C336" s="49"/>
      <c r="D336" s="51" t="str">
        <f aca="false">IF(C336="","",IFERROR(INDEX('شجرة الحسابات'!$B$9:$B$208,MATCH(C336,'شجرة الحسابات'!$A$9:$A$208,0)),"⚠ حساب غير معرف"))</f>
        <v/>
      </c>
      <c r="E336" s="52"/>
      <c r="F336" s="52"/>
      <c r="G336" s="53"/>
      <c r="H336" s="53"/>
      <c r="I336" s="54" t="str">
        <f aca="false">IF(A336="",IF(M336="فارغ","","✖ بدون رقم قيد"),IF(COUNTIFS('قيود اليومية'!$A$11:$A$1010,A336,'قيود اليومية'!$M$11:$M$1010,"&lt;&gt;OK",'قيود اليومية'!$M$11:$M$1010,"&lt;&gt;فارغ")&gt;0,"✖ خطأ بالحساب",IF(ROUND(SUMIFS('قيود اليومية'!$G$11:$G$1010,'قيود اليومية'!$A$11:$A$1010,A336)-SUMIFS('قيود اليومية'!$H$11:$H$1010,'قيود اليومية'!$A$11:$A$1010,A336),2)&lt;&gt;0,"✖ غير متوازن","مرحل ✔")))</f>
        <v/>
      </c>
      <c r="J336" s="55" t="str">
        <f aca="false">IF(C336="","",IFERROR(INDEX('شجرة الحسابات'!$E$9:$E$208,MATCH(C336,'شجرة الحسابات'!$A$9:$A$208,0))&amp;"",""))</f>
        <v/>
      </c>
      <c r="K336" s="55" t="str">
        <f aca="false">IF(C336="","",IFERROR(INDEX('شجرة الحسابات'!$I$9:$I$208,MATCH(C336,'شجرة الحسابات'!$A$9:$A$208,0))&amp;"",""))</f>
        <v/>
      </c>
      <c r="L336" s="55" t="str">
        <f aca="false">IF(C336="","",IFERROR(INDEX('شجرة الحسابات'!$C$9:$C$208,MATCH(C336,'شجرة الحسابات'!$A$9:$A$208,0))&amp;"",""))</f>
        <v/>
      </c>
      <c r="M336" s="55" t="str">
        <f aca="false">IF(AND(C336="",G336="",H336=""),"فارغ",IF(ISNA(MATCH(C336,'شجرة الحسابات'!$A$9:$A$208,0)),"حساب غير معرف",IF(L336&lt;&gt;"تحليلي","حساب تجميعي",IF(AND(N(G336)&gt;0,N(H336)&gt;0),"مدين ودائن معاً",IF(N(G336)+N(H336)=0,"بدون قيمة","OK")))))</f>
        <v>فارغ</v>
      </c>
      <c r="N336" s="55" t="str">
        <f aca="false">IF(AND(E336&lt;&gt;"",E336='كشف حساب مشروع'!$C$6,I336="مرحل ✔"),COUNTIFS($E$11:E336,'كشف حساب مشروع'!$C$6,$I$11:I336,"مرحل ✔"),"")</f>
        <v/>
      </c>
      <c r="O336" s="55" t="str">
        <f aca="false">IF(AND(C336&lt;&gt;"",C336='دفتر الأستاذ'!$C$6,I336="مرحل ✔"),COUNTIFS($C$11:C336,'دفتر الأستاذ'!$C$6,$I$11:I336,"مرحل ✔"),"")</f>
        <v/>
      </c>
    </row>
    <row r="337" customFormat="false" ht="15" hidden="false" customHeight="false" outlineLevel="0" collapsed="false">
      <c r="A337" s="49"/>
      <c r="B337" s="50"/>
      <c r="C337" s="49"/>
      <c r="D337" s="51" t="str">
        <f aca="false">IF(C337="","",IFERROR(INDEX('شجرة الحسابات'!$B$9:$B$208,MATCH(C337,'شجرة الحسابات'!$A$9:$A$208,0)),"⚠ حساب غير معرف"))</f>
        <v/>
      </c>
      <c r="E337" s="52"/>
      <c r="F337" s="52"/>
      <c r="G337" s="53"/>
      <c r="H337" s="53"/>
      <c r="I337" s="54" t="str">
        <f aca="false">IF(A337="",IF(M337="فارغ","","✖ بدون رقم قيد"),IF(COUNTIFS('قيود اليومية'!$A$11:$A$1010,A337,'قيود اليومية'!$M$11:$M$1010,"&lt;&gt;OK",'قيود اليومية'!$M$11:$M$1010,"&lt;&gt;فارغ")&gt;0,"✖ خطأ بالحساب",IF(ROUND(SUMIFS('قيود اليومية'!$G$11:$G$1010,'قيود اليومية'!$A$11:$A$1010,A337)-SUMIFS('قيود اليومية'!$H$11:$H$1010,'قيود اليومية'!$A$11:$A$1010,A337),2)&lt;&gt;0,"✖ غير متوازن","مرحل ✔")))</f>
        <v/>
      </c>
      <c r="J337" s="55" t="str">
        <f aca="false">IF(C337="","",IFERROR(INDEX('شجرة الحسابات'!$E$9:$E$208,MATCH(C337,'شجرة الحسابات'!$A$9:$A$208,0))&amp;"",""))</f>
        <v/>
      </c>
      <c r="K337" s="55" t="str">
        <f aca="false">IF(C337="","",IFERROR(INDEX('شجرة الحسابات'!$I$9:$I$208,MATCH(C337,'شجرة الحسابات'!$A$9:$A$208,0))&amp;"",""))</f>
        <v/>
      </c>
      <c r="L337" s="55" t="str">
        <f aca="false">IF(C337="","",IFERROR(INDEX('شجرة الحسابات'!$C$9:$C$208,MATCH(C337,'شجرة الحسابات'!$A$9:$A$208,0))&amp;"",""))</f>
        <v/>
      </c>
      <c r="M337" s="55" t="str">
        <f aca="false">IF(AND(C337="",G337="",H337=""),"فارغ",IF(ISNA(MATCH(C337,'شجرة الحسابات'!$A$9:$A$208,0)),"حساب غير معرف",IF(L337&lt;&gt;"تحليلي","حساب تجميعي",IF(AND(N(G337)&gt;0,N(H337)&gt;0),"مدين ودائن معاً",IF(N(G337)+N(H337)=0,"بدون قيمة","OK")))))</f>
        <v>فارغ</v>
      </c>
      <c r="N337" s="55" t="str">
        <f aca="false">IF(AND(E337&lt;&gt;"",E337='كشف حساب مشروع'!$C$6,I337="مرحل ✔"),COUNTIFS($E$11:E337,'كشف حساب مشروع'!$C$6,$I$11:I337,"مرحل ✔"),"")</f>
        <v/>
      </c>
      <c r="O337" s="55" t="str">
        <f aca="false">IF(AND(C337&lt;&gt;"",C337='دفتر الأستاذ'!$C$6,I337="مرحل ✔"),COUNTIFS($C$11:C337,'دفتر الأستاذ'!$C$6,$I$11:I337,"مرحل ✔"),"")</f>
        <v/>
      </c>
    </row>
    <row r="338" customFormat="false" ht="15" hidden="false" customHeight="false" outlineLevel="0" collapsed="false">
      <c r="A338" s="49"/>
      <c r="B338" s="50"/>
      <c r="C338" s="49"/>
      <c r="D338" s="51" t="str">
        <f aca="false">IF(C338="","",IFERROR(INDEX('شجرة الحسابات'!$B$9:$B$208,MATCH(C338,'شجرة الحسابات'!$A$9:$A$208,0)),"⚠ حساب غير معرف"))</f>
        <v/>
      </c>
      <c r="E338" s="52"/>
      <c r="F338" s="52"/>
      <c r="G338" s="53"/>
      <c r="H338" s="53"/>
      <c r="I338" s="54" t="str">
        <f aca="false">IF(A338="",IF(M338="فارغ","","✖ بدون رقم قيد"),IF(COUNTIFS('قيود اليومية'!$A$11:$A$1010,A338,'قيود اليومية'!$M$11:$M$1010,"&lt;&gt;OK",'قيود اليومية'!$M$11:$M$1010,"&lt;&gt;فارغ")&gt;0,"✖ خطأ بالحساب",IF(ROUND(SUMIFS('قيود اليومية'!$G$11:$G$1010,'قيود اليومية'!$A$11:$A$1010,A338)-SUMIFS('قيود اليومية'!$H$11:$H$1010,'قيود اليومية'!$A$11:$A$1010,A338),2)&lt;&gt;0,"✖ غير متوازن","مرحل ✔")))</f>
        <v/>
      </c>
      <c r="J338" s="55" t="str">
        <f aca="false">IF(C338="","",IFERROR(INDEX('شجرة الحسابات'!$E$9:$E$208,MATCH(C338,'شجرة الحسابات'!$A$9:$A$208,0))&amp;"",""))</f>
        <v/>
      </c>
      <c r="K338" s="55" t="str">
        <f aca="false">IF(C338="","",IFERROR(INDEX('شجرة الحسابات'!$I$9:$I$208,MATCH(C338,'شجرة الحسابات'!$A$9:$A$208,0))&amp;"",""))</f>
        <v/>
      </c>
      <c r="L338" s="55" t="str">
        <f aca="false">IF(C338="","",IFERROR(INDEX('شجرة الحسابات'!$C$9:$C$208,MATCH(C338,'شجرة الحسابات'!$A$9:$A$208,0))&amp;"",""))</f>
        <v/>
      </c>
      <c r="M338" s="55" t="str">
        <f aca="false">IF(AND(C338="",G338="",H338=""),"فارغ",IF(ISNA(MATCH(C338,'شجرة الحسابات'!$A$9:$A$208,0)),"حساب غير معرف",IF(L338&lt;&gt;"تحليلي","حساب تجميعي",IF(AND(N(G338)&gt;0,N(H338)&gt;0),"مدين ودائن معاً",IF(N(G338)+N(H338)=0,"بدون قيمة","OK")))))</f>
        <v>فارغ</v>
      </c>
      <c r="N338" s="55" t="str">
        <f aca="false">IF(AND(E338&lt;&gt;"",E338='كشف حساب مشروع'!$C$6,I338="مرحل ✔"),COUNTIFS($E$11:E338,'كشف حساب مشروع'!$C$6,$I$11:I338,"مرحل ✔"),"")</f>
        <v/>
      </c>
      <c r="O338" s="55" t="str">
        <f aca="false">IF(AND(C338&lt;&gt;"",C338='دفتر الأستاذ'!$C$6,I338="مرحل ✔"),COUNTIFS($C$11:C338,'دفتر الأستاذ'!$C$6,$I$11:I338,"مرحل ✔"),"")</f>
        <v/>
      </c>
    </row>
    <row r="339" customFormat="false" ht="15" hidden="false" customHeight="false" outlineLevel="0" collapsed="false">
      <c r="A339" s="49"/>
      <c r="B339" s="50"/>
      <c r="C339" s="49"/>
      <c r="D339" s="51" t="str">
        <f aca="false">IF(C339="","",IFERROR(INDEX('شجرة الحسابات'!$B$9:$B$208,MATCH(C339,'شجرة الحسابات'!$A$9:$A$208,0)),"⚠ حساب غير معرف"))</f>
        <v/>
      </c>
      <c r="E339" s="52"/>
      <c r="F339" s="52"/>
      <c r="G339" s="53"/>
      <c r="H339" s="53"/>
      <c r="I339" s="54" t="str">
        <f aca="false">IF(A339="",IF(M339="فارغ","","✖ بدون رقم قيد"),IF(COUNTIFS('قيود اليومية'!$A$11:$A$1010,A339,'قيود اليومية'!$M$11:$M$1010,"&lt;&gt;OK",'قيود اليومية'!$M$11:$M$1010,"&lt;&gt;فارغ")&gt;0,"✖ خطأ بالحساب",IF(ROUND(SUMIFS('قيود اليومية'!$G$11:$G$1010,'قيود اليومية'!$A$11:$A$1010,A339)-SUMIFS('قيود اليومية'!$H$11:$H$1010,'قيود اليومية'!$A$11:$A$1010,A339),2)&lt;&gt;0,"✖ غير متوازن","مرحل ✔")))</f>
        <v/>
      </c>
      <c r="J339" s="55" t="str">
        <f aca="false">IF(C339="","",IFERROR(INDEX('شجرة الحسابات'!$E$9:$E$208,MATCH(C339,'شجرة الحسابات'!$A$9:$A$208,0))&amp;"",""))</f>
        <v/>
      </c>
      <c r="K339" s="55" t="str">
        <f aca="false">IF(C339="","",IFERROR(INDEX('شجرة الحسابات'!$I$9:$I$208,MATCH(C339,'شجرة الحسابات'!$A$9:$A$208,0))&amp;"",""))</f>
        <v/>
      </c>
      <c r="L339" s="55" t="str">
        <f aca="false">IF(C339="","",IFERROR(INDEX('شجرة الحسابات'!$C$9:$C$208,MATCH(C339,'شجرة الحسابات'!$A$9:$A$208,0))&amp;"",""))</f>
        <v/>
      </c>
      <c r="M339" s="55" t="str">
        <f aca="false">IF(AND(C339="",G339="",H339=""),"فارغ",IF(ISNA(MATCH(C339,'شجرة الحسابات'!$A$9:$A$208,0)),"حساب غير معرف",IF(L339&lt;&gt;"تحليلي","حساب تجميعي",IF(AND(N(G339)&gt;0,N(H339)&gt;0),"مدين ودائن معاً",IF(N(G339)+N(H339)=0,"بدون قيمة","OK")))))</f>
        <v>فارغ</v>
      </c>
      <c r="N339" s="55" t="str">
        <f aca="false">IF(AND(E339&lt;&gt;"",E339='كشف حساب مشروع'!$C$6,I339="مرحل ✔"),COUNTIFS($E$11:E339,'كشف حساب مشروع'!$C$6,$I$11:I339,"مرحل ✔"),"")</f>
        <v/>
      </c>
      <c r="O339" s="55" t="str">
        <f aca="false">IF(AND(C339&lt;&gt;"",C339='دفتر الأستاذ'!$C$6,I339="مرحل ✔"),COUNTIFS($C$11:C339,'دفتر الأستاذ'!$C$6,$I$11:I339,"مرحل ✔"),"")</f>
        <v/>
      </c>
    </row>
    <row r="340" customFormat="false" ht="15" hidden="false" customHeight="false" outlineLevel="0" collapsed="false">
      <c r="A340" s="49"/>
      <c r="B340" s="50"/>
      <c r="C340" s="49"/>
      <c r="D340" s="51" t="str">
        <f aca="false">IF(C340="","",IFERROR(INDEX('شجرة الحسابات'!$B$9:$B$208,MATCH(C340,'شجرة الحسابات'!$A$9:$A$208,0)),"⚠ حساب غير معرف"))</f>
        <v/>
      </c>
      <c r="E340" s="52"/>
      <c r="F340" s="52"/>
      <c r="G340" s="53"/>
      <c r="H340" s="53"/>
      <c r="I340" s="54" t="str">
        <f aca="false">IF(A340="",IF(M340="فارغ","","✖ بدون رقم قيد"),IF(COUNTIFS('قيود اليومية'!$A$11:$A$1010,A340,'قيود اليومية'!$M$11:$M$1010,"&lt;&gt;OK",'قيود اليومية'!$M$11:$M$1010,"&lt;&gt;فارغ")&gt;0,"✖ خطأ بالحساب",IF(ROUND(SUMIFS('قيود اليومية'!$G$11:$G$1010,'قيود اليومية'!$A$11:$A$1010,A340)-SUMIFS('قيود اليومية'!$H$11:$H$1010,'قيود اليومية'!$A$11:$A$1010,A340),2)&lt;&gt;0,"✖ غير متوازن","مرحل ✔")))</f>
        <v/>
      </c>
      <c r="J340" s="55" t="str">
        <f aca="false">IF(C340="","",IFERROR(INDEX('شجرة الحسابات'!$E$9:$E$208,MATCH(C340,'شجرة الحسابات'!$A$9:$A$208,0))&amp;"",""))</f>
        <v/>
      </c>
      <c r="K340" s="55" t="str">
        <f aca="false">IF(C340="","",IFERROR(INDEX('شجرة الحسابات'!$I$9:$I$208,MATCH(C340,'شجرة الحسابات'!$A$9:$A$208,0))&amp;"",""))</f>
        <v/>
      </c>
      <c r="L340" s="55" t="str">
        <f aca="false">IF(C340="","",IFERROR(INDEX('شجرة الحسابات'!$C$9:$C$208,MATCH(C340,'شجرة الحسابات'!$A$9:$A$208,0))&amp;"",""))</f>
        <v/>
      </c>
      <c r="M340" s="55" t="str">
        <f aca="false">IF(AND(C340="",G340="",H340=""),"فارغ",IF(ISNA(MATCH(C340,'شجرة الحسابات'!$A$9:$A$208,0)),"حساب غير معرف",IF(L340&lt;&gt;"تحليلي","حساب تجميعي",IF(AND(N(G340)&gt;0,N(H340)&gt;0),"مدين ودائن معاً",IF(N(G340)+N(H340)=0,"بدون قيمة","OK")))))</f>
        <v>فارغ</v>
      </c>
      <c r="N340" s="55" t="str">
        <f aca="false">IF(AND(E340&lt;&gt;"",E340='كشف حساب مشروع'!$C$6,I340="مرحل ✔"),COUNTIFS($E$11:E340,'كشف حساب مشروع'!$C$6,$I$11:I340,"مرحل ✔"),"")</f>
        <v/>
      </c>
      <c r="O340" s="55" t="str">
        <f aca="false">IF(AND(C340&lt;&gt;"",C340='دفتر الأستاذ'!$C$6,I340="مرحل ✔"),COUNTIFS($C$11:C340,'دفتر الأستاذ'!$C$6,$I$11:I340,"مرحل ✔"),"")</f>
        <v/>
      </c>
    </row>
    <row r="341" customFormat="false" ht="15" hidden="false" customHeight="false" outlineLevel="0" collapsed="false">
      <c r="A341" s="49"/>
      <c r="B341" s="50"/>
      <c r="C341" s="49"/>
      <c r="D341" s="51" t="str">
        <f aca="false">IF(C341="","",IFERROR(INDEX('شجرة الحسابات'!$B$9:$B$208,MATCH(C341,'شجرة الحسابات'!$A$9:$A$208,0)),"⚠ حساب غير معرف"))</f>
        <v/>
      </c>
      <c r="E341" s="52"/>
      <c r="F341" s="52"/>
      <c r="G341" s="53"/>
      <c r="H341" s="53"/>
      <c r="I341" s="54" t="str">
        <f aca="false">IF(A341="",IF(M341="فارغ","","✖ بدون رقم قيد"),IF(COUNTIFS('قيود اليومية'!$A$11:$A$1010,A341,'قيود اليومية'!$M$11:$M$1010,"&lt;&gt;OK",'قيود اليومية'!$M$11:$M$1010,"&lt;&gt;فارغ")&gt;0,"✖ خطأ بالحساب",IF(ROUND(SUMIFS('قيود اليومية'!$G$11:$G$1010,'قيود اليومية'!$A$11:$A$1010,A341)-SUMIFS('قيود اليومية'!$H$11:$H$1010,'قيود اليومية'!$A$11:$A$1010,A341),2)&lt;&gt;0,"✖ غير متوازن","مرحل ✔")))</f>
        <v/>
      </c>
      <c r="J341" s="55" t="str">
        <f aca="false">IF(C341="","",IFERROR(INDEX('شجرة الحسابات'!$E$9:$E$208,MATCH(C341,'شجرة الحسابات'!$A$9:$A$208,0))&amp;"",""))</f>
        <v/>
      </c>
      <c r="K341" s="55" t="str">
        <f aca="false">IF(C341="","",IFERROR(INDEX('شجرة الحسابات'!$I$9:$I$208,MATCH(C341,'شجرة الحسابات'!$A$9:$A$208,0))&amp;"",""))</f>
        <v/>
      </c>
      <c r="L341" s="55" t="str">
        <f aca="false">IF(C341="","",IFERROR(INDEX('شجرة الحسابات'!$C$9:$C$208,MATCH(C341,'شجرة الحسابات'!$A$9:$A$208,0))&amp;"",""))</f>
        <v/>
      </c>
      <c r="M341" s="55" t="str">
        <f aca="false">IF(AND(C341="",G341="",H341=""),"فارغ",IF(ISNA(MATCH(C341,'شجرة الحسابات'!$A$9:$A$208,0)),"حساب غير معرف",IF(L341&lt;&gt;"تحليلي","حساب تجميعي",IF(AND(N(G341)&gt;0,N(H341)&gt;0),"مدين ودائن معاً",IF(N(G341)+N(H341)=0,"بدون قيمة","OK")))))</f>
        <v>فارغ</v>
      </c>
      <c r="N341" s="55" t="str">
        <f aca="false">IF(AND(E341&lt;&gt;"",E341='كشف حساب مشروع'!$C$6,I341="مرحل ✔"),COUNTIFS($E$11:E341,'كشف حساب مشروع'!$C$6,$I$11:I341,"مرحل ✔"),"")</f>
        <v/>
      </c>
      <c r="O341" s="55" t="str">
        <f aca="false">IF(AND(C341&lt;&gt;"",C341='دفتر الأستاذ'!$C$6,I341="مرحل ✔"),COUNTIFS($C$11:C341,'دفتر الأستاذ'!$C$6,$I$11:I341,"مرحل ✔"),"")</f>
        <v/>
      </c>
    </row>
    <row r="342" customFormat="false" ht="15" hidden="false" customHeight="false" outlineLevel="0" collapsed="false">
      <c r="A342" s="49"/>
      <c r="B342" s="50"/>
      <c r="C342" s="49"/>
      <c r="D342" s="51" t="str">
        <f aca="false">IF(C342="","",IFERROR(INDEX('شجرة الحسابات'!$B$9:$B$208,MATCH(C342,'شجرة الحسابات'!$A$9:$A$208,0)),"⚠ حساب غير معرف"))</f>
        <v/>
      </c>
      <c r="E342" s="52"/>
      <c r="F342" s="52"/>
      <c r="G342" s="53"/>
      <c r="H342" s="53"/>
      <c r="I342" s="54" t="str">
        <f aca="false">IF(A342="",IF(M342="فارغ","","✖ بدون رقم قيد"),IF(COUNTIFS('قيود اليومية'!$A$11:$A$1010,A342,'قيود اليومية'!$M$11:$M$1010,"&lt;&gt;OK",'قيود اليومية'!$M$11:$M$1010,"&lt;&gt;فارغ")&gt;0,"✖ خطأ بالحساب",IF(ROUND(SUMIFS('قيود اليومية'!$G$11:$G$1010,'قيود اليومية'!$A$11:$A$1010,A342)-SUMIFS('قيود اليومية'!$H$11:$H$1010,'قيود اليومية'!$A$11:$A$1010,A342),2)&lt;&gt;0,"✖ غير متوازن","مرحل ✔")))</f>
        <v/>
      </c>
      <c r="J342" s="55" t="str">
        <f aca="false">IF(C342="","",IFERROR(INDEX('شجرة الحسابات'!$E$9:$E$208,MATCH(C342,'شجرة الحسابات'!$A$9:$A$208,0))&amp;"",""))</f>
        <v/>
      </c>
      <c r="K342" s="55" t="str">
        <f aca="false">IF(C342="","",IFERROR(INDEX('شجرة الحسابات'!$I$9:$I$208,MATCH(C342,'شجرة الحسابات'!$A$9:$A$208,0))&amp;"",""))</f>
        <v/>
      </c>
      <c r="L342" s="55" t="str">
        <f aca="false">IF(C342="","",IFERROR(INDEX('شجرة الحسابات'!$C$9:$C$208,MATCH(C342,'شجرة الحسابات'!$A$9:$A$208,0))&amp;"",""))</f>
        <v/>
      </c>
      <c r="M342" s="55" t="str">
        <f aca="false">IF(AND(C342="",G342="",H342=""),"فارغ",IF(ISNA(MATCH(C342,'شجرة الحسابات'!$A$9:$A$208,0)),"حساب غير معرف",IF(L342&lt;&gt;"تحليلي","حساب تجميعي",IF(AND(N(G342)&gt;0,N(H342)&gt;0),"مدين ودائن معاً",IF(N(G342)+N(H342)=0,"بدون قيمة","OK")))))</f>
        <v>فارغ</v>
      </c>
      <c r="N342" s="55" t="str">
        <f aca="false">IF(AND(E342&lt;&gt;"",E342='كشف حساب مشروع'!$C$6,I342="مرحل ✔"),COUNTIFS($E$11:E342,'كشف حساب مشروع'!$C$6,$I$11:I342,"مرحل ✔"),"")</f>
        <v/>
      </c>
      <c r="O342" s="55" t="str">
        <f aca="false">IF(AND(C342&lt;&gt;"",C342='دفتر الأستاذ'!$C$6,I342="مرحل ✔"),COUNTIFS($C$11:C342,'دفتر الأستاذ'!$C$6,$I$11:I342,"مرحل ✔"),"")</f>
        <v/>
      </c>
    </row>
    <row r="343" customFormat="false" ht="15" hidden="false" customHeight="false" outlineLevel="0" collapsed="false">
      <c r="A343" s="49"/>
      <c r="B343" s="50"/>
      <c r="C343" s="49"/>
      <c r="D343" s="51" t="str">
        <f aca="false">IF(C343="","",IFERROR(INDEX('شجرة الحسابات'!$B$9:$B$208,MATCH(C343,'شجرة الحسابات'!$A$9:$A$208,0)),"⚠ حساب غير معرف"))</f>
        <v/>
      </c>
      <c r="E343" s="52"/>
      <c r="F343" s="52"/>
      <c r="G343" s="53"/>
      <c r="H343" s="53"/>
      <c r="I343" s="54" t="str">
        <f aca="false">IF(A343="",IF(M343="فارغ","","✖ بدون رقم قيد"),IF(COUNTIFS('قيود اليومية'!$A$11:$A$1010,A343,'قيود اليومية'!$M$11:$M$1010,"&lt;&gt;OK",'قيود اليومية'!$M$11:$M$1010,"&lt;&gt;فارغ")&gt;0,"✖ خطأ بالحساب",IF(ROUND(SUMIFS('قيود اليومية'!$G$11:$G$1010,'قيود اليومية'!$A$11:$A$1010,A343)-SUMIFS('قيود اليومية'!$H$11:$H$1010,'قيود اليومية'!$A$11:$A$1010,A343),2)&lt;&gt;0,"✖ غير متوازن","مرحل ✔")))</f>
        <v/>
      </c>
      <c r="J343" s="55" t="str">
        <f aca="false">IF(C343="","",IFERROR(INDEX('شجرة الحسابات'!$E$9:$E$208,MATCH(C343,'شجرة الحسابات'!$A$9:$A$208,0))&amp;"",""))</f>
        <v/>
      </c>
      <c r="K343" s="55" t="str">
        <f aca="false">IF(C343="","",IFERROR(INDEX('شجرة الحسابات'!$I$9:$I$208,MATCH(C343,'شجرة الحسابات'!$A$9:$A$208,0))&amp;"",""))</f>
        <v/>
      </c>
      <c r="L343" s="55" t="str">
        <f aca="false">IF(C343="","",IFERROR(INDEX('شجرة الحسابات'!$C$9:$C$208,MATCH(C343,'شجرة الحسابات'!$A$9:$A$208,0))&amp;"",""))</f>
        <v/>
      </c>
      <c r="M343" s="55" t="str">
        <f aca="false">IF(AND(C343="",G343="",H343=""),"فارغ",IF(ISNA(MATCH(C343,'شجرة الحسابات'!$A$9:$A$208,0)),"حساب غير معرف",IF(L343&lt;&gt;"تحليلي","حساب تجميعي",IF(AND(N(G343)&gt;0,N(H343)&gt;0),"مدين ودائن معاً",IF(N(G343)+N(H343)=0,"بدون قيمة","OK")))))</f>
        <v>فارغ</v>
      </c>
      <c r="N343" s="55" t="str">
        <f aca="false">IF(AND(E343&lt;&gt;"",E343='كشف حساب مشروع'!$C$6,I343="مرحل ✔"),COUNTIFS($E$11:E343,'كشف حساب مشروع'!$C$6,$I$11:I343,"مرحل ✔"),"")</f>
        <v/>
      </c>
      <c r="O343" s="55" t="str">
        <f aca="false">IF(AND(C343&lt;&gt;"",C343='دفتر الأستاذ'!$C$6,I343="مرحل ✔"),COUNTIFS($C$11:C343,'دفتر الأستاذ'!$C$6,$I$11:I343,"مرحل ✔"),"")</f>
        <v/>
      </c>
    </row>
    <row r="344" customFormat="false" ht="15" hidden="false" customHeight="false" outlineLevel="0" collapsed="false">
      <c r="A344" s="49"/>
      <c r="B344" s="50"/>
      <c r="C344" s="49"/>
      <c r="D344" s="51" t="str">
        <f aca="false">IF(C344="","",IFERROR(INDEX('شجرة الحسابات'!$B$9:$B$208,MATCH(C344,'شجرة الحسابات'!$A$9:$A$208,0)),"⚠ حساب غير معرف"))</f>
        <v/>
      </c>
      <c r="E344" s="52"/>
      <c r="F344" s="52"/>
      <c r="G344" s="53"/>
      <c r="H344" s="53"/>
      <c r="I344" s="54" t="str">
        <f aca="false">IF(A344="",IF(M344="فارغ","","✖ بدون رقم قيد"),IF(COUNTIFS('قيود اليومية'!$A$11:$A$1010,A344,'قيود اليومية'!$M$11:$M$1010,"&lt;&gt;OK",'قيود اليومية'!$M$11:$M$1010,"&lt;&gt;فارغ")&gt;0,"✖ خطأ بالحساب",IF(ROUND(SUMIFS('قيود اليومية'!$G$11:$G$1010,'قيود اليومية'!$A$11:$A$1010,A344)-SUMIFS('قيود اليومية'!$H$11:$H$1010,'قيود اليومية'!$A$11:$A$1010,A344),2)&lt;&gt;0,"✖ غير متوازن","مرحل ✔")))</f>
        <v/>
      </c>
      <c r="J344" s="55" t="str">
        <f aca="false">IF(C344="","",IFERROR(INDEX('شجرة الحسابات'!$E$9:$E$208,MATCH(C344,'شجرة الحسابات'!$A$9:$A$208,0))&amp;"",""))</f>
        <v/>
      </c>
      <c r="K344" s="55" t="str">
        <f aca="false">IF(C344="","",IFERROR(INDEX('شجرة الحسابات'!$I$9:$I$208,MATCH(C344,'شجرة الحسابات'!$A$9:$A$208,0))&amp;"",""))</f>
        <v/>
      </c>
      <c r="L344" s="55" t="str">
        <f aca="false">IF(C344="","",IFERROR(INDEX('شجرة الحسابات'!$C$9:$C$208,MATCH(C344,'شجرة الحسابات'!$A$9:$A$208,0))&amp;"",""))</f>
        <v/>
      </c>
      <c r="M344" s="55" t="str">
        <f aca="false">IF(AND(C344="",G344="",H344=""),"فارغ",IF(ISNA(MATCH(C344,'شجرة الحسابات'!$A$9:$A$208,0)),"حساب غير معرف",IF(L344&lt;&gt;"تحليلي","حساب تجميعي",IF(AND(N(G344)&gt;0,N(H344)&gt;0),"مدين ودائن معاً",IF(N(G344)+N(H344)=0,"بدون قيمة","OK")))))</f>
        <v>فارغ</v>
      </c>
      <c r="N344" s="55" t="str">
        <f aca="false">IF(AND(E344&lt;&gt;"",E344='كشف حساب مشروع'!$C$6,I344="مرحل ✔"),COUNTIFS($E$11:E344,'كشف حساب مشروع'!$C$6,$I$11:I344,"مرحل ✔"),"")</f>
        <v/>
      </c>
      <c r="O344" s="55" t="str">
        <f aca="false">IF(AND(C344&lt;&gt;"",C344='دفتر الأستاذ'!$C$6,I344="مرحل ✔"),COUNTIFS($C$11:C344,'دفتر الأستاذ'!$C$6,$I$11:I344,"مرحل ✔"),"")</f>
        <v/>
      </c>
    </row>
    <row r="345" customFormat="false" ht="15" hidden="false" customHeight="false" outlineLevel="0" collapsed="false">
      <c r="A345" s="49"/>
      <c r="B345" s="50"/>
      <c r="C345" s="49"/>
      <c r="D345" s="51" t="str">
        <f aca="false">IF(C345="","",IFERROR(INDEX('شجرة الحسابات'!$B$9:$B$208,MATCH(C345,'شجرة الحسابات'!$A$9:$A$208,0)),"⚠ حساب غير معرف"))</f>
        <v/>
      </c>
      <c r="E345" s="52"/>
      <c r="F345" s="52"/>
      <c r="G345" s="53"/>
      <c r="H345" s="53"/>
      <c r="I345" s="54" t="str">
        <f aca="false">IF(A345="",IF(M345="فارغ","","✖ بدون رقم قيد"),IF(COUNTIFS('قيود اليومية'!$A$11:$A$1010,A345,'قيود اليومية'!$M$11:$M$1010,"&lt;&gt;OK",'قيود اليومية'!$M$11:$M$1010,"&lt;&gt;فارغ")&gt;0,"✖ خطأ بالحساب",IF(ROUND(SUMIFS('قيود اليومية'!$G$11:$G$1010,'قيود اليومية'!$A$11:$A$1010,A345)-SUMIFS('قيود اليومية'!$H$11:$H$1010,'قيود اليومية'!$A$11:$A$1010,A345),2)&lt;&gt;0,"✖ غير متوازن","مرحل ✔")))</f>
        <v/>
      </c>
      <c r="J345" s="55" t="str">
        <f aca="false">IF(C345="","",IFERROR(INDEX('شجرة الحسابات'!$E$9:$E$208,MATCH(C345,'شجرة الحسابات'!$A$9:$A$208,0))&amp;"",""))</f>
        <v/>
      </c>
      <c r="K345" s="55" t="str">
        <f aca="false">IF(C345="","",IFERROR(INDEX('شجرة الحسابات'!$I$9:$I$208,MATCH(C345,'شجرة الحسابات'!$A$9:$A$208,0))&amp;"",""))</f>
        <v/>
      </c>
      <c r="L345" s="55" t="str">
        <f aca="false">IF(C345="","",IFERROR(INDEX('شجرة الحسابات'!$C$9:$C$208,MATCH(C345,'شجرة الحسابات'!$A$9:$A$208,0))&amp;"",""))</f>
        <v/>
      </c>
      <c r="M345" s="55" t="str">
        <f aca="false">IF(AND(C345="",G345="",H345=""),"فارغ",IF(ISNA(MATCH(C345,'شجرة الحسابات'!$A$9:$A$208,0)),"حساب غير معرف",IF(L345&lt;&gt;"تحليلي","حساب تجميعي",IF(AND(N(G345)&gt;0,N(H345)&gt;0),"مدين ودائن معاً",IF(N(G345)+N(H345)=0,"بدون قيمة","OK")))))</f>
        <v>فارغ</v>
      </c>
      <c r="N345" s="55" t="str">
        <f aca="false">IF(AND(E345&lt;&gt;"",E345='كشف حساب مشروع'!$C$6,I345="مرحل ✔"),COUNTIFS($E$11:E345,'كشف حساب مشروع'!$C$6,$I$11:I345,"مرحل ✔"),"")</f>
        <v/>
      </c>
      <c r="O345" s="55" t="str">
        <f aca="false">IF(AND(C345&lt;&gt;"",C345='دفتر الأستاذ'!$C$6,I345="مرحل ✔"),COUNTIFS($C$11:C345,'دفتر الأستاذ'!$C$6,$I$11:I345,"مرحل ✔"),"")</f>
        <v/>
      </c>
    </row>
    <row r="346" customFormat="false" ht="15" hidden="false" customHeight="false" outlineLevel="0" collapsed="false">
      <c r="A346" s="49"/>
      <c r="B346" s="50"/>
      <c r="C346" s="49"/>
      <c r="D346" s="51" t="str">
        <f aca="false">IF(C346="","",IFERROR(INDEX('شجرة الحسابات'!$B$9:$B$208,MATCH(C346,'شجرة الحسابات'!$A$9:$A$208,0)),"⚠ حساب غير معرف"))</f>
        <v/>
      </c>
      <c r="E346" s="52"/>
      <c r="F346" s="52"/>
      <c r="G346" s="53"/>
      <c r="H346" s="53"/>
      <c r="I346" s="54" t="str">
        <f aca="false">IF(A346="",IF(M346="فارغ","","✖ بدون رقم قيد"),IF(COUNTIFS('قيود اليومية'!$A$11:$A$1010,A346,'قيود اليومية'!$M$11:$M$1010,"&lt;&gt;OK",'قيود اليومية'!$M$11:$M$1010,"&lt;&gt;فارغ")&gt;0,"✖ خطأ بالحساب",IF(ROUND(SUMIFS('قيود اليومية'!$G$11:$G$1010,'قيود اليومية'!$A$11:$A$1010,A346)-SUMIFS('قيود اليومية'!$H$11:$H$1010,'قيود اليومية'!$A$11:$A$1010,A346),2)&lt;&gt;0,"✖ غير متوازن","مرحل ✔")))</f>
        <v/>
      </c>
      <c r="J346" s="55" t="str">
        <f aca="false">IF(C346="","",IFERROR(INDEX('شجرة الحسابات'!$E$9:$E$208,MATCH(C346,'شجرة الحسابات'!$A$9:$A$208,0))&amp;"",""))</f>
        <v/>
      </c>
      <c r="K346" s="55" t="str">
        <f aca="false">IF(C346="","",IFERROR(INDEX('شجرة الحسابات'!$I$9:$I$208,MATCH(C346,'شجرة الحسابات'!$A$9:$A$208,0))&amp;"",""))</f>
        <v/>
      </c>
      <c r="L346" s="55" t="str">
        <f aca="false">IF(C346="","",IFERROR(INDEX('شجرة الحسابات'!$C$9:$C$208,MATCH(C346,'شجرة الحسابات'!$A$9:$A$208,0))&amp;"",""))</f>
        <v/>
      </c>
      <c r="M346" s="55" t="str">
        <f aca="false">IF(AND(C346="",G346="",H346=""),"فارغ",IF(ISNA(MATCH(C346,'شجرة الحسابات'!$A$9:$A$208,0)),"حساب غير معرف",IF(L346&lt;&gt;"تحليلي","حساب تجميعي",IF(AND(N(G346)&gt;0,N(H346)&gt;0),"مدين ودائن معاً",IF(N(G346)+N(H346)=0,"بدون قيمة","OK")))))</f>
        <v>فارغ</v>
      </c>
      <c r="N346" s="55" t="str">
        <f aca="false">IF(AND(E346&lt;&gt;"",E346='كشف حساب مشروع'!$C$6,I346="مرحل ✔"),COUNTIFS($E$11:E346,'كشف حساب مشروع'!$C$6,$I$11:I346,"مرحل ✔"),"")</f>
        <v/>
      </c>
      <c r="O346" s="55" t="str">
        <f aca="false">IF(AND(C346&lt;&gt;"",C346='دفتر الأستاذ'!$C$6,I346="مرحل ✔"),COUNTIFS($C$11:C346,'دفتر الأستاذ'!$C$6,$I$11:I346,"مرحل ✔"),"")</f>
        <v/>
      </c>
    </row>
    <row r="347" customFormat="false" ht="15" hidden="false" customHeight="false" outlineLevel="0" collapsed="false">
      <c r="A347" s="49"/>
      <c r="B347" s="50"/>
      <c r="C347" s="49"/>
      <c r="D347" s="51" t="str">
        <f aca="false">IF(C347="","",IFERROR(INDEX('شجرة الحسابات'!$B$9:$B$208,MATCH(C347,'شجرة الحسابات'!$A$9:$A$208,0)),"⚠ حساب غير معرف"))</f>
        <v/>
      </c>
      <c r="E347" s="52"/>
      <c r="F347" s="52"/>
      <c r="G347" s="53"/>
      <c r="H347" s="53"/>
      <c r="I347" s="54" t="str">
        <f aca="false">IF(A347="",IF(M347="فارغ","","✖ بدون رقم قيد"),IF(COUNTIFS('قيود اليومية'!$A$11:$A$1010,A347,'قيود اليومية'!$M$11:$M$1010,"&lt;&gt;OK",'قيود اليومية'!$M$11:$M$1010,"&lt;&gt;فارغ")&gt;0,"✖ خطأ بالحساب",IF(ROUND(SUMIFS('قيود اليومية'!$G$11:$G$1010,'قيود اليومية'!$A$11:$A$1010,A347)-SUMIFS('قيود اليومية'!$H$11:$H$1010,'قيود اليومية'!$A$11:$A$1010,A347),2)&lt;&gt;0,"✖ غير متوازن","مرحل ✔")))</f>
        <v/>
      </c>
      <c r="J347" s="55" t="str">
        <f aca="false">IF(C347="","",IFERROR(INDEX('شجرة الحسابات'!$E$9:$E$208,MATCH(C347,'شجرة الحسابات'!$A$9:$A$208,0))&amp;"",""))</f>
        <v/>
      </c>
      <c r="K347" s="55" t="str">
        <f aca="false">IF(C347="","",IFERROR(INDEX('شجرة الحسابات'!$I$9:$I$208,MATCH(C347,'شجرة الحسابات'!$A$9:$A$208,0))&amp;"",""))</f>
        <v/>
      </c>
      <c r="L347" s="55" t="str">
        <f aca="false">IF(C347="","",IFERROR(INDEX('شجرة الحسابات'!$C$9:$C$208,MATCH(C347,'شجرة الحسابات'!$A$9:$A$208,0))&amp;"",""))</f>
        <v/>
      </c>
      <c r="M347" s="55" t="str">
        <f aca="false">IF(AND(C347="",G347="",H347=""),"فارغ",IF(ISNA(MATCH(C347,'شجرة الحسابات'!$A$9:$A$208,0)),"حساب غير معرف",IF(L347&lt;&gt;"تحليلي","حساب تجميعي",IF(AND(N(G347)&gt;0,N(H347)&gt;0),"مدين ودائن معاً",IF(N(G347)+N(H347)=0,"بدون قيمة","OK")))))</f>
        <v>فارغ</v>
      </c>
      <c r="N347" s="55" t="str">
        <f aca="false">IF(AND(E347&lt;&gt;"",E347='كشف حساب مشروع'!$C$6,I347="مرحل ✔"),COUNTIFS($E$11:E347,'كشف حساب مشروع'!$C$6,$I$11:I347,"مرحل ✔"),"")</f>
        <v/>
      </c>
      <c r="O347" s="55" t="str">
        <f aca="false">IF(AND(C347&lt;&gt;"",C347='دفتر الأستاذ'!$C$6,I347="مرحل ✔"),COUNTIFS($C$11:C347,'دفتر الأستاذ'!$C$6,$I$11:I347,"مرحل ✔"),"")</f>
        <v/>
      </c>
    </row>
    <row r="348" customFormat="false" ht="15" hidden="false" customHeight="false" outlineLevel="0" collapsed="false">
      <c r="A348" s="49"/>
      <c r="B348" s="50"/>
      <c r="C348" s="49"/>
      <c r="D348" s="51" t="str">
        <f aca="false">IF(C348="","",IFERROR(INDEX('شجرة الحسابات'!$B$9:$B$208,MATCH(C348,'شجرة الحسابات'!$A$9:$A$208,0)),"⚠ حساب غير معرف"))</f>
        <v/>
      </c>
      <c r="E348" s="52"/>
      <c r="F348" s="52"/>
      <c r="G348" s="53"/>
      <c r="H348" s="53"/>
      <c r="I348" s="54" t="str">
        <f aca="false">IF(A348="",IF(M348="فارغ","","✖ بدون رقم قيد"),IF(COUNTIFS('قيود اليومية'!$A$11:$A$1010,A348,'قيود اليومية'!$M$11:$M$1010,"&lt;&gt;OK",'قيود اليومية'!$M$11:$M$1010,"&lt;&gt;فارغ")&gt;0,"✖ خطأ بالحساب",IF(ROUND(SUMIFS('قيود اليومية'!$G$11:$G$1010,'قيود اليومية'!$A$11:$A$1010,A348)-SUMIFS('قيود اليومية'!$H$11:$H$1010,'قيود اليومية'!$A$11:$A$1010,A348),2)&lt;&gt;0,"✖ غير متوازن","مرحل ✔")))</f>
        <v/>
      </c>
      <c r="J348" s="55" t="str">
        <f aca="false">IF(C348="","",IFERROR(INDEX('شجرة الحسابات'!$E$9:$E$208,MATCH(C348,'شجرة الحسابات'!$A$9:$A$208,0))&amp;"",""))</f>
        <v/>
      </c>
      <c r="K348" s="55" t="str">
        <f aca="false">IF(C348="","",IFERROR(INDEX('شجرة الحسابات'!$I$9:$I$208,MATCH(C348,'شجرة الحسابات'!$A$9:$A$208,0))&amp;"",""))</f>
        <v/>
      </c>
      <c r="L348" s="55" t="str">
        <f aca="false">IF(C348="","",IFERROR(INDEX('شجرة الحسابات'!$C$9:$C$208,MATCH(C348,'شجرة الحسابات'!$A$9:$A$208,0))&amp;"",""))</f>
        <v/>
      </c>
      <c r="M348" s="55" t="str">
        <f aca="false">IF(AND(C348="",G348="",H348=""),"فارغ",IF(ISNA(MATCH(C348,'شجرة الحسابات'!$A$9:$A$208,0)),"حساب غير معرف",IF(L348&lt;&gt;"تحليلي","حساب تجميعي",IF(AND(N(G348)&gt;0,N(H348)&gt;0),"مدين ودائن معاً",IF(N(G348)+N(H348)=0,"بدون قيمة","OK")))))</f>
        <v>فارغ</v>
      </c>
      <c r="N348" s="55" t="str">
        <f aca="false">IF(AND(E348&lt;&gt;"",E348='كشف حساب مشروع'!$C$6,I348="مرحل ✔"),COUNTIFS($E$11:E348,'كشف حساب مشروع'!$C$6,$I$11:I348,"مرحل ✔"),"")</f>
        <v/>
      </c>
      <c r="O348" s="55" t="str">
        <f aca="false">IF(AND(C348&lt;&gt;"",C348='دفتر الأستاذ'!$C$6,I348="مرحل ✔"),COUNTIFS($C$11:C348,'دفتر الأستاذ'!$C$6,$I$11:I348,"مرحل ✔"),"")</f>
        <v/>
      </c>
    </row>
    <row r="349" customFormat="false" ht="15" hidden="false" customHeight="false" outlineLevel="0" collapsed="false">
      <c r="A349" s="49"/>
      <c r="B349" s="50"/>
      <c r="C349" s="49"/>
      <c r="D349" s="51" t="str">
        <f aca="false">IF(C349="","",IFERROR(INDEX('شجرة الحسابات'!$B$9:$B$208,MATCH(C349,'شجرة الحسابات'!$A$9:$A$208,0)),"⚠ حساب غير معرف"))</f>
        <v/>
      </c>
      <c r="E349" s="52"/>
      <c r="F349" s="52"/>
      <c r="G349" s="53"/>
      <c r="H349" s="53"/>
      <c r="I349" s="54" t="str">
        <f aca="false">IF(A349="",IF(M349="فارغ","","✖ بدون رقم قيد"),IF(COUNTIFS('قيود اليومية'!$A$11:$A$1010,A349,'قيود اليومية'!$M$11:$M$1010,"&lt;&gt;OK",'قيود اليومية'!$M$11:$M$1010,"&lt;&gt;فارغ")&gt;0,"✖ خطأ بالحساب",IF(ROUND(SUMIFS('قيود اليومية'!$G$11:$G$1010,'قيود اليومية'!$A$11:$A$1010,A349)-SUMIFS('قيود اليومية'!$H$11:$H$1010,'قيود اليومية'!$A$11:$A$1010,A349),2)&lt;&gt;0,"✖ غير متوازن","مرحل ✔")))</f>
        <v/>
      </c>
      <c r="J349" s="55" t="str">
        <f aca="false">IF(C349="","",IFERROR(INDEX('شجرة الحسابات'!$E$9:$E$208,MATCH(C349,'شجرة الحسابات'!$A$9:$A$208,0))&amp;"",""))</f>
        <v/>
      </c>
      <c r="K349" s="55" t="str">
        <f aca="false">IF(C349="","",IFERROR(INDEX('شجرة الحسابات'!$I$9:$I$208,MATCH(C349,'شجرة الحسابات'!$A$9:$A$208,0))&amp;"",""))</f>
        <v/>
      </c>
      <c r="L349" s="55" t="str">
        <f aca="false">IF(C349="","",IFERROR(INDEX('شجرة الحسابات'!$C$9:$C$208,MATCH(C349,'شجرة الحسابات'!$A$9:$A$208,0))&amp;"",""))</f>
        <v/>
      </c>
      <c r="M349" s="55" t="str">
        <f aca="false">IF(AND(C349="",G349="",H349=""),"فارغ",IF(ISNA(MATCH(C349,'شجرة الحسابات'!$A$9:$A$208,0)),"حساب غير معرف",IF(L349&lt;&gt;"تحليلي","حساب تجميعي",IF(AND(N(G349)&gt;0,N(H349)&gt;0),"مدين ودائن معاً",IF(N(G349)+N(H349)=0,"بدون قيمة","OK")))))</f>
        <v>فارغ</v>
      </c>
      <c r="N349" s="55" t="str">
        <f aca="false">IF(AND(E349&lt;&gt;"",E349='كشف حساب مشروع'!$C$6,I349="مرحل ✔"),COUNTIFS($E$11:E349,'كشف حساب مشروع'!$C$6,$I$11:I349,"مرحل ✔"),"")</f>
        <v/>
      </c>
      <c r="O349" s="55" t="str">
        <f aca="false">IF(AND(C349&lt;&gt;"",C349='دفتر الأستاذ'!$C$6,I349="مرحل ✔"),COUNTIFS($C$11:C349,'دفتر الأستاذ'!$C$6,$I$11:I349,"مرحل ✔"),"")</f>
        <v/>
      </c>
    </row>
    <row r="350" customFormat="false" ht="15" hidden="false" customHeight="false" outlineLevel="0" collapsed="false">
      <c r="A350" s="49"/>
      <c r="B350" s="50"/>
      <c r="C350" s="49"/>
      <c r="D350" s="51" t="str">
        <f aca="false">IF(C350="","",IFERROR(INDEX('شجرة الحسابات'!$B$9:$B$208,MATCH(C350,'شجرة الحسابات'!$A$9:$A$208,0)),"⚠ حساب غير معرف"))</f>
        <v/>
      </c>
      <c r="E350" s="52"/>
      <c r="F350" s="52"/>
      <c r="G350" s="53"/>
      <c r="H350" s="53"/>
      <c r="I350" s="54" t="str">
        <f aca="false">IF(A350="",IF(M350="فارغ","","✖ بدون رقم قيد"),IF(COUNTIFS('قيود اليومية'!$A$11:$A$1010,A350,'قيود اليومية'!$M$11:$M$1010,"&lt;&gt;OK",'قيود اليومية'!$M$11:$M$1010,"&lt;&gt;فارغ")&gt;0,"✖ خطأ بالحساب",IF(ROUND(SUMIFS('قيود اليومية'!$G$11:$G$1010,'قيود اليومية'!$A$11:$A$1010,A350)-SUMIFS('قيود اليومية'!$H$11:$H$1010,'قيود اليومية'!$A$11:$A$1010,A350),2)&lt;&gt;0,"✖ غير متوازن","مرحل ✔")))</f>
        <v/>
      </c>
      <c r="J350" s="55" t="str">
        <f aca="false">IF(C350="","",IFERROR(INDEX('شجرة الحسابات'!$E$9:$E$208,MATCH(C350,'شجرة الحسابات'!$A$9:$A$208,0))&amp;"",""))</f>
        <v/>
      </c>
      <c r="K350" s="55" t="str">
        <f aca="false">IF(C350="","",IFERROR(INDEX('شجرة الحسابات'!$I$9:$I$208,MATCH(C350,'شجرة الحسابات'!$A$9:$A$208,0))&amp;"",""))</f>
        <v/>
      </c>
      <c r="L350" s="55" t="str">
        <f aca="false">IF(C350="","",IFERROR(INDEX('شجرة الحسابات'!$C$9:$C$208,MATCH(C350,'شجرة الحسابات'!$A$9:$A$208,0))&amp;"",""))</f>
        <v/>
      </c>
      <c r="M350" s="55" t="str">
        <f aca="false">IF(AND(C350="",G350="",H350=""),"فارغ",IF(ISNA(MATCH(C350,'شجرة الحسابات'!$A$9:$A$208,0)),"حساب غير معرف",IF(L350&lt;&gt;"تحليلي","حساب تجميعي",IF(AND(N(G350)&gt;0,N(H350)&gt;0),"مدين ودائن معاً",IF(N(G350)+N(H350)=0,"بدون قيمة","OK")))))</f>
        <v>فارغ</v>
      </c>
      <c r="N350" s="55" t="str">
        <f aca="false">IF(AND(E350&lt;&gt;"",E350='كشف حساب مشروع'!$C$6,I350="مرحل ✔"),COUNTIFS($E$11:E350,'كشف حساب مشروع'!$C$6,$I$11:I350,"مرحل ✔"),"")</f>
        <v/>
      </c>
      <c r="O350" s="55" t="str">
        <f aca="false">IF(AND(C350&lt;&gt;"",C350='دفتر الأستاذ'!$C$6,I350="مرحل ✔"),COUNTIFS($C$11:C350,'دفتر الأستاذ'!$C$6,$I$11:I350,"مرحل ✔"),"")</f>
        <v/>
      </c>
    </row>
    <row r="351" customFormat="false" ht="15" hidden="false" customHeight="false" outlineLevel="0" collapsed="false">
      <c r="A351" s="49"/>
      <c r="B351" s="50"/>
      <c r="C351" s="49"/>
      <c r="D351" s="51" t="str">
        <f aca="false">IF(C351="","",IFERROR(INDEX('شجرة الحسابات'!$B$9:$B$208,MATCH(C351,'شجرة الحسابات'!$A$9:$A$208,0)),"⚠ حساب غير معرف"))</f>
        <v/>
      </c>
      <c r="E351" s="52"/>
      <c r="F351" s="52"/>
      <c r="G351" s="53"/>
      <c r="H351" s="53"/>
      <c r="I351" s="54" t="str">
        <f aca="false">IF(A351="",IF(M351="فارغ","","✖ بدون رقم قيد"),IF(COUNTIFS('قيود اليومية'!$A$11:$A$1010,A351,'قيود اليومية'!$M$11:$M$1010,"&lt;&gt;OK",'قيود اليومية'!$M$11:$M$1010,"&lt;&gt;فارغ")&gt;0,"✖ خطأ بالحساب",IF(ROUND(SUMIFS('قيود اليومية'!$G$11:$G$1010,'قيود اليومية'!$A$11:$A$1010,A351)-SUMIFS('قيود اليومية'!$H$11:$H$1010,'قيود اليومية'!$A$11:$A$1010,A351),2)&lt;&gt;0,"✖ غير متوازن","مرحل ✔")))</f>
        <v/>
      </c>
      <c r="J351" s="55" t="str">
        <f aca="false">IF(C351="","",IFERROR(INDEX('شجرة الحسابات'!$E$9:$E$208,MATCH(C351,'شجرة الحسابات'!$A$9:$A$208,0))&amp;"",""))</f>
        <v/>
      </c>
      <c r="K351" s="55" t="str">
        <f aca="false">IF(C351="","",IFERROR(INDEX('شجرة الحسابات'!$I$9:$I$208,MATCH(C351,'شجرة الحسابات'!$A$9:$A$208,0))&amp;"",""))</f>
        <v/>
      </c>
      <c r="L351" s="55" t="str">
        <f aca="false">IF(C351="","",IFERROR(INDEX('شجرة الحسابات'!$C$9:$C$208,MATCH(C351,'شجرة الحسابات'!$A$9:$A$208,0))&amp;"",""))</f>
        <v/>
      </c>
      <c r="M351" s="55" t="str">
        <f aca="false">IF(AND(C351="",G351="",H351=""),"فارغ",IF(ISNA(MATCH(C351,'شجرة الحسابات'!$A$9:$A$208,0)),"حساب غير معرف",IF(L351&lt;&gt;"تحليلي","حساب تجميعي",IF(AND(N(G351)&gt;0,N(H351)&gt;0),"مدين ودائن معاً",IF(N(G351)+N(H351)=0,"بدون قيمة","OK")))))</f>
        <v>فارغ</v>
      </c>
      <c r="N351" s="55" t="str">
        <f aca="false">IF(AND(E351&lt;&gt;"",E351='كشف حساب مشروع'!$C$6,I351="مرحل ✔"),COUNTIFS($E$11:E351,'كشف حساب مشروع'!$C$6,$I$11:I351,"مرحل ✔"),"")</f>
        <v/>
      </c>
      <c r="O351" s="55" t="str">
        <f aca="false">IF(AND(C351&lt;&gt;"",C351='دفتر الأستاذ'!$C$6,I351="مرحل ✔"),COUNTIFS($C$11:C351,'دفتر الأستاذ'!$C$6,$I$11:I351,"مرحل ✔"),"")</f>
        <v/>
      </c>
    </row>
    <row r="352" customFormat="false" ht="15" hidden="false" customHeight="false" outlineLevel="0" collapsed="false">
      <c r="A352" s="49"/>
      <c r="B352" s="50"/>
      <c r="C352" s="49"/>
      <c r="D352" s="51" t="str">
        <f aca="false">IF(C352="","",IFERROR(INDEX('شجرة الحسابات'!$B$9:$B$208,MATCH(C352,'شجرة الحسابات'!$A$9:$A$208,0)),"⚠ حساب غير معرف"))</f>
        <v/>
      </c>
      <c r="E352" s="52"/>
      <c r="F352" s="52"/>
      <c r="G352" s="53"/>
      <c r="H352" s="53"/>
      <c r="I352" s="54" t="str">
        <f aca="false">IF(A352="",IF(M352="فارغ","","✖ بدون رقم قيد"),IF(COUNTIFS('قيود اليومية'!$A$11:$A$1010,A352,'قيود اليومية'!$M$11:$M$1010,"&lt;&gt;OK",'قيود اليومية'!$M$11:$M$1010,"&lt;&gt;فارغ")&gt;0,"✖ خطأ بالحساب",IF(ROUND(SUMIFS('قيود اليومية'!$G$11:$G$1010,'قيود اليومية'!$A$11:$A$1010,A352)-SUMIFS('قيود اليومية'!$H$11:$H$1010,'قيود اليومية'!$A$11:$A$1010,A352),2)&lt;&gt;0,"✖ غير متوازن","مرحل ✔")))</f>
        <v/>
      </c>
      <c r="J352" s="55" t="str">
        <f aca="false">IF(C352="","",IFERROR(INDEX('شجرة الحسابات'!$E$9:$E$208,MATCH(C352,'شجرة الحسابات'!$A$9:$A$208,0))&amp;"",""))</f>
        <v/>
      </c>
      <c r="K352" s="55" t="str">
        <f aca="false">IF(C352="","",IFERROR(INDEX('شجرة الحسابات'!$I$9:$I$208,MATCH(C352,'شجرة الحسابات'!$A$9:$A$208,0))&amp;"",""))</f>
        <v/>
      </c>
      <c r="L352" s="55" t="str">
        <f aca="false">IF(C352="","",IFERROR(INDEX('شجرة الحسابات'!$C$9:$C$208,MATCH(C352,'شجرة الحسابات'!$A$9:$A$208,0))&amp;"",""))</f>
        <v/>
      </c>
      <c r="M352" s="55" t="str">
        <f aca="false">IF(AND(C352="",G352="",H352=""),"فارغ",IF(ISNA(MATCH(C352,'شجرة الحسابات'!$A$9:$A$208,0)),"حساب غير معرف",IF(L352&lt;&gt;"تحليلي","حساب تجميعي",IF(AND(N(G352)&gt;0,N(H352)&gt;0),"مدين ودائن معاً",IF(N(G352)+N(H352)=0,"بدون قيمة","OK")))))</f>
        <v>فارغ</v>
      </c>
      <c r="N352" s="55" t="str">
        <f aca="false">IF(AND(E352&lt;&gt;"",E352='كشف حساب مشروع'!$C$6,I352="مرحل ✔"),COUNTIFS($E$11:E352,'كشف حساب مشروع'!$C$6,$I$11:I352,"مرحل ✔"),"")</f>
        <v/>
      </c>
      <c r="O352" s="55" t="str">
        <f aca="false">IF(AND(C352&lt;&gt;"",C352='دفتر الأستاذ'!$C$6,I352="مرحل ✔"),COUNTIFS($C$11:C352,'دفتر الأستاذ'!$C$6,$I$11:I352,"مرحل ✔"),"")</f>
        <v/>
      </c>
    </row>
    <row r="353" customFormat="false" ht="15" hidden="false" customHeight="false" outlineLevel="0" collapsed="false">
      <c r="A353" s="49"/>
      <c r="B353" s="50"/>
      <c r="C353" s="49"/>
      <c r="D353" s="51" t="str">
        <f aca="false">IF(C353="","",IFERROR(INDEX('شجرة الحسابات'!$B$9:$B$208,MATCH(C353,'شجرة الحسابات'!$A$9:$A$208,0)),"⚠ حساب غير معرف"))</f>
        <v/>
      </c>
      <c r="E353" s="52"/>
      <c r="F353" s="52"/>
      <c r="G353" s="53"/>
      <c r="H353" s="53"/>
      <c r="I353" s="54" t="str">
        <f aca="false">IF(A353="",IF(M353="فارغ","","✖ بدون رقم قيد"),IF(COUNTIFS('قيود اليومية'!$A$11:$A$1010,A353,'قيود اليومية'!$M$11:$M$1010,"&lt;&gt;OK",'قيود اليومية'!$M$11:$M$1010,"&lt;&gt;فارغ")&gt;0,"✖ خطأ بالحساب",IF(ROUND(SUMIFS('قيود اليومية'!$G$11:$G$1010,'قيود اليومية'!$A$11:$A$1010,A353)-SUMIFS('قيود اليومية'!$H$11:$H$1010,'قيود اليومية'!$A$11:$A$1010,A353),2)&lt;&gt;0,"✖ غير متوازن","مرحل ✔")))</f>
        <v/>
      </c>
      <c r="J353" s="55" t="str">
        <f aca="false">IF(C353="","",IFERROR(INDEX('شجرة الحسابات'!$E$9:$E$208,MATCH(C353,'شجرة الحسابات'!$A$9:$A$208,0))&amp;"",""))</f>
        <v/>
      </c>
      <c r="K353" s="55" t="str">
        <f aca="false">IF(C353="","",IFERROR(INDEX('شجرة الحسابات'!$I$9:$I$208,MATCH(C353,'شجرة الحسابات'!$A$9:$A$208,0))&amp;"",""))</f>
        <v/>
      </c>
      <c r="L353" s="55" t="str">
        <f aca="false">IF(C353="","",IFERROR(INDEX('شجرة الحسابات'!$C$9:$C$208,MATCH(C353,'شجرة الحسابات'!$A$9:$A$208,0))&amp;"",""))</f>
        <v/>
      </c>
      <c r="M353" s="55" t="str">
        <f aca="false">IF(AND(C353="",G353="",H353=""),"فارغ",IF(ISNA(MATCH(C353,'شجرة الحسابات'!$A$9:$A$208,0)),"حساب غير معرف",IF(L353&lt;&gt;"تحليلي","حساب تجميعي",IF(AND(N(G353)&gt;0,N(H353)&gt;0),"مدين ودائن معاً",IF(N(G353)+N(H353)=0,"بدون قيمة","OK")))))</f>
        <v>فارغ</v>
      </c>
      <c r="N353" s="55" t="str">
        <f aca="false">IF(AND(E353&lt;&gt;"",E353='كشف حساب مشروع'!$C$6,I353="مرحل ✔"),COUNTIFS($E$11:E353,'كشف حساب مشروع'!$C$6,$I$11:I353,"مرحل ✔"),"")</f>
        <v/>
      </c>
      <c r="O353" s="55" t="str">
        <f aca="false">IF(AND(C353&lt;&gt;"",C353='دفتر الأستاذ'!$C$6,I353="مرحل ✔"),COUNTIFS($C$11:C353,'دفتر الأستاذ'!$C$6,$I$11:I353,"مرحل ✔"),"")</f>
        <v/>
      </c>
    </row>
    <row r="354" customFormat="false" ht="15" hidden="false" customHeight="false" outlineLevel="0" collapsed="false">
      <c r="A354" s="49"/>
      <c r="B354" s="50"/>
      <c r="C354" s="49"/>
      <c r="D354" s="51" t="str">
        <f aca="false">IF(C354="","",IFERROR(INDEX('شجرة الحسابات'!$B$9:$B$208,MATCH(C354,'شجرة الحسابات'!$A$9:$A$208,0)),"⚠ حساب غير معرف"))</f>
        <v/>
      </c>
      <c r="E354" s="52"/>
      <c r="F354" s="52"/>
      <c r="G354" s="53"/>
      <c r="H354" s="53"/>
      <c r="I354" s="54" t="str">
        <f aca="false">IF(A354="",IF(M354="فارغ","","✖ بدون رقم قيد"),IF(COUNTIFS('قيود اليومية'!$A$11:$A$1010,A354,'قيود اليومية'!$M$11:$M$1010,"&lt;&gt;OK",'قيود اليومية'!$M$11:$M$1010,"&lt;&gt;فارغ")&gt;0,"✖ خطأ بالحساب",IF(ROUND(SUMIFS('قيود اليومية'!$G$11:$G$1010,'قيود اليومية'!$A$11:$A$1010,A354)-SUMIFS('قيود اليومية'!$H$11:$H$1010,'قيود اليومية'!$A$11:$A$1010,A354),2)&lt;&gt;0,"✖ غير متوازن","مرحل ✔")))</f>
        <v/>
      </c>
      <c r="J354" s="55" t="str">
        <f aca="false">IF(C354="","",IFERROR(INDEX('شجرة الحسابات'!$E$9:$E$208,MATCH(C354,'شجرة الحسابات'!$A$9:$A$208,0))&amp;"",""))</f>
        <v/>
      </c>
      <c r="K354" s="55" t="str">
        <f aca="false">IF(C354="","",IFERROR(INDEX('شجرة الحسابات'!$I$9:$I$208,MATCH(C354,'شجرة الحسابات'!$A$9:$A$208,0))&amp;"",""))</f>
        <v/>
      </c>
      <c r="L354" s="55" t="str">
        <f aca="false">IF(C354="","",IFERROR(INDEX('شجرة الحسابات'!$C$9:$C$208,MATCH(C354,'شجرة الحسابات'!$A$9:$A$208,0))&amp;"",""))</f>
        <v/>
      </c>
      <c r="M354" s="55" t="str">
        <f aca="false">IF(AND(C354="",G354="",H354=""),"فارغ",IF(ISNA(MATCH(C354,'شجرة الحسابات'!$A$9:$A$208,0)),"حساب غير معرف",IF(L354&lt;&gt;"تحليلي","حساب تجميعي",IF(AND(N(G354)&gt;0,N(H354)&gt;0),"مدين ودائن معاً",IF(N(G354)+N(H354)=0,"بدون قيمة","OK")))))</f>
        <v>فارغ</v>
      </c>
      <c r="N354" s="55" t="str">
        <f aca="false">IF(AND(E354&lt;&gt;"",E354='كشف حساب مشروع'!$C$6,I354="مرحل ✔"),COUNTIFS($E$11:E354,'كشف حساب مشروع'!$C$6,$I$11:I354,"مرحل ✔"),"")</f>
        <v/>
      </c>
      <c r="O354" s="55" t="str">
        <f aca="false">IF(AND(C354&lt;&gt;"",C354='دفتر الأستاذ'!$C$6,I354="مرحل ✔"),COUNTIFS($C$11:C354,'دفتر الأستاذ'!$C$6,$I$11:I354,"مرحل ✔"),"")</f>
        <v/>
      </c>
    </row>
    <row r="355" customFormat="false" ht="15" hidden="false" customHeight="false" outlineLevel="0" collapsed="false">
      <c r="A355" s="49"/>
      <c r="B355" s="50"/>
      <c r="C355" s="49"/>
      <c r="D355" s="51" t="str">
        <f aca="false">IF(C355="","",IFERROR(INDEX('شجرة الحسابات'!$B$9:$B$208,MATCH(C355,'شجرة الحسابات'!$A$9:$A$208,0)),"⚠ حساب غير معرف"))</f>
        <v/>
      </c>
      <c r="E355" s="52"/>
      <c r="F355" s="52"/>
      <c r="G355" s="53"/>
      <c r="H355" s="53"/>
      <c r="I355" s="54" t="str">
        <f aca="false">IF(A355="",IF(M355="فارغ","","✖ بدون رقم قيد"),IF(COUNTIFS('قيود اليومية'!$A$11:$A$1010,A355,'قيود اليومية'!$M$11:$M$1010,"&lt;&gt;OK",'قيود اليومية'!$M$11:$M$1010,"&lt;&gt;فارغ")&gt;0,"✖ خطأ بالحساب",IF(ROUND(SUMIFS('قيود اليومية'!$G$11:$G$1010,'قيود اليومية'!$A$11:$A$1010,A355)-SUMIFS('قيود اليومية'!$H$11:$H$1010,'قيود اليومية'!$A$11:$A$1010,A355),2)&lt;&gt;0,"✖ غير متوازن","مرحل ✔")))</f>
        <v/>
      </c>
      <c r="J355" s="55" t="str">
        <f aca="false">IF(C355="","",IFERROR(INDEX('شجرة الحسابات'!$E$9:$E$208,MATCH(C355,'شجرة الحسابات'!$A$9:$A$208,0))&amp;"",""))</f>
        <v/>
      </c>
      <c r="K355" s="55" t="str">
        <f aca="false">IF(C355="","",IFERROR(INDEX('شجرة الحسابات'!$I$9:$I$208,MATCH(C355,'شجرة الحسابات'!$A$9:$A$208,0))&amp;"",""))</f>
        <v/>
      </c>
      <c r="L355" s="55" t="str">
        <f aca="false">IF(C355="","",IFERROR(INDEX('شجرة الحسابات'!$C$9:$C$208,MATCH(C355,'شجرة الحسابات'!$A$9:$A$208,0))&amp;"",""))</f>
        <v/>
      </c>
      <c r="M355" s="55" t="str">
        <f aca="false">IF(AND(C355="",G355="",H355=""),"فارغ",IF(ISNA(MATCH(C355,'شجرة الحسابات'!$A$9:$A$208,0)),"حساب غير معرف",IF(L355&lt;&gt;"تحليلي","حساب تجميعي",IF(AND(N(G355)&gt;0,N(H355)&gt;0),"مدين ودائن معاً",IF(N(G355)+N(H355)=0,"بدون قيمة","OK")))))</f>
        <v>فارغ</v>
      </c>
      <c r="N355" s="55" t="str">
        <f aca="false">IF(AND(E355&lt;&gt;"",E355='كشف حساب مشروع'!$C$6,I355="مرحل ✔"),COUNTIFS($E$11:E355,'كشف حساب مشروع'!$C$6,$I$11:I355,"مرحل ✔"),"")</f>
        <v/>
      </c>
      <c r="O355" s="55" t="str">
        <f aca="false">IF(AND(C355&lt;&gt;"",C355='دفتر الأستاذ'!$C$6,I355="مرحل ✔"),COUNTIFS($C$11:C355,'دفتر الأستاذ'!$C$6,$I$11:I355,"مرحل ✔"),"")</f>
        <v/>
      </c>
    </row>
    <row r="356" customFormat="false" ht="15" hidden="false" customHeight="false" outlineLevel="0" collapsed="false">
      <c r="A356" s="49"/>
      <c r="B356" s="50"/>
      <c r="C356" s="49"/>
      <c r="D356" s="51" t="str">
        <f aca="false">IF(C356="","",IFERROR(INDEX('شجرة الحسابات'!$B$9:$B$208,MATCH(C356,'شجرة الحسابات'!$A$9:$A$208,0)),"⚠ حساب غير معرف"))</f>
        <v/>
      </c>
      <c r="E356" s="52"/>
      <c r="F356" s="52"/>
      <c r="G356" s="53"/>
      <c r="H356" s="53"/>
      <c r="I356" s="54" t="str">
        <f aca="false">IF(A356="",IF(M356="فارغ","","✖ بدون رقم قيد"),IF(COUNTIFS('قيود اليومية'!$A$11:$A$1010,A356,'قيود اليومية'!$M$11:$M$1010,"&lt;&gt;OK",'قيود اليومية'!$M$11:$M$1010,"&lt;&gt;فارغ")&gt;0,"✖ خطأ بالحساب",IF(ROUND(SUMIFS('قيود اليومية'!$G$11:$G$1010,'قيود اليومية'!$A$11:$A$1010,A356)-SUMIFS('قيود اليومية'!$H$11:$H$1010,'قيود اليومية'!$A$11:$A$1010,A356),2)&lt;&gt;0,"✖ غير متوازن","مرحل ✔")))</f>
        <v/>
      </c>
      <c r="J356" s="55" t="str">
        <f aca="false">IF(C356="","",IFERROR(INDEX('شجرة الحسابات'!$E$9:$E$208,MATCH(C356,'شجرة الحسابات'!$A$9:$A$208,0))&amp;"",""))</f>
        <v/>
      </c>
      <c r="K356" s="55" t="str">
        <f aca="false">IF(C356="","",IFERROR(INDEX('شجرة الحسابات'!$I$9:$I$208,MATCH(C356,'شجرة الحسابات'!$A$9:$A$208,0))&amp;"",""))</f>
        <v/>
      </c>
      <c r="L356" s="55" t="str">
        <f aca="false">IF(C356="","",IFERROR(INDEX('شجرة الحسابات'!$C$9:$C$208,MATCH(C356,'شجرة الحسابات'!$A$9:$A$208,0))&amp;"",""))</f>
        <v/>
      </c>
      <c r="M356" s="55" t="str">
        <f aca="false">IF(AND(C356="",G356="",H356=""),"فارغ",IF(ISNA(MATCH(C356,'شجرة الحسابات'!$A$9:$A$208,0)),"حساب غير معرف",IF(L356&lt;&gt;"تحليلي","حساب تجميعي",IF(AND(N(G356)&gt;0,N(H356)&gt;0),"مدين ودائن معاً",IF(N(G356)+N(H356)=0,"بدون قيمة","OK")))))</f>
        <v>فارغ</v>
      </c>
      <c r="N356" s="55" t="str">
        <f aca="false">IF(AND(E356&lt;&gt;"",E356='كشف حساب مشروع'!$C$6,I356="مرحل ✔"),COUNTIFS($E$11:E356,'كشف حساب مشروع'!$C$6,$I$11:I356,"مرحل ✔"),"")</f>
        <v/>
      </c>
      <c r="O356" s="55" t="str">
        <f aca="false">IF(AND(C356&lt;&gt;"",C356='دفتر الأستاذ'!$C$6,I356="مرحل ✔"),COUNTIFS($C$11:C356,'دفتر الأستاذ'!$C$6,$I$11:I356,"مرحل ✔"),"")</f>
        <v/>
      </c>
    </row>
    <row r="357" customFormat="false" ht="15" hidden="false" customHeight="false" outlineLevel="0" collapsed="false">
      <c r="A357" s="49"/>
      <c r="B357" s="50"/>
      <c r="C357" s="49"/>
      <c r="D357" s="51" t="str">
        <f aca="false">IF(C357="","",IFERROR(INDEX('شجرة الحسابات'!$B$9:$B$208,MATCH(C357,'شجرة الحسابات'!$A$9:$A$208,0)),"⚠ حساب غير معرف"))</f>
        <v/>
      </c>
      <c r="E357" s="52"/>
      <c r="F357" s="52"/>
      <c r="G357" s="53"/>
      <c r="H357" s="53"/>
      <c r="I357" s="54" t="str">
        <f aca="false">IF(A357="",IF(M357="فارغ","","✖ بدون رقم قيد"),IF(COUNTIFS('قيود اليومية'!$A$11:$A$1010,A357,'قيود اليومية'!$M$11:$M$1010,"&lt;&gt;OK",'قيود اليومية'!$M$11:$M$1010,"&lt;&gt;فارغ")&gt;0,"✖ خطأ بالحساب",IF(ROUND(SUMIFS('قيود اليومية'!$G$11:$G$1010,'قيود اليومية'!$A$11:$A$1010,A357)-SUMIFS('قيود اليومية'!$H$11:$H$1010,'قيود اليومية'!$A$11:$A$1010,A357),2)&lt;&gt;0,"✖ غير متوازن","مرحل ✔")))</f>
        <v/>
      </c>
      <c r="J357" s="55" t="str">
        <f aca="false">IF(C357="","",IFERROR(INDEX('شجرة الحسابات'!$E$9:$E$208,MATCH(C357,'شجرة الحسابات'!$A$9:$A$208,0))&amp;"",""))</f>
        <v/>
      </c>
      <c r="K357" s="55" t="str">
        <f aca="false">IF(C357="","",IFERROR(INDEX('شجرة الحسابات'!$I$9:$I$208,MATCH(C357,'شجرة الحسابات'!$A$9:$A$208,0))&amp;"",""))</f>
        <v/>
      </c>
      <c r="L357" s="55" t="str">
        <f aca="false">IF(C357="","",IFERROR(INDEX('شجرة الحسابات'!$C$9:$C$208,MATCH(C357,'شجرة الحسابات'!$A$9:$A$208,0))&amp;"",""))</f>
        <v/>
      </c>
      <c r="M357" s="55" t="str">
        <f aca="false">IF(AND(C357="",G357="",H357=""),"فارغ",IF(ISNA(MATCH(C357,'شجرة الحسابات'!$A$9:$A$208,0)),"حساب غير معرف",IF(L357&lt;&gt;"تحليلي","حساب تجميعي",IF(AND(N(G357)&gt;0,N(H357)&gt;0),"مدين ودائن معاً",IF(N(G357)+N(H357)=0,"بدون قيمة","OK")))))</f>
        <v>فارغ</v>
      </c>
      <c r="N357" s="55" t="str">
        <f aca="false">IF(AND(E357&lt;&gt;"",E357='كشف حساب مشروع'!$C$6,I357="مرحل ✔"),COUNTIFS($E$11:E357,'كشف حساب مشروع'!$C$6,$I$11:I357,"مرحل ✔"),"")</f>
        <v/>
      </c>
      <c r="O357" s="55" t="str">
        <f aca="false">IF(AND(C357&lt;&gt;"",C357='دفتر الأستاذ'!$C$6,I357="مرحل ✔"),COUNTIFS($C$11:C357,'دفتر الأستاذ'!$C$6,$I$11:I357,"مرحل ✔"),"")</f>
        <v/>
      </c>
    </row>
    <row r="358" customFormat="false" ht="15" hidden="false" customHeight="false" outlineLevel="0" collapsed="false">
      <c r="A358" s="49"/>
      <c r="B358" s="50"/>
      <c r="C358" s="49"/>
      <c r="D358" s="51" t="str">
        <f aca="false">IF(C358="","",IFERROR(INDEX('شجرة الحسابات'!$B$9:$B$208,MATCH(C358,'شجرة الحسابات'!$A$9:$A$208,0)),"⚠ حساب غير معرف"))</f>
        <v/>
      </c>
      <c r="E358" s="52"/>
      <c r="F358" s="52"/>
      <c r="G358" s="53"/>
      <c r="H358" s="53"/>
      <c r="I358" s="54" t="str">
        <f aca="false">IF(A358="",IF(M358="فارغ","","✖ بدون رقم قيد"),IF(COUNTIFS('قيود اليومية'!$A$11:$A$1010,A358,'قيود اليومية'!$M$11:$M$1010,"&lt;&gt;OK",'قيود اليومية'!$M$11:$M$1010,"&lt;&gt;فارغ")&gt;0,"✖ خطأ بالحساب",IF(ROUND(SUMIFS('قيود اليومية'!$G$11:$G$1010,'قيود اليومية'!$A$11:$A$1010,A358)-SUMIFS('قيود اليومية'!$H$11:$H$1010,'قيود اليومية'!$A$11:$A$1010,A358),2)&lt;&gt;0,"✖ غير متوازن","مرحل ✔")))</f>
        <v/>
      </c>
      <c r="J358" s="55" t="str">
        <f aca="false">IF(C358="","",IFERROR(INDEX('شجرة الحسابات'!$E$9:$E$208,MATCH(C358,'شجرة الحسابات'!$A$9:$A$208,0))&amp;"",""))</f>
        <v/>
      </c>
      <c r="K358" s="55" t="str">
        <f aca="false">IF(C358="","",IFERROR(INDEX('شجرة الحسابات'!$I$9:$I$208,MATCH(C358,'شجرة الحسابات'!$A$9:$A$208,0))&amp;"",""))</f>
        <v/>
      </c>
      <c r="L358" s="55" t="str">
        <f aca="false">IF(C358="","",IFERROR(INDEX('شجرة الحسابات'!$C$9:$C$208,MATCH(C358,'شجرة الحسابات'!$A$9:$A$208,0))&amp;"",""))</f>
        <v/>
      </c>
      <c r="M358" s="55" t="str">
        <f aca="false">IF(AND(C358="",G358="",H358=""),"فارغ",IF(ISNA(MATCH(C358,'شجرة الحسابات'!$A$9:$A$208,0)),"حساب غير معرف",IF(L358&lt;&gt;"تحليلي","حساب تجميعي",IF(AND(N(G358)&gt;0,N(H358)&gt;0),"مدين ودائن معاً",IF(N(G358)+N(H358)=0,"بدون قيمة","OK")))))</f>
        <v>فارغ</v>
      </c>
      <c r="N358" s="55" t="str">
        <f aca="false">IF(AND(E358&lt;&gt;"",E358='كشف حساب مشروع'!$C$6,I358="مرحل ✔"),COUNTIFS($E$11:E358,'كشف حساب مشروع'!$C$6,$I$11:I358,"مرحل ✔"),"")</f>
        <v/>
      </c>
      <c r="O358" s="55" t="str">
        <f aca="false">IF(AND(C358&lt;&gt;"",C358='دفتر الأستاذ'!$C$6,I358="مرحل ✔"),COUNTIFS($C$11:C358,'دفتر الأستاذ'!$C$6,$I$11:I358,"مرحل ✔"),"")</f>
        <v/>
      </c>
    </row>
    <row r="359" customFormat="false" ht="15" hidden="false" customHeight="false" outlineLevel="0" collapsed="false">
      <c r="A359" s="49"/>
      <c r="B359" s="50"/>
      <c r="C359" s="49"/>
      <c r="D359" s="51" t="str">
        <f aca="false">IF(C359="","",IFERROR(INDEX('شجرة الحسابات'!$B$9:$B$208,MATCH(C359,'شجرة الحسابات'!$A$9:$A$208,0)),"⚠ حساب غير معرف"))</f>
        <v/>
      </c>
      <c r="E359" s="52"/>
      <c r="F359" s="52"/>
      <c r="G359" s="53"/>
      <c r="H359" s="53"/>
      <c r="I359" s="54" t="str">
        <f aca="false">IF(A359="",IF(M359="فارغ","","✖ بدون رقم قيد"),IF(COUNTIFS('قيود اليومية'!$A$11:$A$1010,A359,'قيود اليومية'!$M$11:$M$1010,"&lt;&gt;OK",'قيود اليومية'!$M$11:$M$1010,"&lt;&gt;فارغ")&gt;0,"✖ خطأ بالحساب",IF(ROUND(SUMIFS('قيود اليومية'!$G$11:$G$1010,'قيود اليومية'!$A$11:$A$1010,A359)-SUMIFS('قيود اليومية'!$H$11:$H$1010,'قيود اليومية'!$A$11:$A$1010,A359),2)&lt;&gt;0,"✖ غير متوازن","مرحل ✔")))</f>
        <v/>
      </c>
      <c r="J359" s="55" t="str">
        <f aca="false">IF(C359="","",IFERROR(INDEX('شجرة الحسابات'!$E$9:$E$208,MATCH(C359,'شجرة الحسابات'!$A$9:$A$208,0))&amp;"",""))</f>
        <v/>
      </c>
      <c r="K359" s="55" t="str">
        <f aca="false">IF(C359="","",IFERROR(INDEX('شجرة الحسابات'!$I$9:$I$208,MATCH(C359,'شجرة الحسابات'!$A$9:$A$208,0))&amp;"",""))</f>
        <v/>
      </c>
      <c r="L359" s="55" t="str">
        <f aca="false">IF(C359="","",IFERROR(INDEX('شجرة الحسابات'!$C$9:$C$208,MATCH(C359,'شجرة الحسابات'!$A$9:$A$208,0))&amp;"",""))</f>
        <v/>
      </c>
      <c r="M359" s="55" t="str">
        <f aca="false">IF(AND(C359="",G359="",H359=""),"فارغ",IF(ISNA(MATCH(C359,'شجرة الحسابات'!$A$9:$A$208,0)),"حساب غير معرف",IF(L359&lt;&gt;"تحليلي","حساب تجميعي",IF(AND(N(G359)&gt;0,N(H359)&gt;0),"مدين ودائن معاً",IF(N(G359)+N(H359)=0,"بدون قيمة","OK")))))</f>
        <v>فارغ</v>
      </c>
      <c r="N359" s="55" t="str">
        <f aca="false">IF(AND(E359&lt;&gt;"",E359='كشف حساب مشروع'!$C$6,I359="مرحل ✔"),COUNTIFS($E$11:E359,'كشف حساب مشروع'!$C$6,$I$11:I359,"مرحل ✔"),"")</f>
        <v/>
      </c>
      <c r="O359" s="55" t="str">
        <f aca="false">IF(AND(C359&lt;&gt;"",C359='دفتر الأستاذ'!$C$6,I359="مرحل ✔"),COUNTIFS($C$11:C359,'دفتر الأستاذ'!$C$6,$I$11:I359,"مرحل ✔"),"")</f>
        <v/>
      </c>
    </row>
    <row r="360" customFormat="false" ht="15" hidden="false" customHeight="false" outlineLevel="0" collapsed="false">
      <c r="A360" s="49"/>
      <c r="B360" s="50"/>
      <c r="C360" s="49"/>
      <c r="D360" s="51" t="str">
        <f aca="false">IF(C360="","",IFERROR(INDEX('شجرة الحسابات'!$B$9:$B$208,MATCH(C360,'شجرة الحسابات'!$A$9:$A$208,0)),"⚠ حساب غير معرف"))</f>
        <v/>
      </c>
      <c r="E360" s="52"/>
      <c r="F360" s="52"/>
      <c r="G360" s="53"/>
      <c r="H360" s="53"/>
      <c r="I360" s="54" t="str">
        <f aca="false">IF(A360="",IF(M360="فارغ","","✖ بدون رقم قيد"),IF(COUNTIFS('قيود اليومية'!$A$11:$A$1010,A360,'قيود اليومية'!$M$11:$M$1010,"&lt;&gt;OK",'قيود اليومية'!$M$11:$M$1010,"&lt;&gt;فارغ")&gt;0,"✖ خطأ بالحساب",IF(ROUND(SUMIFS('قيود اليومية'!$G$11:$G$1010,'قيود اليومية'!$A$11:$A$1010,A360)-SUMIFS('قيود اليومية'!$H$11:$H$1010,'قيود اليومية'!$A$11:$A$1010,A360),2)&lt;&gt;0,"✖ غير متوازن","مرحل ✔")))</f>
        <v/>
      </c>
      <c r="J360" s="55" t="str">
        <f aca="false">IF(C360="","",IFERROR(INDEX('شجرة الحسابات'!$E$9:$E$208,MATCH(C360,'شجرة الحسابات'!$A$9:$A$208,0))&amp;"",""))</f>
        <v/>
      </c>
      <c r="K360" s="55" t="str">
        <f aca="false">IF(C360="","",IFERROR(INDEX('شجرة الحسابات'!$I$9:$I$208,MATCH(C360,'شجرة الحسابات'!$A$9:$A$208,0))&amp;"",""))</f>
        <v/>
      </c>
      <c r="L360" s="55" t="str">
        <f aca="false">IF(C360="","",IFERROR(INDEX('شجرة الحسابات'!$C$9:$C$208,MATCH(C360,'شجرة الحسابات'!$A$9:$A$208,0))&amp;"",""))</f>
        <v/>
      </c>
      <c r="M360" s="55" t="str">
        <f aca="false">IF(AND(C360="",G360="",H360=""),"فارغ",IF(ISNA(MATCH(C360,'شجرة الحسابات'!$A$9:$A$208,0)),"حساب غير معرف",IF(L360&lt;&gt;"تحليلي","حساب تجميعي",IF(AND(N(G360)&gt;0,N(H360)&gt;0),"مدين ودائن معاً",IF(N(G360)+N(H360)=0,"بدون قيمة","OK")))))</f>
        <v>فارغ</v>
      </c>
      <c r="N360" s="55" t="str">
        <f aca="false">IF(AND(E360&lt;&gt;"",E360='كشف حساب مشروع'!$C$6,I360="مرحل ✔"),COUNTIFS($E$11:E360,'كشف حساب مشروع'!$C$6,$I$11:I360,"مرحل ✔"),"")</f>
        <v/>
      </c>
      <c r="O360" s="55" t="str">
        <f aca="false">IF(AND(C360&lt;&gt;"",C360='دفتر الأستاذ'!$C$6,I360="مرحل ✔"),COUNTIFS($C$11:C360,'دفتر الأستاذ'!$C$6,$I$11:I360,"مرحل ✔"),"")</f>
        <v/>
      </c>
    </row>
    <row r="361" customFormat="false" ht="15" hidden="false" customHeight="false" outlineLevel="0" collapsed="false">
      <c r="A361" s="49"/>
      <c r="B361" s="50"/>
      <c r="C361" s="49"/>
      <c r="D361" s="51" t="str">
        <f aca="false">IF(C361="","",IFERROR(INDEX('شجرة الحسابات'!$B$9:$B$208,MATCH(C361,'شجرة الحسابات'!$A$9:$A$208,0)),"⚠ حساب غير معرف"))</f>
        <v/>
      </c>
      <c r="E361" s="52"/>
      <c r="F361" s="52"/>
      <c r="G361" s="53"/>
      <c r="H361" s="53"/>
      <c r="I361" s="54" t="str">
        <f aca="false">IF(A361="",IF(M361="فارغ","","✖ بدون رقم قيد"),IF(COUNTIFS('قيود اليومية'!$A$11:$A$1010,A361,'قيود اليومية'!$M$11:$M$1010,"&lt;&gt;OK",'قيود اليومية'!$M$11:$M$1010,"&lt;&gt;فارغ")&gt;0,"✖ خطأ بالحساب",IF(ROUND(SUMIFS('قيود اليومية'!$G$11:$G$1010,'قيود اليومية'!$A$11:$A$1010,A361)-SUMIFS('قيود اليومية'!$H$11:$H$1010,'قيود اليومية'!$A$11:$A$1010,A361),2)&lt;&gt;0,"✖ غير متوازن","مرحل ✔")))</f>
        <v/>
      </c>
      <c r="J361" s="55" t="str">
        <f aca="false">IF(C361="","",IFERROR(INDEX('شجرة الحسابات'!$E$9:$E$208,MATCH(C361,'شجرة الحسابات'!$A$9:$A$208,0))&amp;"",""))</f>
        <v/>
      </c>
      <c r="K361" s="55" t="str">
        <f aca="false">IF(C361="","",IFERROR(INDEX('شجرة الحسابات'!$I$9:$I$208,MATCH(C361,'شجرة الحسابات'!$A$9:$A$208,0))&amp;"",""))</f>
        <v/>
      </c>
      <c r="L361" s="55" t="str">
        <f aca="false">IF(C361="","",IFERROR(INDEX('شجرة الحسابات'!$C$9:$C$208,MATCH(C361,'شجرة الحسابات'!$A$9:$A$208,0))&amp;"",""))</f>
        <v/>
      </c>
      <c r="M361" s="55" t="str">
        <f aca="false">IF(AND(C361="",G361="",H361=""),"فارغ",IF(ISNA(MATCH(C361,'شجرة الحسابات'!$A$9:$A$208,0)),"حساب غير معرف",IF(L361&lt;&gt;"تحليلي","حساب تجميعي",IF(AND(N(G361)&gt;0,N(H361)&gt;0),"مدين ودائن معاً",IF(N(G361)+N(H361)=0,"بدون قيمة","OK")))))</f>
        <v>فارغ</v>
      </c>
      <c r="N361" s="55" t="str">
        <f aca="false">IF(AND(E361&lt;&gt;"",E361='كشف حساب مشروع'!$C$6,I361="مرحل ✔"),COUNTIFS($E$11:E361,'كشف حساب مشروع'!$C$6,$I$11:I361,"مرحل ✔"),"")</f>
        <v/>
      </c>
      <c r="O361" s="55" t="str">
        <f aca="false">IF(AND(C361&lt;&gt;"",C361='دفتر الأستاذ'!$C$6,I361="مرحل ✔"),COUNTIFS($C$11:C361,'دفتر الأستاذ'!$C$6,$I$11:I361,"مرحل ✔"),"")</f>
        <v/>
      </c>
    </row>
    <row r="362" customFormat="false" ht="15" hidden="false" customHeight="false" outlineLevel="0" collapsed="false">
      <c r="A362" s="49"/>
      <c r="B362" s="50"/>
      <c r="C362" s="49"/>
      <c r="D362" s="51" t="str">
        <f aca="false">IF(C362="","",IFERROR(INDEX('شجرة الحسابات'!$B$9:$B$208,MATCH(C362,'شجرة الحسابات'!$A$9:$A$208,0)),"⚠ حساب غير معرف"))</f>
        <v/>
      </c>
      <c r="E362" s="52"/>
      <c r="F362" s="52"/>
      <c r="G362" s="53"/>
      <c r="H362" s="53"/>
      <c r="I362" s="54" t="str">
        <f aca="false">IF(A362="",IF(M362="فارغ","","✖ بدون رقم قيد"),IF(COUNTIFS('قيود اليومية'!$A$11:$A$1010,A362,'قيود اليومية'!$M$11:$M$1010,"&lt;&gt;OK",'قيود اليومية'!$M$11:$M$1010,"&lt;&gt;فارغ")&gt;0,"✖ خطأ بالحساب",IF(ROUND(SUMIFS('قيود اليومية'!$G$11:$G$1010,'قيود اليومية'!$A$11:$A$1010,A362)-SUMIFS('قيود اليومية'!$H$11:$H$1010,'قيود اليومية'!$A$11:$A$1010,A362),2)&lt;&gt;0,"✖ غير متوازن","مرحل ✔")))</f>
        <v/>
      </c>
      <c r="J362" s="55" t="str">
        <f aca="false">IF(C362="","",IFERROR(INDEX('شجرة الحسابات'!$E$9:$E$208,MATCH(C362,'شجرة الحسابات'!$A$9:$A$208,0))&amp;"",""))</f>
        <v/>
      </c>
      <c r="K362" s="55" t="str">
        <f aca="false">IF(C362="","",IFERROR(INDEX('شجرة الحسابات'!$I$9:$I$208,MATCH(C362,'شجرة الحسابات'!$A$9:$A$208,0))&amp;"",""))</f>
        <v/>
      </c>
      <c r="L362" s="55" t="str">
        <f aca="false">IF(C362="","",IFERROR(INDEX('شجرة الحسابات'!$C$9:$C$208,MATCH(C362,'شجرة الحسابات'!$A$9:$A$208,0))&amp;"",""))</f>
        <v/>
      </c>
      <c r="M362" s="55" t="str">
        <f aca="false">IF(AND(C362="",G362="",H362=""),"فارغ",IF(ISNA(MATCH(C362,'شجرة الحسابات'!$A$9:$A$208,0)),"حساب غير معرف",IF(L362&lt;&gt;"تحليلي","حساب تجميعي",IF(AND(N(G362)&gt;0,N(H362)&gt;0),"مدين ودائن معاً",IF(N(G362)+N(H362)=0,"بدون قيمة","OK")))))</f>
        <v>فارغ</v>
      </c>
      <c r="N362" s="55" t="str">
        <f aca="false">IF(AND(E362&lt;&gt;"",E362='كشف حساب مشروع'!$C$6,I362="مرحل ✔"),COUNTIFS($E$11:E362,'كشف حساب مشروع'!$C$6,$I$11:I362,"مرحل ✔"),"")</f>
        <v/>
      </c>
      <c r="O362" s="55" t="str">
        <f aca="false">IF(AND(C362&lt;&gt;"",C362='دفتر الأستاذ'!$C$6,I362="مرحل ✔"),COUNTIFS($C$11:C362,'دفتر الأستاذ'!$C$6,$I$11:I362,"مرحل ✔"),"")</f>
        <v/>
      </c>
    </row>
    <row r="363" customFormat="false" ht="15" hidden="false" customHeight="false" outlineLevel="0" collapsed="false">
      <c r="A363" s="49"/>
      <c r="B363" s="50"/>
      <c r="C363" s="49"/>
      <c r="D363" s="51" t="str">
        <f aca="false">IF(C363="","",IFERROR(INDEX('شجرة الحسابات'!$B$9:$B$208,MATCH(C363,'شجرة الحسابات'!$A$9:$A$208,0)),"⚠ حساب غير معرف"))</f>
        <v/>
      </c>
      <c r="E363" s="52"/>
      <c r="F363" s="52"/>
      <c r="G363" s="53"/>
      <c r="H363" s="53"/>
      <c r="I363" s="54" t="str">
        <f aca="false">IF(A363="",IF(M363="فارغ","","✖ بدون رقم قيد"),IF(COUNTIFS('قيود اليومية'!$A$11:$A$1010,A363,'قيود اليومية'!$M$11:$M$1010,"&lt;&gt;OK",'قيود اليومية'!$M$11:$M$1010,"&lt;&gt;فارغ")&gt;0,"✖ خطأ بالحساب",IF(ROUND(SUMIFS('قيود اليومية'!$G$11:$G$1010,'قيود اليومية'!$A$11:$A$1010,A363)-SUMIFS('قيود اليومية'!$H$11:$H$1010,'قيود اليومية'!$A$11:$A$1010,A363),2)&lt;&gt;0,"✖ غير متوازن","مرحل ✔")))</f>
        <v/>
      </c>
      <c r="J363" s="55" t="str">
        <f aca="false">IF(C363="","",IFERROR(INDEX('شجرة الحسابات'!$E$9:$E$208,MATCH(C363,'شجرة الحسابات'!$A$9:$A$208,0))&amp;"",""))</f>
        <v/>
      </c>
      <c r="K363" s="55" t="str">
        <f aca="false">IF(C363="","",IFERROR(INDEX('شجرة الحسابات'!$I$9:$I$208,MATCH(C363,'شجرة الحسابات'!$A$9:$A$208,0))&amp;"",""))</f>
        <v/>
      </c>
      <c r="L363" s="55" t="str">
        <f aca="false">IF(C363="","",IFERROR(INDEX('شجرة الحسابات'!$C$9:$C$208,MATCH(C363,'شجرة الحسابات'!$A$9:$A$208,0))&amp;"",""))</f>
        <v/>
      </c>
      <c r="M363" s="55" t="str">
        <f aca="false">IF(AND(C363="",G363="",H363=""),"فارغ",IF(ISNA(MATCH(C363,'شجرة الحسابات'!$A$9:$A$208,0)),"حساب غير معرف",IF(L363&lt;&gt;"تحليلي","حساب تجميعي",IF(AND(N(G363)&gt;0,N(H363)&gt;0),"مدين ودائن معاً",IF(N(G363)+N(H363)=0,"بدون قيمة","OK")))))</f>
        <v>فارغ</v>
      </c>
      <c r="N363" s="55" t="str">
        <f aca="false">IF(AND(E363&lt;&gt;"",E363='كشف حساب مشروع'!$C$6,I363="مرحل ✔"),COUNTIFS($E$11:E363,'كشف حساب مشروع'!$C$6,$I$11:I363,"مرحل ✔"),"")</f>
        <v/>
      </c>
      <c r="O363" s="55" t="str">
        <f aca="false">IF(AND(C363&lt;&gt;"",C363='دفتر الأستاذ'!$C$6,I363="مرحل ✔"),COUNTIFS($C$11:C363,'دفتر الأستاذ'!$C$6,$I$11:I363,"مرحل ✔"),"")</f>
        <v/>
      </c>
    </row>
    <row r="364" customFormat="false" ht="15" hidden="false" customHeight="false" outlineLevel="0" collapsed="false">
      <c r="A364" s="49"/>
      <c r="B364" s="50"/>
      <c r="C364" s="49"/>
      <c r="D364" s="51" t="str">
        <f aca="false">IF(C364="","",IFERROR(INDEX('شجرة الحسابات'!$B$9:$B$208,MATCH(C364,'شجرة الحسابات'!$A$9:$A$208,0)),"⚠ حساب غير معرف"))</f>
        <v/>
      </c>
      <c r="E364" s="52"/>
      <c r="F364" s="52"/>
      <c r="G364" s="53"/>
      <c r="H364" s="53"/>
      <c r="I364" s="54" t="str">
        <f aca="false">IF(A364="",IF(M364="فارغ","","✖ بدون رقم قيد"),IF(COUNTIFS('قيود اليومية'!$A$11:$A$1010,A364,'قيود اليومية'!$M$11:$M$1010,"&lt;&gt;OK",'قيود اليومية'!$M$11:$M$1010,"&lt;&gt;فارغ")&gt;0,"✖ خطأ بالحساب",IF(ROUND(SUMIFS('قيود اليومية'!$G$11:$G$1010,'قيود اليومية'!$A$11:$A$1010,A364)-SUMIFS('قيود اليومية'!$H$11:$H$1010,'قيود اليومية'!$A$11:$A$1010,A364),2)&lt;&gt;0,"✖ غير متوازن","مرحل ✔")))</f>
        <v/>
      </c>
      <c r="J364" s="55" t="str">
        <f aca="false">IF(C364="","",IFERROR(INDEX('شجرة الحسابات'!$E$9:$E$208,MATCH(C364,'شجرة الحسابات'!$A$9:$A$208,0))&amp;"",""))</f>
        <v/>
      </c>
      <c r="K364" s="55" t="str">
        <f aca="false">IF(C364="","",IFERROR(INDEX('شجرة الحسابات'!$I$9:$I$208,MATCH(C364,'شجرة الحسابات'!$A$9:$A$208,0))&amp;"",""))</f>
        <v/>
      </c>
      <c r="L364" s="55" t="str">
        <f aca="false">IF(C364="","",IFERROR(INDEX('شجرة الحسابات'!$C$9:$C$208,MATCH(C364,'شجرة الحسابات'!$A$9:$A$208,0))&amp;"",""))</f>
        <v/>
      </c>
      <c r="M364" s="55" t="str">
        <f aca="false">IF(AND(C364="",G364="",H364=""),"فارغ",IF(ISNA(MATCH(C364,'شجرة الحسابات'!$A$9:$A$208,0)),"حساب غير معرف",IF(L364&lt;&gt;"تحليلي","حساب تجميعي",IF(AND(N(G364)&gt;0,N(H364)&gt;0),"مدين ودائن معاً",IF(N(G364)+N(H364)=0,"بدون قيمة","OK")))))</f>
        <v>فارغ</v>
      </c>
      <c r="N364" s="55" t="str">
        <f aca="false">IF(AND(E364&lt;&gt;"",E364='كشف حساب مشروع'!$C$6,I364="مرحل ✔"),COUNTIFS($E$11:E364,'كشف حساب مشروع'!$C$6,$I$11:I364,"مرحل ✔"),"")</f>
        <v/>
      </c>
      <c r="O364" s="55" t="str">
        <f aca="false">IF(AND(C364&lt;&gt;"",C364='دفتر الأستاذ'!$C$6,I364="مرحل ✔"),COUNTIFS($C$11:C364,'دفتر الأستاذ'!$C$6,$I$11:I364,"مرحل ✔"),"")</f>
        <v/>
      </c>
    </row>
    <row r="365" customFormat="false" ht="15" hidden="false" customHeight="false" outlineLevel="0" collapsed="false">
      <c r="A365" s="49"/>
      <c r="B365" s="50"/>
      <c r="C365" s="49"/>
      <c r="D365" s="51" t="str">
        <f aca="false">IF(C365="","",IFERROR(INDEX('شجرة الحسابات'!$B$9:$B$208,MATCH(C365,'شجرة الحسابات'!$A$9:$A$208,0)),"⚠ حساب غير معرف"))</f>
        <v/>
      </c>
      <c r="E365" s="52"/>
      <c r="F365" s="52"/>
      <c r="G365" s="53"/>
      <c r="H365" s="53"/>
      <c r="I365" s="54" t="str">
        <f aca="false">IF(A365="",IF(M365="فارغ","","✖ بدون رقم قيد"),IF(COUNTIFS('قيود اليومية'!$A$11:$A$1010,A365,'قيود اليومية'!$M$11:$M$1010,"&lt;&gt;OK",'قيود اليومية'!$M$11:$M$1010,"&lt;&gt;فارغ")&gt;0,"✖ خطأ بالحساب",IF(ROUND(SUMIFS('قيود اليومية'!$G$11:$G$1010,'قيود اليومية'!$A$11:$A$1010,A365)-SUMIFS('قيود اليومية'!$H$11:$H$1010,'قيود اليومية'!$A$11:$A$1010,A365),2)&lt;&gt;0,"✖ غير متوازن","مرحل ✔")))</f>
        <v/>
      </c>
      <c r="J365" s="55" t="str">
        <f aca="false">IF(C365="","",IFERROR(INDEX('شجرة الحسابات'!$E$9:$E$208,MATCH(C365,'شجرة الحسابات'!$A$9:$A$208,0))&amp;"",""))</f>
        <v/>
      </c>
      <c r="K365" s="55" t="str">
        <f aca="false">IF(C365="","",IFERROR(INDEX('شجرة الحسابات'!$I$9:$I$208,MATCH(C365,'شجرة الحسابات'!$A$9:$A$208,0))&amp;"",""))</f>
        <v/>
      </c>
      <c r="L365" s="55" t="str">
        <f aca="false">IF(C365="","",IFERROR(INDEX('شجرة الحسابات'!$C$9:$C$208,MATCH(C365,'شجرة الحسابات'!$A$9:$A$208,0))&amp;"",""))</f>
        <v/>
      </c>
      <c r="M365" s="55" t="str">
        <f aca="false">IF(AND(C365="",G365="",H365=""),"فارغ",IF(ISNA(MATCH(C365,'شجرة الحسابات'!$A$9:$A$208,0)),"حساب غير معرف",IF(L365&lt;&gt;"تحليلي","حساب تجميعي",IF(AND(N(G365)&gt;0,N(H365)&gt;0),"مدين ودائن معاً",IF(N(G365)+N(H365)=0,"بدون قيمة","OK")))))</f>
        <v>فارغ</v>
      </c>
      <c r="N365" s="55" t="str">
        <f aca="false">IF(AND(E365&lt;&gt;"",E365='كشف حساب مشروع'!$C$6,I365="مرحل ✔"),COUNTIFS($E$11:E365,'كشف حساب مشروع'!$C$6,$I$11:I365,"مرحل ✔"),"")</f>
        <v/>
      </c>
      <c r="O365" s="55" t="str">
        <f aca="false">IF(AND(C365&lt;&gt;"",C365='دفتر الأستاذ'!$C$6,I365="مرحل ✔"),COUNTIFS($C$11:C365,'دفتر الأستاذ'!$C$6,$I$11:I365,"مرحل ✔"),"")</f>
        <v/>
      </c>
    </row>
    <row r="366" customFormat="false" ht="15" hidden="false" customHeight="false" outlineLevel="0" collapsed="false">
      <c r="A366" s="49"/>
      <c r="B366" s="50"/>
      <c r="C366" s="49"/>
      <c r="D366" s="51" t="str">
        <f aca="false">IF(C366="","",IFERROR(INDEX('شجرة الحسابات'!$B$9:$B$208,MATCH(C366,'شجرة الحسابات'!$A$9:$A$208,0)),"⚠ حساب غير معرف"))</f>
        <v/>
      </c>
      <c r="E366" s="52"/>
      <c r="F366" s="52"/>
      <c r="G366" s="53"/>
      <c r="H366" s="53"/>
      <c r="I366" s="54" t="str">
        <f aca="false">IF(A366="",IF(M366="فارغ","","✖ بدون رقم قيد"),IF(COUNTIFS('قيود اليومية'!$A$11:$A$1010,A366,'قيود اليومية'!$M$11:$M$1010,"&lt;&gt;OK",'قيود اليومية'!$M$11:$M$1010,"&lt;&gt;فارغ")&gt;0,"✖ خطأ بالحساب",IF(ROUND(SUMIFS('قيود اليومية'!$G$11:$G$1010,'قيود اليومية'!$A$11:$A$1010,A366)-SUMIFS('قيود اليومية'!$H$11:$H$1010,'قيود اليومية'!$A$11:$A$1010,A366),2)&lt;&gt;0,"✖ غير متوازن","مرحل ✔")))</f>
        <v/>
      </c>
      <c r="J366" s="55" t="str">
        <f aca="false">IF(C366="","",IFERROR(INDEX('شجرة الحسابات'!$E$9:$E$208,MATCH(C366,'شجرة الحسابات'!$A$9:$A$208,0))&amp;"",""))</f>
        <v/>
      </c>
      <c r="K366" s="55" t="str">
        <f aca="false">IF(C366="","",IFERROR(INDEX('شجرة الحسابات'!$I$9:$I$208,MATCH(C366,'شجرة الحسابات'!$A$9:$A$208,0))&amp;"",""))</f>
        <v/>
      </c>
      <c r="L366" s="55" t="str">
        <f aca="false">IF(C366="","",IFERROR(INDEX('شجرة الحسابات'!$C$9:$C$208,MATCH(C366,'شجرة الحسابات'!$A$9:$A$208,0))&amp;"",""))</f>
        <v/>
      </c>
      <c r="M366" s="55" t="str">
        <f aca="false">IF(AND(C366="",G366="",H366=""),"فارغ",IF(ISNA(MATCH(C366,'شجرة الحسابات'!$A$9:$A$208,0)),"حساب غير معرف",IF(L366&lt;&gt;"تحليلي","حساب تجميعي",IF(AND(N(G366)&gt;0,N(H366)&gt;0),"مدين ودائن معاً",IF(N(G366)+N(H366)=0,"بدون قيمة","OK")))))</f>
        <v>فارغ</v>
      </c>
      <c r="N366" s="55" t="str">
        <f aca="false">IF(AND(E366&lt;&gt;"",E366='كشف حساب مشروع'!$C$6,I366="مرحل ✔"),COUNTIFS($E$11:E366,'كشف حساب مشروع'!$C$6,$I$11:I366,"مرحل ✔"),"")</f>
        <v/>
      </c>
      <c r="O366" s="55" t="str">
        <f aca="false">IF(AND(C366&lt;&gt;"",C366='دفتر الأستاذ'!$C$6,I366="مرحل ✔"),COUNTIFS($C$11:C366,'دفتر الأستاذ'!$C$6,$I$11:I366,"مرحل ✔"),"")</f>
        <v/>
      </c>
    </row>
    <row r="367" customFormat="false" ht="15" hidden="false" customHeight="false" outlineLevel="0" collapsed="false">
      <c r="A367" s="49"/>
      <c r="B367" s="50"/>
      <c r="C367" s="49"/>
      <c r="D367" s="51" t="str">
        <f aca="false">IF(C367="","",IFERROR(INDEX('شجرة الحسابات'!$B$9:$B$208,MATCH(C367,'شجرة الحسابات'!$A$9:$A$208,0)),"⚠ حساب غير معرف"))</f>
        <v/>
      </c>
      <c r="E367" s="52"/>
      <c r="F367" s="52"/>
      <c r="G367" s="53"/>
      <c r="H367" s="53"/>
      <c r="I367" s="54" t="str">
        <f aca="false">IF(A367="",IF(M367="فارغ","","✖ بدون رقم قيد"),IF(COUNTIFS('قيود اليومية'!$A$11:$A$1010,A367,'قيود اليومية'!$M$11:$M$1010,"&lt;&gt;OK",'قيود اليومية'!$M$11:$M$1010,"&lt;&gt;فارغ")&gt;0,"✖ خطأ بالحساب",IF(ROUND(SUMIFS('قيود اليومية'!$G$11:$G$1010,'قيود اليومية'!$A$11:$A$1010,A367)-SUMIFS('قيود اليومية'!$H$11:$H$1010,'قيود اليومية'!$A$11:$A$1010,A367),2)&lt;&gt;0,"✖ غير متوازن","مرحل ✔")))</f>
        <v/>
      </c>
      <c r="J367" s="55" t="str">
        <f aca="false">IF(C367="","",IFERROR(INDEX('شجرة الحسابات'!$E$9:$E$208,MATCH(C367,'شجرة الحسابات'!$A$9:$A$208,0))&amp;"",""))</f>
        <v/>
      </c>
      <c r="K367" s="55" t="str">
        <f aca="false">IF(C367="","",IFERROR(INDEX('شجرة الحسابات'!$I$9:$I$208,MATCH(C367,'شجرة الحسابات'!$A$9:$A$208,0))&amp;"",""))</f>
        <v/>
      </c>
      <c r="L367" s="55" t="str">
        <f aca="false">IF(C367="","",IFERROR(INDEX('شجرة الحسابات'!$C$9:$C$208,MATCH(C367,'شجرة الحسابات'!$A$9:$A$208,0))&amp;"",""))</f>
        <v/>
      </c>
      <c r="M367" s="55" t="str">
        <f aca="false">IF(AND(C367="",G367="",H367=""),"فارغ",IF(ISNA(MATCH(C367,'شجرة الحسابات'!$A$9:$A$208,0)),"حساب غير معرف",IF(L367&lt;&gt;"تحليلي","حساب تجميعي",IF(AND(N(G367)&gt;0,N(H367)&gt;0),"مدين ودائن معاً",IF(N(G367)+N(H367)=0,"بدون قيمة","OK")))))</f>
        <v>فارغ</v>
      </c>
      <c r="N367" s="55" t="str">
        <f aca="false">IF(AND(E367&lt;&gt;"",E367='كشف حساب مشروع'!$C$6,I367="مرحل ✔"),COUNTIFS($E$11:E367,'كشف حساب مشروع'!$C$6,$I$11:I367,"مرحل ✔"),"")</f>
        <v/>
      </c>
      <c r="O367" s="55" t="str">
        <f aca="false">IF(AND(C367&lt;&gt;"",C367='دفتر الأستاذ'!$C$6,I367="مرحل ✔"),COUNTIFS($C$11:C367,'دفتر الأستاذ'!$C$6,$I$11:I367,"مرحل ✔"),"")</f>
        <v/>
      </c>
    </row>
    <row r="368" customFormat="false" ht="15" hidden="false" customHeight="false" outlineLevel="0" collapsed="false">
      <c r="A368" s="49"/>
      <c r="B368" s="50"/>
      <c r="C368" s="49"/>
      <c r="D368" s="51" t="str">
        <f aca="false">IF(C368="","",IFERROR(INDEX('شجرة الحسابات'!$B$9:$B$208,MATCH(C368,'شجرة الحسابات'!$A$9:$A$208,0)),"⚠ حساب غير معرف"))</f>
        <v/>
      </c>
      <c r="E368" s="52"/>
      <c r="F368" s="52"/>
      <c r="G368" s="53"/>
      <c r="H368" s="53"/>
      <c r="I368" s="54" t="str">
        <f aca="false">IF(A368="",IF(M368="فارغ","","✖ بدون رقم قيد"),IF(COUNTIFS('قيود اليومية'!$A$11:$A$1010,A368,'قيود اليومية'!$M$11:$M$1010,"&lt;&gt;OK",'قيود اليومية'!$M$11:$M$1010,"&lt;&gt;فارغ")&gt;0,"✖ خطأ بالحساب",IF(ROUND(SUMIFS('قيود اليومية'!$G$11:$G$1010,'قيود اليومية'!$A$11:$A$1010,A368)-SUMIFS('قيود اليومية'!$H$11:$H$1010,'قيود اليومية'!$A$11:$A$1010,A368),2)&lt;&gt;0,"✖ غير متوازن","مرحل ✔")))</f>
        <v/>
      </c>
      <c r="J368" s="55" t="str">
        <f aca="false">IF(C368="","",IFERROR(INDEX('شجرة الحسابات'!$E$9:$E$208,MATCH(C368,'شجرة الحسابات'!$A$9:$A$208,0))&amp;"",""))</f>
        <v/>
      </c>
      <c r="K368" s="55" t="str">
        <f aca="false">IF(C368="","",IFERROR(INDEX('شجرة الحسابات'!$I$9:$I$208,MATCH(C368,'شجرة الحسابات'!$A$9:$A$208,0))&amp;"",""))</f>
        <v/>
      </c>
      <c r="L368" s="55" t="str">
        <f aca="false">IF(C368="","",IFERROR(INDEX('شجرة الحسابات'!$C$9:$C$208,MATCH(C368,'شجرة الحسابات'!$A$9:$A$208,0))&amp;"",""))</f>
        <v/>
      </c>
      <c r="M368" s="55" t="str">
        <f aca="false">IF(AND(C368="",G368="",H368=""),"فارغ",IF(ISNA(MATCH(C368,'شجرة الحسابات'!$A$9:$A$208,0)),"حساب غير معرف",IF(L368&lt;&gt;"تحليلي","حساب تجميعي",IF(AND(N(G368)&gt;0,N(H368)&gt;0),"مدين ودائن معاً",IF(N(G368)+N(H368)=0,"بدون قيمة","OK")))))</f>
        <v>فارغ</v>
      </c>
      <c r="N368" s="55" t="str">
        <f aca="false">IF(AND(E368&lt;&gt;"",E368='كشف حساب مشروع'!$C$6,I368="مرحل ✔"),COUNTIFS($E$11:E368,'كشف حساب مشروع'!$C$6,$I$11:I368,"مرحل ✔"),"")</f>
        <v/>
      </c>
      <c r="O368" s="55" t="str">
        <f aca="false">IF(AND(C368&lt;&gt;"",C368='دفتر الأستاذ'!$C$6,I368="مرحل ✔"),COUNTIFS($C$11:C368,'دفتر الأستاذ'!$C$6,$I$11:I368,"مرحل ✔"),"")</f>
        <v/>
      </c>
    </row>
    <row r="369" customFormat="false" ht="15" hidden="false" customHeight="false" outlineLevel="0" collapsed="false">
      <c r="A369" s="49"/>
      <c r="B369" s="50"/>
      <c r="C369" s="49"/>
      <c r="D369" s="51" t="str">
        <f aca="false">IF(C369="","",IFERROR(INDEX('شجرة الحسابات'!$B$9:$B$208,MATCH(C369,'شجرة الحسابات'!$A$9:$A$208,0)),"⚠ حساب غير معرف"))</f>
        <v/>
      </c>
      <c r="E369" s="52"/>
      <c r="F369" s="52"/>
      <c r="G369" s="53"/>
      <c r="H369" s="53"/>
      <c r="I369" s="54" t="str">
        <f aca="false">IF(A369="",IF(M369="فارغ","","✖ بدون رقم قيد"),IF(COUNTIFS('قيود اليومية'!$A$11:$A$1010,A369,'قيود اليومية'!$M$11:$M$1010,"&lt;&gt;OK",'قيود اليومية'!$M$11:$M$1010,"&lt;&gt;فارغ")&gt;0,"✖ خطأ بالحساب",IF(ROUND(SUMIFS('قيود اليومية'!$G$11:$G$1010,'قيود اليومية'!$A$11:$A$1010,A369)-SUMIFS('قيود اليومية'!$H$11:$H$1010,'قيود اليومية'!$A$11:$A$1010,A369),2)&lt;&gt;0,"✖ غير متوازن","مرحل ✔")))</f>
        <v/>
      </c>
      <c r="J369" s="55" t="str">
        <f aca="false">IF(C369="","",IFERROR(INDEX('شجرة الحسابات'!$E$9:$E$208,MATCH(C369,'شجرة الحسابات'!$A$9:$A$208,0))&amp;"",""))</f>
        <v/>
      </c>
      <c r="K369" s="55" t="str">
        <f aca="false">IF(C369="","",IFERROR(INDEX('شجرة الحسابات'!$I$9:$I$208,MATCH(C369,'شجرة الحسابات'!$A$9:$A$208,0))&amp;"",""))</f>
        <v/>
      </c>
      <c r="L369" s="55" t="str">
        <f aca="false">IF(C369="","",IFERROR(INDEX('شجرة الحسابات'!$C$9:$C$208,MATCH(C369,'شجرة الحسابات'!$A$9:$A$208,0))&amp;"",""))</f>
        <v/>
      </c>
      <c r="M369" s="55" t="str">
        <f aca="false">IF(AND(C369="",G369="",H369=""),"فارغ",IF(ISNA(MATCH(C369,'شجرة الحسابات'!$A$9:$A$208,0)),"حساب غير معرف",IF(L369&lt;&gt;"تحليلي","حساب تجميعي",IF(AND(N(G369)&gt;0,N(H369)&gt;0),"مدين ودائن معاً",IF(N(G369)+N(H369)=0,"بدون قيمة","OK")))))</f>
        <v>فارغ</v>
      </c>
      <c r="N369" s="55" t="str">
        <f aca="false">IF(AND(E369&lt;&gt;"",E369='كشف حساب مشروع'!$C$6,I369="مرحل ✔"),COUNTIFS($E$11:E369,'كشف حساب مشروع'!$C$6,$I$11:I369,"مرحل ✔"),"")</f>
        <v/>
      </c>
      <c r="O369" s="55" t="str">
        <f aca="false">IF(AND(C369&lt;&gt;"",C369='دفتر الأستاذ'!$C$6,I369="مرحل ✔"),COUNTIFS($C$11:C369,'دفتر الأستاذ'!$C$6,$I$11:I369,"مرحل ✔"),"")</f>
        <v/>
      </c>
    </row>
    <row r="370" customFormat="false" ht="15" hidden="false" customHeight="false" outlineLevel="0" collapsed="false">
      <c r="A370" s="49"/>
      <c r="B370" s="50"/>
      <c r="C370" s="49"/>
      <c r="D370" s="51" t="str">
        <f aca="false">IF(C370="","",IFERROR(INDEX('شجرة الحسابات'!$B$9:$B$208,MATCH(C370,'شجرة الحسابات'!$A$9:$A$208,0)),"⚠ حساب غير معرف"))</f>
        <v/>
      </c>
      <c r="E370" s="52"/>
      <c r="F370" s="52"/>
      <c r="G370" s="53"/>
      <c r="H370" s="53"/>
      <c r="I370" s="54" t="str">
        <f aca="false">IF(A370="",IF(M370="فارغ","","✖ بدون رقم قيد"),IF(COUNTIFS('قيود اليومية'!$A$11:$A$1010,A370,'قيود اليومية'!$M$11:$M$1010,"&lt;&gt;OK",'قيود اليومية'!$M$11:$M$1010,"&lt;&gt;فارغ")&gt;0,"✖ خطأ بالحساب",IF(ROUND(SUMIFS('قيود اليومية'!$G$11:$G$1010,'قيود اليومية'!$A$11:$A$1010,A370)-SUMIFS('قيود اليومية'!$H$11:$H$1010,'قيود اليومية'!$A$11:$A$1010,A370),2)&lt;&gt;0,"✖ غير متوازن","مرحل ✔")))</f>
        <v/>
      </c>
      <c r="J370" s="55" t="str">
        <f aca="false">IF(C370="","",IFERROR(INDEX('شجرة الحسابات'!$E$9:$E$208,MATCH(C370,'شجرة الحسابات'!$A$9:$A$208,0))&amp;"",""))</f>
        <v/>
      </c>
      <c r="K370" s="55" t="str">
        <f aca="false">IF(C370="","",IFERROR(INDEX('شجرة الحسابات'!$I$9:$I$208,MATCH(C370,'شجرة الحسابات'!$A$9:$A$208,0))&amp;"",""))</f>
        <v/>
      </c>
      <c r="L370" s="55" t="str">
        <f aca="false">IF(C370="","",IFERROR(INDEX('شجرة الحسابات'!$C$9:$C$208,MATCH(C370,'شجرة الحسابات'!$A$9:$A$208,0))&amp;"",""))</f>
        <v/>
      </c>
      <c r="M370" s="55" t="str">
        <f aca="false">IF(AND(C370="",G370="",H370=""),"فارغ",IF(ISNA(MATCH(C370,'شجرة الحسابات'!$A$9:$A$208,0)),"حساب غير معرف",IF(L370&lt;&gt;"تحليلي","حساب تجميعي",IF(AND(N(G370)&gt;0,N(H370)&gt;0),"مدين ودائن معاً",IF(N(G370)+N(H370)=0,"بدون قيمة","OK")))))</f>
        <v>فارغ</v>
      </c>
      <c r="N370" s="55" t="str">
        <f aca="false">IF(AND(E370&lt;&gt;"",E370='كشف حساب مشروع'!$C$6,I370="مرحل ✔"),COUNTIFS($E$11:E370,'كشف حساب مشروع'!$C$6,$I$11:I370,"مرحل ✔"),"")</f>
        <v/>
      </c>
      <c r="O370" s="55" t="str">
        <f aca="false">IF(AND(C370&lt;&gt;"",C370='دفتر الأستاذ'!$C$6,I370="مرحل ✔"),COUNTIFS($C$11:C370,'دفتر الأستاذ'!$C$6,$I$11:I370,"مرحل ✔"),"")</f>
        <v/>
      </c>
    </row>
    <row r="371" customFormat="false" ht="15" hidden="false" customHeight="false" outlineLevel="0" collapsed="false">
      <c r="A371" s="49"/>
      <c r="B371" s="50"/>
      <c r="C371" s="49"/>
      <c r="D371" s="51" t="str">
        <f aca="false">IF(C371="","",IFERROR(INDEX('شجرة الحسابات'!$B$9:$B$208,MATCH(C371,'شجرة الحسابات'!$A$9:$A$208,0)),"⚠ حساب غير معرف"))</f>
        <v/>
      </c>
      <c r="E371" s="52"/>
      <c r="F371" s="52"/>
      <c r="G371" s="53"/>
      <c r="H371" s="53"/>
      <c r="I371" s="54" t="str">
        <f aca="false">IF(A371="",IF(M371="فارغ","","✖ بدون رقم قيد"),IF(COUNTIFS('قيود اليومية'!$A$11:$A$1010,A371,'قيود اليومية'!$M$11:$M$1010,"&lt;&gt;OK",'قيود اليومية'!$M$11:$M$1010,"&lt;&gt;فارغ")&gt;0,"✖ خطأ بالحساب",IF(ROUND(SUMIFS('قيود اليومية'!$G$11:$G$1010,'قيود اليومية'!$A$11:$A$1010,A371)-SUMIFS('قيود اليومية'!$H$11:$H$1010,'قيود اليومية'!$A$11:$A$1010,A371),2)&lt;&gt;0,"✖ غير متوازن","مرحل ✔")))</f>
        <v/>
      </c>
      <c r="J371" s="55" t="str">
        <f aca="false">IF(C371="","",IFERROR(INDEX('شجرة الحسابات'!$E$9:$E$208,MATCH(C371,'شجرة الحسابات'!$A$9:$A$208,0))&amp;"",""))</f>
        <v/>
      </c>
      <c r="K371" s="55" t="str">
        <f aca="false">IF(C371="","",IFERROR(INDEX('شجرة الحسابات'!$I$9:$I$208,MATCH(C371,'شجرة الحسابات'!$A$9:$A$208,0))&amp;"",""))</f>
        <v/>
      </c>
      <c r="L371" s="55" t="str">
        <f aca="false">IF(C371="","",IFERROR(INDEX('شجرة الحسابات'!$C$9:$C$208,MATCH(C371,'شجرة الحسابات'!$A$9:$A$208,0))&amp;"",""))</f>
        <v/>
      </c>
      <c r="M371" s="55" t="str">
        <f aca="false">IF(AND(C371="",G371="",H371=""),"فارغ",IF(ISNA(MATCH(C371,'شجرة الحسابات'!$A$9:$A$208,0)),"حساب غير معرف",IF(L371&lt;&gt;"تحليلي","حساب تجميعي",IF(AND(N(G371)&gt;0,N(H371)&gt;0),"مدين ودائن معاً",IF(N(G371)+N(H371)=0,"بدون قيمة","OK")))))</f>
        <v>فارغ</v>
      </c>
      <c r="N371" s="55" t="str">
        <f aca="false">IF(AND(E371&lt;&gt;"",E371='كشف حساب مشروع'!$C$6,I371="مرحل ✔"),COUNTIFS($E$11:E371,'كشف حساب مشروع'!$C$6,$I$11:I371,"مرحل ✔"),"")</f>
        <v/>
      </c>
      <c r="O371" s="55" t="str">
        <f aca="false">IF(AND(C371&lt;&gt;"",C371='دفتر الأستاذ'!$C$6,I371="مرحل ✔"),COUNTIFS($C$11:C371,'دفتر الأستاذ'!$C$6,$I$11:I371,"مرحل ✔"),"")</f>
        <v/>
      </c>
    </row>
    <row r="372" customFormat="false" ht="15" hidden="false" customHeight="false" outlineLevel="0" collapsed="false">
      <c r="A372" s="49"/>
      <c r="B372" s="50"/>
      <c r="C372" s="49"/>
      <c r="D372" s="51" t="str">
        <f aca="false">IF(C372="","",IFERROR(INDEX('شجرة الحسابات'!$B$9:$B$208,MATCH(C372,'شجرة الحسابات'!$A$9:$A$208,0)),"⚠ حساب غير معرف"))</f>
        <v/>
      </c>
      <c r="E372" s="52"/>
      <c r="F372" s="52"/>
      <c r="G372" s="53"/>
      <c r="H372" s="53"/>
      <c r="I372" s="54" t="str">
        <f aca="false">IF(A372="",IF(M372="فارغ","","✖ بدون رقم قيد"),IF(COUNTIFS('قيود اليومية'!$A$11:$A$1010,A372,'قيود اليومية'!$M$11:$M$1010,"&lt;&gt;OK",'قيود اليومية'!$M$11:$M$1010,"&lt;&gt;فارغ")&gt;0,"✖ خطأ بالحساب",IF(ROUND(SUMIFS('قيود اليومية'!$G$11:$G$1010,'قيود اليومية'!$A$11:$A$1010,A372)-SUMIFS('قيود اليومية'!$H$11:$H$1010,'قيود اليومية'!$A$11:$A$1010,A372),2)&lt;&gt;0,"✖ غير متوازن","مرحل ✔")))</f>
        <v/>
      </c>
      <c r="J372" s="55" t="str">
        <f aca="false">IF(C372="","",IFERROR(INDEX('شجرة الحسابات'!$E$9:$E$208,MATCH(C372,'شجرة الحسابات'!$A$9:$A$208,0))&amp;"",""))</f>
        <v/>
      </c>
      <c r="K372" s="55" t="str">
        <f aca="false">IF(C372="","",IFERROR(INDEX('شجرة الحسابات'!$I$9:$I$208,MATCH(C372,'شجرة الحسابات'!$A$9:$A$208,0))&amp;"",""))</f>
        <v/>
      </c>
      <c r="L372" s="55" t="str">
        <f aca="false">IF(C372="","",IFERROR(INDEX('شجرة الحسابات'!$C$9:$C$208,MATCH(C372,'شجرة الحسابات'!$A$9:$A$208,0))&amp;"",""))</f>
        <v/>
      </c>
      <c r="M372" s="55" t="str">
        <f aca="false">IF(AND(C372="",G372="",H372=""),"فارغ",IF(ISNA(MATCH(C372,'شجرة الحسابات'!$A$9:$A$208,0)),"حساب غير معرف",IF(L372&lt;&gt;"تحليلي","حساب تجميعي",IF(AND(N(G372)&gt;0,N(H372)&gt;0),"مدين ودائن معاً",IF(N(G372)+N(H372)=0,"بدون قيمة","OK")))))</f>
        <v>فارغ</v>
      </c>
      <c r="N372" s="55" t="str">
        <f aca="false">IF(AND(E372&lt;&gt;"",E372='كشف حساب مشروع'!$C$6,I372="مرحل ✔"),COUNTIFS($E$11:E372,'كشف حساب مشروع'!$C$6,$I$11:I372,"مرحل ✔"),"")</f>
        <v/>
      </c>
      <c r="O372" s="55" t="str">
        <f aca="false">IF(AND(C372&lt;&gt;"",C372='دفتر الأستاذ'!$C$6,I372="مرحل ✔"),COUNTIFS($C$11:C372,'دفتر الأستاذ'!$C$6,$I$11:I372,"مرحل ✔"),"")</f>
        <v/>
      </c>
    </row>
    <row r="373" customFormat="false" ht="15" hidden="false" customHeight="false" outlineLevel="0" collapsed="false">
      <c r="A373" s="49"/>
      <c r="B373" s="50"/>
      <c r="C373" s="49"/>
      <c r="D373" s="51" t="str">
        <f aca="false">IF(C373="","",IFERROR(INDEX('شجرة الحسابات'!$B$9:$B$208,MATCH(C373,'شجرة الحسابات'!$A$9:$A$208,0)),"⚠ حساب غير معرف"))</f>
        <v/>
      </c>
      <c r="E373" s="52"/>
      <c r="F373" s="52"/>
      <c r="G373" s="53"/>
      <c r="H373" s="53"/>
      <c r="I373" s="54" t="str">
        <f aca="false">IF(A373="",IF(M373="فارغ","","✖ بدون رقم قيد"),IF(COUNTIFS('قيود اليومية'!$A$11:$A$1010,A373,'قيود اليومية'!$M$11:$M$1010,"&lt;&gt;OK",'قيود اليومية'!$M$11:$M$1010,"&lt;&gt;فارغ")&gt;0,"✖ خطأ بالحساب",IF(ROUND(SUMIFS('قيود اليومية'!$G$11:$G$1010,'قيود اليومية'!$A$11:$A$1010,A373)-SUMIFS('قيود اليومية'!$H$11:$H$1010,'قيود اليومية'!$A$11:$A$1010,A373),2)&lt;&gt;0,"✖ غير متوازن","مرحل ✔")))</f>
        <v/>
      </c>
      <c r="J373" s="55" t="str">
        <f aca="false">IF(C373="","",IFERROR(INDEX('شجرة الحسابات'!$E$9:$E$208,MATCH(C373,'شجرة الحسابات'!$A$9:$A$208,0))&amp;"",""))</f>
        <v/>
      </c>
      <c r="K373" s="55" t="str">
        <f aca="false">IF(C373="","",IFERROR(INDEX('شجرة الحسابات'!$I$9:$I$208,MATCH(C373,'شجرة الحسابات'!$A$9:$A$208,0))&amp;"",""))</f>
        <v/>
      </c>
      <c r="L373" s="55" t="str">
        <f aca="false">IF(C373="","",IFERROR(INDEX('شجرة الحسابات'!$C$9:$C$208,MATCH(C373,'شجرة الحسابات'!$A$9:$A$208,0))&amp;"",""))</f>
        <v/>
      </c>
      <c r="M373" s="55" t="str">
        <f aca="false">IF(AND(C373="",G373="",H373=""),"فارغ",IF(ISNA(MATCH(C373,'شجرة الحسابات'!$A$9:$A$208,0)),"حساب غير معرف",IF(L373&lt;&gt;"تحليلي","حساب تجميعي",IF(AND(N(G373)&gt;0,N(H373)&gt;0),"مدين ودائن معاً",IF(N(G373)+N(H373)=0,"بدون قيمة","OK")))))</f>
        <v>فارغ</v>
      </c>
      <c r="N373" s="55" t="str">
        <f aca="false">IF(AND(E373&lt;&gt;"",E373='كشف حساب مشروع'!$C$6,I373="مرحل ✔"),COUNTIFS($E$11:E373,'كشف حساب مشروع'!$C$6,$I$11:I373,"مرحل ✔"),"")</f>
        <v/>
      </c>
      <c r="O373" s="55" t="str">
        <f aca="false">IF(AND(C373&lt;&gt;"",C373='دفتر الأستاذ'!$C$6,I373="مرحل ✔"),COUNTIFS($C$11:C373,'دفتر الأستاذ'!$C$6,$I$11:I373,"مرحل ✔"),"")</f>
        <v/>
      </c>
    </row>
    <row r="374" customFormat="false" ht="15" hidden="false" customHeight="false" outlineLevel="0" collapsed="false">
      <c r="A374" s="49"/>
      <c r="B374" s="50"/>
      <c r="C374" s="49"/>
      <c r="D374" s="51" t="str">
        <f aca="false">IF(C374="","",IFERROR(INDEX('شجرة الحسابات'!$B$9:$B$208,MATCH(C374,'شجرة الحسابات'!$A$9:$A$208,0)),"⚠ حساب غير معرف"))</f>
        <v/>
      </c>
      <c r="E374" s="52"/>
      <c r="F374" s="52"/>
      <c r="G374" s="53"/>
      <c r="H374" s="53"/>
      <c r="I374" s="54" t="str">
        <f aca="false">IF(A374="",IF(M374="فارغ","","✖ بدون رقم قيد"),IF(COUNTIFS('قيود اليومية'!$A$11:$A$1010,A374,'قيود اليومية'!$M$11:$M$1010,"&lt;&gt;OK",'قيود اليومية'!$M$11:$M$1010,"&lt;&gt;فارغ")&gt;0,"✖ خطأ بالحساب",IF(ROUND(SUMIFS('قيود اليومية'!$G$11:$G$1010,'قيود اليومية'!$A$11:$A$1010,A374)-SUMIFS('قيود اليومية'!$H$11:$H$1010,'قيود اليومية'!$A$11:$A$1010,A374),2)&lt;&gt;0,"✖ غير متوازن","مرحل ✔")))</f>
        <v/>
      </c>
      <c r="J374" s="55" t="str">
        <f aca="false">IF(C374="","",IFERROR(INDEX('شجرة الحسابات'!$E$9:$E$208,MATCH(C374,'شجرة الحسابات'!$A$9:$A$208,0))&amp;"",""))</f>
        <v/>
      </c>
      <c r="K374" s="55" t="str">
        <f aca="false">IF(C374="","",IFERROR(INDEX('شجرة الحسابات'!$I$9:$I$208,MATCH(C374,'شجرة الحسابات'!$A$9:$A$208,0))&amp;"",""))</f>
        <v/>
      </c>
      <c r="L374" s="55" t="str">
        <f aca="false">IF(C374="","",IFERROR(INDEX('شجرة الحسابات'!$C$9:$C$208,MATCH(C374,'شجرة الحسابات'!$A$9:$A$208,0))&amp;"",""))</f>
        <v/>
      </c>
      <c r="M374" s="55" t="str">
        <f aca="false">IF(AND(C374="",G374="",H374=""),"فارغ",IF(ISNA(MATCH(C374,'شجرة الحسابات'!$A$9:$A$208,0)),"حساب غير معرف",IF(L374&lt;&gt;"تحليلي","حساب تجميعي",IF(AND(N(G374)&gt;0,N(H374)&gt;0),"مدين ودائن معاً",IF(N(G374)+N(H374)=0,"بدون قيمة","OK")))))</f>
        <v>فارغ</v>
      </c>
      <c r="N374" s="55" t="str">
        <f aca="false">IF(AND(E374&lt;&gt;"",E374='كشف حساب مشروع'!$C$6,I374="مرحل ✔"),COUNTIFS($E$11:E374,'كشف حساب مشروع'!$C$6,$I$11:I374,"مرحل ✔"),"")</f>
        <v/>
      </c>
      <c r="O374" s="55" t="str">
        <f aca="false">IF(AND(C374&lt;&gt;"",C374='دفتر الأستاذ'!$C$6,I374="مرحل ✔"),COUNTIFS($C$11:C374,'دفتر الأستاذ'!$C$6,$I$11:I374,"مرحل ✔"),"")</f>
        <v/>
      </c>
    </row>
    <row r="375" customFormat="false" ht="15" hidden="false" customHeight="false" outlineLevel="0" collapsed="false">
      <c r="A375" s="49"/>
      <c r="B375" s="50"/>
      <c r="C375" s="49"/>
      <c r="D375" s="51" t="str">
        <f aca="false">IF(C375="","",IFERROR(INDEX('شجرة الحسابات'!$B$9:$B$208,MATCH(C375,'شجرة الحسابات'!$A$9:$A$208,0)),"⚠ حساب غير معرف"))</f>
        <v/>
      </c>
      <c r="E375" s="52"/>
      <c r="F375" s="52"/>
      <c r="G375" s="53"/>
      <c r="H375" s="53"/>
      <c r="I375" s="54" t="str">
        <f aca="false">IF(A375="",IF(M375="فارغ","","✖ بدون رقم قيد"),IF(COUNTIFS('قيود اليومية'!$A$11:$A$1010,A375,'قيود اليومية'!$M$11:$M$1010,"&lt;&gt;OK",'قيود اليومية'!$M$11:$M$1010,"&lt;&gt;فارغ")&gt;0,"✖ خطأ بالحساب",IF(ROUND(SUMIFS('قيود اليومية'!$G$11:$G$1010,'قيود اليومية'!$A$11:$A$1010,A375)-SUMIFS('قيود اليومية'!$H$11:$H$1010,'قيود اليومية'!$A$11:$A$1010,A375),2)&lt;&gt;0,"✖ غير متوازن","مرحل ✔")))</f>
        <v/>
      </c>
      <c r="J375" s="55" t="str">
        <f aca="false">IF(C375="","",IFERROR(INDEX('شجرة الحسابات'!$E$9:$E$208,MATCH(C375,'شجرة الحسابات'!$A$9:$A$208,0))&amp;"",""))</f>
        <v/>
      </c>
      <c r="K375" s="55" t="str">
        <f aca="false">IF(C375="","",IFERROR(INDEX('شجرة الحسابات'!$I$9:$I$208,MATCH(C375,'شجرة الحسابات'!$A$9:$A$208,0))&amp;"",""))</f>
        <v/>
      </c>
      <c r="L375" s="55" t="str">
        <f aca="false">IF(C375="","",IFERROR(INDEX('شجرة الحسابات'!$C$9:$C$208,MATCH(C375,'شجرة الحسابات'!$A$9:$A$208,0))&amp;"",""))</f>
        <v/>
      </c>
      <c r="M375" s="55" t="str">
        <f aca="false">IF(AND(C375="",G375="",H375=""),"فارغ",IF(ISNA(MATCH(C375,'شجرة الحسابات'!$A$9:$A$208,0)),"حساب غير معرف",IF(L375&lt;&gt;"تحليلي","حساب تجميعي",IF(AND(N(G375)&gt;0,N(H375)&gt;0),"مدين ودائن معاً",IF(N(G375)+N(H375)=0,"بدون قيمة","OK")))))</f>
        <v>فارغ</v>
      </c>
      <c r="N375" s="55" t="str">
        <f aca="false">IF(AND(E375&lt;&gt;"",E375='كشف حساب مشروع'!$C$6,I375="مرحل ✔"),COUNTIFS($E$11:E375,'كشف حساب مشروع'!$C$6,$I$11:I375,"مرحل ✔"),"")</f>
        <v/>
      </c>
      <c r="O375" s="55" t="str">
        <f aca="false">IF(AND(C375&lt;&gt;"",C375='دفتر الأستاذ'!$C$6,I375="مرحل ✔"),COUNTIFS($C$11:C375,'دفتر الأستاذ'!$C$6,$I$11:I375,"مرحل ✔"),"")</f>
        <v/>
      </c>
    </row>
    <row r="376" customFormat="false" ht="15" hidden="false" customHeight="false" outlineLevel="0" collapsed="false">
      <c r="A376" s="49"/>
      <c r="B376" s="50"/>
      <c r="C376" s="49"/>
      <c r="D376" s="51" t="str">
        <f aca="false">IF(C376="","",IFERROR(INDEX('شجرة الحسابات'!$B$9:$B$208,MATCH(C376,'شجرة الحسابات'!$A$9:$A$208,0)),"⚠ حساب غير معرف"))</f>
        <v/>
      </c>
      <c r="E376" s="52"/>
      <c r="F376" s="52"/>
      <c r="G376" s="53"/>
      <c r="H376" s="53"/>
      <c r="I376" s="54" t="str">
        <f aca="false">IF(A376="",IF(M376="فارغ","","✖ بدون رقم قيد"),IF(COUNTIFS('قيود اليومية'!$A$11:$A$1010,A376,'قيود اليومية'!$M$11:$M$1010,"&lt;&gt;OK",'قيود اليومية'!$M$11:$M$1010,"&lt;&gt;فارغ")&gt;0,"✖ خطأ بالحساب",IF(ROUND(SUMIFS('قيود اليومية'!$G$11:$G$1010,'قيود اليومية'!$A$11:$A$1010,A376)-SUMIFS('قيود اليومية'!$H$11:$H$1010,'قيود اليومية'!$A$11:$A$1010,A376),2)&lt;&gt;0,"✖ غير متوازن","مرحل ✔")))</f>
        <v/>
      </c>
      <c r="J376" s="55" t="str">
        <f aca="false">IF(C376="","",IFERROR(INDEX('شجرة الحسابات'!$E$9:$E$208,MATCH(C376,'شجرة الحسابات'!$A$9:$A$208,0))&amp;"",""))</f>
        <v/>
      </c>
      <c r="K376" s="55" t="str">
        <f aca="false">IF(C376="","",IFERROR(INDEX('شجرة الحسابات'!$I$9:$I$208,MATCH(C376,'شجرة الحسابات'!$A$9:$A$208,0))&amp;"",""))</f>
        <v/>
      </c>
      <c r="L376" s="55" t="str">
        <f aca="false">IF(C376="","",IFERROR(INDEX('شجرة الحسابات'!$C$9:$C$208,MATCH(C376,'شجرة الحسابات'!$A$9:$A$208,0))&amp;"",""))</f>
        <v/>
      </c>
      <c r="M376" s="55" t="str">
        <f aca="false">IF(AND(C376="",G376="",H376=""),"فارغ",IF(ISNA(MATCH(C376,'شجرة الحسابات'!$A$9:$A$208,0)),"حساب غير معرف",IF(L376&lt;&gt;"تحليلي","حساب تجميعي",IF(AND(N(G376)&gt;0,N(H376)&gt;0),"مدين ودائن معاً",IF(N(G376)+N(H376)=0,"بدون قيمة","OK")))))</f>
        <v>فارغ</v>
      </c>
      <c r="N376" s="55" t="str">
        <f aca="false">IF(AND(E376&lt;&gt;"",E376='كشف حساب مشروع'!$C$6,I376="مرحل ✔"),COUNTIFS($E$11:E376,'كشف حساب مشروع'!$C$6,$I$11:I376,"مرحل ✔"),"")</f>
        <v/>
      </c>
      <c r="O376" s="55" t="str">
        <f aca="false">IF(AND(C376&lt;&gt;"",C376='دفتر الأستاذ'!$C$6,I376="مرحل ✔"),COUNTIFS($C$11:C376,'دفتر الأستاذ'!$C$6,$I$11:I376,"مرحل ✔"),"")</f>
        <v/>
      </c>
    </row>
    <row r="377" customFormat="false" ht="15" hidden="false" customHeight="false" outlineLevel="0" collapsed="false">
      <c r="A377" s="49"/>
      <c r="B377" s="50"/>
      <c r="C377" s="49"/>
      <c r="D377" s="51" t="str">
        <f aca="false">IF(C377="","",IFERROR(INDEX('شجرة الحسابات'!$B$9:$B$208,MATCH(C377,'شجرة الحسابات'!$A$9:$A$208,0)),"⚠ حساب غير معرف"))</f>
        <v/>
      </c>
      <c r="E377" s="52"/>
      <c r="F377" s="52"/>
      <c r="G377" s="53"/>
      <c r="H377" s="53"/>
      <c r="I377" s="54" t="str">
        <f aca="false">IF(A377="",IF(M377="فارغ","","✖ بدون رقم قيد"),IF(COUNTIFS('قيود اليومية'!$A$11:$A$1010,A377,'قيود اليومية'!$M$11:$M$1010,"&lt;&gt;OK",'قيود اليومية'!$M$11:$M$1010,"&lt;&gt;فارغ")&gt;0,"✖ خطأ بالحساب",IF(ROUND(SUMIFS('قيود اليومية'!$G$11:$G$1010,'قيود اليومية'!$A$11:$A$1010,A377)-SUMIFS('قيود اليومية'!$H$11:$H$1010,'قيود اليومية'!$A$11:$A$1010,A377),2)&lt;&gt;0,"✖ غير متوازن","مرحل ✔")))</f>
        <v/>
      </c>
      <c r="J377" s="55" t="str">
        <f aca="false">IF(C377="","",IFERROR(INDEX('شجرة الحسابات'!$E$9:$E$208,MATCH(C377,'شجرة الحسابات'!$A$9:$A$208,0))&amp;"",""))</f>
        <v/>
      </c>
      <c r="K377" s="55" t="str">
        <f aca="false">IF(C377="","",IFERROR(INDEX('شجرة الحسابات'!$I$9:$I$208,MATCH(C377,'شجرة الحسابات'!$A$9:$A$208,0))&amp;"",""))</f>
        <v/>
      </c>
      <c r="L377" s="55" t="str">
        <f aca="false">IF(C377="","",IFERROR(INDEX('شجرة الحسابات'!$C$9:$C$208,MATCH(C377,'شجرة الحسابات'!$A$9:$A$208,0))&amp;"",""))</f>
        <v/>
      </c>
      <c r="M377" s="55" t="str">
        <f aca="false">IF(AND(C377="",G377="",H377=""),"فارغ",IF(ISNA(MATCH(C377,'شجرة الحسابات'!$A$9:$A$208,0)),"حساب غير معرف",IF(L377&lt;&gt;"تحليلي","حساب تجميعي",IF(AND(N(G377)&gt;0,N(H377)&gt;0),"مدين ودائن معاً",IF(N(G377)+N(H377)=0,"بدون قيمة","OK")))))</f>
        <v>فارغ</v>
      </c>
      <c r="N377" s="55" t="str">
        <f aca="false">IF(AND(E377&lt;&gt;"",E377='كشف حساب مشروع'!$C$6,I377="مرحل ✔"),COUNTIFS($E$11:E377,'كشف حساب مشروع'!$C$6,$I$11:I377,"مرحل ✔"),"")</f>
        <v/>
      </c>
      <c r="O377" s="55" t="str">
        <f aca="false">IF(AND(C377&lt;&gt;"",C377='دفتر الأستاذ'!$C$6,I377="مرحل ✔"),COUNTIFS($C$11:C377,'دفتر الأستاذ'!$C$6,$I$11:I377,"مرحل ✔"),"")</f>
        <v/>
      </c>
    </row>
    <row r="378" customFormat="false" ht="15" hidden="false" customHeight="false" outlineLevel="0" collapsed="false">
      <c r="A378" s="49"/>
      <c r="B378" s="50"/>
      <c r="C378" s="49"/>
      <c r="D378" s="51" t="str">
        <f aca="false">IF(C378="","",IFERROR(INDEX('شجرة الحسابات'!$B$9:$B$208,MATCH(C378,'شجرة الحسابات'!$A$9:$A$208,0)),"⚠ حساب غير معرف"))</f>
        <v/>
      </c>
      <c r="E378" s="52"/>
      <c r="F378" s="52"/>
      <c r="G378" s="53"/>
      <c r="H378" s="53"/>
      <c r="I378" s="54" t="str">
        <f aca="false">IF(A378="",IF(M378="فارغ","","✖ بدون رقم قيد"),IF(COUNTIFS('قيود اليومية'!$A$11:$A$1010,A378,'قيود اليومية'!$M$11:$M$1010,"&lt;&gt;OK",'قيود اليومية'!$M$11:$M$1010,"&lt;&gt;فارغ")&gt;0,"✖ خطأ بالحساب",IF(ROUND(SUMIFS('قيود اليومية'!$G$11:$G$1010,'قيود اليومية'!$A$11:$A$1010,A378)-SUMIFS('قيود اليومية'!$H$11:$H$1010,'قيود اليومية'!$A$11:$A$1010,A378),2)&lt;&gt;0,"✖ غير متوازن","مرحل ✔")))</f>
        <v/>
      </c>
      <c r="J378" s="55" t="str">
        <f aca="false">IF(C378="","",IFERROR(INDEX('شجرة الحسابات'!$E$9:$E$208,MATCH(C378,'شجرة الحسابات'!$A$9:$A$208,0))&amp;"",""))</f>
        <v/>
      </c>
      <c r="K378" s="55" t="str">
        <f aca="false">IF(C378="","",IFERROR(INDEX('شجرة الحسابات'!$I$9:$I$208,MATCH(C378,'شجرة الحسابات'!$A$9:$A$208,0))&amp;"",""))</f>
        <v/>
      </c>
      <c r="L378" s="55" t="str">
        <f aca="false">IF(C378="","",IFERROR(INDEX('شجرة الحسابات'!$C$9:$C$208,MATCH(C378,'شجرة الحسابات'!$A$9:$A$208,0))&amp;"",""))</f>
        <v/>
      </c>
      <c r="M378" s="55" t="str">
        <f aca="false">IF(AND(C378="",G378="",H378=""),"فارغ",IF(ISNA(MATCH(C378,'شجرة الحسابات'!$A$9:$A$208,0)),"حساب غير معرف",IF(L378&lt;&gt;"تحليلي","حساب تجميعي",IF(AND(N(G378)&gt;0,N(H378)&gt;0),"مدين ودائن معاً",IF(N(G378)+N(H378)=0,"بدون قيمة","OK")))))</f>
        <v>فارغ</v>
      </c>
      <c r="N378" s="55" t="str">
        <f aca="false">IF(AND(E378&lt;&gt;"",E378='كشف حساب مشروع'!$C$6,I378="مرحل ✔"),COUNTIFS($E$11:E378,'كشف حساب مشروع'!$C$6,$I$11:I378,"مرحل ✔"),"")</f>
        <v/>
      </c>
      <c r="O378" s="55" t="str">
        <f aca="false">IF(AND(C378&lt;&gt;"",C378='دفتر الأستاذ'!$C$6,I378="مرحل ✔"),COUNTIFS($C$11:C378,'دفتر الأستاذ'!$C$6,$I$11:I378,"مرحل ✔"),"")</f>
        <v/>
      </c>
    </row>
    <row r="379" customFormat="false" ht="15" hidden="false" customHeight="false" outlineLevel="0" collapsed="false">
      <c r="A379" s="49"/>
      <c r="B379" s="50"/>
      <c r="C379" s="49"/>
      <c r="D379" s="51" t="str">
        <f aca="false">IF(C379="","",IFERROR(INDEX('شجرة الحسابات'!$B$9:$B$208,MATCH(C379,'شجرة الحسابات'!$A$9:$A$208,0)),"⚠ حساب غير معرف"))</f>
        <v/>
      </c>
      <c r="E379" s="52"/>
      <c r="F379" s="52"/>
      <c r="G379" s="53"/>
      <c r="H379" s="53"/>
      <c r="I379" s="54" t="str">
        <f aca="false">IF(A379="",IF(M379="فارغ","","✖ بدون رقم قيد"),IF(COUNTIFS('قيود اليومية'!$A$11:$A$1010,A379,'قيود اليومية'!$M$11:$M$1010,"&lt;&gt;OK",'قيود اليومية'!$M$11:$M$1010,"&lt;&gt;فارغ")&gt;0,"✖ خطأ بالحساب",IF(ROUND(SUMIFS('قيود اليومية'!$G$11:$G$1010,'قيود اليومية'!$A$11:$A$1010,A379)-SUMIFS('قيود اليومية'!$H$11:$H$1010,'قيود اليومية'!$A$11:$A$1010,A379),2)&lt;&gt;0,"✖ غير متوازن","مرحل ✔")))</f>
        <v/>
      </c>
      <c r="J379" s="55" t="str">
        <f aca="false">IF(C379="","",IFERROR(INDEX('شجرة الحسابات'!$E$9:$E$208,MATCH(C379,'شجرة الحسابات'!$A$9:$A$208,0))&amp;"",""))</f>
        <v/>
      </c>
      <c r="K379" s="55" t="str">
        <f aca="false">IF(C379="","",IFERROR(INDEX('شجرة الحسابات'!$I$9:$I$208,MATCH(C379,'شجرة الحسابات'!$A$9:$A$208,0))&amp;"",""))</f>
        <v/>
      </c>
      <c r="L379" s="55" t="str">
        <f aca="false">IF(C379="","",IFERROR(INDEX('شجرة الحسابات'!$C$9:$C$208,MATCH(C379,'شجرة الحسابات'!$A$9:$A$208,0))&amp;"",""))</f>
        <v/>
      </c>
      <c r="M379" s="55" t="str">
        <f aca="false">IF(AND(C379="",G379="",H379=""),"فارغ",IF(ISNA(MATCH(C379,'شجرة الحسابات'!$A$9:$A$208,0)),"حساب غير معرف",IF(L379&lt;&gt;"تحليلي","حساب تجميعي",IF(AND(N(G379)&gt;0,N(H379)&gt;0),"مدين ودائن معاً",IF(N(G379)+N(H379)=0,"بدون قيمة","OK")))))</f>
        <v>فارغ</v>
      </c>
      <c r="N379" s="55" t="str">
        <f aca="false">IF(AND(E379&lt;&gt;"",E379='كشف حساب مشروع'!$C$6,I379="مرحل ✔"),COUNTIFS($E$11:E379,'كشف حساب مشروع'!$C$6,$I$11:I379,"مرحل ✔"),"")</f>
        <v/>
      </c>
      <c r="O379" s="55" t="str">
        <f aca="false">IF(AND(C379&lt;&gt;"",C379='دفتر الأستاذ'!$C$6,I379="مرحل ✔"),COUNTIFS($C$11:C379,'دفتر الأستاذ'!$C$6,$I$11:I379,"مرحل ✔"),"")</f>
        <v/>
      </c>
    </row>
    <row r="380" customFormat="false" ht="15" hidden="false" customHeight="false" outlineLevel="0" collapsed="false">
      <c r="A380" s="49"/>
      <c r="B380" s="50"/>
      <c r="C380" s="49"/>
      <c r="D380" s="51" t="str">
        <f aca="false">IF(C380="","",IFERROR(INDEX('شجرة الحسابات'!$B$9:$B$208,MATCH(C380,'شجرة الحسابات'!$A$9:$A$208,0)),"⚠ حساب غير معرف"))</f>
        <v/>
      </c>
      <c r="E380" s="52"/>
      <c r="F380" s="52"/>
      <c r="G380" s="53"/>
      <c r="H380" s="53"/>
      <c r="I380" s="54" t="str">
        <f aca="false">IF(A380="",IF(M380="فارغ","","✖ بدون رقم قيد"),IF(COUNTIFS('قيود اليومية'!$A$11:$A$1010,A380,'قيود اليومية'!$M$11:$M$1010,"&lt;&gt;OK",'قيود اليومية'!$M$11:$M$1010,"&lt;&gt;فارغ")&gt;0,"✖ خطأ بالحساب",IF(ROUND(SUMIFS('قيود اليومية'!$G$11:$G$1010,'قيود اليومية'!$A$11:$A$1010,A380)-SUMIFS('قيود اليومية'!$H$11:$H$1010,'قيود اليومية'!$A$11:$A$1010,A380),2)&lt;&gt;0,"✖ غير متوازن","مرحل ✔")))</f>
        <v/>
      </c>
      <c r="J380" s="55" t="str">
        <f aca="false">IF(C380="","",IFERROR(INDEX('شجرة الحسابات'!$E$9:$E$208,MATCH(C380,'شجرة الحسابات'!$A$9:$A$208,0))&amp;"",""))</f>
        <v/>
      </c>
      <c r="K380" s="55" t="str">
        <f aca="false">IF(C380="","",IFERROR(INDEX('شجرة الحسابات'!$I$9:$I$208,MATCH(C380,'شجرة الحسابات'!$A$9:$A$208,0))&amp;"",""))</f>
        <v/>
      </c>
      <c r="L380" s="55" t="str">
        <f aca="false">IF(C380="","",IFERROR(INDEX('شجرة الحسابات'!$C$9:$C$208,MATCH(C380,'شجرة الحسابات'!$A$9:$A$208,0))&amp;"",""))</f>
        <v/>
      </c>
      <c r="M380" s="55" t="str">
        <f aca="false">IF(AND(C380="",G380="",H380=""),"فارغ",IF(ISNA(MATCH(C380,'شجرة الحسابات'!$A$9:$A$208,0)),"حساب غير معرف",IF(L380&lt;&gt;"تحليلي","حساب تجميعي",IF(AND(N(G380)&gt;0,N(H380)&gt;0),"مدين ودائن معاً",IF(N(G380)+N(H380)=0,"بدون قيمة","OK")))))</f>
        <v>فارغ</v>
      </c>
      <c r="N380" s="55" t="str">
        <f aca="false">IF(AND(E380&lt;&gt;"",E380='كشف حساب مشروع'!$C$6,I380="مرحل ✔"),COUNTIFS($E$11:E380,'كشف حساب مشروع'!$C$6,$I$11:I380,"مرحل ✔"),"")</f>
        <v/>
      </c>
      <c r="O380" s="55" t="str">
        <f aca="false">IF(AND(C380&lt;&gt;"",C380='دفتر الأستاذ'!$C$6,I380="مرحل ✔"),COUNTIFS($C$11:C380,'دفتر الأستاذ'!$C$6,$I$11:I380,"مرحل ✔"),"")</f>
        <v/>
      </c>
    </row>
    <row r="381" customFormat="false" ht="15" hidden="false" customHeight="false" outlineLevel="0" collapsed="false">
      <c r="A381" s="49"/>
      <c r="B381" s="50"/>
      <c r="C381" s="49"/>
      <c r="D381" s="51" t="str">
        <f aca="false">IF(C381="","",IFERROR(INDEX('شجرة الحسابات'!$B$9:$B$208,MATCH(C381,'شجرة الحسابات'!$A$9:$A$208,0)),"⚠ حساب غير معرف"))</f>
        <v/>
      </c>
      <c r="E381" s="52"/>
      <c r="F381" s="52"/>
      <c r="G381" s="53"/>
      <c r="H381" s="53"/>
      <c r="I381" s="54" t="str">
        <f aca="false">IF(A381="",IF(M381="فارغ","","✖ بدون رقم قيد"),IF(COUNTIFS('قيود اليومية'!$A$11:$A$1010,A381,'قيود اليومية'!$M$11:$M$1010,"&lt;&gt;OK",'قيود اليومية'!$M$11:$M$1010,"&lt;&gt;فارغ")&gt;0,"✖ خطأ بالحساب",IF(ROUND(SUMIFS('قيود اليومية'!$G$11:$G$1010,'قيود اليومية'!$A$11:$A$1010,A381)-SUMIFS('قيود اليومية'!$H$11:$H$1010,'قيود اليومية'!$A$11:$A$1010,A381),2)&lt;&gt;0,"✖ غير متوازن","مرحل ✔")))</f>
        <v/>
      </c>
      <c r="J381" s="55" t="str">
        <f aca="false">IF(C381="","",IFERROR(INDEX('شجرة الحسابات'!$E$9:$E$208,MATCH(C381,'شجرة الحسابات'!$A$9:$A$208,0))&amp;"",""))</f>
        <v/>
      </c>
      <c r="K381" s="55" t="str">
        <f aca="false">IF(C381="","",IFERROR(INDEX('شجرة الحسابات'!$I$9:$I$208,MATCH(C381,'شجرة الحسابات'!$A$9:$A$208,0))&amp;"",""))</f>
        <v/>
      </c>
      <c r="L381" s="55" t="str">
        <f aca="false">IF(C381="","",IFERROR(INDEX('شجرة الحسابات'!$C$9:$C$208,MATCH(C381,'شجرة الحسابات'!$A$9:$A$208,0))&amp;"",""))</f>
        <v/>
      </c>
      <c r="M381" s="55" t="str">
        <f aca="false">IF(AND(C381="",G381="",H381=""),"فارغ",IF(ISNA(MATCH(C381,'شجرة الحسابات'!$A$9:$A$208,0)),"حساب غير معرف",IF(L381&lt;&gt;"تحليلي","حساب تجميعي",IF(AND(N(G381)&gt;0,N(H381)&gt;0),"مدين ودائن معاً",IF(N(G381)+N(H381)=0,"بدون قيمة","OK")))))</f>
        <v>فارغ</v>
      </c>
      <c r="N381" s="55" t="str">
        <f aca="false">IF(AND(E381&lt;&gt;"",E381='كشف حساب مشروع'!$C$6,I381="مرحل ✔"),COUNTIFS($E$11:E381,'كشف حساب مشروع'!$C$6,$I$11:I381,"مرحل ✔"),"")</f>
        <v/>
      </c>
      <c r="O381" s="55" t="str">
        <f aca="false">IF(AND(C381&lt;&gt;"",C381='دفتر الأستاذ'!$C$6,I381="مرحل ✔"),COUNTIFS($C$11:C381,'دفتر الأستاذ'!$C$6,$I$11:I381,"مرحل ✔"),"")</f>
        <v/>
      </c>
    </row>
    <row r="382" customFormat="false" ht="15" hidden="false" customHeight="false" outlineLevel="0" collapsed="false">
      <c r="A382" s="49"/>
      <c r="B382" s="50"/>
      <c r="C382" s="49"/>
      <c r="D382" s="51" t="str">
        <f aca="false">IF(C382="","",IFERROR(INDEX('شجرة الحسابات'!$B$9:$B$208,MATCH(C382,'شجرة الحسابات'!$A$9:$A$208,0)),"⚠ حساب غير معرف"))</f>
        <v/>
      </c>
      <c r="E382" s="52"/>
      <c r="F382" s="52"/>
      <c r="G382" s="53"/>
      <c r="H382" s="53"/>
      <c r="I382" s="54" t="str">
        <f aca="false">IF(A382="",IF(M382="فارغ","","✖ بدون رقم قيد"),IF(COUNTIFS('قيود اليومية'!$A$11:$A$1010,A382,'قيود اليومية'!$M$11:$M$1010,"&lt;&gt;OK",'قيود اليومية'!$M$11:$M$1010,"&lt;&gt;فارغ")&gt;0,"✖ خطأ بالحساب",IF(ROUND(SUMIFS('قيود اليومية'!$G$11:$G$1010,'قيود اليومية'!$A$11:$A$1010,A382)-SUMIFS('قيود اليومية'!$H$11:$H$1010,'قيود اليومية'!$A$11:$A$1010,A382),2)&lt;&gt;0,"✖ غير متوازن","مرحل ✔")))</f>
        <v/>
      </c>
      <c r="J382" s="55" t="str">
        <f aca="false">IF(C382="","",IFERROR(INDEX('شجرة الحسابات'!$E$9:$E$208,MATCH(C382,'شجرة الحسابات'!$A$9:$A$208,0))&amp;"",""))</f>
        <v/>
      </c>
      <c r="K382" s="55" t="str">
        <f aca="false">IF(C382="","",IFERROR(INDEX('شجرة الحسابات'!$I$9:$I$208,MATCH(C382,'شجرة الحسابات'!$A$9:$A$208,0))&amp;"",""))</f>
        <v/>
      </c>
      <c r="L382" s="55" t="str">
        <f aca="false">IF(C382="","",IFERROR(INDEX('شجرة الحسابات'!$C$9:$C$208,MATCH(C382,'شجرة الحسابات'!$A$9:$A$208,0))&amp;"",""))</f>
        <v/>
      </c>
      <c r="M382" s="55" t="str">
        <f aca="false">IF(AND(C382="",G382="",H382=""),"فارغ",IF(ISNA(MATCH(C382,'شجرة الحسابات'!$A$9:$A$208,0)),"حساب غير معرف",IF(L382&lt;&gt;"تحليلي","حساب تجميعي",IF(AND(N(G382)&gt;0,N(H382)&gt;0),"مدين ودائن معاً",IF(N(G382)+N(H382)=0,"بدون قيمة","OK")))))</f>
        <v>فارغ</v>
      </c>
      <c r="N382" s="55" t="str">
        <f aca="false">IF(AND(E382&lt;&gt;"",E382='كشف حساب مشروع'!$C$6,I382="مرحل ✔"),COUNTIFS($E$11:E382,'كشف حساب مشروع'!$C$6,$I$11:I382,"مرحل ✔"),"")</f>
        <v/>
      </c>
      <c r="O382" s="55" t="str">
        <f aca="false">IF(AND(C382&lt;&gt;"",C382='دفتر الأستاذ'!$C$6,I382="مرحل ✔"),COUNTIFS($C$11:C382,'دفتر الأستاذ'!$C$6,$I$11:I382,"مرحل ✔"),"")</f>
        <v/>
      </c>
    </row>
    <row r="383" customFormat="false" ht="15" hidden="false" customHeight="false" outlineLevel="0" collapsed="false">
      <c r="A383" s="49"/>
      <c r="B383" s="50"/>
      <c r="C383" s="49"/>
      <c r="D383" s="51" t="str">
        <f aca="false">IF(C383="","",IFERROR(INDEX('شجرة الحسابات'!$B$9:$B$208,MATCH(C383,'شجرة الحسابات'!$A$9:$A$208,0)),"⚠ حساب غير معرف"))</f>
        <v/>
      </c>
      <c r="E383" s="52"/>
      <c r="F383" s="52"/>
      <c r="G383" s="53"/>
      <c r="H383" s="53"/>
      <c r="I383" s="54" t="str">
        <f aca="false">IF(A383="",IF(M383="فارغ","","✖ بدون رقم قيد"),IF(COUNTIFS('قيود اليومية'!$A$11:$A$1010,A383,'قيود اليومية'!$M$11:$M$1010,"&lt;&gt;OK",'قيود اليومية'!$M$11:$M$1010,"&lt;&gt;فارغ")&gt;0,"✖ خطأ بالحساب",IF(ROUND(SUMIFS('قيود اليومية'!$G$11:$G$1010,'قيود اليومية'!$A$11:$A$1010,A383)-SUMIFS('قيود اليومية'!$H$11:$H$1010,'قيود اليومية'!$A$11:$A$1010,A383),2)&lt;&gt;0,"✖ غير متوازن","مرحل ✔")))</f>
        <v/>
      </c>
      <c r="J383" s="55" t="str">
        <f aca="false">IF(C383="","",IFERROR(INDEX('شجرة الحسابات'!$E$9:$E$208,MATCH(C383,'شجرة الحسابات'!$A$9:$A$208,0))&amp;"",""))</f>
        <v/>
      </c>
      <c r="K383" s="55" t="str">
        <f aca="false">IF(C383="","",IFERROR(INDEX('شجرة الحسابات'!$I$9:$I$208,MATCH(C383,'شجرة الحسابات'!$A$9:$A$208,0))&amp;"",""))</f>
        <v/>
      </c>
      <c r="L383" s="55" t="str">
        <f aca="false">IF(C383="","",IFERROR(INDEX('شجرة الحسابات'!$C$9:$C$208,MATCH(C383,'شجرة الحسابات'!$A$9:$A$208,0))&amp;"",""))</f>
        <v/>
      </c>
      <c r="M383" s="55" t="str">
        <f aca="false">IF(AND(C383="",G383="",H383=""),"فارغ",IF(ISNA(MATCH(C383,'شجرة الحسابات'!$A$9:$A$208,0)),"حساب غير معرف",IF(L383&lt;&gt;"تحليلي","حساب تجميعي",IF(AND(N(G383)&gt;0,N(H383)&gt;0),"مدين ودائن معاً",IF(N(G383)+N(H383)=0,"بدون قيمة","OK")))))</f>
        <v>فارغ</v>
      </c>
      <c r="N383" s="55" t="str">
        <f aca="false">IF(AND(E383&lt;&gt;"",E383='كشف حساب مشروع'!$C$6,I383="مرحل ✔"),COUNTIFS($E$11:E383,'كشف حساب مشروع'!$C$6,$I$11:I383,"مرحل ✔"),"")</f>
        <v/>
      </c>
      <c r="O383" s="55" t="str">
        <f aca="false">IF(AND(C383&lt;&gt;"",C383='دفتر الأستاذ'!$C$6,I383="مرحل ✔"),COUNTIFS($C$11:C383,'دفتر الأستاذ'!$C$6,$I$11:I383,"مرحل ✔"),"")</f>
        <v/>
      </c>
    </row>
    <row r="384" customFormat="false" ht="15" hidden="false" customHeight="false" outlineLevel="0" collapsed="false">
      <c r="A384" s="49"/>
      <c r="B384" s="50"/>
      <c r="C384" s="49"/>
      <c r="D384" s="51" t="str">
        <f aca="false">IF(C384="","",IFERROR(INDEX('شجرة الحسابات'!$B$9:$B$208,MATCH(C384,'شجرة الحسابات'!$A$9:$A$208,0)),"⚠ حساب غير معرف"))</f>
        <v/>
      </c>
      <c r="E384" s="52"/>
      <c r="F384" s="52"/>
      <c r="G384" s="53"/>
      <c r="H384" s="53"/>
      <c r="I384" s="54" t="str">
        <f aca="false">IF(A384="",IF(M384="فارغ","","✖ بدون رقم قيد"),IF(COUNTIFS('قيود اليومية'!$A$11:$A$1010,A384,'قيود اليومية'!$M$11:$M$1010,"&lt;&gt;OK",'قيود اليومية'!$M$11:$M$1010,"&lt;&gt;فارغ")&gt;0,"✖ خطأ بالحساب",IF(ROUND(SUMIFS('قيود اليومية'!$G$11:$G$1010,'قيود اليومية'!$A$11:$A$1010,A384)-SUMIFS('قيود اليومية'!$H$11:$H$1010,'قيود اليومية'!$A$11:$A$1010,A384),2)&lt;&gt;0,"✖ غير متوازن","مرحل ✔")))</f>
        <v/>
      </c>
      <c r="J384" s="55" t="str">
        <f aca="false">IF(C384="","",IFERROR(INDEX('شجرة الحسابات'!$E$9:$E$208,MATCH(C384,'شجرة الحسابات'!$A$9:$A$208,0))&amp;"",""))</f>
        <v/>
      </c>
      <c r="K384" s="55" t="str">
        <f aca="false">IF(C384="","",IFERROR(INDEX('شجرة الحسابات'!$I$9:$I$208,MATCH(C384,'شجرة الحسابات'!$A$9:$A$208,0))&amp;"",""))</f>
        <v/>
      </c>
      <c r="L384" s="55" t="str">
        <f aca="false">IF(C384="","",IFERROR(INDEX('شجرة الحسابات'!$C$9:$C$208,MATCH(C384,'شجرة الحسابات'!$A$9:$A$208,0))&amp;"",""))</f>
        <v/>
      </c>
      <c r="M384" s="55" t="str">
        <f aca="false">IF(AND(C384="",G384="",H384=""),"فارغ",IF(ISNA(MATCH(C384,'شجرة الحسابات'!$A$9:$A$208,0)),"حساب غير معرف",IF(L384&lt;&gt;"تحليلي","حساب تجميعي",IF(AND(N(G384)&gt;0,N(H384)&gt;0),"مدين ودائن معاً",IF(N(G384)+N(H384)=0,"بدون قيمة","OK")))))</f>
        <v>فارغ</v>
      </c>
      <c r="N384" s="55" t="str">
        <f aca="false">IF(AND(E384&lt;&gt;"",E384='كشف حساب مشروع'!$C$6,I384="مرحل ✔"),COUNTIFS($E$11:E384,'كشف حساب مشروع'!$C$6,$I$11:I384,"مرحل ✔"),"")</f>
        <v/>
      </c>
      <c r="O384" s="55" t="str">
        <f aca="false">IF(AND(C384&lt;&gt;"",C384='دفتر الأستاذ'!$C$6,I384="مرحل ✔"),COUNTIFS($C$11:C384,'دفتر الأستاذ'!$C$6,$I$11:I384,"مرحل ✔"),"")</f>
        <v/>
      </c>
    </row>
    <row r="385" customFormat="false" ht="15" hidden="false" customHeight="false" outlineLevel="0" collapsed="false">
      <c r="A385" s="49"/>
      <c r="B385" s="50"/>
      <c r="C385" s="49"/>
      <c r="D385" s="51" t="str">
        <f aca="false">IF(C385="","",IFERROR(INDEX('شجرة الحسابات'!$B$9:$B$208,MATCH(C385,'شجرة الحسابات'!$A$9:$A$208,0)),"⚠ حساب غير معرف"))</f>
        <v/>
      </c>
      <c r="E385" s="52"/>
      <c r="F385" s="52"/>
      <c r="G385" s="53"/>
      <c r="H385" s="53"/>
      <c r="I385" s="54" t="str">
        <f aca="false">IF(A385="",IF(M385="فارغ","","✖ بدون رقم قيد"),IF(COUNTIFS('قيود اليومية'!$A$11:$A$1010,A385,'قيود اليومية'!$M$11:$M$1010,"&lt;&gt;OK",'قيود اليومية'!$M$11:$M$1010,"&lt;&gt;فارغ")&gt;0,"✖ خطأ بالحساب",IF(ROUND(SUMIFS('قيود اليومية'!$G$11:$G$1010,'قيود اليومية'!$A$11:$A$1010,A385)-SUMIFS('قيود اليومية'!$H$11:$H$1010,'قيود اليومية'!$A$11:$A$1010,A385),2)&lt;&gt;0,"✖ غير متوازن","مرحل ✔")))</f>
        <v/>
      </c>
      <c r="J385" s="55" t="str">
        <f aca="false">IF(C385="","",IFERROR(INDEX('شجرة الحسابات'!$E$9:$E$208,MATCH(C385,'شجرة الحسابات'!$A$9:$A$208,0))&amp;"",""))</f>
        <v/>
      </c>
      <c r="K385" s="55" t="str">
        <f aca="false">IF(C385="","",IFERROR(INDEX('شجرة الحسابات'!$I$9:$I$208,MATCH(C385,'شجرة الحسابات'!$A$9:$A$208,0))&amp;"",""))</f>
        <v/>
      </c>
      <c r="L385" s="55" t="str">
        <f aca="false">IF(C385="","",IFERROR(INDEX('شجرة الحسابات'!$C$9:$C$208,MATCH(C385,'شجرة الحسابات'!$A$9:$A$208,0))&amp;"",""))</f>
        <v/>
      </c>
      <c r="M385" s="55" t="str">
        <f aca="false">IF(AND(C385="",G385="",H385=""),"فارغ",IF(ISNA(MATCH(C385,'شجرة الحسابات'!$A$9:$A$208,0)),"حساب غير معرف",IF(L385&lt;&gt;"تحليلي","حساب تجميعي",IF(AND(N(G385)&gt;0,N(H385)&gt;0),"مدين ودائن معاً",IF(N(G385)+N(H385)=0,"بدون قيمة","OK")))))</f>
        <v>فارغ</v>
      </c>
      <c r="N385" s="55" t="str">
        <f aca="false">IF(AND(E385&lt;&gt;"",E385='كشف حساب مشروع'!$C$6,I385="مرحل ✔"),COUNTIFS($E$11:E385,'كشف حساب مشروع'!$C$6,$I$11:I385,"مرحل ✔"),"")</f>
        <v/>
      </c>
      <c r="O385" s="55" t="str">
        <f aca="false">IF(AND(C385&lt;&gt;"",C385='دفتر الأستاذ'!$C$6,I385="مرحل ✔"),COUNTIFS($C$11:C385,'دفتر الأستاذ'!$C$6,$I$11:I385,"مرحل ✔"),"")</f>
        <v/>
      </c>
    </row>
    <row r="386" customFormat="false" ht="15" hidden="false" customHeight="false" outlineLevel="0" collapsed="false">
      <c r="A386" s="49"/>
      <c r="B386" s="50"/>
      <c r="C386" s="49"/>
      <c r="D386" s="51" t="str">
        <f aca="false">IF(C386="","",IFERROR(INDEX('شجرة الحسابات'!$B$9:$B$208,MATCH(C386,'شجرة الحسابات'!$A$9:$A$208,0)),"⚠ حساب غير معرف"))</f>
        <v/>
      </c>
      <c r="E386" s="52"/>
      <c r="F386" s="52"/>
      <c r="G386" s="53"/>
      <c r="H386" s="53"/>
      <c r="I386" s="54" t="str">
        <f aca="false">IF(A386="",IF(M386="فارغ","","✖ بدون رقم قيد"),IF(COUNTIFS('قيود اليومية'!$A$11:$A$1010,A386,'قيود اليومية'!$M$11:$M$1010,"&lt;&gt;OK",'قيود اليومية'!$M$11:$M$1010,"&lt;&gt;فارغ")&gt;0,"✖ خطأ بالحساب",IF(ROUND(SUMIFS('قيود اليومية'!$G$11:$G$1010,'قيود اليومية'!$A$11:$A$1010,A386)-SUMIFS('قيود اليومية'!$H$11:$H$1010,'قيود اليومية'!$A$11:$A$1010,A386),2)&lt;&gt;0,"✖ غير متوازن","مرحل ✔")))</f>
        <v/>
      </c>
      <c r="J386" s="55" t="str">
        <f aca="false">IF(C386="","",IFERROR(INDEX('شجرة الحسابات'!$E$9:$E$208,MATCH(C386,'شجرة الحسابات'!$A$9:$A$208,0))&amp;"",""))</f>
        <v/>
      </c>
      <c r="K386" s="55" t="str">
        <f aca="false">IF(C386="","",IFERROR(INDEX('شجرة الحسابات'!$I$9:$I$208,MATCH(C386,'شجرة الحسابات'!$A$9:$A$208,0))&amp;"",""))</f>
        <v/>
      </c>
      <c r="L386" s="55" t="str">
        <f aca="false">IF(C386="","",IFERROR(INDEX('شجرة الحسابات'!$C$9:$C$208,MATCH(C386,'شجرة الحسابات'!$A$9:$A$208,0))&amp;"",""))</f>
        <v/>
      </c>
      <c r="M386" s="55" t="str">
        <f aca="false">IF(AND(C386="",G386="",H386=""),"فارغ",IF(ISNA(MATCH(C386,'شجرة الحسابات'!$A$9:$A$208,0)),"حساب غير معرف",IF(L386&lt;&gt;"تحليلي","حساب تجميعي",IF(AND(N(G386)&gt;0,N(H386)&gt;0),"مدين ودائن معاً",IF(N(G386)+N(H386)=0,"بدون قيمة","OK")))))</f>
        <v>فارغ</v>
      </c>
      <c r="N386" s="55" t="str">
        <f aca="false">IF(AND(E386&lt;&gt;"",E386='كشف حساب مشروع'!$C$6,I386="مرحل ✔"),COUNTIFS($E$11:E386,'كشف حساب مشروع'!$C$6,$I$11:I386,"مرحل ✔"),"")</f>
        <v/>
      </c>
      <c r="O386" s="55" t="str">
        <f aca="false">IF(AND(C386&lt;&gt;"",C386='دفتر الأستاذ'!$C$6,I386="مرحل ✔"),COUNTIFS($C$11:C386,'دفتر الأستاذ'!$C$6,$I$11:I386,"مرحل ✔"),"")</f>
        <v/>
      </c>
    </row>
    <row r="387" customFormat="false" ht="15" hidden="false" customHeight="false" outlineLevel="0" collapsed="false">
      <c r="A387" s="49"/>
      <c r="B387" s="50"/>
      <c r="C387" s="49"/>
      <c r="D387" s="51" t="str">
        <f aca="false">IF(C387="","",IFERROR(INDEX('شجرة الحسابات'!$B$9:$B$208,MATCH(C387,'شجرة الحسابات'!$A$9:$A$208,0)),"⚠ حساب غير معرف"))</f>
        <v/>
      </c>
      <c r="E387" s="52"/>
      <c r="F387" s="52"/>
      <c r="G387" s="53"/>
      <c r="H387" s="53"/>
      <c r="I387" s="54" t="str">
        <f aca="false">IF(A387="",IF(M387="فارغ","","✖ بدون رقم قيد"),IF(COUNTIFS('قيود اليومية'!$A$11:$A$1010,A387,'قيود اليومية'!$M$11:$M$1010,"&lt;&gt;OK",'قيود اليومية'!$M$11:$M$1010,"&lt;&gt;فارغ")&gt;0,"✖ خطأ بالحساب",IF(ROUND(SUMIFS('قيود اليومية'!$G$11:$G$1010,'قيود اليومية'!$A$11:$A$1010,A387)-SUMIFS('قيود اليومية'!$H$11:$H$1010,'قيود اليومية'!$A$11:$A$1010,A387),2)&lt;&gt;0,"✖ غير متوازن","مرحل ✔")))</f>
        <v/>
      </c>
      <c r="J387" s="55" t="str">
        <f aca="false">IF(C387="","",IFERROR(INDEX('شجرة الحسابات'!$E$9:$E$208,MATCH(C387,'شجرة الحسابات'!$A$9:$A$208,0))&amp;"",""))</f>
        <v/>
      </c>
      <c r="K387" s="55" t="str">
        <f aca="false">IF(C387="","",IFERROR(INDEX('شجرة الحسابات'!$I$9:$I$208,MATCH(C387,'شجرة الحسابات'!$A$9:$A$208,0))&amp;"",""))</f>
        <v/>
      </c>
      <c r="L387" s="55" t="str">
        <f aca="false">IF(C387="","",IFERROR(INDEX('شجرة الحسابات'!$C$9:$C$208,MATCH(C387,'شجرة الحسابات'!$A$9:$A$208,0))&amp;"",""))</f>
        <v/>
      </c>
      <c r="M387" s="55" t="str">
        <f aca="false">IF(AND(C387="",G387="",H387=""),"فارغ",IF(ISNA(MATCH(C387,'شجرة الحسابات'!$A$9:$A$208,0)),"حساب غير معرف",IF(L387&lt;&gt;"تحليلي","حساب تجميعي",IF(AND(N(G387)&gt;0,N(H387)&gt;0),"مدين ودائن معاً",IF(N(G387)+N(H387)=0,"بدون قيمة","OK")))))</f>
        <v>فارغ</v>
      </c>
      <c r="N387" s="55" t="str">
        <f aca="false">IF(AND(E387&lt;&gt;"",E387='كشف حساب مشروع'!$C$6,I387="مرحل ✔"),COUNTIFS($E$11:E387,'كشف حساب مشروع'!$C$6,$I$11:I387,"مرحل ✔"),"")</f>
        <v/>
      </c>
      <c r="O387" s="55" t="str">
        <f aca="false">IF(AND(C387&lt;&gt;"",C387='دفتر الأستاذ'!$C$6,I387="مرحل ✔"),COUNTIFS($C$11:C387,'دفتر الأستاذ'!$C$6,$I$11:I387,"مرحل ✔"),"")</f>
        <v/>
      </c>
    </row>
    <row r="388" customFormat="false" ht="15" hidden="false" customHeight="false" outlineLevel="0" collapsed="false">
      <c r="A388" s="49"/>
      <c r="B388" s="50"/>
      <c r="C388" s="49"/>
      <c r="D388" s="51" t="str">
        <f aca="false">IF(C388="","",IFERROR(INDEX('شجرة الحسابات'!$B$9:$B$208,MATCH(C388,'شجرة الحسابات'!$A$9:$A$208,0)),"⚠ حساب غير معرف"))</f>
        <v/>
      </c>
      <c r="E388" s="52"/>
      <c r="F388" s="52"/>
      <c r="G388" s="53"/>
      <c r="H388" s="53"/>
      <c r="I388" s="54" t="str">
        <f aca="false">IF(A388="",IF(M388="فارغ","","✖ بدون رقم قيد"),IF(COUNTIFS('قيود اليومية'!$A$11:$A$1010,A388,'قيود اليومية'!$M$11:$M$1010,"&lt;&gt;OK",'قيود اليومية'!$M$11:$M$1010,"&lt;&gt;فارغ")&gt;0,"✖ خطأ بالحساب",IF(ROUND(SUMIFS('قيود اليومية'!$G$11:$G$1010,'قيود اليومية'!$A$11:$A$1010,A388)-SUMIFS('قيود اليومية'!$H$11:$H$1010,'قيود اليومية'!$A$11:$A$1010,A388),2)&lt;&gt;0,"✖ غير متوازن","مرحل ✔")))</f>
        <v/>
      </c>
      <c r="J388" s="55" t="str">
        <f aca="false">IF(C388="","",IFERROR(INDEX('شجرة الحسابات'!$E$9:$E$208,MATCH(C388,'شجرة الحسابات'!$A$9:$A$208,0))&amp;"",""))</f>
        <v/>
      </c>
      <c r="K388" s="55" t="str">
        <f aca="false">IF(C388="","",IFERROR(INDEX('شجرة الحسابات'!$I$9:$I$208,MATCH(C388,'شجرة الحسابات'!$A$9:$A$208,0))&amp;"",""))</f>
        <v/>
      </c>
      <c r="L388" s="55" t="str">
        <f aca="false">IF(C388="","",IFERROR(INDEX('شجرة الحسابات'!$C$9:$C$208,MATCH(C388,'شجرة الحسابات'!$A$9:$A$208,0))&amp;"",""))</f>
        <v/>
      </c>
      <c r="M388" s="55" t="str">
        <f aca="false">IF(AND(C388="",G388="",H388=""),"فارغ",IF(ISNA(MATCH(C388,'شجرة الحسابات'!$A$9:$A$208,0)),"حساب غير معرف",IF(L388&lt;&gt;"تحليلي","حساب تجميعي",IF(AND(N(G388)&gt;0,N(H388)&gt;0),"مدين ودائن معاً",IF(N(G388)+N(H388)=0,"بدون قيمة","OK")))))</f>
        <v>فارغ</v>
      </c>
      <c r="N388" s="55" t="str">
        <f aca="false">IF(AND(E388&lt;&gt;"",E388='كشف حساب مشروع'!$C$6,I388="مرحل ✔"),COUNTIFS($E$11:E388,'كشف حساب مشروع'!$C$6,$I$11:I388,"مرحل ✔"),"")</f>
        <v/>
      </c>
      <c r="O388" s="55" t="str">
        <f aca="false">IF(AND(C388&lt;&gt;"",C388='دفتر الأستاذ'!$C$6,I388="مرحل ✔"),COUNTIFS($C$11:C388,'دفتر الأستاذ'!$C$6,$I$11:I388,"مرحل ✔"),"")</f>
        <v/>
      </c>
    </row>
    <row r="389" customFormat="false" ht="15" hidden="false" customHeight="false" outlineLevel="0" collapsed="false">
      <c r="A389" s="49"/>
      <c r="B389" s="50"/>
      <c r="C389" s="49"/>
      <c r="D389" s="51" t="str">
        <f aca="false">IF(C389="","",IFERROR(INDEX('شجرة الحسابات'!$B$9:$B$208,MATCH(C389,'شجرة الحسابات'!$A$9:$A$208,0)),"⚠ حساب غير معرف"))</f>
        <v/>
      </c>
      <c r="E389" s="52"/>
      <c r="F389" s="52"/>
      <c r="G389" s="53"/>
      <c r="H389" s="53"/>
      <c r="I389" s="54" t="str">
        <f aca="false">IF(A389="",IF(M389="فارغ","","✖ بدون رقم قيد"),IF(COUNTIFS('قيود اليومية'!$A$11:$A$1010,A389,'قيود اليومية'!$M$11:$M$1010,"&lt;&gt;OK",'قيود اليومية'!$M$11:$M$1010,"&lt;&gt;فارغ")&gt;0,"✖ خطأ بالحساب",IF(ROUND(SUMIFS('قيود اليومية'!$G$11:$G$1010,'قيود اليومية'!$A$11:$A$1010,A389)-SUMIFS('قيود اليومية'!$H$11:$H$1010,'قيود اليومية'!$A$11:$A$1010,A389),2)&lt;&gt;0,"✖ غير متوازن","مرحل ✔")))</f>
        <v/>
      </c>
      <c r="J389" s="55" t="str">
        <f aca="false">IF(C389="","",IFERROR(INDEX('شجرة الحسابات'!$E$9:$E$208,MATCH(C389,'شجرة الحسابات'!$A$9:$A$208,0))&amp;"",""))</f>
        <v/>
      </c>
      <c r="K389" s="55" t="str">
        <f aca="false">IF(C389="","",IFERROR(INDEX('شجرة الحسابات'!$I$9:$I$208,MATCH(C389,'شجرة الحسابات'!$A$9:$A$208,0))&amp;"",""))</f>
        <v/>
      </c>
      <c r="L389" s="55" t="str">
        <f aca="false">IF(C389="","",IFERROR(INDEX('شجرة الحسابات'!$C$9:$C$208,MATCH(C389,'شجرة الحسابات'!$A$9:$A$208,0))&amp;"",""))</f>
        <v/>
      </c>
      <c r="M389" s="55" t="str">
        <f aca="false">IF(AND(C389="",G389="",H389=""),"فارغ",IF(ISNA(MATCH(C389,'شجرة الحسابات'!$A$9:$A$208,0)),"حساب غير معرف",IF(L389&lt;&gt;"تحليلي","حساب تجميعي",IF(AND(N(G389)&gt;0,N(H389)&gt;0),"مدين ودائن معاً",IF(N(G389)+N(H389)=0,"بدون قيمة","OK")))))</f>
        <v>فارغ</v>
      </c>
      <c r="N389" s="55" t="str">
        <f aca="false">IF(AND(E389&lt;&gt;"",E389='كشف حساب مشروع'!$C$6,I389="مرحل ✔"),COUNTIFS($E$11:E389,'كشف حساب مشروع'!$C$6,$I$11:I389,"مرحل ✔"),"")</f>
        <v/>
      </c>
      <c r="O389" s="55" t="str">
        <f aca="false">IF(AND(C389&lt;&gt;"",C389='دفتر الأستاذ'!$C$6,I389="مرحل ✔"),COUNTIFS($C$11:C389,'دفتر الأستاذ'!$C$6,$I$11:I389,"مرحل ✔"),"")</f>
        <v/>
      </c>
    </row>
    <row r="390" customFormat="false" ht="15" hidden="false" customHeight="false" outlineLevel="0" collapsed="false">
      <c r="A390" s="49"/>
      <c r="B390" s="50"/>
      <c r="C390" s="49"/>
      <c r="D390" s="51" t="str">
        <f aca="false">IF(C390="","",IFERROR(INDEX('شجرة الحسابات'!$B$9:$B$208,MATCH(C390,'شجرة الحسابات'!$A$9:$A$208,0)),"⚠ حساب غير معرف"))</f>
        <v/>
      </c>
      <c r="E390" s="52"/>
      <c r="F390" s="52"/>
      <c r="G390" s="53"/>
      <c r="H390" s="53"/>
      <c r="I390" s="54" t="str">
        <f aca="false">IF(A390="",IF(M390="فارغ","","✖ بدون رقم قيد"),IF(COUNTIFS('قيود اليومية'!$A$11:$A$1010,A390,'قيود اليومية'!$M$11:$M$1010,"&lt;&gt;OK",'قيود اليومية'!$M$11:$M$1010,"&lt;&gt;فارغ")&gt;0,"✖ خطأ بالحساب",IF(ROUND(SUMIFS('قيود اليومية'!$G$11:$G$1010,'قيود اليومية'!$A$11:$A$1010,A390)-SUMIFS('قيود اليومية'!$H$11:$H$1010,'قيود اليومية'!$A$11:$A$1010,A390),2)&lt;&gt;0,"✖ غير متوازن","مرحل ✔")))</f>
        <v/>
      </c>
      <c r="J390" s="55" t="str">
        <f aca="false">IF(C390="","",IFERROR(INDEX('شجرة الحسابات'!$E$9:$E$208,MATCH(C390,'شجرة الحسابات'!$A$9:$A$208,0))&amp;"",""))</f>
        <v/>
      </c>
      <c r="K390" s="55" t="str">
        <f aca="false">IF(C390="","",IFERROR(INDEX('شجرة الحسابات'!$I$9:$I$208,MATCH(C390,'شجرة الحسابات'!$A$9:$A$208,0))&amp;"",""))</f>
        <v/>
      </c>
      <c r="L390" s="55" t="str">
        <f aca="false">IF(C390="","",IFERROR(INDEX('شجرة الحسابات'!$C$9:$C$208,MATCH(C390,'شجرة الحسابات'!$A$9:$A$208,0))&amp;"",""))</f>
        <v/>
      </c>
      <c r="M390" s="55" t="str">
        <f aca="false">IF(AND(C390="",G390="",H390=""),"فارغ",IF(ISNA(MATCH(C390,'شجرة الحسابات'!$A$9:$A$208,0)),"حساب غير معرف",IF(L390&lt;&gt;"تحليلي","حساب تجميعي",IF(AND(N(G390)&gt;0,N(H390)&gt;0),"مدين ودائن معاً",IF(N(G390)+N(H390)=0,"بدون قيمة","OK")))))</f>
        <v>فارغ</v>
      </c>
      <c r="N390" s="55" t="str">
        <f aca="false">IF(AND(E390&lt;&gt;"",E390='كشف حساب مشروع'!$C$6,I390="مرحل ✔"),COUNTIFS($E$11:E390,'كشف حساب مشروع'!$C$6,$I$11:I390,"مرحل ✔"),"")</f>
        <v/>
      </c>
      <c r="O390" s="55" t="str">
        <f aca="false">IF(AND(C390&lt;&gt;"",C390='دفتر الأستاذ'!$C$6,I390="مرحل ✔"),COUNTIFS($C$11:C390,'دفتر الأستاذ'!$C$6,$I$11:I390,"مرحل ✔"),"")</f>
        <v/>
      </c>
    </row>
    <row r="391" customFormat="false" ht="15" hidden="false" customHeight="false" outlineLevel="0" collapsed="false">
      <c r="A391" s="49"/>
      <c r="B391" s="50"/>
      <c r="C391" s="49"/>
      <c r="D391" s="51" t="str">
        <f aca="false">IF(C391="","",IFERROR(INDEX('شجرة الحسابات'!$B$9:$B$208,MATCH(C391,'شجرة الحسابات'!$A$9:$A$208,0)),"⚠ حساب غير معرف"))</f>
        <v/>
      </c>
      <c r="E391" s="52"/>
      <c r="F391" s="52"/>
      <c r="G391" s="53"/>
      <c r="H391" s="53"/>
      <c r="I391" s="54" t="str">
        <f aca="false">IF(A391="",IF(M391="فارغ","","✖ بدون رقم قيد"),IF(COUNTIFS('قيود اليومية'!$A$11:$A$1010,A391,'قيود اليومية'!$M$11:$M$1010,"&lt;&gt;OK",'قيود اليومية'!$M$11:$M$1010,"&lt;&gt;فارغ")&gt;0,"✖ خطأ بالحساب",IF(ROUND(SUMIFS('قيود اليومية'!$G$11:$G$1010,'قيود اليومية'!$A$11:$A$1010,A391)-SUMIFS('قيود اليومية'!$H$11:$H$1010,'قيود اليومية'!$A$11:$A$1010,A391),2)&lt;&gt;0,"✖ غير متوازن","مرحل ✔")))</f>
        <v/>
      </c>
      <c r="J391" s="55" t="str">
        <f aca="false">IF(C391="","",IFERROR(INDEX('شجرة الحسابات'!$E$9:$E$208,MATCH(C391,'شجرة الحسابات'!$A$9:$A$208,0))&amp;"",""))</f>
        <v/>
      </c>
      <c r="K391" s="55" t="str">
        <f aca="false">IF(C391="","",IFERROR(INDEX('شجرة الحسابات'!$I$9:$I$208,MATCH(C391,'شجرة الحسابات'!$A$9:$A$208,0))&amp;"",""))</f>
        <v/>
      </c>
      <c r="L391" s="55" t="str">
        <f aca="false">IF(C391="","",IFERROR(INDEX('شجرة الحسابات'!$C$9:$C$208,MATCH(C391,'شجرة الحسابات'!$A$9:$A$208,0))&amp;"",""))</f>
        <v/>
      </c>
      <c r="M391" s="55" t="str">
        <f aca="false">IF(AND(C391="",G391="",H391=""),"فارغ",IF(ISNA(MATCH(C391,'شجرة الحسابات'!$A$9:$A$208,0)),"حساب غير معرف",IF(L391&lt;&gt;"تحليلي","حساب تجميعي",IF(AND(N(G391)&gt;0,N(H391)&gt;0),"مدين ودائن معاً",IF(N(G391)+N(H391)=0,"بدون قيمة","OK")))))</f>
        <v>فارغ</v>
      </c>
      <c r="N391" s="55" t="str">
        <f aca="false">IF(AND(E391&lt;&gt;"",E391='كشف حساب مشروع'!$C$6,I391="مرحل ✔"),COUNTIFS($E$11:E391,'كشف حساب مشروع'!$C$6,$I$11:I391,"مرحل ✔"),"")</f>
        <v/>
      </c>
      <c r="O391" s="55" t="str">
        <f aca="false">IF(AND(C391&lt;&gt;"",C391='دفتر الأستاذ'!$C$6,I391="مرحل ✔"),COUNTIFS($C$11:C391,'دفتر الأستاذ'!$C$6,$I$11:I391,"مرحل ✔"),"")</f>
        <v/>
      </c>
    </row>
    <row r="392" customFormat="false" ht="15" hidden="false" customHeight="false" outlineLevel="0" collapsed="false">
      <c r="A392" s="49"/>
      <c r="B392" s="50"/>
      <c r="C392" s="49"/>
      <c r="D392" s="51" t="str">
        <f aca="false">IF(C392="","",IFERROR(INDEX('شجرة الحسابات'!$B$9:$B$208,MATCH(C392,'شجرة الحسابات'!$A$9:$A$208,0)),"⚠ حساب غير معرف"))</f>
        <v/>
      </c>
      <c r="E392" s="52"/>
      <c r="F392" s="52"/>
      <c r="G392" s="53"/>
      <c r="H392" s="53"/>
      <c r="I392" s="54" t="str">
        <f aca="false">IF(A392="",IF(M392="فارغ","","✖ بدون رقم قيد"),IF(COUNTIFS('قيود اليومية'!$A$11:$A$1010,A392,'قيود اليومية'!$M$11:$M$1010,"&lt;&gt;OK",'قيود اليومية'!$M$11:$M$1010,"&lt;&gt;فارغ")&gt;0,"✖ خطأ بالحساب",IF(ROUND(SUMIFS('قيود اليومية'!$G$11:$G$1010,'قيود اليومية'!$A$11:$A$1010,A392)-SUMIFS('قيود اليومية'!$H$11:$H$1010,'قيود اليومية'!$A$11:$A$1010,A392),2)&lt;&gt;0,"✖ غير متوازن","مرحل ✔")))</f>
        <v/>
      </c>
      <c r="J392" s="55" t="str">
        <f aca="false">IF(C392="","",IFERROR(INDEX('شجرة الحسابات'!$E$9:$E$208,MATCH(C392,'شجرة الحسابات'!$A$9:$A$208,0))&amp;"",""))</f>
        <v/>
      </c>
      <c r="K392" s="55" t="str">
        <f aca="false">IF(C392="","",IFERROR(INDEX('شجرة الحسابات'!$I$9:$I$208,MATCH(C392,'شجرة الحسابات'!$A$9:$A$208,0))&amp;"",""))</f>
        <v/>
      </c>
      <c r="L392" s="55" t="str">
        <f aca="false">IF(C392="","",IFERROR(INDEX('شجرة الحسابات'!$C$9:$C$208,MATCH(C392,'شجرة الحسابات'!$A$9:$A$208,0))&amp;"",""))</f>
        <v/>
      </c>
      <c r="M392" s="55" t="str">
        <f aca="false">IF(AND(C392="",G392="",H392=""),"فارغ",IF(ISNA(MATCH(C392,'شجرة الحسابات'!$A$9:$A$208,0)),"حساب غير معرف",IF(L392&lt;&gt;"تحليلي","حساب تجميعي",IF(AND(N(G392)&gt;0,N(H392)&gt;0),"مدين ودائن معاً",IF(N(G392)+N(H392)=0,"بدون قيمة","OK")))))</f>
        <v>فارغ</v>
      </c>
      <c r="N392" s="55" t="str">
        <f aca="false">IF(AND(E392&lt;&gt;"",E392='كشف حساب مشروع'!$C$6,I392="مرحل ✔"),COUNTIFS($E$11:E392,'كشف حساب مشروع'!$C$6,$I$11:I392,"مرحل ✔"),"")</f>
        <v/>
      </c>
      <c r="O392" s="55" t="str">
        <f aca="false">IF(AND(C392&lt;&gt;"",C392='دفتر الأستاذ'!$C$6,I392="مرحل ✔"),COUNTIFS($C$11:C392,'دفتر الأستاذ'!$C$6,$I$11:I392,"مرحل ✔"),"")</f>
        <v/>
      </c>
    </row>
    <row r="393" customFormat="false" ht="15" hidden="false" customHeight="false" outlineLevel="0" collapsed="false">
      <c r="A393" s="49"/>
      <c r="B393" s="50"/>
      <c r="C393" s="49"/>
      <c r="D393" s="51" t="str">
        <f aca="false">IF(C393="","",IFERROR(INDEX('شجرة الحسابات'!$B$9:$B$208,MATCH(C393,'شجرة الحسابات'!$A$9:$A$208,0)),"⚠ حساب غير معرف"))</f>
        <v/>
      </c>
      <c r="E393" s="52"/>
      <c r="F393" s="52"/>
      <c r="G393" s="53"/>
      <c r="H393" s="53"/>
      <c r="I393" s="54" t="str">
        <f aca="false">IF(A393="",IF(M393="فارغ","","✖ بدون رقم قيد"),IF(COUNTIFS('قيود اليومية'!$A$11:$A$1010,A393,'قيود اليومية'!$M$11:$M$1010,"&lt;&gt;OK",'قيود اليومية'!$M$11:$M$1010,"&lt;&gt;فارغ")&gt;0,"✖ خطأ بالحساب",IF(ROUND(SUMIFS('قيود اليومية'!$G$11:$G$1010,'قيود اليومية'!$A$11:$A$1010,A393)-SUMIFS('قيود اليومية'!$H$11:$H$1010,'قيود اليومية'!$A$11:$A$1010,A393),2)&lt;&gt;0,"✖ غير متوازن","مرحل ✔")))</f>
        <v/>
      </c>
      <c r="J393" s="55" t="str">
        <f aca="false">IF(C393="","",IFERROR(INDEX('شجرة الحسابات'!$E$9:$E$208,MATCH(C393,'شجرة الحسابات'!$A$9:$A$208,0))&amp;"",""))</f>
        <v/>
      </c>
      <c r="K393" s="55" t="str">
        <f aca="false">IF(C393="","",IFERROR(INDEX('شجرة الحسابات'!$I$9:$I$208,MATCH(C393,'شجرة الحسابات'!$A$9:$A$208,0))&amp;"",""))</f>
        <v/>
      </c>
      <c r="L393" s="55" t="str">
        <f aca="false">IF(C393="","",IFERROR(INDEX('شجرة الحسابات'!$C$9:$C$208,MATCH(C393,'شجرة الحسابات'!$A$9:$A$208,0))&amp;"",""))</f>
        <v/>
      </c>
      <c r="M393" s="55" t="str">
        <f aca="false">IF(AND(C393="",G393="",H393=""),"فارغ",IF(ISNA(MATCH(C393,'شجرة الحسابات'!$A$9:$A$208,0)),"حساب غير معرف",IF(L393&lt;&gt;"تحليلي","حساب تجميعي",IF(AND(N(G393)&gt;0,N(H393)&gt;0),"مدين ودائن معاً",IF(N(G393)+N(H393)=0,"بدون قيمة","OK")))))</f>
        <v>فارغ</v>
      </c>
      <c r="N393" s="55" t="str">
        <f aca="false">IF(AND(E393&lt;&gt;"",E393='كشف حساب مشروع'!$C$6,I393="مرحل ✔"),COUNTIFS($E$11:E393,'كشف حساب مشروع'!$C$6,$I$11:I393,"مرحل ✔"),"")</f>
        <v/>
      </c>
      <c r="O393" s="55" t="str">
        <f aca="false">IF(AND(C393&lt;&gt;"",C393='دفتر الأستاذ'!$C$6,I393="مرحل ✔"),COUNTIFS($C$11:C393,'دفتر الأستاذ'!$C$6,$I$11:I393,"مرحل ✔"),"")</f>
        <v/>
      </c>
    </row>
    <row r="394" customFormat="false" ht="15" hidden="false" customHeight="false" outlineLevel="0" collapsed="false">
      <c r="A394" s="49"/>
      <c r="B394" s="50"/>
      <c r="C394" s="49"/>
      <c r="D394" s="51" t="str">
        <f aca="false">IF(C394="","",IFERROR(INDEX('شجرة الحسابات'!$B$9:$B$208,MATCH(C394,'شجرة الحسابات'!$A$9:$A$208,0)),"⚠ حساب غير معرف"))</f>
        <v/>
      </c>
      <c r="E394" s="52"/>
      <c r="F394" s="52"/>
      <c r="G394" s="53"/>
      <c r="H394" s="53"/>
      <c r="I394" s="54" t="str">
        <f aca="false">IF(A394="",IF(M394="فارغ","","✖ بدون رقم قيد"),IF(COUNTIFS('قيود اليومية'!$A$11:$A$1010,A394,'قيود اليومية'!$M$11:$M$1010,"&lt;&gt;OK",'قيود اليومية'!$M$11:$M$1010,"&lt;&gt;فارغ")&gt;0,"✖ خطأ بالحساب",IF(ROUND(SUMIFS('قيود اليومية'!$G$11:$G$1010,'قيود اليومية'!$A$11:$A$1010,A394)-SUMIFS('قيود اليومية'!$H$11:$H$1010,'قيود اليومية'!$A$11:$A$1010,A394),2)&lt;&gt;0,"✖ غير متوازن","مرحل ✔")))</f>
        <v/>
      </c>
      <c r="J394" s="55" t="str">
        <f aca="false">IF(C394="","",IFERROR(INDEX('شجرة الحسابات'!$E$9:$E$208,MATCH(C394,'شجرة الحسابات'!$A$9:$A$208,0))&amp;"",""))</f>
        <v/>
      </c>
      <c r="K394" s="55" t="str">
        <f aca="false">IF(C394="","",IFERROR(INDEX('شجرة الحسابات'!$I$9:$I$208,MATCH(C394,'شجرة الحسابات'!$A$9:$A$208,0))&amp;"",""))</f>
        <v/>
      </c>
      <c r="L394" s="55" t="str">
        <f aca="false">IF(C394="","",IFERROR(INDEX('شجرة الحسابات'!$C$9:$C$208,MATCH(C394,'شجرة الحسابات'!$A$9:$A$208,0))&amp;"",""))</f>
        <v/>
      </c>
      <c r="M394" s="55" t="str">
        <f aca="false">IF(AND(C394="",G394="",H394=""),"فارغ",IF(ISNA(MATCH(C394,'شجرة الحسابات'!$A$9:$A$208,0)),"حساب غير معرف",IF(L394&lt;&gt;"تحليلي","حساب تجميعي",IF(AND(N(G394)&gt;0,N(H394)&gt;0),"مدين ودائن معاً",IF(N(G394)+N(H394)=0,"بدون قيمة","OK")))))</f>
        <v>فارغ</v>
      </c>
      <c r="N394" s="55" t="str">
        <f aca="false">IF(AND(E394&lt;&gt;"",E394='كشف حساب مشروع'!$C$6,I394="مرحل ✔"),COUNTIFS($E$11:E394,'كشف حساب مشروع'!$C$6,$I$11:I394,"مرحل ✔"),"")</f>
        <v/>
      </c>
      <c r="O394" s="55" t="str">
        <f aca="false">IF(AND(C394&lt;&gt;"",C394='دفتر الأستاذ'!$C$6,I394="مرحل ✔"),COUNTIFS($C$11:C394,'دفتر الأستاذ'!$C$6,$I$11:I394,"مرحل ✔"),"")</f>
        <v/>
      </c>
    </row>
    <row r="395" customFormat="false" ht="15" hidden="false" customHeight="false" outlineLevel="0" collapsed="false">
      <c r="A395" s="49"/>
      <c r="B395" s="50"/>
      <c r="C395" s="49"/>
      <c r="D395" s="51" t="str">
        <f aca="false">IF(C395="","",IFERROR(INDEX('شجرة الحسابات'!$B$9:$B$208,MATCH(C395,'شجرة الحسابات'!$A$9:$A$208,0)),"⚠ حساب غير معرف"))</f>
        <v/>
      </c>
      <c r="E395" s="52"/>
      <c r="F395" s="52"/>
      <c r="G395" s="53"/>
      <c r="H395" s="53"/>
      <c r="I395" s="54" t="str">
        <f aca="false">IF(A395="",IF(M395="فارغ","","✖ بدون رقم قيد"),IF(COUNTIFS('قيود اليومية'!$A$11:$A$1010,A395,'قيود اليومية'!$M$11:$M$1010,"&lt;&gt;OK",'قيود اليومية'!$M$11:$M$1010,"&lt;&gt;فارغ")&gt;0,"✖ خطأ بالحساب",IF(ROUND(SUMIFS('قيود اليومية'!$G$11:$G$1010,'قيود اليومية'!$A$11:$A$1010,A395)-SUMIFS('قيود اليومية'!$H$11:$H$1010,'قيود اليومية'!$A$11:$A$1010,A395),2)&lt;&gt;0,"✖ غير متوازن","مرحل ✔")))</f>
        <v/>
      </c>
      <c r="J395" s="55" t="str">
        <f aca="false">IF(C395="","",IFERROR(INDEX('شجرة الحسابات'!$E$9:$E$208,MATCH(C395,'شجرة الحسابات'!$A$9:$A$208,0))&amp;"",""))</f>
        <v/>
      </c>
      <c r="K395" s="55" t="str">
        <f aca="false">IF(C395="","",IFERROR(INDEX('شجرة الحسابات'!$I$9:$I$208,MATCH(C395,'شجرة الحسابات'!$A$9:$A$208,0))&amp;"",""))</f>
        <v/>
      </c>
      <c r="L395" s="55" t="str">
        <f aca="false">IF(C395="","",IFERROR(INDEX('شجرة الحسابات'!$C$9:$C$208,MATCH(C395,'شجرة الحسابات'!$A$9:$A$208,0))&amp;"",""))</f>
        <v/>
      </c>
      <c r="M395" s="55" t="str">
        <f aca="false">IF(AND(C395="",G395="",H395=""),"فارغ",IF(ISNA(MATCH(C395,'شجرة الحسابات'!$A$9:$A$208,0)),"حساب غير معرف",IF(L395&lt;&gt;"تحليلي","حساب تجميعي",IF(AND(N(G395)&gt;0,N(H395)&gt;0),"مدين ودائن معاً",IF(N(G395)+N(H395)=0,"بدون قيمة","OK")))))</f>
        <v>فارغ</v>
      </c>
      <c r="N395" s="55" t="str">
        <f aca="false">IF(AND(E395&lt;&gt;"",E395='كشف حساب مشروع'!$C$6,I395="مرحل ✔"),COUNTIFS($E$11:E395,'كشف حساب مشروع'!$C$6,$I$11:I395,"مرحل ✔"),"")</f>
        <v/>
      </c>
      <c r="O395" s="55" t="str">
        <f aca="false">IF(AND(C395&lt;&gt;"",C395='دفتر الأستاذ'!$C$6,I395="مرحل ✔"),COUNTIFS($C$11:C395,'دفتر الأستاذ'!$C$6,$I$11:I395,"مرحل ✔"),"")</f>
        <v/>
      </c>
    </row>
    <row r="396" customFormat="false" ht="15" hidden="false" customHeight="false" outlineLevel="0" collapsed="false">
      <c r="A396" s="49"/>
      <c r="B396" s="50"/>
      <c r="C396" s="49"/>
      <c r="D396" s="51" t="str">
        <f aca="false">IF(C396="","",IFERROR(INDEX('شجرة الحسابات'!$B$9:$B$208,MATCH(C396,'شجرة الحسابات'!$A$9:$A$208,0)),"⚠ حساب غير معرف"))</f>
        <v/>
      </c>
      <c r="E396" s="52"/>
      <c r="F396" s="52"/>
      <c r="G396" s="53"/>
      <c r="H396" s="53"/>
      <c r="I396" s="54" t="str">
        <f aca="false">IF(A396="",IF(M396="فارغ","","✖ بدون رقم قيد"),IF(COUNTIFS('قيود اليومية'!$A$11:$A$1010,A396,'قيود اليومية'!$M$11:$M$1010,"&lt;&gt;OK",'قيود اليومية'!$M$11:$M$1010,"&lt;&gt;فارغ")&gt;0,"✖ خطأ بالحساب",IF(ROUND(SUMIFS('قيود اليومية'!$G$11:$G$1010,'قيود اليومية'!$A$11:$A$1010,A396)-SUMIFS('قيود اليومية'!$H$11:$H$1010,'قيود اليومية'!$A$11:$A$1010,A396),2)&lt;&gt;0,"✖ غير متوازن","مرحل ✔")))</f>
        <v/>
      </c>
      <c r="J396" s="55" t="str">
        <f aca="false">IF(C396="","",IFERROR(INDEX('شجرة الحسابات'!$E$9:$E$208,MATCH(C396,'شجرة الحسابات'!$A$9:$A$208,0))&amp;"",""))</f>
        <v/>
      </c>
      <c r="K396" s="55" t="str">
        <f aca="false">IF(C396="","",IFERROR(INDEX('شجرة الحسابات'!$I$9:$I$208,MATCH(C396,'شجرة الحسابات'!$A$9:$A$208,0))&amp;"",""))</f>
        <v/>
      </c>
      <c r="L396" s="55" t="str">
        <f aca="false">IF(C396="","",IFERROR(INDEX('شجرة الحسابات'!$C$9:$C$208,MATCH(C396,'شجرة الحسابات'!$A$9:$A$208,0))&amp;"",""))</f>
        <v/>
      </c>
      <c r="M396" s="55" t="str">
        <f aca="false">IF(AND(C396="",G396="",H396=""),"فارغ",IF(ISNA(MATCH(C396,'شجرة الحسابات'!$A$9:$A$208,0)),"حساب غير معرف",IF(L396&lt;&gt;"تحليلي","حساب تجميعي",IF(AND(N(G396)&gt;0,N(H396)&gt;0),"مدين ودائن معاً",IF(N(G396)+N(H396)=0,"بدون قيمة","OK")))))</f>
        <v>فارغ</v>
      </c>
      <c r="N396" s="55" t="str">
        <f aca="false">IF(AND(E396&lt;&gt;"",E396='كشف حساب مشروع'!$C$6,I396="مرحل ✔"),COUNTIFS($E$11:E396,'كشف حساب مشروع'!$C$6,$I$11:I396,"مرحل ✔"),"")</f>
        <v/>
      </c>
      <c r="O396" s="55" t="str">
        <f aca="false">IF(AND(C396&lt;&gt;"",C396='دفتر الأستاذ'!$C$6,I396="مرحل ✔"),COUNTIFS($C$11:C396,'دفتر الأستاذ'!$C$6,$I$11:I396,"مرحل ✔"),"")</f>
        <v/>
      </c>
    </row>
    <row r="397" customFormat="false" ht="15" hidden="false" customHeight="false" outlineLevel="0" collapsed="false">
      <c r="A397" s="49"/>
      <c r="B397" s="50"/>
      <c r="C397" s="49"/>
      <c r="D397" s="51" t="str">
        <f aca="false">IF(C397="","",IFERROR(INDEX('شجرة الحسابات'!$B$9:$B$208,MATCH(C397,'شجرة الحسابات'!$A$9:$A$208,0)),"⚠ حساب غير معرف"))</f>
        <v/>
      </c>
      <c r="E397" s="52"/>
      <c r="F397" s="52"/>
      <c r="G397" s="53"/>
      <c r="H397" s="53"/>
      <c r="I397" s="54" t="str">
        <f aca="false">IF(A397="",IF(M397="فارغ","","✖ بدون رقم قيد"),IF(COUNTIFS('قيود اليومية'!$A$11:$A$1010,A397,'قيود اليومية'!$M$11:$M$1010,"&lt;&gt;OK",'قيود اليومية'!$M$11:$M$1010,"&lt;&gt;فارغ")&gt;0,"✖ خطأ بالحساب",IF(ROUND(SUMIFS('قيود اليومية'!$G$11:$G$1010,'قيود اليومية'!$A$11:$A$1010,A397)-SUMIFS('قيود اليومية'!$H$11:$H$1010,'قيود اليومية'!$A$11:$A$1010,A397),2)&lt;&gt;0,"✖ غير متوازن","مرحل ✔")))</f>
        <v/>
      </c>
      <c r="J397" s="55" t="str">
        <f aca="false">IF(C397="","",IFERROR(INDEX('شجرة الحسابات'!$E$9:$E$208,MATCH(C397,'شجرة الحسابات'!$A$9:$A$208,0))&amp;"",""))</f>
        <v/>
      </c>
      <c r="K397" s="55" t="str">
        <f aca="false">IF(C397="","",IFERROR(INDEX('شجرة الحسابات'!$I$9:$I$208,MATCH(C397,'شجرة الحسابات'!$A$9:$A$208,0))&amp;"",""))</f>
        <v/>
      </c>
      <c r="L397" s="55" t="str">
        <f aca="false">IF(C397="","",IFERROR(INDEX('شجرة الحسابات'!$C$9:$C$208,MATCH(C397,'شجرة الحسابات'!$A$9:$A$208,0))&amp;"",""))</f>
        <v/>
      </c>
      <c r="M397" s="55" t="str">
        <f aca="false">IF(AND(C397="",G397="",H397=""),"فارغ",IF(ISNA(MATCH(C397,'شجرة الحسابات'!$A$9:$A$208,0)),"حساب غير معرف",IF(L397&lt;&gt;"تحليلي","حساب تجميعي",IF(AND(N(G397)&gt;0,N(H397)&gt;0),"مدين ودائن معاً",IF(N(G397)+N(H397)=0,"بدون قيمة","OK")))))</f>
        <v>فارغ</v>
      </c>
      <c r="N397" s="55" t="str">
        <f aca="false">IF(AND(E397&lt;&gt;"",E397='كشف حساب مشروع'!$C$6,I397="مرحل ✔"),COUNTIFS($E$11:E397,'كشف حساب مشروع'!$C$6,$I$11:I397,"مرحل ✔"),"")</f>
        <v/>
      </c>
      <c r="O397" s="55" t="str">
        <f aca="false">IF(AND(C397&lt;&gt;"",C397='دفتر الأستاذ'!$C$6,I397="مرحل ✔"),COUNTIFS($C$11:C397,'دفتر الأستاذ'!$C$6,$I$11:I397,"مرحل ✔"),"")</f>
        <v/>
      </c>
    </row>
    <row r="398" customFormat="false" ht="15" hidden="false" customHeight="false" outlineLevel="0" collapsed="false">
      <c r="A398" s="49"/>
      <c r="B398" s="50"/>
      <c r="C398" s="49"/>
      <c r="D398" s="51" t="str">
        <f aca="false">IF(C398="","",IFERROR(INDEX('شجرة الحسابات'!$B$9:$B$208,MATCH(C398,'شجرة الحسابات'!$A$9:$A$208,0)),"⚠ حساب غير معرف"))</f>
        <v/>
      </c>
      <c r="E398" s="52"/>
      <c r="F398" s="52"/>
      <c r="G398" s="53"/>
      <c r="H398" s="53"/>
      <c r="I398" s="54" t="str">
        <f aca="false">IF(A398="",IF(M398="فارغ","","✖ بدون رقم قيد"),IF(COUNTIFS('قيود اليومية'!$A$11:$A$1010,A398,'قيود اليومية'!$M$11:$M$1010,"&lt;&gt;OK",'قيود اليومية'!$M$11:$M$1010,"&lt;&gt;فارغ")&gt;0,"✖ خطأ بالحساب",IF(ROUND(SUMIFS('قيود اليومية'!$G$11:$G$1010,'قيود اليومية'!$A$11:$A$1010,A398)-SUMIFS('قيود اليومية'!$H$11:$H$1010,'قيود اليومية'!$A$11:$A$1010,A398),2)&lt;&gt;0,"✖ غير متوازن","مرحل ✔")))</f>
        <v/>
      </c>
      <c r="J398" s="55" t="str">
        <f aca="false">IF(C398="","",IFERROR(INDEX('شجرة الحسابات'!$E$9:$E$208,MATCH(C398,'شجرة الحسابات'!$A$9:$A$208,0))&amp;"",""))</f>
        <v/>
      </c>
      <c r="K398" s="55" t="str">
        <f aca="false">IF(C398="","",IFERROR(INDEX('شجرة الحسابات'!$I$9:$I$208,MATCH(C398,'شجرة الحسابات'!$A$9:$A$208,0))&amp;"",""))</f>
        <v/>
      </c>
      <c r="L398" s="55" t="str">
        <f aca="false">IF(C398="","",IFERROR(INDEX('شجرة الحسابات'!$C$9:$C$208,MATCH(C398,'شجرة الحسابات'!$A$9:$A$208,0))&amp;"",""))</f>
        <v/>
      </c>
      <c r="M398" s="55" t="str">
        <f aca="false">IF(AND(C398="",G398="",H398=""),"فارغ",IF(ISNA(MATCH(C398,'شجرة الحسابات'!$A$9:$A$208,0)),"حساب غير معرف",IF(L398&lt;&gt;"تحليلي","حساب تجميعي",IF(AND(N(G398)&gt;0,N(H398)&gt;0),"مدين ودائن معاً",IF(N(G398)+N(H398)=0,"بدون قيمة","OK")))))</f>
        <v>فارغ</v>
      </c>
      <c r="N398" s="55" t="str">
        <f aca="false">IF(AND(E398&lt;&gt;"",E398='كشف حساب مشروع'!$C$6,I398="مرحل ✔"),COUNTIFS($E$11:E398,'كشف حساب مشروع'!$C$6,$I$11:I398,"مرحل ✔"),"")</f>
        <v/>
      </c>
      <c r="O398" s="55" t="str">
        <f aca="false">IF(AND(C398&lt;&gt;"",C398='دفتر الأستاذ'!$C$6,I398="مرحل ✔"),COUNTIFS($C$11:C398,'دفتر الأستاذ'!$C$6,$I$11:I398,"مرحل ✔"),"")</f>
        <v/>
      </c>
    </row>
    <row r="399" customFormat="false" ht="15" hidden="false" customHeight="false" outlineLevel="0" collapsed="false">
      <c r="A399" s="49"/>
      <c r="B399" s="50"/>
      <c r="C399" s="49"/>
      <c r="D399" s="51" t="str">
        <f aca="false">IF(C399="","",IFERROR(INDEX('شجرة الحسابات'!$B$9:$B$208,MATCH(C399,'شجرة الحسابات'!$A$9:$A$208,0)),"⚠ حساب غير معرف"))</f>
        <v/>
      </c>
      <c r="E399" s="52"/>
      <c r="F399" s="52"/>
      <c r="G399" s="53"/>
      <c r="H399" s="53"/>
      <c r="I399" s="54" t="str">
        <f aca="false">IF(A399="",IF(M399="فارغ","","✖ بدون رقم قيد"),IF(COUNTIFS('قيود اليومية'!$A$11:$A$1010,A399,'قيود اليومية'!$M$11:$M$1010,"&lt;&gt;OK",'قيود اليومية'!$M$11:$M$1010,"&lt;&gt;فارغ")&gt;0,"✖ خطأ بالحساب",IF(ROUND(SUMIFS('قيود اليومية'!$G$11:$G$1010,'قيود اليومية'!$A$11:$A$1010,A399)-SUMIFS('قيود اليومية'!$H$11:$H$1010,'قيود اليومية'!$A$11:$A$1010,A399),2)&lt;&gt;0,"✖ غير متوازن","مرحل ✔")))</f>
        <v/>
      </c>
      <c r="J399" s="55" t="str">
        <f aca="false">IF(C399="","",IFERROR(INDEX('شجرة الحسابات'!$E$9:$E$208,MATCH(C399,'شجرة الحسابات'!$A$9:$A$208,0))&amp;"",""))</f>
        <v/>
      </c>
      <c r="K399" s="55" t="str">
        <f aca="false">IF(C399="","",IFERROR(INDEX('شجرة الحسابات'!$I$9:$I$208,MATCH(C399,'شجرة الحسابات'!$A$9:$A$208,0))&amp;"",""))</f>
        <v/>
      </c>
      <c r="L399" s="55" t="str">
        <f aca="false">IF(C399="","",IFERROR(INDEX('شجرة الحسابات'!$C$9:$C$208,MATCH(C399,'شجرة الحسابات'!$A$9:$A$208,0))&amp;"",""))</f>
        <v/>
      </c>
      <c r="M399" s="55" t="str">
        <f aca="false">IF(AND(C399="",G399="",H399=""),"فارغ",IF(ISNA(MATCH(C399,'شجرة الحسابات'!$A$9:$A$208,0)),"حساب غير معرف",IF(L399&lt;&gt;"تحليلي","حساب تجميعي",IF(AND(N(G399)&gt;0,N(H399)&gt;0),"مدين ودائن معاً",IF(N(G399)+N(H399)=0,"بدون قيمة","OK")))))</f>
        <v>فارغ</v>
      </c>
      <c r="N399" s="55" t="str">
        <f aca="false">IF(AND(E399&lt;&gt;"",E399='كشف حساب مشروع'!$C$6,I399="مرحل ✔"),COUNTIFS($E$11:E399,'كشف حساب مشروع'!$C$6,$I$11:I399,"مرحل ✔"),"")</f>
        <v/>
      </c>
      <c r="O399" s="55" t="str">
        <f aca="false">IF(AND(C399&lt;&gt;"",C399='دفتر الأستاذ'!$C$6,I399="مرحل ✔"),COUNTIFS($C$11:C399,'دفتر الأستاذ'!$C$6,$I$11:I399,"مرحل ✔"),"")</f>
        <v/>
      </c>
    </row>
    <row r="400" customFormat="false" ht="15" hidden="false" customHeight="false" outlineLevel="0" collapsed="false">
      <c r="A400" s="49"/>
      <c r="B400" s="50"/>
      <c r="C400" s="49"/>
      <c r="D400" s="51" t="str">
        <f aca="false">IF(C400="","",IFERROR(INDEX('شجرة الحسابات'!$B$9:$B$208,MATCH(C400,'شجرة الحسابات'!$A$9:$A$208,0)),"⚠ حساب غير معرف"))</f>
        <v/>
      </c>
      <c r="E400" s="52"/>
      <c r="F400" s="52"/>
      <c r="G400" s="53"/>
      <c r="H400" s="53"/>
      <c r="I400" s="54" t="str">
        <f aca="false">IF(A400="",IF(M400="فارغ","","✖ بدون رقم قيد"),IF(COUNTIFS('قيود اليومية'!$A$11:$A$1010,A400,'قيود اليومية'!$M$11:$M$1010,"&lt;&gt;OK",'قيود اليومية'!$M$11:$M$1010,"&lt;&gt;فارغ")&gt;0,"✖ خطأ بالحساب",IF(ROUND(SUMIFS('قيود اليومية'!$G$11:$G$1010,'قيود اليومية'!$A$11:$A$1010,A400)-SUMIFS('قيود اليومية'!$H$11:$H$1010,'قيود اليومية'!$A$11:$A$1010,A400),2)&lt;&gt;0,"✖ غير متوازن","مرحل ✔")))</f>
        <v/>
      </c>
      <c r="J400" s="55" t="str">
        <f aca="false">IF(C400="","",IFERROR(INDEX('شجرة الحسابات'!$E$9:$E$208,MATCH(C400,'شجرة الحسابات'!$A$9:$A$208,0))&amp;"",""))</f>
        <v/>
      </c>
      <c r="K400" s="55" t="str">
        <f aca="false">IF(C400="","",IFERROR(INDEX('شجرة الحسابات'!$I$9:$I$208,MATCH(C400,'شجرة الحسابات'!$A$9:$A$208,0))&amp;"",""))</f>
        <v/>
      </c>
      <c r="L400" s="55" t="str">
        <f aca="false">IF(C400="","",IFERROR(INDEX('شجرة الحسابات'!$C$9:$C$208,MATCH(C400,'شجرة الحسابات'!$A$9:$A$208,0))&amp;"",""))</f>
        <v/>
      </c>
      <c r="M400" s="55" t="str">
        <f aca="false">IF(AND(C400="",G400="",H400=""),"فارغ",IF(ISNA(MATCH(C400,'شجرة الحسابات'!$A$9:$A$208,0)),"حساب غير معرف",IF(L400&lt;&gt;"تحليلي","حساب تجميعي",IF(AND(N(G400)&gt;0,N(H400)&gt;0),"مدين ودائن معاً",IF(N(G400)+N(H400)=0,"بدون قيمة","OK")))))</f>
        <v>فارغ</v>
      </c>
      <c r="N400" s="55" t="str">
        <f aca="false">IF(AND(E400&lt;&gt;"",E400='كشف حساب مشروع'!$C$6,I400="مرحل ✔"),COUNTIFS($E$11:E400,'كشف حساب مشروع'!$C$6,$I$11:I400,"مرحل ✔"),"")</f>
        <v/>
      </c>
      <c r="O400" s="55" t="str">
        <f aca="false">IF(AND(C400&lt;&gt;"",C400='دفتر الأستاذ'!$C$6,I400="مرحل ✔"),COUNTIFS($C$11:C400,'دفتر الأستاذ'!$C$6,$I$11:I400,"مرحل ✔"),"")</f>
        <v/>
      </c>
    </row>
    <row r="401" customFormat="false" ht="15" hidden="false" customHeight="false" outlineLevel="0" collapsed="false">
      <c r="A401" s="49"/>
      <c r="B401" s="50"/>
      <c r="C401" s="49"/>
      <c r="D401" s="51" t="str">
        <f aca="false">IF(C401="","",IFERROR(INDEX('شجرة الحسابات'!$B$9:$B$208,MATCH(C401,'شجرة الحسابات'!$A$9:$A$208,0)),"⚠ حساب غير معرف"))</f>
        <v/>
      </c>
      <c r="E401" s="52"/>
      <c r="F401" s="52"/>
      <c r="G401" s="53"/>
      <c r="H401" s="53"/>
      <c r="I401" s="54" t="str">
        <f aca="false">IF(A401="",IF(M401="فارغ","","✖ بدون رقم قيد"),IF(COUNTIFS('قيود اليومية'!$A$11:$A$1010,A401,'قيود اليومية'!$M$11:$M$1010,"&lt;&gt;OK",'قيود اليومية'!$M$11:$M$1010,"&lt;&gt;فارغ")&gt;0,"✖ خطأ بالحساب",IF(ROUND(SUMIFS('قيود اليومية'!$G$11:$G$1010,'قيود اليومية'!$A$11:$A$1010,A401)-SUMIFS('قيود اليومية'!$H$11:$H$1010,'قيود اليومية'!$A$11:$A$1010,A401),2)&lt;&gt;0,"✖ غير متوازن","مرحل ✔")))</f>
        <v/>
      </c>
      <c r="J401" s="55" t="str">
        <f aca="false">IF(C401="","",IFERROR(INDEX('شجرة الحسابات'!$E$9:$E$208,MATCH(C401,'شجرة الحسابات'!$A$9:$A$208,0))&amp;"",""))</f>
        <v/>
      </c>
      <c r="K401" s="55" t="str">
        <f aca="false">IF(C401="","",IFERROR(INDEX('شجرة الحسابات'!$I$9:$I$208,MATCH(C401,'شجرة الحسابات'!$A$9:$A$208,0))&amp;"",""))</f>
        <v/>
      </c>
      <c r="L401" s="55" t="str">
        <f aca="false">IF(C401="","",IFERROR(INDEX('شجرة الحسابات'!$C$9:$C$208,MATCH(C401,'شجرة الحسابات'!$A$9:$A$208,0))&amp;"",""))</f>
        <v/>
      </c>
      <c r="M401" s="55" t="str">
        <f aca="false">IF(AND(C401="",G401="",H401=""),"فارغ",IF(ISNA(MATCH(C401,'شجرة الحسابات'!$A$9:$A$208,0)),"حساب غير معرف",IF(L401&lt;&gt;"تحليلي","حساب تجميعي",IF(AND(N(G401)&gt;0,N(H401)&gt;0),"مدين ودائن معاً",IF(N(G401)+N(H401)=0,"بدون قيمة","OK")))))</f>
        <v>فارغ</v>
      </c>
      <c r="N401" s="55" t="str">
        <f aca="false">IF(AND(E401&lt;&gt;"",E401='كشف حساب مشروع'!$C$6,I401="مرحل ✔"),COUNTIFS($E$11:E401,'كشف حساب مشروع'!$C$6,$I$11:I401,"مرحل ✔"),"")</f>
        <v/>
      </c>
      <c r="O401" s="55" t="str">
        <f aca="false">IF(AND(C401&lt;&gt;"",C401='دفتر الأستاذ'!$C$6,I401="مرحل ✔"),COUNTIFS($C$11:C401,'دفتر الأستاذ'!$C$6,$I$11:I401,"مرحل ✔"),"")</f>
        <v/>
      </c>
    </row>
    <row r="402" customFormat="false" ht="15" hidden="false" customHeight="false" outlineLevel="0" collapsed="false">
      <c r="A402" s="49"/>
      <c r="B402" s="50"/>
      <c r="C402" s="49"/>
      <c r="D402" s="51" t="str">
        <f aca="false">IF(C402="","",IFERROR(INDEX('شجرة الحسابات'!$B$9:$B$208,MATCH(C402,'شجرة الحسابات'!$A$9:$A$208,0)),"⚠ حساب غير معرف"))</f>
        <v/>
      </c>
      <c r="E402" s="52"/>
      <c r="F402" s="52"/>
      <c r="G402" s="53"/>
      <c r="H402" s="53"/>
      <c r="I402" s="54" t="str">
        <f aca="false">IF(A402="",IF(M402="فارغ","","✖ بدون رقم قيد"),IF(COUNTIFS('قيود اليومية'!$A$11:$A$1010,A402,'قيود اليومية'!$M$11:$M$1010,"&lt;&gt;OK",'قيود اليومية'!$M$11:$M$1010,"&lt;&gt;فارغ")&gt;0,"✖ خطأ بالحساب",IF(ROUND(SUMIFS('قيود اليومية'!$G$11:$G$1010,'قيود اليومية'!$A$11:$A$1010,A402)-SUMIFS('قيود اليومية'!$H$11:$H$1010,'قيود اليومية'!$A$11:$A$1010,A402),2)&lt;&gt;0,"✖ غير متوازن","مرحل ✔")))</f>
        <v/>
      </c>
      <c r="J402" s="55" t="str">
        <f aca="false">IF(C402="","",IFERROR(INDEX('شجرة الحسابات'!$E$9:$E$208,MATCH(C402,'شجرة الحسابات'!$A$9:$A$208,0))&amp;"",""))</f>
        <v/>
      </c>
      <c r="K402" s="55" t="str">
        <f aca="false">IF(C402="","",IFERROR(INDEX('شجرة الحسابات'!$I$9:$I$208,MATCH(C402,'شجرة الحسابات'!$A$9:$A$208,0))&amp;"",""))</f>
        <v/>
      </c>
      <c r="L402" s="55" t="str">
        <f aca="false">IF(C402="","",IFERROR(INDEX('شجرة الحسابات'!$C$9:$C$208,MATCH(C402,'شجرة الحسابات'!$A$9:$A$208,0))&amp;"",""))</f>
        <v/>
      </c>
      <c r="M402" s="55" t="str">
        <f aca="false">IF(AND(C402="",G402="",H402=""),"فارغ",IF(ISNA(MATCH(C402,'شجرة الحسابات'!$A$9:$A$208,0)),"حساب غير معرف",IF(L402&lt;&gt;"تحليلي","حساب تجميعي",IF(AND(N(G402)&gt;0,N(H402)&gt;0),"مدين ودائن معاً",IF(N(G402)+N(H402)=0,"بدون قيمة","OK")))))</f>
        <v>فارغ</v>
      </c>
      <c r="N402" s="55" t="str">
        <f aca="false">IF(AND(E402&lt;&gt;"",E402='كشف حساب مشروع'!$C$6,I402="مرحل ✔"),COUNTIFS($E$11:E402,'كشف حساب مشروع'!$C$6,$I$11:I402,"مرحل ✔"),"")</f>
        <v/>
      </c>
      <c r="O402" s="55" t="str">
        <f aca="false">IF(AND(C402&lt;&gt;"",C402='دفتر الأستاذ'!$C$6,I402="مرحل ✔"),COUNTIFS($C$11:C402,'دفتر الأستاذ'!$C$6,$I$11:I402,"مرحل ✔"),"")</f>
        <v/>
      </c>
    </row>
    <row r="403" customFormat="false" ht="15" hidden="false" customHeight="false" outlineLevel="0" collapsed="false">
      <c r="A403" s="49"/>
      <c r="B403" s="50"/>
      <c r="C403" s="49"/>
      <c r="D403" s="51" t="str">
        <f aca="false">IF(C403="","",IFERROR(INDEX('شجرة الحسابات'!$B$9:$B$208,MATCH(C403,'شجرة الحسابات'!$A$9:$A$208,0)),"⚠ حساب غير معرف"))</f>
        <v/>
      </c>
      <c r="E403" s="52"/>
      <c r="F403" s="52"/>
      <c r="G403" s="53"/>
      <c r="H403" s="53"/>
      <c r="I403" s="54" t="str">
        <f aca="false">IF(A403="",IF(M403="فارغ","","✖ بدون رقم قيد"),IF(COUNTIFS('قيود اليومية'!$A$11:$A$1010,A403,'قيود اليومية'!$M$11:$M$1010,"&lt;&gt;OK",'قيود اليومية'!$M$11:$M$1010,"&lt;&gt;فارغ")&gt;0,"✖ خطأ بالحساب",IF(ROUND(SUMIFS('قيود اليومية'!$G$11:$G$1010,'قيود اليومية'!$A$11:$A$1010,A403)-SUMIFS('قيود اليومية'!$H$11:$H$1010,'قيود اليومية'!$A$11:$A$1010,A403),2)&lt;&gt;0,"✖ غير متوازن","مرحل ✔")))</f>
        <v/>
      </c>
      <c r="J403" s="55" t="str">
        <f aca="false">IF(C403="","",IFERROR(INDEX('شجرة الحسابات'!$E$9:$E$208,MATCH(C403,'شجرة الحسابات'!$A$9:$A$208,0))&amp;"",""))</f>
        <v/>
      </c>
      <c r="K403" s="55" t="str">
        <f aca="false">IF(C403="","",IFERROR(INDEX('شجرة الحسابات'!$I$9:$I$208,MATCH(C403,'شجرة الحسابات'!$A$9:$A$208,0))&amp;"",""))</f>
        <v/>
      </c>
      <c r="L403" s="55" t="str">
        <f aca="false">IF(C403="","",IFERROR(INDEX('شجرة الحسابات'!$C$9:$C$208,MATCH(C403,'شجرة الحسابات'!$A$9:$A$208,0))&amp;"",""))</f>
        <v/>
      </c>
      <c r="M403" s="55" t="str">
        <f aca="false">IF(AND(C403="",G403="",H403=""),"فارغ",IF(ISNA(MATCH(C403,'شجرة الحسابات'!$A$9:$A$208,0)),"حساب غير معرف",IF(L403&lt;&gt;"تحليلي","حساب تجميعي",IF(AND(N(G403)&gt;0,N(H403)&gt;0),"مدين ودائن معاً",IF(N(G403)+N(H403)=0,"بدون قيمة","OK")))))</f>
        <v>فارغ</v>
      </c>
      <c r="N403" s="55" t="str">
        <f aca="false">IF(AND(E403&lt;&gt;"",E403='كشف حساب مشروع'!$C$6,I403="مرحل ✔"),COUNTIFS($E$11:E403,'كشف حساب مشروع'!$C$6,$I$11:I403,"مرحل ✔"),"")</f>
        <v/>
      </c>
      <c r="O403" s="55" t="str">
        <f aca="false">IF(AND(C403&lt;&gt;"",C403='دفتر الأستاذ'!$C$6,I403="مرحل ✔"),COUNTIFS($C$11:C403,'دفتر الأستاذ'!$C$6,$I$11:I403,"مرحل ✔"),"")</f>
        <v/>
      </c>
    </row>
    <row r="404" customFormat="false" ht="15" hidden="false" customHeight="false" outlineLevel="0" collapsed="false">
      <c r="A404" s="49"/>
      <c r="B404" s="50"/>
      <c r="C404" s="49"/>
      <c r="D404" s="51" t="str">
        <f aca="false">IF(C404="","",IFERROR(INDEX('شجرة الحسابات'!$B$9:$B$208,MATCH(C404,'شجرة الحسابات'!$A$9:$A$208,0)),"⚠ حساب غير معرف"))</f>
        <v/>
      </c>
      <c r="E404" s="52"/>
      <c r="F404" s="52"/>
      <c r="G404" s="53"/>
      <c r="H404" s="53"/>
      <c r="I404" s="54" t="str">
        <f aca="false">IF(A404="",IF(M404="فارغ","","✖ بدون رقم قيد"),IF(COUNTIFS('قيود اليومية'!$A$11:$A$1010,A404,'قيود اليومية'!$M$11:$M$1010,"&lt;&gt;OK",'قيود اليومية'!$M$11:$M$1010,"&lt;&gt;فارغ")&gt;0,"✖ خطأ بالحساب",IF(ROUND(SUMIFS('قيود اليومية'!$G$11:$G$1010,'قيود اليومية'!$A$11:$A$1010,A404)-SUMIFS('قيود اليومية'!$H$11:$H$1010,'قيود اليومية'!$A$11:$A$1010,A404),2)&lt;&gt;0,"✖ غير متوازن","مرحل ✔")))</f>
        <v/>
      </c>
      <c r="J404" s="55" t="str">
        <f aca="false">IF(C404="","",IFERROR(INDEX('شجرة الحسابات'!$E$9:$E$208,MATCH(C404,'شجرة الحسابات'!$A$9:$A$208,0))&amp;"",""))</f>
        <v/>
      </c>
      <c r="K404" s="55" t="str">
        <f aca="false">IF(C404="","",IFERROR(INDEX('شجرة الحسابات'!$I$9:$I$208,MATCH(C404,'شجرة الحسابات'!$A$9:$A$208,0))&amp;"",""))</f>
        <v/>
      </c>
      <c r="L404" s="55" t="str">
        <f aca="false">IF(C404="","",IFERROR(INDEX('شجرة الحسابات'!$C$9:$C$208,MATCH(C404,'شجرة الحسابات'!$A$9:$A$208,0))&amp;"",""))</f>
        <v/>
      </c>
      <c r="M404" s="55" t="str">
        <f aca="false">IF(AND(C404="",G404="",H404=""),"فارغ",IF(ISNA(MATCH(C404,'شجرة الحسابات'!$A$9:$A$208,0)),"حساب غير معرف",IF(L404&lt;&gt;"تحليلي","حساب تجميعي",IF(AND(N(G404)&gt;0,N(H404)&gt;0),"مدين ودائن معاً",IF(N(G404)+N(H404)=0,"بدون قيمة","OK")))))</f>
        <v>فارغ</v>
      </c>
      <c r="N404" s="55" t="str">
        <f aca="false">IF(AND(E404&lt;&gt;"",E404='كشف حساب مشروع'!$C$6,I404="مرحل ✔"),COUNTIFS($E$11:E404,'كشف حساب مشروع'!$C$6,$I$11:I404,"مرحل ✔"),"")</f>
        <v/>
      </c>
      <c r="O404" s="55" t="str">
        <f aca="false">IF(AND(C404&lt;&gt;"",C404='دفتر الأستاذ'!$C$6,I404="مرحل ✔"),COUNTIFS($C$11:C404,'دفتر الأستاذ'!$C$6,$I$11:I404,"مرحل ✔"),"")</f>
        <v/>
      </c>
    </row>
    <row r="405" customFormat="false" ht="15" hidden="false" customHeight="false" outlineLevel="0" collapsed="false">
      <c r="A405" s="49"/>
      <c r="B405" s="50"/>
      <c r="C405" s="49"/>
      <c r="D405" s="51" t="str">
        <f aca="false">IF(C405="","",IFERROR(INDEX('شجرة الحسابات'!$B$9:$B$208,MATCH(C405,'شجرة الحسابات'!$A$9:$A$208,0)),"⚠ حساب غير معرف"))</f>
        <v/>
      </c>
      <c r="E405" s="52"/>
      <c r="F405" s="52"/>
      <c r="G405" s="53"/>
      <c r="H405" s="53"/>
      <c r="I405" s="54" t="str">
        <f aca="false">IF(A405="",IF(M405="فارغ","","✖ بدون رقم قيد"),IF(COUNTIFS('قيود اليومية'!$A$11:$A$1010,A405,'قيود اليومية'!$M$11:$M$1010,"&lt;&gt;OK",'قيود اليومية'!$M$11:$M$1010,"&lt;&gt;فارغ")&gt;0,"✖ خطأ بالحساب",IF(ROUND(SUMIFS('قيود اليومية'!$G$11:$G$1010,'قيود اليومية'!$A$11:$A$1010,A405)-SUMIFS('قيود اليومية'!$H$11:$H$1010,'قيود اليومية'!$A$11:$A$1010,A405),2)&lt;&gt;0,"✖ غير متوازن","مرحل ✔")))</f>
        <v/>
      </c>
      <c r="J405" s="55" t="str">
        <f aca="false">IF(C405="","",IFERROR(INDEX('شجرة الحسابات'!$E$9:$E$208,MATCH(C405,'شجرة الحسابات'!$A$9:$A$208,0))&amp;"",""))</f>
        <v/>
      </c>
      <c r="K405" s="55" t="str">
        <f aca="false">IF(C405="","",IFERROR(INDEX('شجرة الحسابات'!$I$9:$I$208,MATCH(C405,'شجرة الحسابات'!$A$9:$A$208,0))&amp;"",""))</f>
        <v/>
      </c>
      <c r="L405" s="55" t="str">
        <f aca="false">IF(C405="","",IFERROR(INDEX('شجرة الحسابات'!$C$9:$C$208,MATCH(C405,'شجرة الحسابات'!$A$9:$A$208,0))&amp;"",""))</f>
        <v/>
      </c>
      <c r="M405" s="55" t="str">
        <f aca="false">IF(AND(C405="",G405="",H405=""),"فارغ",IF(ISNA(MATCH(C405,'شجرة الحسابات'!$A$9:$A$208,0)),"حساب غير معرف",IF(L405&lt;&gt;"تحليلي","حساب تجميعي",IF(AND(N(G405)&gt;0,N(H405)&gt;0),"مدين ودائن معاً",IF(N(G405)+N(H405)=0,"بدون قيمة","OK")))))</f>
        <v>فارغ</v>
      </c>
      <c r="N405" s="55" t="str">
        <f aca="false">IF(AND(E405&lt;&gt;"",E405='كشف حساب مشروع'!$C$6,I405="مرحل ✔"),COUNTIFS($E$11:E405,'كشف حساب مشروع'!$C$6,$I$11:I405,"مرحل ✔"),"")</f>
        <v/>
      </c>
      <c r="O405" s="55" t="str">
        <f aca="false">IF(AND(C405&lt;&gt;"",C405='دفتر الأستاذ'!$C$6,I405="مرحل ✔"),COUNTIFS($C$11:C405,'دفتر الأستاذ'!$C$6,$I$11:I405,"مرحل ✔"),"")</f>
        <v/>
      </c>
    </row>
    <row r="406" customFormat="false" ht="15" hidden="false" customHeight="false" outlineLevel="0" collapsed="false">
      <c r="A406" s="49"/>
      <c r="B406" s="50"/>
      <c r="C406" s="49"/>
      <c r="D406" s="51" t="str">
        <f aca="false">IF(C406="","",IFERROR(INDEX('شجرة الحسابات'!$B$9:$B$208,MATCH(C406,'شجرة الحسابات'!$A$9:$A$208,0)),"⚠ حساب غير معرف"))</f>
        <v/>
      </c>
      <c r="E406" s="52"/>
      <c r="F406" s="52"/>
      <c r="G406" s="53"/>
      <c r="H406" s="53"/>
      <c r="I406" s="54" t="str">
        <f aca="false">IF(A406="",IF(M406="فارغ","","✖ بدون رقم قيد"),IF(COUNTIFS('قيود اليومية'!$A$11:$A$1010,A406,'قيود اليومية'!$M$11:$M$1010,"&lt;&gt;OK",'قيود اليومية'!$M$11:$M$1010,"&lt;&gt;فارغ")&gt;0,"✖ خطأ بالحساب",IF(ROUND(SUMIFS('قيود اليومية'!$G$11:$G$1010,'قيود اليومية'!$A$11:$A$1010,A406)-SUMIFS('قيود اليومية'!$H$11:$H$1010,'قيود اليومية'!$A$11:$A$1010,A406),2)&lt;&gt;0,"✖ غير متوازن","مرحل ✔")))</f>
        <v/>
      </c>
      <c r="J406" s="55" t="str">
        <f aca="false">IF(C406="","",IFERROR(INDEX('شجرة الحسابات'!$E$9:$E$208,MATCH(C406,'شجرة الحسابات'!$A$9:$A$208,0))&amp;"",""))</f>
        <v/>
      </c>
      <c r="K406" s="55" t="str">
        <f aca="false">IF(C406="","",IFERROR(INDEX('شجرة الحسابات'!$I$9:$I$208,MATCH(C406,'شجرة الحسابات'!$A$9:$A$208,0))&amp;"",""))</f>
        <v/>
      </c>
      <c r="L406" s="55" t="str">
        <f aca="false">IF(C406="","",IFERROR(INDEX('شجرة الحسابات'!$C$9:$C$208,MATCH(C406,'شجرة الحسابات'!$A$9:$A$208,0))&amp;"",""))</f>
        <v/>
      </c>
      <c r="M406" s="55" t="str">
        <f aca="false">IF(AND(C406="",G406="",H406=""),"فارغ",IF(ISNA(MATCH(C406,'شجرة الحسابات'!$A$9:$A$208,0)),"حساب غير معرف",IF(L406&lt;&gt;"تحليلي","حساب تجميعي",IF(AND(N(G406)&gt;0,N(H406)&gt;0),"مدين ودائن معاً",IF(N(G406)+N(H406)=0,"بدون قيمة","OK")))))</f>
        <v>فارغ</v>
      </c>
      <c r="N406" s="55" t="str">
        <f aca="false">IF(AND(E406&lt;&gt;"",E406='كشف حساب مشروع'!$C$6,I406="مرحل ✔"),COUNTIFS($E$11:E406,'كشف حساب مشروع'!$C$6,$I$11:I406,"مرحل ✔"),"")</f>
        <v/>
      </c>
      <c r="O406" s="55" t="str">
        <f aca="false">IF(AND(C406&lt;&gt;"",C406='دفتر الأستاذ'!$C$6,I406="مرحل ✔"),COUNTIFS($C$11:C406,'دفتر الأستاذ'!$C$6,$I$11:I406,"مرحل ✔"),"")</f>
        <v/>
      </c>
    </row>
    <row r="407" customFormat="false" ht="15" hidden="false" customHeight="false" outlineLevel="0" collapsed="false">
      <c r="A407" s="49"/>
      <c r="B407" s="50"/>
      <c r="C407" s="49"/>
      <c r="D407" s="51" t="str">
        <f aca="false">IF(C407="","",IFERROR(INDEX('شجرة الحسابات'!$B$9:$B$208,MATCH(C407,'شجرة الحسابات'!$A$9:$A$208,0)),"⚠ حساب غير معرف"))</f>
        <v/>
      </c>
      <c r="E407" s="52"/>
      <c r="F407" s="52"/>
      <c r="G407" s="53"/>
      <c r="H407" s="53"/>
      <c r="I407" s="54" t="str">
        <f aca="false">IF(A407="",IF(M407="فارغ","","✖ بدون رقم قيد"),IF(COUNTIFS('قيود اليومية'!$A$11:$A$1010,A407,'قيود اليومية'!$M$11:$M$1010,"&lt;&gt;OK",'قيود اليومية'!$M$11:$M$1010,"&lt;&gt;فارغ")&gt;0,"✖ خطأ بالحساب",IF(ROUND(SUMIFS('قيود اليومية'!$G$11:$G$1010,'قيود اليومية'!$A$11:$A$1010,A407)-SUMIFS('قيود اليومية'!$H$11:$H$1010,'قيود اليومية'!$A$11:$A$1010,A407),2)&lt;&gt;0,"✖ غير متوازن","مرحل ✔")))</f>
        <v/>
      </c>
      <c r="J407" s="55" t="str">
        <f aca="false">IF(C407="","",IFERROR(INDEX('شجرة الحسابات'!$E$9:$E$208,MATCH(C407,'شجرة الحسابات'!$A$9:$A$208,0))&amp;"",""))</f>
        <v/>
      </c>
      <c r="K407" s="55" t="str">
        <f aca="false">IF(C407="","",IFERROR(INDEX('شجرة الحسابات'!$I$9:$I$208,MATCH(C407,'شجرة الحسابات'!$A$9:$A$208,0))&amp;"",""))</f>
        <v/>
      </c>
      <c r="L407" s="55" t="str">
        <f aca="false">IF(C407="","",IFERROR(INDEX('شجرة الحسابات'!$C$9:$C$208,MATCH(C407,'شجرة الحسابات'!$A$9:$A$208,0))&amp;"",""))</f>
        <v/>
      </c>
      <c r="M407" s="55" t="str">
        <f aca="false">IF(AND(C407="",G407="",H407=""),"فارغ",IF(ISNA(MATCH(C407,'شجرة الحسابات'!$A$9:$A$208,0)),"حساب غير معرف",IF(L407&lt;&gt;"تحليلي","حساب تجميعي",IF(AND(N(G407)&gt;0,N(H407)&gt;0),"مدين ودائن معاً",IF(N(G407)+N(H407)=0,"بدون قيمة","OK")))))</f>
        <v>فارغ</v>
      </c>
      <c r="N407" s="55" t="str">
        <f aca="false">IF(AND(E407&lt;&gt;"",E407='كشف حساب مشروع'!$C$6,I407="مرحل ✔"),COUNTIFS($E$11:E407,'كشف حساب مشروع'!$C$6,$I$11:I407,"مرحل ✔"),"")</f>
        <v/>
      </c>
      <c r="O407" s="55" t="str">
        <f aca="false">IF(AND(C407&lt;&gt;"",C407='دفتر الأستاذ'!$C$6,I407="مرحل ✔"),COUNTIFS($C$11:C407,'دفتر الأستاذ'!$C$6,$I$11:I407,"مرحل ✔"),"")</f>
        <v/>
      </c>
    </row>
    <row r="408" customFormat="false" ht="15" hidden="false" customHeight="false" outlineLevel="0" collapsed="false">
      <c r="A408" s="49"/>
      <c r="B408" s="50"/>
      <c r="C408" s="49"/>
      <c r="D408" s="51" t="str">
        <f aca="false">IF(C408="","",IFERROR(INDEX('شجرة الحسابات'!$B$9:$B$208,MATCH(C408,'شجرة الحسابات'!$A$9:$A$208,0)),"⚠ حساب غير معرف"))</f>
        <v/>
      </c>
      <c r="E408" s="52"/>
      <c r="F408" s="52"/>
      <c r="G408" s="53"/>
      <c r="H408" s="53"/>
      <c r="I408" s="54" t="str">
        <f aca="false">IF(A408="",IF(M408="فارغ","","✖ بدون رقم قيد"),IF(COUNTIFS('قيود اليومية'!$A$11:$A$1010,A408,'قيود اليومية'!$M$11:$M$1010,"&lt;&gt;OK",'قيود اليومية'!$M$11:$M$1010,"&lt;&gt;فارغ")&gt;0,"✖ خطأ بالحساب",IF(ROUND(SUMIFS('قيود اليومية'!$G$11:$G$1010,'قيود اليومية'!$A$11:$A$1010,A408)-SUMIFS('قيود اليومية'!$H$11:$H$1010,'قيود اليومية'!$A$11:$A$1010,A408),2)&lt;&gt;0,"✖ غير متوازن","مرحل ✔")))</f>
        <v/>
      </c>
      <c r="J408" s="55" t="str">
        <f aca="false">IF(C408="","",IFERROR(INDEX('شجرة الحسابات'!$E$9:$E$208,MATCH(C408,'شجرة الحسابات'!$A$9:$A$208,0))&amp;"",""))</f>
        <v/>
      </c>
      <c r="K408" s="55" t="str">
        <f aca="false">IF(C408="","",IFERROR(INDEX('شجرة الحسابات'!$I$9:$I$208,MATCH(C408,'شجرة الحسابات'!$A$9:$A$208,0))&amp;"",""))</f>
        <v/>
      </c>
      <c r="L408" s="55" t="str">
        <f aca="false">IF(C408="","",IFERROR(INDEX('شجرة الحسابات'!$C$9:$C$208,MATCH(C408,'شجرة الحسابات'!$A$9:$A$208,0))&amp;"",""))</f>
        <v/>
      </c>
      <c r="M408" s="55" t="str">
        <f aca="false">IF(AND(C408="",G408="",H408=""),"فارغ",IF(ISNA(MATCH(C408,'شجرة الحسابات'!$A$9:$A$208,0)),"حساب غير معرف",IF(L408&lt;&gt;"تحليلي","حساب تجميعي",IF(AND(N(G408)&gt;0,N(H408)&gt;0),"مدين ودائن معاً",IF(N(G408)+N(H408)=0,"بدون قيمة","OK")))))</f>
        <v>فارغ</v>
      </c>
      <c r="N408" s="55" t="str">
        <f aca="false">IF(AND(E408&lt;&gt;"",E408='كشف حساب مشروع'!$C$6,I408="مرحل ✔"),COUNTIFS($E$11:E408,'كشف حساب مشروع'!$C$6,$I$11:I408,"مرحل ✔"),"")</f>
        <v/>
      </c>
      <c r="O408" s="55" t="str">
        <f aca="false">IF(AND(C408&lt;&gt;"",C408='دفتر الأستاذ'!$C$6,I408="مرحل ✔"),COUNTIFS($C$11:C408,'دفتر الأستاذ'!$C$6,$I$11:I408,"مرحل ✔"),"")</f>
        <v/>
      </c>
    </row>
    <row r="409" customFormat="false" ht="15" hidden="false" customHeight="false" outlineLevel="0" collapsed="false">
      <c r="A409" s="49"/>
      <c r="B409" s="50"/>
      <c r="C409" s="49"/>
      <c r="D409" s="51" t="str">
        <f aca="false">IF(C409="","",IFERROR(INDEX('شجرة الحسابات'!$B$9:$B$208,MATCH(C409,'شجرة الحسابات'!$A$9:$A$208,0)),"⚠ حساب غير معرف"))</f>
        <v/>
      </c>
      <c r="E409" s="52"/>
      <c r="F409" s="52"/>
      <c r="G409" s="53"/>
      <c r="H409" s="53"/>
      <c r="I409" s="54" t="str">
        <f aca="false">IF(A409="",IF(M409="فارغ","","✖ بدون رقم قيد"),IF(COUNTIFS('قيود اليومية'!$A$11:$A$1010,A409,'قيود اليومية'!$M$11:$M$1010,"&lt;&gt;OK",'قيود اليومية'!$M$11:$M$1010,"&lt;&gt;فارغ")&gt;0,"✖ خطأ بالحساب",IF(ROUND(SUMIFS('قيود اليومية'!$G$11:$G$1010,'قيود اليومية'!$A$11:$A$1010,A409)-SUMIFS('قيود اليومية'!$H$11:$H$1010,'قيود اليومية'!$A$11:$A$1010,A409),2)&lt;&gt;0,"✖ غير متوازن","مرحل ✔")))</f>
        <v/>
      </c>
      <c r="J409" s="55" t="str">
        <f aca="false">IF(C409="","",IFERROR(INDEX('شجرة الحسابات'!$E$9:$E$208,MATCH(C409,'شجرة الحسابات'!$A$9:$A$208,0))&amp;"",""))</f>
        <v/>
      </c>
      <c r="K409" s="55" t="str">
        <f aca="false">IF(C409="","",IFERROR(INDEX('شجرة الحسابات'!$I$9:$I$208,MATCH(C409,'شجرة الحسابات'!$A$9:$A$208,0))&amp;"",""))</f>
        <v/>
      </c>
      <c r="L409" s="55" t="str">
        <f aca="false">IF(C409="","",IFERROR(INDEX('شجرة الحسابات'!$C$9:$C$208,MATCH(C409,'شجرة الحسابات'!$A$9:$A$208,0))&amp;"",""))</f>
        <v/>
      </c>
      <c r="M409" s="55" t="str">
        <f aca="false">IF(AND(C409="",G409="",H409=""),"فارغ",IF(ISNA(MATCH(C409,'شجرة الحسابات'!$A$9:$A$208,0)),"حساب غير معرف",IF(L409&lt;&gt;"تحليلي","حساب تجميعي",IF(AND(N(G409)&gt;0,N(H409)&gt;0),"مدين ودائن معاً",IF(N(G409)+N(H409)=0,"بدون قيمة","OK")))))</f>
        <v>فارغ</v>
      </c>
      <c r="N409" s="55" t="str">
        <f aca="false">IF(AND(E409&lt;&gt;"",E409='كشف حساب مشروع'!$C$6,I409="مرحل ✔"),COUNTIFS($E$11:E409,'كشف حساب مشروع'!$C$6,$I$11:I409,"مرحل ✔"),"")</f>
        <v/>
      </c>
      <c r="O409" s="55" t="str">
        <f aca="false">IF(AND(C409&lt;&gt;"",C409='دفتر الأستاذ'!$C$6,I409="مرحل ✔"),COUNTIFS($C$11:C409,'دفتر الأستاذ'!$C$6,$I$11:I409,"مرحل ✔"),"")</f>
        <v/>
      </c>
    </row>
    <row r="410" customFormat="false" ht="15" hidden="false" customHeight="false" outlineLevel="0" collapsed="false">
      <c r="A410" s="49"/>
      <c r="B410" s="50"/>
      <c r="C410" s="49"/>
      <c r="D410" s="51" t="str">
        <f aca="false">IF(C410="","",IFERROR(INDEX('شجرة الحسابات'!$B$9:$B$208,MATCH(C410,'شجرة الحسابات'!$A$9:$A$208,0)),"⚠ حساب غير معرف"))</f>
        <v/>
      </c>
      <c r="E410" s="52"/>
      <c r="F410" s="52"/>
      <c r="G410" s="53"/>
      <c r="H410" s="53"/>
      <c r="I410" s="54" t="str">
        <f aca="false">IF(A410="",IF(M410="فارغ","","✖ بدون رقم قيد"),IF(COUNTIFS('قيود اليومية'!$A$11:$A$1010,A410,'قيود اليومية'!$M$11:$M$1010,"&lt;&gt;OK",'قيود اليومية'!$M$11:$M$1010,"&lt;&gt;فارغ")&gt;0,"✖ خطأ بالحساب",IF(ROUND(SUMIFS('قيود اليومية'!$G$11:$G$1010,'قيود اليومية'!$A$11:$A$1010,A410)-SUMIFS('قيود اليومية'!$H$11:$H$1010,'قيود اليومية'!$A$11:$A$1010,A410),2)&lt;&gt;0,"✖ غير متوازن","مرحل ✔")))</f>
        <v/>
      </c>
      <c r="J410" s="55" t="str">
        <f aca="false">IF(C410="","",IFERROR(INDEX('شجرة الحسابات'!$E$9:$E$208,MATCH(C410,'شجرة الحسابات'!$A$9:$A$208,0))&amp;"",""))</f>
        <v/>
      </c>
      <c r="K410" s="55" t="str">
        <f aca="false">IF(C410="","",IFERROR(INDEX('شجرة الحسابات'!$I$9:$I$208,MATCH(C410,'شجرة الحسابات'!$A$9:$A$208,0))&amp;"",""))</f>
        <v/>
      </c>
      <c r="L410" s="55" t="str">
        <f aca="false">IF(C410="","",IFERROR(INDEX('شجرة الحسابات'!$C$9:$C$208,MATCH(C410,'شجرة الحسابات'!$A$9:$A$208,0))&amp;"",""))</f>
        <v/>
      </c>
      <c r="M410" s="55" t="str">
        <f aca="false">IF(AND(C410="",G410="",H410=""),"فارغ",IF(ISNA(MATCH(C410,'شجرة الحسابات'!$A$9:$A$208,0)),"حساب غير معرف",IF(L410&lt;&gt;"تحليلي","حساب تجميعي",IF(AND(N(G410)&gt;0,N(H410)&gt;0),"مدين ودائن معاً",IF(N(G410)+N(H410)=0,"بدون قيمة","OK")))))</f>
        <v>فارغ</v>
      </c>
      <c r="N410" s="55" t="str">
        <f aca="false">IF(AND(E410&lt;&gt;"",E410='كشف حساب مشروع'!$C$6,I410="مرحل ✔"),COUNTIFS($E$11:E410,'كشف حساب مشروع'!$C$6,$I$11:I410,"مرحل ✔"),"")</f>
        <v/>
      </c>
      <c r="O410" s="55" t="str">
        <f aca="false">IF(AND(C410&lt;&gt;"",C410='دفتر الأستاذ'!$C$6,I410="مرحل ✔"),COUNTIFS($C$11:C410,'دفتر الأستاذ'!$C$6,$I$11:I410,"مرحل ✔"),"")</f>
        <v/>
      </c>
    </row>
    <row r="411" customFormat="false" ht="15" hidden="false" customHeight="false" outlineLevel="0" collapsed="false">
      <c r="A411" s="49"/>
      <c r="B411" s="50"/>
      <c r="C411" s="49"/>
      <c r="D411" s="51" t="str">
        <f aca="false">IF(C411="","",IFERROR(INDEX('شجرة الحسابات'!$B$9:$B$208,MATCH(C411,'شجرة الحسابات'!$A$9:$A$208,0)),"⚠ حساب غير معرف"))</f>
        <v/>
      </c>
      <c r="E411" s="52"/>
      <c r="F411" s="52"/>
      <c r="G411" s="53"/>
      <c r="H411" s="53"/>
      <c r="I411" s="54" t="str">
        <f aca="false">IF(A411="",IF(M411="فارغ","","✖ بدون رقم قيد"),IF(COUNTIFS('قيود اليومية'!$A$11:$A$1010,A411,'قيود اليومية'!$M$11:$M$1010,"&lt;&gt;OK",'قيود اليومية'!$M$11:$M$1010,"&lt;&gt;فارغ")&gt;0,"✖ خطأ بالحساب",IF(ROUND(SUMIFS('قيود اليومية'!$G$11:$G$1010,'قيود اليومية'!$A$11:$A$1010,A411)-SUMIFS('قيود اليومية'!$H$11:$H$1010,'قيود اليومية'!$A$11:$A$1010,A411),2)&lt;&gt;0,"✖ غير متوازن","مرحل ✔")))</f>
        <v/>
      </c>
      <c r="J411" s="55" t="str">
        <f aca="false">IF(C411="","",IFERROR(INDEX('شجرة الحسابات'!$E$9:$E$208,MATCH(C411,'شجرة الحسابات'!$A$9:$A$208,0))&amp;"",""))</f>
        <v/>
      </c>
      <c r="K411" s="55" t="str">
        <f aca="false">IF(C411="","",IFERROR(INDEX('شجرة الحسابات'!$I$9:$I$208,MATCH(C411,'شجرة الحسابات'!$A$9:$A$208,0))&amp;"",""))</f>
        <v/>
      </c>
      <c r="L411" s="55" t="str">
        <f aca="false">IF(C411="","",IFERROR(INDEX('شجرة الحسابات'!$C$9:$C$208,MATCH(C411,'شجرة الحسابات'!$A$9:$A$208,0))&amp;"",""))</f>
        <v/>
      </c>
      <c r="M411" s="55" t="str">
        <f aca="false">IF(AND(C411="",G411="",H411=""),"فارغ",IF(ISNA(MATCH(C411,'شجرة الحسابات'!$A$9:$A$208,0)),"حساب غير معرف",IF(L411&lt;&gt;"تحليلي","حساب تجميعي",IF(AND(N(G411)&gt;0,N(H411)&gt;0),"مدين ودائن معاً",IF(N(G411)+N(H411)=0,"بدون قيمة","OK")))))</f>
        <v>فارغ</v>
      </c>
      <c r="N411" s="55" t="str">
        <f aca="false">IF(AND(E411&lt;&gt;"",E411='كشف حساب مشروع'!$C$6,I411="مرحل ✔"),COUNTIFS($E$11:E411,'كشف حساب مشروع'!$C$6,$I$11:I411,"مرحل ✔"),"")</f>
        <v/>
      </c>
      <c r="O411" s="55" t="str">
        <f aca="false">IF(AND(C411&lt;&gt;"",C411='دفتر الأستاذ'!$C$6,I411="مرحل ✔"),COUNTIFS($C$11:C411,'دفتر الأستاذ'!$C$6,$I$11:I411,"مرحل ✔"),"")</f>
        <v/>
      </c>
    </row>
    <row r="412" customFormat="false" ht="15" hidden="false" customHeight="false" outlineLevel="0" collapsed="false">
      <c r="A412" s="49"/>
      <c r="B412" s="50"/>
      <c r="C412" s="49"/>
      <c r="D412" s="51" t="str">
        <f aca="false">IF(C412="","",IFERROR(INDEX('شجرة الحسابات'!$B$9:$B$208,MATCH(C412,'شجرة الحسابات'!$A$9:$A$208,0)),"⚠ حساب غير معرف"))</f>
        <v/>
      </c>
      <c r="E412" s="52"/>
      <c r="F412" s="52"/>
      <c r="G412" s="53"/>
      <c r="H412" s="53"/>
      <c r="I412" s="54" t="str">
        <f aca="false">IF(A412="",IF(M412="فارغ","","✖ بدون رقم قيد"),IF(COUNTIFS('قيود اليومية'!$A$11:$A$1010,A412,'قيود اليومية'!$M$11:$M$1010,"&lt;&gt;OK",'قيود اليومية'!$M$11:$M$1010,"&lt;&gt;فارغ")&gt;0,"✖ خطأ بالحساب",IF(ROUND(SUMIFS('قيود اليومية'!$G$11:$G$1010,'قيود اليومية'!$A$11:$A$1010,A412)-SUMIFS('قيود اليومية'!$H$11:$H$1010,'قيود اليومية'!$A$11:$A$1010,A412),2)&lt;&gt;0,"✖ غير متوازن","مرحل ✔")))</f>
        <v/>
      </c>
      <c r="J412" s="55" t="str">
        <f aca="false">IF(C412="","",IFERROR(INDEX('شجرة الحسابات'!$E$9:$E$208,MATCH(C412,'شجرة الحسابات'!$A$9:$A$208,0))&amp;"",""))</f>
        <v/>
      </c>
      <c r="K412" s="55" t="str">
        <f aca="false">IF(C412="","",IFERROR(INDEX('شجرة الحسابات'!$I$9:$I$208,MATCH(C412,'شجرة الحسابات'!$A$9:$A$208,0))&amp;"",""))</f>
        <v/>
      </c>
      <c r="L412" s="55" t="str">
        <f aca="false">IF(C412="","",IFERROR(INDEX('شجرة الحسابات'!$C$9:$C$208,MATCH(C412,'شجرة الحسابات'!$A$9:$A$208,0))&amp;"",""))</f>
        <v/>
      </c>
      <c r="M412" s="55" t="str">
        <f aca="false">IF(AND(C412="",G412="",H412=""),"فارغ",IF(ISNA(MATCH(C412,'شجرة الحسابات'!$A$9:$A$208,0)),"حساب غير معرف",IF(L412&lt;&gt;"تحليلي","حساب تجميعي",IF(AND(N(G412)&gt;0,N(H412)&gt;0),"مدين ودائن معاً",IF(N(G412)+N(H412)=0,"بدون قيمة","OK")))))</f>
        <v>فارغ</v>
      </c>
      <c r="N412" s="55" t="str">
        <f aca="false">IF(AND(E412&lt;&gt;"",E412='كشف حساب مشروع'!$C$6,I412="مرحل ✔"),COUNTIFS($E$11:E412,'كشف حساب مشروع'!$C$6,$I$11:I412,"مرحل ✔"),"")</f>
        <v/>
      </c>
      <c r="O412" s="55" t="str">
        <f aca="false">IF(AND(C412&lt;&gt;"",C412='دفتر الأستاذ'!$C$6,I412="مرحل ✔"),COUNTIFS($C$11:C412,'دفتر الأستاذ'!$C$6,$I$11:I412,"مرحل ✔"),"")</f>
        <v/>
      </c>
    </row>
    <row r="413" customFormat="false" ht="15" hidden="false" customHeight="false" outlineLevel="0" collapsed="false">
      <c r="A413" s="49"/>
      <c r="B413" s="50"/>
      <c r="C413" s="49"/>
      <c r="D413" s="51" t="str">
        <f aca="false">IF(C413="","",IFERROR(INDEX('شجرة الحسابات'!$B$9:$B$208,MATCH(C413,'شجرة الحسابات'!$A$9:$A$208,0)),"⚠ حساب غير معرف"))</f>
        <v/>
      </c>
      <c r="E413" s="52"/>
      <c r="F413" s="52"/>
      <c r="G413" s="53"/>
      <c r="H413" s="53"/>
      <c r="I413" s="54" t="str">
        <f aca="false">IF(A413="",IF(M413="فارغ","","✖ بدون رقم قيد"),IF(COUNTIFS('قيود اليومية'!$A$11:$A$1010,A413,'قيود اليومية'!$M$11:$M$1010,"&lt;&gt;OK",'قيود اليومية'!$M$11:$M$1010,"&lt;&gt;فارغ")&gt;0,"✖ خطأ بالحساب",IF(ROUND(SUMIFS('قيود اليومية'!$G$11:$G$1010,'قيود اليومية'!$A$11:$A$1010,A413)-SUMIFS('قيود اليومية'!$H$11:$H$1010,'قيود اليومية'!$A$11:$A$1010,A413),2)&lt;&gt;0,"✖ غير متوازن","مرحل ✔")))</f>
        <v/>
      </c>
      <c r="J413" s="55" t="str">
        <f aca="false">IF(C413="","",IFERROR(INDEX('شجرة الحسابات'!$E$9:$E$208,MATCH(C413,'شجرة الحسابات'!$A$9:$A$208,0))&amp;"",""))</f>
        <v/>
      </c>
      <c r="K413" s="55" t="str">
        <f aca="false">IF(C413="","",IFERROR(INDEX('شجرة الحسابات'!$I$9:$I$208,MATCH(C413,'شجرة الحسابات'!$A$9:$A$208,0))&amp;"",""))</f>
        <v/>
      </c>
      <c r="L413" s="55" t="str">
        <f aca="false">IF(C413="","",IFERROR(INDEX('شجرة الحسابات'!$C$9:$C$208,MATCH(C413,'شجرة الحسابات'!$A$9:$A$208,0))&amp;"",""))</f>
        <v/>
      </c>
      <c r="M413" s="55" t="str">
        <f aca="false">IF(AND(C413="",G413="",H413=""),"فارغ",IF(ISNA(MATCH(C413,'شجرة الحسابات'!$A$9:$A$208,0)),"حساب غير معرف",IF(L413&lt;&gt;"تحليلي","حساب تجميعي",IF(AND(N(G413)&gt;0,N(H413)&gt;0),"مدين ودائن معاً",IF(N(G413)+N(H413)=0,"بدون قيمة","OK")))))</f>
        <v>فارغ</v>
      </c>
      <c r="N413" s="55" t="str">
        <f aca="false">IF(AND(E413&lt;&gt;"",E413='كشف حساب مشروع'!$C$6,I413="مرحل ✔"),COUNTIFS($E$11:E413,'كشف حساب مشروع'!$C$6,$I$11:I413,"مرحل ✔"),"")</f>
        <v/>
      </c>
      <c r="O413" s="55" t="str">
        <f aca="false">IF(AND(C413&lt;&gt;"",C413='دفتر الأستاذ'!$C$6,I413="مرحل ✔"),COUNTIFS($C$11:C413,'دفتر الأستاذ'!$C$6,$I$11:I413,"مرحل ✔"),"")</f>
        <v/>
      </c>
    </row>
    <row r="414" customFormat="false" ht="15" hidden="false" customHeight="false" outlineLevel="0" collapsed="false">
      <c r="A414" s="49"/>
      <c r="B414" s="50"/>
      <c r="C414" s="49"/>
      <c r="D414" s="51" t="str">
        <f aca="false">IF(C414="","",IFERROR(INDEX('شجرة الحسابات'!$B$9:$B$208,MATCH(C414,'شجرة الحسابات'!$A$9:$A$208,0)),"⚠ حساب غير معرف"))</f>
        <v/>
      </c>
      <c r="E414" s="52"/>
      <c r="F414" s="52"/>
      <c r="G414" s="53"/>
      <c r="H414" s="53"/>
      <c r="I414" s="54" t="str">
        <f aca="false">IF(A414="",IF(M414="فارغ","","✖ بدون رقم قيد"),IF(COUNTIFS('قيود اليومية'!$A$11:$A$1010,A414,'قيود اليومية'!$M$11:$M$1010,"&lt;&gt;OK",'قيود اليومية'!$M$11:$M$1010,"&lt;&gt;فارغ")&gt;0,"✖ خطأ بالحساب",IF(ROUND(SUMIFS('قيود اليومية'!$G$11:$G$1010,'قيود اليومية'!$A$11:$A$1010,A414)-SUMIFS('قيود اليومية'!$H$11:$H$1010,'قيود اليومية'!$A$11:$A$1010,A414),2)&lt;&gt;0,"✖ غير متوازن","مرحل ✔")))</f>
        <v/>
      </c>
      <c r="J414" s="55" t="str">
        <f aca="false">IF(C414="","",IFERROR(INDEX('شجرة الحسابات'!$E$9:$E$208,MATCH(C414,'شجرة الحسابات'!$A$9:$A$208,0))&amp;"",""))</f>
        <v/>
      </c>
      <c r="K414" s="55" t="str">
        <f aca="false">IF(C414="","",IFERROR(INDEX('شجرة الحسابات'!$I$9:$I$208,MATCH(C414,'شجرة الحسابات'!$A$9:$A$208,0))&amp;"",""))</f>
        <v/>
      </c>
      <c r="L414" s="55" t="str">
        <f aca="false">IF(C414="","",IFERROR(INDEX('شجرة الحسابات'!$C$9:$C$208,MATCH(C414,'شجرة الحسابات'!$A$9:$A$208,0))&amp;"",""))</f>
        <v/>
      </c>
      <c r="M414" s="55" t="str">
        <f aca="false">IF(AND(C414="",G414="",H414=""),"فارغ",IF(ISNA(MATCH(C414,'شجرة الحسابات'!$A$9:$A$208,0)),"حساب غير معرف",IF(L414&lt;&gt;"تحليلي","حساب تجميعي",IF(AND(N(G414)&gt;0,N(H414)&gt;0),"مدين ودائن معاً",IF(N(G414)+N(H414)=0,"بدون قيمة","OK")))))</f>
        <v>فارغ</v>
      </c>
      <c r="N414" s="55" t="str">
        <f aca="false">IF(AND(E414&lt;&gt;"",E414='كشف حساب مشروع'!$C$6,I414="مرحل ✔"),COUNTIFS($E$11:E414,'كشف حساب مشروع'!$C$6,$I$11:I414,"مرحل ✔"),"")</f>
        <v/>
      </c>
      <c r="O414" s="55" t="str">
        <f aca="false">IF(AND(C414&lt;&gt;"",C414='دفتر الأستاذ'!$C$6,I414="مرحل ✔"),COUNTIFS($C$11:C414,'دفتر الأستاذ'!$C$6,$I$11:I414,"مرحل ✔"),"")</f>
        <v/>
      </c>
    </row>
    <row r="415" customFormat="false" ht="15" hidden="false" customHeight="false" outlineLevel="0" collapsed="false">
      <c r="A415" s="49"/>
      <c r="B415" s="50"/>
      <c r="C415" s="49"/>
      <c r="D415" s="51" t="str">
        <f aca="false">IF(C415="","",IFERROR(INDEX('شجرة الحسابات'!$B$9:$B$208,MATCH(C415,'شجرة الحسابات'!$A$9:$A$208,0)),"⚠ حساب غير معرف"))</f>
        <v/>
      </c>
      <c r="E415" s="52"/>
      <c r="F415" s="52"/>
      <c r="G415" s="53"/>
      <c r="H415" s="53"/>
      <c r="I415" s="54" t="str">
        <f aca="false">IF(A415="",IF(M415="فارغ","","✖ بدون رقم قيد"),IF(COUNTIFS('قيود اليومية'!$A$11:$A$1010,A415,'قيود اليومية'!$M$11:$M$1010,"&lt;&gt;OK",'قيود اليومية'!$M$11:$M$1010,"&lt;&gt;فارغ")&gt;0,"✖ خطأ بالحساب",IF(ROUND(SUMIFS('قيود اليومية'!$G$11:$G$1010,'قيود اليومية'!$A$11:$A$1010,A415)-SUMIFS('قيود اليومية'!$H$11:$H$1010,'قيود اليومية'!$A$11:$A$1010,A415),2)&lt;&gt;0,"✖ غير متوازن","مرحل ✔")))</f>
        <v/>
      </c>
      <c r="J415" s="55" t="str">
        <f aca="false">IF(C415="","",IFERROR(INDEX('شجرة الحسابات'!$E$9:$E$208,MATCH(C415,'شجرة الحسابات'!$A$9:$A$208,0))&amp;"",""))</f>
        <v/>
      </c>
      <c r="K415" s="55" t="str">
        <f aca="false">IF(C415="","",IFERROR(INDEX('شجرة الحسابات'!$I$9:$I$208,MATCH(C415,'شجرة الحسابات'!$A$9:$A$208,0))&amp;"",""))</f>
        <v/>
      </c>
      <c r="L415" s="55" t="str">
        <f aca="false">IF(C415="","",IFERROR(INDEX('شجرة الحسابات'!$C$9:$C$208,MATCH(C415,'شجرة الحسابات'!$A$9:$A$208,0))&amp;"",""))</f>
        <v/>
      </c>
      <c r="M415" s="55" t="str">
        <f aca="false">IF(AND(C415="",G415="",H415=""),"فارغ",IF(ISNA(MATCH(C415,'شجرة الحسابات'!$A$9:$A$208,0)),"حساب غير معرف",IF(L415&lt;&gt;"تحليلي","حساب تجميعي",IF(AND(N(G415)&gt;0,N(H415)&gt;0),"مدين ودائن معاً",IF(N(G415)+N(H415)=0,"بدون قيمة","OK")))))</f>
        <v>فارغ</v>
      </c>
      <c r="N415" s="55" t="str">
        <f aca="false">IF(AND(E415&lt;&gt;"",E415='كشف حساب مشروع'!$C$6,I415="مرحل ✔"),COUNTIFS($E$11:E415,'كشف حساب مشروع'!$C$6,$I$11:I415,"مرحل ✔"),"")</f>
        <v/>
      </c>
      <c r="O415" s="55" t="str">
        <f aca="false">IF(AND(C415&lt;&gt;"",C415='دفتر الأستاذ'!$C$6,I415="مرحل ✔"),COUNTIFS($C$11:C415,'دفتر الأستاذ'!$C$6,$I$11:I415,"مرحل ✔"),"")</f>
        <v/>
      </c>
    </row>
    <row r="416" customFormat="false" ht="15" hidden="false" customHeight="false" outlineLevel="0" collapsed="false">
      <c r="A416" s="49"/>
      <c r="B416" s="50"/>
      <c r="C416" s="49"/>
      <c r="D416" s="51" t="str">
        <f aca="false">IF(C416="","",IFERROR(INDEX('شجرة الحسابات'!$B$9:$B$208,MATCH(C416,'شجرة الحسابات'!$A$9:$A$208,0)),"⚠ حساب غير معرف"))</f>
        <v/>
      </c>
      <c r="E416" s="52"/>
      <c r="F416" s="52"/>
      <c r="G416" s="53"/>
      <c r="H416" s="53"/>
      <c r="I416" s="54" t="str">
        <f aca="false">IF(A416="",IF(M416="فارغ","","✖ بدون رقم قيد"),IF(COUNTIFS('قيود اليومية'!$A$11:$A$1010,A416,'قيود اليومية'!$M$11:$M$1010,"&lt;&gt;OK",'قيود اليومية'!$M$11:$M$1010,"&lt;&gt;فارغ")&gt;0,"✖ خطأ بالحساب",IF(ROUND(SUMIFS('قيود اليومية'!$G$11:$G$1010,'قيود اليومية'!$A$11:$A$1010,A416)-SUMIFS('قيود اليومية'!$H$11:$H$1010,'قيود اليومية'!$A$11:$A$1010,A416),2)&lt;&gt;0,"✖ غير متوازن","مرحل ✔")))</f>
        <v/>
      </c>
      <c r="J416" s="55" t="str">
        <f aca="false">IF(C416="","",IFERROR(INDEX('شجرة الحسابات'!$E$9:$E$208,MATCH(C416,'شجرة الحسابات'!$A$9:$A$208,0))&amp;"",""))</f>
        <v/>
      </c>
      <c r="K416" s="55" t="str">
        <f aca="false">IF(C416="","",IFERROR(INDEX('شجرة الحسابات'!$I$9:$I$208,MATCH(C416,'شجرة الحسابات'!$A$9:$A$208,0))&amp;"",""))</f>
        <v/>
      </c>
      <c r="L416" s="55" t="str">
        <f aca="false">IF(C416="","",IFERROR(INDEX('شجرة الحسابات'!$C$9:$C$208,MATCH(C416,'شجرة الحسابات'!$A$9:$A$208,0))&amp;"",""))</f>
        <v/>
      </c>
      <c r="M416" s="55" t="str">
        <f aca="false">IF(AND(C416="",G416="",H416=""),"فارغ",IF(ISNA(MATCH(C416,'شجرة الحسابات'!$A$9:$A$208,0)),"حساب غير معرف",IF(L416&lt;&gt;"تحليلي","حساب تجميعي",IF(AND(N(G416)&gt;0,N(H416)&gt;0),"مدين ودائن معاً",IF(N(G416)+N(H416)=0,"بدون قيمة","OK")))))</f>
        <v>فارغ</v>
      </c>
      <c r="N416" s="55" t="str">
        <f aca="false">IF(AND(E416&lt;&gt;"",E416='كشف حساب مشروع'!$C$6,I416="مرحل ✔"),COUNTIFS($E$11:E416,'كشف حساب مشروع'!$C$6,$I$11:I416,"مرحل ✔"),"")</f>
        <v/>
      </c>
      <c r="O416" s="55" t="str">
        <f aca="false">IF(AND(C416&lt;&gt;"",C416='دفتر الأستاذ'!$C$6,I416="مرحل ✔"),COUNTIFS($C$11:C416,'دفتر الأستاذ'!$C$6,$I$11:I416,"مرحل ✔"),"")</f>
        <v/>
      </c>
    </row>
    <row r="417" customFormat="false" ht="15" hidden="false" customHeight="false" outlineLevel="0" collapsed="false">
      <c r="A417" s="49"/>
      <c r="B417" s="50"/>
      <c r="C417" s="49"/>
      <c r="D417" s="51" t="str">
        <f aca="false">IF(C417="","",IFERROR(INDEX('شجرة الحسابات'!$B$9:$B$208,MATCH(C417,'شجرة الحسابات'!$A$9:$A$208,0)),"⚠ حساب غير معرف"))</f>
        <v/>
      </c>
      <c r="E417" s="52"/>
      <c r="F417" s="52"/>
      <c r="G417" s="53"/>
      <c r="H417" s="53"/>
      <c r="I417" s="54" t="str">
        <f aca="false">IF(A417="",IF(M417="فارغ","","✖ بدون رقم قيد"),IF(COUNTIFS('قيود اليومية'!$A$11:$A$1010,A417,'قيود اليومية'!$M$11:$M$1010,"&lt;&gt;OK",'قيود اليومية'!$M$11:$M$1010,"&lt;&gt;فارغ")&gt;0,"✖ خطأ بالحساب",IF(ROUND(SUMIFS('قيود اليومية'!$G$11:$G$1010,'قيود اليومية'!$A$11:$A$1010,A417)-SUMIFS('قيود اليومية'!$H$11:$H$1010,'قيود اليومية'!$A$11:$A$1010,A417),2)&lt;&gt;0,"✖ غير متوازن","مرحل ✔")))</f>
        <v/>
      </c>
      <c r="J417" s="55" t="str">
        <f aca="false">IF(C417="","",IFERROR(INDEX('شجرة الحسابات'!$E$9:$E$208,MATCH(C417,'شجرة الحسابات'!$A$9:$A$208,0))&amp;"",""))</f>
        <v/>
      </c>
      <c r="K417" s="55" t="str">
        <f aca="false">IF(C417="","",IFERROR(INDEX('شجرة الحسابات'!$I$9:$I$208,MATCH(C417,'شجرة الحسابات'!$A$9:$A$208,0))&amp;"",""))</f>
        <v/>
      </c>
      <c r="L417" s="55" t="str">
        <f aca="false">IF(C417="","",IFERROR(INDEX('شجرة الحسابات'!$C$9:$C$208,MATCH(C417,'شجرة الحسابات'!$A$9:$A$208,0))&amp;"",""))</f>
        <v/>
      </c>
      <c r="M417" s="55" t="str">
        <f aca="false">IF(AND(C417="",G417="",H417=""),"فارغ",IF(ISNA(MATCH(C417,'شجرة الحسابات'!$A$9:$A$208,0)),"حساب غير معرف",IF(L417&lt;&gt;"تحليلي","حساب تجميعي",IF(AND(N(G417)&gt;0,N(H417)&gt;0),"مدين ودائن معاً",IF(N(G417)+N(H417)=0,"بدون قيمة","OK")))))</f>
        <v>فارغ</v>
      </c>
      <c r="N417" s="55" t="str">
        <f aca="false">IF(AND(E417&lt;&gt;"",E417='كشف حساب مشروع'!$C$6,I417="مرحل ✔"),COUNTIFS($E$11:E417,'كشف حساب مشروع'!$C$6,$I$11:I417,"مرحل ✔"),"")</f>
        <v/>
      </c>
      <c r="O417" s="55" t="str">
        <f aca="false">IF(AND(C417&lt;&gt;"",C417='دفتر الأستاذ'!$C$6,I417="مرحل ✔"),COUNTIFS($C$11:C417,'دفتر الأستاذ'!$C$6,$I$11:I417,"مرحل ✔"),"")</f>
        <v/>
      </c>
    </row>
    <row r="418" customFormat="false" ht="15" hidden="false" customHeight="false" outlineLevel="0" collapsed="false">
      <c r="A418" s="49"/>
      <c r="B418" s="50"/>
      <c r="C418" s="49"/>
      <c r="D418" s="51" t="str">
        <f aca="false">IF(C418="","",IFERROR(INDEX('شجرة الحسابات'!$B$9:$B$208,MATCH(C418,'شجرة الحسابات'!$A$9:$A$208,0)),"⚠ حساب غير معرف"))</f>
        <v/>
      </c>
      <c r="E418" s="52"/>
      <c r="F418" s="52"/>
      <c r="G418" s="53"/>
      <c r="H418" s="53"/>
      <c r="I418" s="54" t="str">
        <f aca="false">IF(A418="",IF(M418="فارغ","","✖ بدون رقم قيد"),IF(COUNTIFS('قيود اليومية'!$A$11:$A$1010,A418,'قيود اليومية'!$M$11:$M$1010,"&lt;&gt;OK",'قيود اليومية'!$M$11:$M$1010,"&lt;&gt;فارغ")&gt;0,"✖ خطأ بالحساب",IF(ROUND(SUMIFS('قيود اليومية'!$G$11:$G$1010,'قيود اليومية'!$A$11:$A$1010,A418)-SUMIFS('قيود اليومية'!$H$11:$H$1010,'قيود اليومية'!$A$11:$A$1010,A418),2)&lt;&gt;0,"✖ غير متوازن","مرحل ✔")))</f>
        <v/>
      </c>
      <c r="J418" s="55" t="str">
        <f aca="false">IF(C418="","",IFERROR(INDEX('شجرة الحسابات'!$E$9:$E$208,MATCH(C418,'شجرة الحسابات'!$A$9:$A$208,0))&amp;"",""))</f>
        <v/>
      </c>
      <c r="K418" s="55" t="str">
        <f aca="false">IF(C418="","",IFERROR(INDEX('شجرة الحسابات'!$I$9:$I$208,MATCH(C418,'شجرة الحسابات'!$A$9:$A$208,0))&amp;"",""))</f>
        <v/>
      </c>
      <c r="L418" s="55" t="str">
        <f aca="false">IF(C418="","",IFERROR(INDEX('شجرة الحسابات'!$C$9:$C$208,MATCH(C418,'شجرة الحسابات'!$A$9:$A$208,0))&amp;"",""))</f>
        <v/>
      </c>
      <c r="M418" s="55" t="str">
        <f aca="false">IF(AND(C418="",G418="",H418=""),"فارغ",IF(ISNA(MATCH(C418,'شجرة الحسابات'!$A$9:$A$208,0)),"حساب غير معرف",IF(L418&lt;&gt;"تحليلي","حساب تجميعي",IF(AND(N(G418)&gt;0,N(H418)&gt;0),"مدين ودائن معاً",IF(N(G418)+N(H418)=0,"بدون قيمة","OK")))))</f>
        <v>فارغ</v>
      </c>
      <c r="N418" s="55" t="str">
        <f aca="false">IF(AND(E418&lt;&gt;"",E418='كشف حساب مشروع'!$C$6,I418="مرحل ✔"),COUNTIFS($E$11:E418,'كشف حساب مشروع'!$C$6,$I$11:I418,"مرحل ✔"),"")</f>
        <v/>
      </c>
      <c r="O418" s="55" t="str">
        <f aca="false">IF(AND(C418&lt;&gt;"",C418='دفتر الأستاذ'!$C$6,I418="مرحل ✔"),COUNTIFS($C$11:C418,'دفتر الأستاذ'!$C$6,$I$11:I418,"مرحل ✔"),"")</f>
        <v/>
      </c>
    </row>
    <row r="419" customFormat="false" ht="15" hidden="false" customHeight="false" outlineLevel="0" collapsed="false">
      <c r="A419" s="49"/>
      <c r="B419" s="50"/>
      <c r="C419" s="49"/>
      <c r="D419" s="51" t="str">
        <f aca="false">IF(C419="","",IFERROR(INDEX('شجرة الحسابات'!$B$9:$B$208,MATCH(C419,'شجرة الحسابات'!$A$9:$A$208,0)),"⚠ حساب غير معرف"))</f>
        <v/>
      </c>
      <c r="E419" s="52"/>
      <c r="F419" s="52"/>
      <c r="G419" s="53"/>
      <c r="H419" s="53"/>
      <c r="I419" s="54" t="str">
        <f aca="false">IF(A419="",IF(M419="فارغ","","✖ بدون رقم قيد"),IF(COUNTIFS('قيود اليومية'!$A$11:$A$1010,A419,'قيود اليومية'!$M$11:$M$1010,"&lt;&gt;OK",'قيود اليومية'!$M$11:$M$1010,"&lt;&gt;فارغ")&gt;0,"✖ خطأ بالحساب",IF(ROUND(SUMIFS('قيود اليومية'!$G$11:$G$1010,'قيود اليومية'!$A$11:$A$1010,A419)-SUMIFS('قيود اليومية'!$H$11:$H$1010,'قيود اليومية'!$A$11:$A$1010,A419),2)&lt;&gt;0,"✖ غير متوازن","مرحل ✔")))</f>
        <v/>
      </c>
      <c r="J419" s="55" t="str">
        <f aca="false">IF(C419="","",IFERROR(INDEX('شجرة الحسابات'!$E$9:$E$208,MATCH(C419,'شجرة الحسابات'!$A$9:$A$208,0))&amp;"",""))</f>
        <v/>
      </c>
      <c r="K419" s="55" t="str">
        <f aca="false">IF(C419="","",IFERROR(INDEX('شجرة الحسابات'!$I$9:$I$208,MATCH(C419,'شجرة الحسابات'!$A$9:$A$208,0))&amp;"",""))</f>
        <v/>
      </c>
      <c r="L419" s="55" t="str">
        <f aca="false">IF(C419="","",IFERROR(INDEX('شجرة الحسابات'!$C$9:$C$208,MATCH(C419,'شجرة الحسابات'!$A$9:$A$208,0))&amp;"",""))</f>
        <v/>
      </c>
      <c r="M419" s="55" t="str">
        <f aca="false">IF(AND(C419="",G419="",H419=""),"فارغ",IF(ISNA(MATCH(C419,'شجرة الحسابات'!$A$9:$A$208,0)),"حساب غير معرف",IF(L419&lt;&gt;"تحليلي","حساب تجميعي",IF(AND(N(G419)&gt;0,N(H419)&gt;0),"مدين ودائن معاً",IF(N(G419)+N(H419)=0,"بدون قيمة","OK")))))</f>
        <v>فارغ</v>
      </c>
      <c r="N419" s="55" t="str">
        <f aca="false">IF(AND(E419&lt;&gt;"",E419='كشف حساب مشروع'!$C$6,I419="مرحل ✔"),COUNTIFS($E$11:E419,'كشف حساب مشروع'!$C$6,$I$11:I419,"مرحل ✔"),"")</f>
        <v/>
      </c>
      <c r="O419" s="55" t="str">
        <f aca="false">IF(AND(C419&lt;&gt;"",C419='دفتر الأستاذ'!$C$6,I419="مرحل ✔"),COUNTIFS($C$11:C419,'دفتر الأستاذ'!$C$6,$I$11:I419,"مرحل ✔"),"")</f>
        <v/>
      </c>
    </row>
    <row r="420" customFormat="false" ht="15" hidden="false" customHeight="false" outlineLevel="0" collapsed="false">
      <c r="A420" s="49"/>
      <c r="B420" s="50"/>
      <c r="C420" s="49"/>
      <c r="D420" s="51" t="str">
        <f aca="false">IF(C420="","",IFERROR(INDEX('شجرة الحسابات'!$B$9:$B$208,MATCH(C420,'شجرة الحسابات'!$A$9:$A$208,0)),"⚠ حساب غير معرف"))</f>
        <v/>
      </c>
      <c r="E420" s="52"/>
      <c r="F420" s="52"/>
      <c r="G420" s="53"/>
      <c r="H420" s="53"/>
      <c r="I420" s="54" t="str">
        <f aca="false">IF(A420="",IF(M420="فارغ","","✖ بدون رقم قيد"),IF(COUNTIFS('قيود اليومية'!$A$11:$A$1010,A420,'قيود اليومية'!$M$11:$M$1010,"&lt;&gt;OK",'قيود اليومية'!$M$11:$M$1010,"&lt;&gt;فارغ")&gt;0,"✖ خطأ بالحساب",IF(ROUND(SUMIFS('قيود اليومية'!$G$11:$G$1010,'قيود اليومية'!$A$11:$A$1010,A420)-SUMIFS('قيود اليومية'!$H$11:$H$1010,'قيود اليومية'!$A$11:$A$1010,A420),2)&lt;&gt;0,"✖ غير متوازن","مرحل ✔")))</f>
        <v/>
      </c>
      <c r="J420" s="55" t="str">
        <f aca="false">IF(C420="","",IFERROR(INDEX('شجرة الحسابات'!$E$9:$E$208,MATCH(C420,'شجرة الحسابات'!$A$9:$A$208,0))&amp;"",""))</f>
        <v/>
      </c>
      <c r="K420" s="55" t="str">
        <f aca="false">IF(C420="","",IFERROR(INDEX('شجرة الحسابات'!$I$9:$I$208,MATCH(C420,'شجرة الحسابات'!$A$9:$A$208,0))&amp;"",""))</f>
        <v/>
      </c>
      <c r="L420" s="55" t="str">
        <f aca="false">IF(C420="","",IFERROR(INDEX('شجرة الحسابات'!$C$9:$C$208,MATCH(C420,'شجرة الحسابات'!$A$9:$A$208,0))&amp;"",""))</f>
        <v/>
      </c>
      <c r="M420" s="55" t="str">
        <f aca="false">IF(AND(C420="",G420="",H420=""),"فارغ",IF(ISNA(MATCH(C420,'شجرة الحسابات'!$A$9:$A$208,0)),"حساب غير معرف",IF(L420&lt;&gt;"تحليلي","حساب تجميعي",IF(AND(N(G420)&gt;0,N(H420)&gt;0),"مدين ودائن معاً",IF(N(G420)+N(H420)=0,"بدون قيمة","OK")))))</f>
        <v>فارغ</v>
      </c>
      <c r="N420" s="55" t="str">
        <f aca="false">IF(AND(E420&lt;&gt;"",E420='كشف حساب مشروع'!$C$6,I420="مرحل ✔"),COUNTIFS($E$11:E420,'كشف حساب مشروع'!$C$6,$I$11:I420,"مرحل ✔"),"")</f>
        <v/>
      </c>
      <c r="O420" s="55" t="str">
        <f aca="false">IF(AND(C420&lt;&gt;"",C420='دفتر الأستاذ'!$C$6,I420="مرحل ✔"),COUNTIFS($C$11:C420,'دفتر الأستاذ'!$C$6,$I$11:I420,"مرحل ✔"),"")</f>
        <v/>
      </c>
    </row>
    <row r="421" customFormat="false" ht="15" hidden="false" customHeight="false" outlineLevel="0" collapsed="false">
      <c r="A421" s="49"/>
      <c r="B421" s="50"/>
      <c r="C421" s="49"/>
      <c r="D421" s="51" t="str">
        <f aca="false">IF(C421="","",IFERROR(INDEX('شجرة الحسابات'!$B$9:$B$208,MATCH(C421,'شجرة الحسابات'!$A$9:$A$208,0)),"⚠ حساب غير معرف"))</f>
        <v/>
      </c>
      <c r="E421" s="52"/>
      <c r="F421" s="52"/>
      <c r="G421" s="53"/>
      <c r="H421" s="53"/>
      <c r="I421" s="54" t="str">
        <f aca="false">IF(A421="",IF(M421="فارغ","","✖ بدون رقم قيد"),IF(COUNTIFS('قيود اليومية'!$A$11:$A$1010,A421,'قيود اليومية'!$M$11:$M$1010,"&lt;&gt;OK",'قيود اليومية'!$M$11:$M$1010,"&lt;&gt;فارغ")&gt;0,"✖ خطأ بالحساب",IF(ROUND(SUMIFS('قيود اليومية'!$G$11:$G$1010,'قيود اليومية'!$A$11:$A$1010,A421)-SUMIFS('قيود اليومية'!$H$11:$H$1010,'قيود اليومية'!$A$11:$A$1010,A421),2)&lt;&gt;0,"✖ غير متوازن","مرحل ✔")))</f>
        <v/>
      </c>
      <c r="J421" s="55" t="str">
        <f aca="false">IF(C421="","",IFERROR(INDEX('شجرة الحسابات'!$E$9:$E$208,MATCH(C421,'شجرة الحسابات'!$A$9:$A$208,0))&amp;"",""))</f>
        <v/>
      </c>
      <c r="K421" s="55" t="str">
        <f aca="false">IF(C421="","",IFERROR(INDEX('شجرة الحسابات'!$I$9:$I$208,MATCH(C421,'شجرة الحسابات'!$A$9:$A$208,0))&amp;"",""))</f>
        <v/>
      </c>
      <c r="L421" s="55" t="str">
        <f aca="false">IF(C421="","",IFERROR(INDEX('شجرة الحسابات'!$C$9:$C$208,MATCH(C421,'شجرة الحسابات'!$A$9:$A$208,0))&amp;"",""))</f>
        <v/>
      </c>
      <c r="M421" s="55" t="str">
        <f aca="false">IF(AND(C421="",G421="",H421=""),"فارغ",IF(ISNA(MATCH(C421,'شجرة الحسابات'!$A$9:$A$208,0)),"حساب غير معرف",IF(L421&lt;&gt;"تحليلي","حساب تجميعي",IF(AND(N(G421)&gt;0,N(H421)&gt;0),"مدين ودائن معاً",IF(N(G421)+N(H421)=0,"بدون قيمة","OK")))))</f>
        <v>فارغ</v>
      </c>
      <c r="N421" s="55" t="str">
        <f aca="false">IF(AND(E421&lt;&gt;"",E421='كشف حساب مشروع'!$C$6,I421="مرحل ✔"),COUNTIFS($E$11:E421,'كشف حساب مشروع'!$C$6,$I$11:I421,"مرحل ✔"),"")</f>
        <v/>
      </c>
      <c r="O421" s="55" t="str">
        <f aca="false">IF(AND(C421&lt;&gt;"",C421='دفتر الأستاذ'!$C$6,I421="مرحل ✔"),COUNTIFS($C$11:C421,'دفتر الأستاذ'!$C$6,$I$11:I421,"مرحل ✔"),"")</f>
        <v/>
      </c>
    </row>
    <row r="422" customFormat="false" ht="15" hidden="false" customHeight="false" outlineLevel="0" collapsed="false">
      <c r="A422" s="49"/>
      <c r="B422" s="50"/>
      <c r="C422" s="49"/>
      <c r="D422" s="51" t="str">
        <f aca="false">IF(C422="","",IFERROR(INDEX('شجرة الحسابات'!$B$9:$B$208,MATCH(C422,'شجرة الحسابات'!$A$9:$A$208,0)),"⚠ حساب غير معرف"))</f>
        <v/>
      </c>
      <c r="E422" s="52"/>
      <c r="F422" s="52"/>
      <c r="G422" s="53"/>
      <c r="H422" s="53"/>
      <c r="I422" s="54" t="str">
        <f aca="false">IF(A422="",IF(M422="فارغ","","✖ بدون رقم قيد"),IF(COUNTIFS('قيود اليومية'!$A$11:$A$1010,A422,'قيود اليومية'!$M$11:$M$1010,"&lt;&gt;OK",'قيود اليومية'!$M$11:$M$1010,"&lt;&gt;فارغ")&gt;0,"✖ خطأ بالحساب",IF(ROUND(SUMIFS('قيود اليومية'!$G$11:$G$1010,'قيود اليومية'!$A$11:$A$1010,A422)-SUMIFS('قيود اليومية'!$H$11:$H$1010,'قيود اليومية'!$A$11:$A$1010,A422),2)&lt;&gt;0,"✖ غير متوازن","مرحل ✔")))</f>
        <v/>
      </c>
      <c r="J422" s="55" t="str">
        <f aca="false">IF(C422="","",IFERROR(INDEX('شجرة الحسابات'!$E$9:$E$208,MATCH(C422,'شجرة الحسابات'!$A$9:$A$208,0))&amp;"",""))</f>
        <v/>
      </c>
      <c r="K422" s="55" t="str">
        <f aca="false">IF(C422="","",IFERROR(INDEX('شجرة الحسابات'!$I$9:$I$208,MATCH(C422,'شجرة الحسابات'!$A$9:$A$208,0))&amp;"",""))</f>
        <v/>
      </c>
      <c r="L422" s="55" t="str">
        <f aca="false">IF(C422="","",IFERROR(INDEX('شجرة الحسابات'!$C$9:$C$208,MATCH(C422,'شجرة الحسابات'!$A$9:$A$208,0))&amp;"",""))</f>
        <v/>
      </c>
      <c r="M422" s="55" t="str">
        <f aca="false">IF(AND(C422="",G422="",H422=""),"فارغ",IF(ISNA(MATCH(C422,'شجرة الحسابات'!$A$9:$A$208,0)),"حساب غير معرف",IF(L422&lt;&gt;"تحليلي","حساب تجميعي",IF(AND(N(G422)&gt;0,N(H422)&gt;0),"مدين ودائن معاً",IF(N(G422)+N(H422)=0,"بدون قيمة","OK")))))</f>
        <v>فارغ</v>
      </c>
      <c r="N422" s="55" t="str">
        <f aca="false">IF(AND(E422&lt;&gt;"",E422='كشف حساب مشروع'!$C$6,I422="مرحل ✔"),COUNTIFS($E$11:E422,'كشف حساب مشروع'!$C$6,$I$11:I422,"مرحل ✔"),"")</f>
        <v/>
      </c>
      <c r="O422" s="55" t="str">
        <f aca="false">IF(AND(C422&lt;&gt;"",C422='دفتر الأستاذ'!$C$6,I422="مرحل ✔"),COUNTIFS($C$11:C422,'دفتر الأستاذ'!$C$6,$I$11:I422,"مرحل ✔"),"")</f>
        <v/>
      </c>
    </row>
    <row r="423" customFormat="false" ht="15" hidden="false" customHeight="false" outlineLevel="0" collapsed="false">
      <c r="A423" s="49"/>
      <c r="B423" s="50"/>
      <c r="C423" s="49"/>
      <c r="D423" s="51" t="str">
        <f aca="false">IF(C423="","",IFERROR(INDEX('شجرة الحسابات'!$B$9:$B$208,MATCH(C423,'شجرة الحسابات'!$A$9:$A$208,0)),"⚠ حساب غير معرف"))</f>
        <v/>
      </c>
      <c r="E423" s="52"/>
      <c r="F423" s="52"/>
      <c r="G423" s="53"/>
      <c r="H423" s="53"/>
      <c r="I423" s="54" t="str">
        <f aca="false">IF(A423="",IF(M423="فارغ","","✖ بدون رقم قيد"),IF(COUNTIFS('قيود اليومية'!$A$11:$A$1010,A423,'قيود اليومية'!$M$11:$M$1010,"&lt;&gt;OK",'قيود اليومية'!$M$11:$M$1010,"&lt;&gt;فارغ")&gt;0,"✖ خطأ بالحساب",IF(ROUND(SUMIFS('قيود اليومية'!$G$11:$G$1010,'قيود اليومية'!$A$11:$A$1010,A423)-SUMIFS('قيود اليومية'!$H$11:$H$1010,'قيود اليومية'!$A$11:$A$1010,A423),2)&lt;&gt;0,"✖ غير متوازن","مرحل ✔")))</f>
        <v/>
      </c>
      <c r="J423" s="55" t="str">
        <f aca="false">IF(C423="","",IFERROR(INDEX('شجرة الحسابات'!$E$9:$E$208,MATCH(C423,'شجرة الحسابات'!$A$9:$A$208,0))&amp;"",""))</f>
        <v/>
      </c>
      <c r="K423" s="55" t="str">
        <f aca="false">IF(C423="","",IFERROR(INDEX('شجرة الحسابات'!$I$9:$I$208,MATCH(C423,'شجرة الحسابات'!$A$9:$A$208,0))&amp;"",""))</f>
        <v/>
      </c>
      <c r="L423" s="55" t="str">
        <f aca="false">IF(C423="","",IFERROR(INDEX('شجرة الحسابات'!$C$9:$C$208,MATCH(C423,'شجرة الحسابات'!$A$9:$A$208,0))&amp;"",""))</f>
        <v/>
      </c>
      <c r="M423" s="55" t="str">
        <f aca="false">IF(AND(C423="",G423="",H423=""),"فارغ",IF(ISNA(MATCH(C423,'شجرة الحسابات'!$A$9:$A$208,0)),"حساب غير معرف",IF(L423&lt;&gt;"تحليلي","حساب تجميعي",IF(AND(N(G423)&gt;0,N(H423)&gt;0),"مدين ودائن معاً",IF(N(G423)+N(H423)=0,"بدون قيمة","OK")))))</f>
        <v>فارغ</v>
      </c>
      <c r="N423" s="55" t="str">
        <f aca="false">IF(AND(E423&lt;&gt;"",E423='كشف حساب مشروع'!$C$6,I423="مرحل ✔"),COUNTIFS($E$11:E423,'كشف حساب مشروع'!$C$6,$I$11:I423,"مرحل ✔"),"")</f>
        <v/>
      </c>
      <c r="O423" s="55" t="str">
        <f aca="false">IF(AND(C423&lt;&gt;"",C423='دفتر الأستاذ'!$C$6,I423="مرحل ✔"),COUNTIFS($C$11:C423,'دفتر الأستاذ'!$C$6,$I$11:I423,"مرحل ✔"),"")</f>
        <v/>
      </c>
    </row>
    <row r="424" customFormat="false" ht="15" hidden="false" customHeight="false" outlineLevel="0" collapsed="false">
      <c r="A424" s="49"/>
      <c r="B424" s="50"/>
      <c r="C424" s="49"/>
      <c r="D424" s="51" t="str">
        <f aca="false">IF(C424="","",IFERROR(INDEX('شجرة الحسابات'!$B$9:$B$208,MATCH(C424,'شجرة الحسابات'!$A$9:$A$208,0)),"⚠ حساب غير معرف"))</f>
        <v/>
      </c>
      <c r="E424" s="52"/>
      <c r="F424" s="52"/>
      <c r="G424" s="53"/>
      <c r="H424" s="53"/>
      <c r="I424" s="54" t="str">
        <f aca="false">IF(A424="",IF(M424="فارغ","","✖ بدون رقم قيد"),IF(COUNTIFS('قيود اليومية'!$A$11:$A$1010,A424,'قيود اليومية'!$M$11:$M$1010,"&lt;&gt;OK",'قيود اليومية'!$M$11:$M$1010,"&lt;&gt;فارغ")&gt;0,"✖ خطأ بالحساب",IF(ROUND(SUMIFS('قيود اليومية'!$G$11:$G$1010,'قيود اليومية'!$A$11:$A$1010,A424)-SUMIFS('قيود اليومية'!$H$11:$H$1010,'قيود اليومية'!$A$11:$A$1010,A424),2)&lt;&gt;0,"✖ غير متوازن","مرحل ✔")))</f>
        <v/>
      </c>
      <c r="J424" s="55" t="str">
        <f aca="false">IF(C424="","",IFERROR(INDEX('شجرة الحسابات'!$E$9:$E$208,MATCH(C424,'شجرة الحسابات'!$A$9:$A$208,0))&amp;"",""))</f>
        <v/>
      </c>
      <c r="K424" s="55" t="str">
        <f aca="false">IF(C424="","",IFERROR(INDEX('شجرة الحسابات'!$I$9:$I$208,MATCH(C424,'شجرة الحسابات'!$A$9:$A$208,0))&amp;"",""))</f>
        <v/>
      </c>
      <c r="L424" s="55" t="str">
        <f aca="false">IF(C424="","",IFERROR(INDEX('شجرة الحسابات'!$C$9:$C$208,MATCH(C424,'شجرة الحسابات'!$A$9:$A$208,0))&amp;"",""))</f>
        <v/>
      </c>
      <c r="M424" s="55" t="str">
        <f aca="false">IF(AND(C424="",G424="",H424=""),"فارغ",IF(ISNA(MATCH(C424,'شجرة الحسابات'!$A$9:$A$208,0)),"حساب غير معرف",IF(L424&lt;&gt;"تحليلي","حساب تجميعي",IF(AND(N(G424)&gt;0,N(H424)&gt;0),"مدين ودائن معاً",IF(N(G424)+N(H424)=0,"بدون قيمة","OK")))))</f>
        <v>فارغ</v>
      </c>
      <c r="N424" s="55" t="str">
        <f aca="false">IF(AND(E424&lt;&gt;"",E424='كشف حساب مشروع'!$C$6,I424="مرحل ✔"),COUNTIFS($E$11:E424,'كشف حساب مشروع'!$C$6,$I$11:I424,"مرحل ✔"),"")</f>
        <v/>
      </c>
      <c r="O424" s="55" t="str">
        <f aca="false">IF(AND(C424&lt;&gt;"",C424='دفتر الأستاذ'!$C$6,I424="مرحل ✔"),COUNTIFS($C$11:C424,'دفتر الأستاذ'!$C$6,$I$11:I424,"مرحل ✔"),"")</f>
        <v/>
      </c>
    </row>
    <row r="425" customFormat="false" ht="15" hidden="false" customHeight="false" outlineLevel="0" collapsed="false">
      <c r="A425" s="49"/>
      <c r="B425" s="50"/>
      <c r="C425" s="49"/>
      <c r="D425" s="51" t="str">
        <f aca="false">IF(C425="","",IFERROR(INDEX('شجرة الحسابات'!$B$9:$B$208,MATCH(C425,'شجرة الحسابات'!$A$9:$A$208,0)),"⚠ حساب غير معرف"))</f>
        <v/>
      </c>
      <c r="E425" s="52"/>
      <c r="F425" s="52"/>
      <c r="G425" s="53"/>
      <c r="H425" s="53"/>
      <c r="I425" s="54" t="str">
        <f aca="false">IF(A425="",IF(M425="فارغ","","✖ بدون رقم قيد"),IF(COUNTIFS('قيود اليومية'!$A$11:$A$1010,A425,'قيود اليومية'!$M$11:$M$1010,"&lt;&gt;OK",'قيود اليومية'!$M$11:$M$1010,"&lt;&gt;فارغ")&gt;0,"✖ خطأ بالحساب",IF(ROUND(SUMIFS('قيود اليومية'!$G$11:$G$1010,'قيود اليومية'!$A$11:$A$1010,A425)-SUMIFS('قيود اليومية'!$H$11:$H$1010,'قيود اليومية'!$A$11:$A$1010,A425),2)&lt;&gt;0,"✖ غير متوازن","مرحل ✔")))</f>
        <v/>
      </c>
      <c r="J425" s="55" t="str">
        <f aca="false">IF(C425="","",IFERROR(INDEX('شجرة الحسابات'!$E$9:$E$208,MATCH(C425,'شجرة الحسابات'!$A$9:$A$208,0))&amp;"",""))</f>
        <v/>
      </c>
      <c r="K425" s="55" t="str">
        <f aca="false">IF(C425="","",IFERROR(INDEX('شجرة الحسابات'!$I$9:$I$208,MATCH(C425,'شجرة الحسابات'!$A$9:$A$208,0))&amp;"",""))</f>
        <v/>
      </c>
      <c r="L425" s="55" t="str">
        <f aca="false">IF(C425="","",IFERROR(INDEX('شجرة الحسابات'!$C$9:$C$208,MATCH(C425,'شجرة الحسابات'!$A$9:$A$208,0))&amp;"",""))</f>
        <v/>
      </c>
      <c r="M425" s="55" t="str">
        <f aca="false">IF(AND(C425="",G425="",H425=""),"فارغ",IF(ISNA(MATCH(C425,'شجرة الحسابات'!$A$9:$A$208,0)),"حساب غير معرف",IF(L425&lt;&gt;"تحليلي","حساب تجميعي",IF(AND(N(G425)&gt;0,N(H425)&gt;0),"مدين ودائن معاً",IF(N(G425)+N(H425)=0,"بدون قيمة","OK")))))</f>
        <v>فارغ</v>
      </c>
      <c r="N425" s="55" t="str">
        <f aca="false">IF(AND(E425&lt;&gt;"",E425='كشف حساب مشروع'!$C$6,I425="مرحل ✔"),COUNTIFS($E$11:E425,'كشف حساب مشروع'!$C$6,$I$11:I425,"مرحل ✔"),"")</f>
        <v/>
      </c>
      <c r="O425" s="55" t="str">
        <f aca="false">IF(AND(C425&lt;&gt;"",C425='دفتر الأستاذ'!$C$6,I425="مرحل ✔"),COUNTIFS($C$11:C425,'دفتر الأستاذ'!$C$6,$I$11:I425,"مرحل ✔"),"")</f>
        <v/>
      </c>
    </row>
    <row r="426" customFormat="false" ht="15" hidden="false" customHeight="false" outlineLevel="0" collapsed="false">
      <c r="A426" s="49"/>
      <c r="B426" s="50"/>
      <c r="C426" s="49"/>
      <c r="D426" s="51" t="str">
        <f aca="false">IF(C426="","",IFERROR(INDEX('شجرة الحسابات'!$B$9:$B$208,MATCH(C426,'شجرة الحسابات'!$A$9:$A$208,0)),"⚠ حساب غير معرف"))</f>
        <v/>
      </c>
      <c r="E426" s="52"/>
      <c r="F426" s="52"/>
      <c r="G426" s="53"/>
      <c r="H426" s="53"/>
      <c r="I426" s="54" t="str">
        <f aca="false">IF(A426="",IF(M426="فارغ","","✖ بدون رقم قيد"),IF(COUNTIFS('قيود اليومية'!$A$11:$A$1010,A426,'قيود اليومية'!$M$11:$M$1010,"&lt;&gt;OK",'قيود اليومية'!$M$11:$M$1010,"&lt;&gt;فارغ")&gt;0,"✖ خطأ بالحساب",IF(ROUND(SUMIFS('قيود اليومية'!$G$11:$G$1010,'قيود اليومية'!$A$11:$A$1010,A426)-SUMIFS('قيود اليومية'!$H$11:$H$1010,'قيود اليومية'!$A$11:$A$1010,A426),2)&lt;&gt;0,"✖ غير متوازن","مرحل ✔")))</f>
        <v/>
      </c>
      <c r="J426" s="55" t="str">
        <f aca="false">IF(C426="","",IFERROR(INDEX('شجرة الحسابات'!$E$9:$E$208,MATCH(C426,'شجرة الحسابات'!$A$9:$A$208,0))&amp;"",""))</f>
        <v/>
      </c>
      <c r="K426" s="55" t="str">
        <f aca="false">IF(C426="","",IFERROR(INDEX('شجرة الحسابات'!$I$9:$I$208,MATCH(C426,'شجرة الحسابات'!$A$9:$A$208,0))&amp;"",""))</f>
        <v/>
      </c>
      <c r="L426" s="55" t="str">
        <f aca="false">IF(C426="","",IFERROR(INDEX('شجرة الحسابات'!$C$9:$C$208,MATCH(C426,'شجرة الحسابات'!$A$9:$A$208,0))&amp;"",""))</f>
        <v/>
      </c>
      <c r="M426" s="55" t="str">
        <f aca="false">IF(AND(C426="",G426="",H426=""),"فارغ",IF(ISNA(MATCH(C426,'شجرة الحسابات'!$A$9:$A$208,0)),"حساب غير معرف",IF(L426&lt;&gt;"تحليلي","حساب تجميعي",IF(AND(N(G426)&gt;0,N(H426)&gt;0),"مدين ودائن معاً",IF(N(G426)+N(H426)=0,"بدون قيمة","OK")))))</f>
        <v>فارغ</v>
      </c>
      <c r="N426" s="55" t="str">
        <f aca="false">IF(AND(E426&lt;&gt;"",E426='كشف حساب مشروع'!$C$6,I426="مرحل ✔"),COUNTIFS($E$11:E426,'كشف حساب مشروع'!$C$6,$I$11:I426,"مرحل ✔"),"")</f>
        <v/>
      </c>
      <c r="O426" s="55" t="str">
        <f aca="false">IF(AND(C426&lt;&gt;"",C426='دفتر الأستاذ'!$C$6,I426="مرحل ✔"),COUNTIFS($C$11:C426,'دفتر الأستاذ'!$C$6,$I$11:I426,"مرحل ✔"),"")</f>
        <v/>
      </c>
    </row>
    <row r="427" customFormat="false" ht="15" hidden="false" customHeight="false" outlineLevel="0" collapsed="false">
      <c r="A427" s="49"/>
      <c r="B427" s="50"/>
      <c r="C427" s="49"/>
      <c r="D427" s="51" t="str">
        <f aca="false">IF(C427="","",IFERROR(INDEX('شجرة الحسابات'!$B$9:$B$208,MATCH(C427,'شجرة الحسابات'!$A$9:$A$208,0)),"⚠ حساب غير معرف"))</f>
        <v/>
      </c>
      <c r="E427" s="52"/>
      <c r="F427" s="52"/>
      <c r="G427" s="53"/>
      <c r="H427" s="53"/>
      <c r="I427" s="54" t="str">
        <f aca="false">IF(A427="",IF(M427="فارغ","","✖ بدون رقم قيد"),IF(COUNTIFS('قيود اليومية'!$A$11:$A$1010,A427,'قيود اليومية'!$M$11:$M$1010,"&lt;&gt;OK",'قيود اليومية'!$M$11:$M$1010,"&lt;&gt;فارغ")&gt;0,"✖ خطأ بالحساب",IF(ROUND(SUMIFS('قيود اليومية'!$G$11:$G$1010,'قيود اليومية'!$A$11:$A$1010,A427)-SUMIFS('قيود اليومية'!$H$11:$H$1010,'قيود اليومية'!$A$11:$A$1010,A427),2)&lt;&gt;0,"✖ غير متوازن","مرحل ✔")))</f>
        <v/>
      </c>
      <c r="J427" s="55" t="str">
        <f aca="false">IF(C427="","",IFERROR(INDEX('شجرة الحسابات'!$E$9:$E$208,MATCH(C427,'شجرة الحسابات'!$A$9:$A$208,0))&amp;"",""))</f>
        <v/>
      </c>
      <c r="K427" s="55" t="str">
        <f aca="false">IF(C427="","",IFERROR(INDEX('شجرة الحسابات'!$I$9:$I$208,MATCH(C427,'شجرة الحسابات'!$A$9:$A$208,0))&amp;"",""))</f>
        <v/>
      </c>
      <c r="L427" s="55" t="str">
        <f aca="false">IF(C427="","",IFERROR(INDEX('شجرة الحسابات'!$C$9:$C$208,MATCH(C427,'شجرة الحسابات'!$A$9:$A$208,0))&amp;"",""))</f>
        <v/>
      </c>
      <c r="M427" s="55" t="str">
        <f aca="false">IF(AND(C427="",G427="",H427=""),"فارغ",IF(ISNA(MATCH(C427,'شجرة الحسابات'!$A$9:$A$208,0)),"حساب غير معرف",IF(L427&lt;&gt;"تحليلي","حساب تجميعي",IF(AND(N(G427)&gt;0,N(H427)&gt;0),"مدين ودائن معاً",IF(N(G427)+N(H427)=0,"بدون قيمة","OK")))))</f>
        <v>فارغ</v>
      </c>
      <c r="N427" s="55" t="str">
        <f aca="false">IF(AND(E427&lt;&gt;"",E427='كشف حساب مشروع'!$C$6,I427="مرحل ✔"),COUNTIFS($E$11:E427,'كشف حساب مشروع'!$C$6,$I$11:I427,"مرحل ✔"),"")</f>
        <v/>
      </c>
      <c r="O427" s="55" t="str">
        <f aca="false">IF(AND(C427&lt;&gt;"",C427='دفتر الأستاذ'!$C$6,I427="مرحل ✔"),COUNTIFS($C$11:C427,'دفتر الأستاذ'!$C$6,$I$11:I427,"مرحل ✔"),"")</f>
        <v/>
      </c>
    </row>
    <row r="428" customFormat="false" ht="15" hidden="false" customHeight="false" outlineLevel="0" collapsed="false">
      <c r="A428" s="49"/>
      <c r="B428" s="50"/>
      <c r="C428" s="49"/>
      <c r="D428" s="51" t="str">
        <f aca="false">IF(C428="","",IFERROR(INDEX('شجرة الحسابات'!$B$9:$B$208,MATCH(C428,'شجرة الحسابات'!$A$9:$A$208,0)),"⚠ حساب غير معرف"))</f>
        <v/>
      </c>
      <c r="E428" s="52"/>
      <c r="F428" s="52"/>
      <c r="G428" s="53"/>
      <c r="H428" s="53"/>
      <c r="I428" s="54" t="str">
        <f aca="false">IF(A428="",IF(M428="فارغ","","✖ بدون رقم قيد"),IF(COUNTIFS('قيود اليومية'!$A$11:$A$1010,A428,'قيود اليومية'!$M$11:$M$1010,"&lt;&gt;OK",'قيود اليومية'!$M$11:$M$1010,"&lt;&gt;فارغ")&gt;0,"✖ خطأ بالحساب",IF(ROUND(SUMIFS('قيود اليومية'!$G$11:$G$1010,'قيود اليومية'!$A$11:$A$1010,A428)-SUMIFS('قيود اليومية'!$H$11:$H$1010,'قيود اليومية'!$A$11:$A$1010,A428),2)&lt;&gt;0,"✖ غير متوازن","مرحل ✔")))</f>
        <v/>
      </c>
      <c r="J428" s="55" t="str">
        <f aca="false">IF(C428="","",IFERROR(INDEX('شجرة الحسابات'!$E$9:$E$208,MATCH(C428,'شجرة الحسابات'!$A$9:$A$208,0))&amp;"",""))</f>
        <v/>
      </c>
      <c r="K428" s="55" t="str">
        <f aca="false">IF(C428="","",IFERROR(INDEX('شجرة الحسابات'!$I$9:$I$208,MATCH(C428,'شجرة الحسابات'!$A$9:$A$208,0))&amp;"",""))</f>
        <v/>
      </c>
      <c r="L428" s="55" t="str">
        <f aca="false">IF(C428="","",IFERROR(INDEX('شجرة الحسابات'!$C$9:$C$208,MATCH(C428,'شجرة الحسابات'!$A$9:$A$208,0))&amp;"",""))</f>
        <v/>
      </c>
      <c r="M428" s="55" t="str">
        <f aca="false">IF(AND(C428="",G428="",H428=""),"فارغ",IF(ISNA(MATCH(C428,'شجرة الحسابات'!$A$9:$A$208,0)),"حساب غير معرف",IF(L428&lt;&gt;"تحليلي","حساب تجميعي",IF(AND(N(G428)&gt;0,N(H428)&gt;0),"مدين ودائن معاً",IF(N(G428)+N(H428)=0,"بدون قيمة","OK")))))</f>
        <v>فارغ</v>
      </c>
      <c r="N428" s="55" t="str">
        <f aca="false">IF(AND(E428&lt;&gt;"",E428='كشف حساب مشروع'!$C$6,I428="مرحل ✔"),COUNTIFS($E$11:E428,'كشف حساب مشروع'!$C$6,$I$11:I428,"مرحل ✔"),"")</f>
        <v/>
      </c>
      <c r="O428" s="55" t="str">
        <f aca="false">IF(AND(C428&lt;&gt;"",C428='دفتر الأستاذ'!$C$6,I428="مرحل ✔"),COUNTIFS($C$11:C428,'دفتر الأستاذ'!$C$6,$I$11:I428,"مرحل ✔"),"")</f>
        <v/>
      </c>
    </row>
    <row r="429" customFormat="false" ht="15" hidden="false" customHeight="false" outlineLevel="0" collapsed="false">
      <c r="A429" s="49"/>
      <c r="B429" s="50"/>
      <c r="C429" s="49"/>
      <c r="D429" s="51" t="str">
        <f aca="false">IF(C429="","",IFERROR(INDEX('شجرة الحسابات'!$B$9:$B$208,MATCH(C429,'شجرة الحسابات'!$A$9:$A$208,0)),"⚠ حساب غير معرف"))</f>
        <v/>
      </c>
      <c r="E429" s="52"/>
      <c r="F429" s="52"/>
      <c r="G429" s="53"/>
      <c r="H429" s="53"/>
      <c r="I429" s="54" t="str">
        <f aca="false">IF(A429="",IF(M429="فارغ","","✖ بدون رقم قيد"),IF(COUNTIFS('قيود اليومية'!$A$11:$A$1010,A429,'قيود اليومية'!$M$11:$M$1010,"&lt;&gt;OK",'قيود اليومية'!$M$11:$M$1010,"&lt;&gt;فارغ")&gt;0,"✖ خطأ بالحساب",IF(ROUND(SUMIFS('قيود اليومية'!$G$11:$G$1010,'قيود اليومية'!$A$11:$A$1010,A429)-SUMIFS('قيود اليومية'!$H$11:$H$1010,'قيود اليومية'!$A$11:$A$1010,A429),2)&lt;&gt;0,"✖ غير متوازن","مرحل ✔")))</f>
        <v/>
      </c>
      <c r="J429" s="55" t="str">
        <f aca="false">IF(C429="","",IFERROR(INDEX('شجرة الحسابات'!$E$9:$E$208,MATCH(C429,'شجرة الحسابات'!$A$9:$A$208,0))&amp;"",""))</f>
        <v/>
      </c>
      <c r="K429" s="55" t="str">
        <f aca="false">IF(C429="","",IFERROR(INDEX('شجرة الحسابات'!$I$9:$I$208,MATCH(C429,'شجرة الحسابات'!$A$9:$A$208,0))&amp;"",""))</f>
        <v/>
      </c>
      <c r="L429" s="55" t="str">
        <f aca="false">IF(C429="","",IFERROR(INDEX('شجرة الحسابات'!$C$9:$C$208,MATCH(C429,'شجرة الحسابات'!$A$9:$A$208,0))&amp;"",""))</f>
        <v/>
      </c>
      <c r="M429" s="55" t="str">
        <f aca="false">IF(AND(C429="",G429="",H429=""),"فارغ",IF(ISNA(MATCH(C429,'شجرة الحسابات'!$A$9:$A$208,0)),"حساب غير معرف",IF(L429&lt;&gt;"تحليلي","حساب تجميعي",IF(AND(N(G429)&gt;0,N(H429)&gt;0),"مدين ودائن معاً",IF(N(G429)+N(H429)=0,"بدون قيمة","OK")))))</f>
        <v>فارغ</v>
      </c>
      <c r="N429" s="55" t="str">
        <f aca="false">IF(AND(E429&lt;&gt;"",E429='كشف حساب مشروع'!$C$6,I429="مرحل ✔"),COUNTIFS($E$11:E429,'كشف حساب مشروع'!$C$6,$I$11:I429,"مرحل ✔"),"")</f>
        <v/>
      </c>
      <c r="O429" s="55" t="str">
        <f aca="false">IF(AND(C429&lt;&gt;"",C429='دفتر الأستاذ'!$C$6,I429="مرحل ✔"),COUNTIFS($C$11:C429,'دفتر الأستاذ'!$C$6,$I$11:I429,"مرحل ✔"),"")</f>
        <v/>
      </c>
    </row>
    <row r="430" customFormat="false" ht="15" hidden="false" customHeight="false" outlineLevel="0" collapsed="false">
      <c r="A430" s="49"/>
      <c r="B430" s="50"/>
      <c r="C430" s="49"/>
      <c r="D430" s="51" t="str">
        <f aca="false">IF(C430="","",IFERROR(INDEX('شجرة الحسابات'!$B$9:$B$208,MATCH(C430,'شجرة الحسابات'!$A$9:$A$208,0)),"⚠ حساب غير معرف"))</f>
        <v/>
      </c>
      <c r="E430" s="52"/>
      <c r="F430" s="52"/>
      <c r="G430" s="53"/>
      <c r="H430" s="53"/>
      <c r="I430" s="54" t="str">
        <f aca="false">IF(A430="",IF(M430="فارغ","","✖ بدون رقم قيد"),IF(COUNTIFS('قيود اليومية'!$A$11:$A$1010,A430,'قيود اليومية'!$M$11:$M$1010,"&lt;&gt;OK",'قيود اليومية'!$M$11:$M$1010,"&lt;&gt;فارغ")&gt;0,"✖ خطأ بالحساب",IF(ROUND(SUMIFS('قيود اليومية'!$G$11:$G$1010,'قيود اليومية'!$A$11:$A$1010,A430)-SUMIFS('قيود اليومية'!$H$11:$H$1010,'قيود اليومية'!$A$11:$A$1010,A430),2)&lt;&gt;0,"✖ غير متوازن","مرحل ✔")))</f>
        <v/>
      </c>
      <c r="J430" s="55" t="str">
        <f aca="false">IF(C430="","",IFERROR(INDEX('شجرة الحسابات'!$E$9:$E$208,MATCH(C430,'شجرة الحسابات'!$A$9:$A$208,0))&amp;"",""))</f>
        <v/>
      </c>
      <c r="K430" s="55" t="str">
        <f aca="false">IF(C430="","",IFERROR(INDEX('شجرة الحسابات'!$I$9:$I$208,MATCH(C430,'شجرة الحسابات'!$A$9:$A$208,0))&amp;"",""))</f>
        <v/>
      </c>
      <c r="L430" s="55" t="str">
        <f aca="false">IF(C430="","",IFERROR(INDEX('شجرة الحسابات'!$C$9:$C$208,MATCH(C430,'شجرة الحسابات'!$A$9:$A$208,0))&amp;"",""))</f>
        <v/>
      </c>
      <c r="M430" s="55" t="str">
        <f aca="false">IF(AND(C430="",G430="",H430=""),"فارغ",IF(ISNA(MATCH(C430,'شجرة الحسابات'!$A$9:$A$208,0)),"حساب غير معرف",IF(L430&lt;&gt;"تحليلي","حساب تجميعي",IF(AND(N(G430)&gt;0,N(H430)&gt;0),"مدين ودائن معاً",IF(N(G430)+N(H430)=0,"بدون قيمة","OK")))))</f>
        <v>فارغ</v>
      </c>
      <c r="N430" s="55" t="str">
        <f aca="false">IF(AND(E430&lt;&gt;"",E430='كشف حساب مشروع'!$C$6,I430="مرحل ✔"),COUNTIFS($E$11:E430,'كشف حساب مشروع'!$C$6,$I$11:I430,"مرحل ✔"),"")</f>
        <v/>
      </c>
      <c r="O430" s="55" t="str">
        <f aca="false">IF(AND(C430&lt;&gt;"",C430='دفتر الأستاذ'!$C$6,I430="مرحل ✔"),COUNTIFS($C$11:C430,'دفتر الأستاذ'!$C$6,$I$11:I430,"مرحل ✔"),"")</f>
        <v/>
      </c>
    </row>
    <row r="431" customFormat="false" ht="15" hidden="false" customHeight="false" outlineLevel="0" collapsed="false">
      <c r="A431" s="49"/>
      <c r="B431" s="50"/>
      <c r="C431" s="49"/>
      <c r="D431" s="51" t="str">
        <f aca="false">IF(C431="","",IFERROR(INDEX('شجرة الحسابات'!$B$9:$B$208,MATCH(C431,'شجرة الحسابات'!$A$9:$A$208,0)),"⚠ حساب غير معرف"))</f>
        <v/>
      </c>
      <c r="E431" s="52"/>
      <c r="F431" s="52"/>
      <c r="G431" s="53"/>
      <c r="H431" s="53"/>
      <c r="I431" s="54" t="str">
        <f aca="false">IF(A431="",IF(M431="فارغ","","✖ بدون رقم قيد"),IF(COUNTIFS('قيود اليومية'!$A$11:$A$1010,A431,'قيود اليومية'!$M$11:$M$1010,"&lt;&gt;OK",'قيود اليومية'!$M$11:$M$1010,"&lt;&gt;فارغ")&gt;0,"✖ خطأ بالحساب",IF(ROUND(SUMIFS('قيود اليومية'!$G$11:$G$1010,'قيود اليومية'!$A$11:$A$1010,A431)-SUMIFS('قيود اليومية'!$H$11:$H$1010,'قيود اليومية'!$A$11:$A$1010,A431),2)&lt;&gt;0,"✖ غير متوازن","مرحل ✔")))</f>
        <v/>
      </c>
      <c r="J431" s="55" t="str">
        <f aca="false">IF(C431="","",IFERROR(INDEX('شجرة الحسابات'!$E$9:$E$208,MATCH(C431,'شجرة الحسابات'!$A$9:$A$208,0))&amp;"",""))</f>
        <v/>
      </c>
      <c r="K431" s="55" t="str">
        <f aca="false">IF(C431="","",IFERROR(INDEX('شجرة الحسابات'!$I$9:$I$208,MATCH(C431,'شجرة الحسابات'!$A$9:$A$208,0))&amp;"",""))</f>
        <v/>
      </c>
      <c r="L431" s="55" t="str">
        <f aca="false">IF(C431="","",IFERROR(INDEX('شجرة الحسابات'!$C$9:$C$208,MATCH(C431,'شجرة الحسابات'!$A$9:$A$208,0))&amp;"",""))</f>
        <v/>
      </c>
      <c r="M431" s="55" t="str">
        <f aca="false">IF(AND(C431="",G431="",H431=""),"فارغ",IF(ISNA(MATCH(C431,'شجرة الحسابات'!$A$9:$A$208,0)),"حساب غير معرف",IF(L431&lt;&gt;"تحليلي","حساب تجميعي",IF(AND(N(G431)&gt;0,N(H431)&gt;0),"مدين ودائن معاً",IF(N(G431)+N(H431)=0,"بدون قيمة","OK")))))</f>
        <v>فارغ</v>
      </c>
      <c r="N431" s="55" t="str">
        <f aca="false">IF(AND(E431&lt;&gt;"",E431='كشف حساب مشروع'!$C$6,I431="مرحل ✔"),COUNTIFS($E$11:E431,'كشف حساب مشروع'!$C$6,$I$11:I431,"مرحل ✔"),"")</f>
        <v/>
      </c>
      <c r="O431" s="55" t="str">
        <f aca="false">IF(AND(C431&lt;&gt;"",C431='دفتر الأستاذ'!$C$6,I431="مرحل ✔"),COUNTIFS($C$11:C431,'دفتر الأستاذ'!$C$6,$I$11:I431,"مرحل ✔"),"")</f>
        <v/>
      </c>
    </row>
    <row r="432" customFormat="false" ht="15" hidden="false" customHeight="false" outlineLevel="0" collapsed="false">
      <c r="A432" s="49"/>
      <c r="B432" s="50"/>
      <c r="C432" s="49"/>
      <c r="D432" s="51" t="str">
        <f aca="false">IF(C432="","",IFERROR(INDEX('شجرة الحسابات'!$B$9:$B$208,MATCH(C432,'شجرة الحسابات'!$A$9:$A$208,0)),"⚠ حساب غير معرف"))</f>
        <v/>
      </c>
      <c r="E432" s="52"/>
      <c r="F432" s="52"/>
      <c r="G432" s="53"/>
      <c r="H432" s="53"/>
      <c r="I432" s="54" t="str">
        <f aca="false">IF(A432="",IF(M432="فارغ","","✖ بدون رقم قيد"),IF(COUNTIFS('قيود اليومية'!$A$11:$A$1010,A432,'قيود اليومية'!$M$11:$M$1010,"&lt;&gt;OK",'قيود اليومية'!$M$11:$M$1010,"&lt;&gt;فارغ")&gt;0,"✖ خطأ بالحساب",IF(ROUND(SUMIFS('قيود اليومية'!$G$11:$G$1010,'قيود اليومية'!$A$11:$A$1010,A432)-SUMIFS('قيود اليومية'!$H$11:$H$1010,'قيود اليومية'!$A$11:$A$1010,A432),2)&lt;&gt;0,"✖ غير متوازن","مرحل ✔")))</f>
        <v/>
      </c>
      <c r="J432" s="55" t="str">
        <f aca="false">IF(C432="","",IFERROR(INDEX('شجرة الحسابات'!$E$9:$E$208,MATCH(C432,'شجرة الحسابات'!$A$9:$A$208,0))&amp;"",""))</f>
        <v/>
      </c>
      <c r="K432" s="55" t="str">
        <f aca="false">IF(C432="","",IFERROR(INDEX('شجرة الحسابات'!$I$9:$I$208,MATCH(C432,'شجرة الحسابات'!$A$9:$A$208,0))&amp;"",""))</f>
        <v/>
      </c>
      <c r="L432" s="55" t="str">
        <f aca="false">IF(C432="","",IFERROR(INDEX('شجرة الحسابات'!$C$9:$C$208,MATCH(C432,'شجرة الحسابات'!$A$9:$A$208,0))&amp;"",""))</f>
        <v/>
      </c>
      <c r="M432" s="55" t="str">
        <f aca="false">IF(AND(C432="",G432="",H432=""),"فارغ",IF(ISNA(MATCH(C432,'شجرة الحسابات'!$A$9:$A$208,0)),"حساب غير معرف",IF(L432&lt;&gt;"تحليلي","حساب تجميعي",IF(AND(N(G432)&gt;0,N(H432)&gt;0),"مدين ودائن معاً",IF(N(G432)+N(H432)=0,"بدون قيمة","OK")))))</f>
        <v>فارغ</v>
      </c>
      <c r="N432" s="55" t="str">
        <f aca="false">IF(AND(E432&lt;&gt;"",E432='كشف حساب مشروع'!$C$6,I432="مرحل ✔"),COUNTIFS($E$11:E432,'كشف حساب مشروع'!$C$6,$I$11:I432,"مرحل ✔"),"")</f>
        <v/>
      </c>
      <c r="O432" s="55" t="str">
        <f aca="false">IF(AND(C432&lt;&gt;"",C432='دفتر الأستاذ'!$C$6,I432="مرحل ✔"),COUNTIFS($C$11:C432,'دفتر الأستاذ'!$C$6,$I$11:I432,"مرحل ✔"),"")</f>
        <v/>
      </c>
    </row>
    <row r="433" customFormat="false" ht="15" hidden="false" customHeight="false" outlineLevel="0" collapsed="false">
      <c r="A433" s="49"/>
      <c r="B433" s="50"/>
      <c r="C433" s="49"/>
      <c r="D433" s="51" t="str">
        <f aca="false">IF(C433="","",IFERROR(INDEX('شجرة الحسابات'!$B$9:$B$208,MATCH(C433,'شجرة الحسابات'!$A$9:$A$208,0)),"⚠ حساب غير معرف"))</f>
        <v/>
      </c>
      <c r="E433" s="52"/>
      <c r="F433" s="52"/>
      <c r="G433" s="53"/>
      <c r="H433" s="53"/>
      <c r="I433" s="54" t="str">
        <f aca="false">IF(A433="",IF(M433="فارغ","","✖ بدون رقم قيد"),IF(COUNTIFS('قيود اليومية'!$A$11:$A$1010,A433,'قيود اليومية'!$M$11:$M$1010,"&lt;&gt;OK",'قيود اليومية'!$M$11:$M$1010,"&lt;&gt;فارغ")&gt;0,"✖ خطأ بالحساب",IF(ROUND(SUMIFS('قيود اليومية'!$G$11:$G$1010,'قيود اليومية'!$A$11:$A$1010,A433)-SUMIFS('قيود اليومية'!$H$11:$H$1010,'قيود اليومية'!$A$11:$A$1010,A433),2)&lt;&gt;0,"✖ غير متوازن","مرحل ✔")))</f>
        <v/>
      </c>
      <c r="J433" s="55" t="str">
        <f aca="false">IF(C433="","",IFERROR(INDEX('شجرة الحسابات'!$E$9:$E$208,MATCH(C433,'شجرة الحسابات'!$A$9:$A$208,0))&amp;"",""))</f>
        <v/>
      </c>
      <c r="K433" s="55" t="str">
        <f aca="false">IF(C433="","",IFERROR(INDEX('شجرة الحسابات'!$I$9:$I$208,MATCH(C433,'شجرة الحسابات'!$A$9:$A$208,0))&amp;"",""))</f>
        <v/>
      </c>
      <c r="L433" s="55" t="str">
        <f aca="false">IF(C433="","",IFERROR(INDEX('شجرة الحسابات'!$C$9:$C$208,MATCH(C433,'شجرة الحسابات'!$A$9:$A$208,0))&amp;"",""))</f>
        <v/>
      </c>
      <c r="M433" s="55" t="str">
        <f aca="false">IF(AND(C433="",G433="",H433=""),"فارغ",IF(ISNA(MATCH(C433,'شجرة الحسابات'!$A$9:$A$208,0)),"حساب غير معرف",IF(L433&lt;&gt;"تحليلي","حساب تجميعي",IF(AND(N(G433)&gt;0,N(H433)&gt;0),"مدين ودائن معاً",IF(N(G433)+N(H433)=0,"بدون قيمة","OK")))))</f>
        <v>فارغ</v>
      </c>
      <c r="N433" s="55" t="str">
        <f aca="false">IF(AND(E433&lt;&gt;"",E433='كشف حساب مشروع'!$C$6,I433="مرحل ✔"),COUNTIFS($E$11:E433,'كشف حساب مشروع'!$C$6,$I$11:I433,"مرحل ✔"),"")</f>
        <v/>
      </c>
      <c r="O433" s="55" t="str">
        <f aca="false">IF(AND(C433&lt;&gt;"",C433='دفتر الأستاذ'!$C$6,I433="مرحل ✔"),COUNTIFS($C$11:C433,'دفتر الأستاذ'!$C$6,$I$11:I433,"مرحل ✔"),"")</f>
        <v/>
      </c>
    </row>
    <row r="434" customFormat="false" ht="15" hidden="false" customHeight="false" outlineLevel="0" collapsed="false">
      <c r="A434" s="49"/>
      <c r="B434" s="50"/>
      <c r="C434" s="49"/>
      <c r="D434" s="51" t="str">
        <f aca="false">IF(C434="","",IFERROR(INDEX('شجرة الحسابات'!$B$9:$B$208,MATCH(C434,'شجرة الحسابات'!$A$9:$A$208,0)),"⚠ حساب غير معرف"))</f>
        <v/>
      </c>
      <c r="E434" s="52"/>
      <c r="F434" s="52"/>
      <c r="G434" s="53"/>
      <c r="H434" s="53"/>
      <c r="I434" s="54" t="str">
        <f aca="false">IF(A434="",IF(M434="فارغ","","✖ بدون رقم قيد"),IF(COUNTIFS('قيود اليومية'!$A$11:$A$1010,A434,'قيود اليومية'!$M$11:$M$1010,"&lt;&gt;OK",'قيود اليومية'!$M$11:$M$1010,"&lt;&gt;فارغ")&gt;0,"✖ خطأ بالحساب",IF(ROUND(SUMIFS('قيود اليومية'!$G$11:$G$1010,'قيود اليومية'!$A$11:$A$1010,A434)-SUMIFS('قيود اليومية'!$H$11:$H$1010,'قيود اليومية'!$A$11:$A$1010,A434),2)&lt;&gt;0,"✖ غير متوازن","مرحل ✔")))</f>
        <v/>
      </c>
      <c r="J434" s="55" t="str">
        <f aca="false">IF(C434="","",IFERROR(INDEX('شجرة الحسابات'!$E$9:$E$208,MATCH(C434,'شجرة الحسابات'!$A$9:$A$208,0))&amp;"",""))</f>
        <v/>
      </c>
      <c r="K434" s="55" t="str">
        <f aca="false">IF(C434="","",IFERROR(INDEX('شجرة الحسابات'!$I$9:$I$208,MATCH(C434,'شجرة الحسابات'!$A$9:$A$208,0))&amp;"",""))</f>
        <v/>
      </c>
      <c r="L434" s="55" t="str">
        <f aca="false">IF(C434="","",IFERROR(INDEX('شجرة الحسابات'!$C$9:$C$208,MATCH(C434,'شجرة الحسابات'!$A$9:$A$208,0))&amp;"",""))</f>
        <v/>
      </c>
      <c r="M434" s="55" t="str">
        <f aca="false">IF(AND(C434="",G434="",H434=""),"فارغ",IF(ISNA(MATCH(C434,'شجرة الحسابات'!$A$9:$A$208,0)),"حساب غير معرف",IF(L434&lt;&gt;"تحليلي","حساب تجميعي",IF(AND(N(G434)&gt;0,N(H434)&gt;0),"مدين ودائن معاً",IF(N(G434)+N(H434)=0,"بدون قيمة","OK")))))</f>
        <v>فارغ</v>
      </c>
      <c r="N434" s="55" t="str">
        <f aca="false">IF(AND(E434&lt;&gt;"",E434='كشف حساب مشروع'!$C$6,I434="مرحل ✔"),COUNTIFS($E$11:E434,'كشف حساب مشروع'!$C$6,$I$11:I434,"مرحل ✔"),"")</f>
        <v/>
      </c>
      <c r="O434" s="55" t="str">
        <f aca="false">IF(AND(C434&lt;&gt;"",C434='دفتر الأستاذ'!$C$6,I434="مرحل ✔"),COUNTIFS($C$11:C434,'دفتر الأستاذ'!$C$6,$I$11:I434,"مرحل ✔"),"")</f>
        <v/>
      </c>
    </row>
    <row r="435" customFormat="false" ht="15" hidden="false" customHeight="false" outlineLevel="0" collapsed="false">
      <c r="A435" s="49"/>
      <c r="B435" s="50"/>
      <c r="C435" s="49"/>
      <c r="D435" s="51" t="str">
        <f aca="false">IF(C435="","",IFERROR(INDEX('شجرة الحسابات'!$B$9:$B$208,MATCH(C435,'شجرة الحسابات'!$A$9:$A$208,0)),"⚠ حساب غير معرف"))</f>
        <v/>
      </c>
      <c r="E435" s="52"/>
      <c r="F435" s="52"/>
      <c r="G435" s="53"/>
      <c r="H435" s="53"/>
      <c r="I435" s="54" t="str">
        <f aca="false">IF(A435="",IF(M435="فارغ","","✖ بدون رقم قيد"),IF(COUNTIFS('قيود اليومية'!$A$11:$A$1010,A435,'قيود اليومية'!$M$11:$M$1010,"&lt;&gt;OK",'قيود اليومية'!$M$11:$M$1010,"&lt;&gt;فارغ")&gt;0,"✖ خطأ بالحساب",IF(ROUND(SUMIFS('قيود اليومية'!$G$11:$G$1010,'قيود اليومية'!$A$11:$A$1010,A435)-SUMIFS('قيود اليومية'!$H$11:$H$1010,'قيود اليومية'!$A$11:$A$1010,A435),2)&lt;&gt;0,"✖ غير متوازن","مرحل ✔")))</f>
        <v/>
      </c>
      <c r="J435" s="55" t="str">
        <f aca="false">IF(C435="","",IFERROR(INDEX('شجرة الحسابات'!$E$9:$E$208,MATCH(C435,'شجرة الحسابات'!$A$9:$A$208,0))&amp;"",""))</f>
        <v/>
      </c>
      <c r="K435" s="55" t="str">
        <f aca="false">IF(C435="","",IFERROR(INDEX('شجرة الحسابات'!$I$9:$I$208,MATCH(C435,'شجرة الحسابات'!$A$9:$A$208,0))&amp;"",""))</f>
        <v/>
      </c>
      <c r="L435" s="55" t="str">
        <f aca="false">IF(C435="","",IFERROR(INDEX('شجرة الحسابات'!$C$9:$C$208,MATCH(C435,'شجرة الحسابات'!$A$9:$A$208,0))&amp;"",""))</f>
        <v/>
      </c>
      <c r="M435" s="55" t="str">
        <f aca="false">IF(AND(C435="",G435="",H435=""),"فارغ",IF(ISNA(MATCH(C435,'شجرة الحسابات'!$A$9:$A$208,0)),"حساب غير معرف",IF(L435&lt;&gt;"تحليلي","حساب تجميعي",IF(AND(N(G435)&gt;0,N(H435)&gt;0),"مدين ودائن معاً",IF(N(G435)+N(H435)=0,"بدون قيمة","OK")))))</f>
        <v>فارغ</v>
      </c>
      <c r="N435" s="55" t="str">
        <f aca="false">IF(AND(E435&lt;&gt;"",E435='كشف حساب مشروع'!$C$6,I435="مرحل ✔"),COUNTIFS($E$11:E435,'كشف حساب مشروع'!$C$6,$I$11:I435,"مرحل ✔"),"")</f>
        <v/>
      </c>
      <c r="O435" s="55" t="str">
        <f aca="false">IF(AND(C435&lt;&gt;"",C435='دفتر الأستاذ'!$C$6,I435="مرحل ✔"),COUNTIFS($C$11:C435,'دفتر الأستاذ'!$C$6,$I$11:I435,"مرحل ✔"),"")</f>
        <v/>
      </c>
    </row>
    <row r="436" customFormat="false" ht="15" hidden="false" customHeight="false" outlineLevel="0" collapsed="false">
      <c r="A436" s="49"/>
      <c r="B436" s="50"/>
      <c r="C436" s="49"/>
      <c r="D436" s="51" t="str">
        <f aca="false">IF(C436="","",IFERROR(INDEX('شجرة الحسابات'!$B$9:$B$208,MATCH(C436,'شجرة الحسابات'!$A$9:$A$208,0)),"⚠ حساب غير معرف"))</f>
        <v/>
      </c>
      <c r="E436" s="52"/>
      <c r="F436" s="52"/>
      <c r="G436" s="53"/>
      <c r="H436" s="53"/>
      <c r="I436" s="54" t="str">
        <f aca="false">IF(A436="",IF(M436="فارغ","","✖ بدون رقم قيد"),IF(COUNTIFS('قيود اليومية'!$A$11:$A$1010,A436,'قيود اليومية'!$M$11:$M$1010,"&lt;&gt;OK",'قيود اليومية'!$M$11:$M$1010,"&lt;&gt;فارغ")&gt;0,"✖ خطأ بالحساب",IF(ROUND(SUMIFS('قيود اليومية'!$G$11:$G$1010,'قيود اليومية'!$A$11:$A$1010,A436)-SUMIFS('قيود اليومية'!$H$11:$H$1010,'قيود اليومية'!$A$11:$A$1010,A436),2)&lt;&gt;0,"✖ غير متوازن","مرحل ✔")))</f>
        <v/>
      </c>
      <c r="J436" s="55" t="str">
        <f aca="false">IF(C436="","",IFERROR(INDEX('شجرة الحسابات'!$E$9:$E$208,MATCH(C436,'شجرة الحسابات'!$A$9:$A$208,0))&amp;"",""))</f>
        <v/>
      </c>
      <c r="K436" s="55" t="str">
        <f aca="false">IF(C436="","",IFERROR(INDEX('شجرة الحسابات'!$I$9:$I$208,MATCH(C436,'شجرة الحسابات'!$A$9:$A$208,0))&amp;"",""))</f>
        <v/>
      </c>
      <c r="L436" s="55" t="str">
        <f aca="false">IF(C436="","",IFERROR(INDEX('شجرة الحسابات'!$C$9:$C$208,MATCH(C436,'شجرة الحسابات'!$A$9:$A$208,0))&amp;"",""))</f>
        <v/>
      </c>
      <c r="M436" s="55" t="str">
        <f aca="false">IF(AND(C436="",G436="",H436=""),"فارغ",IF(ISNA(MATCH(C436,'شجرة الحسابات'!$A$9:$A$208,0)),"حساب غير معرف",IF(L436&lt;&gt;"تحليلي","حساب تجميعي",IF(AND(N(G436)&gt;0,N(H436)&gt;0),"مدين ودائن معاً",IF(N(G436)+N(H436)=0,"بدون قيمة","OK")))))</f>
        <v>فارغ</v>
      </c>
      <c r="N436" s="55" t="str">
        <f aca="false">IF(AND(E436&lt;&gt;"",E436='كشف حساب مشروع'!$C$6,I436="مرحل ✔"),COUNTIFS($E$11:E436,'كشف حساب مشروع'!$C$6,$I$11:I436,"مرحل ✔"),"")</f>
        <v/>
      </c>
      <c r="O436" s="55" t="str">
        <f aca="false">IF(AND(C436&lt;&gt;"",C436='دفتر الأستاذ'!$C$6,I436="مرحل ✔"),COUNTIFS($C$11:C436,'دفتر الأستاذ'!$C$6,$I$11:I436,"مرحل ✔"),"")</f>
        <v/>
      </c>
    </row>
    <row r="437" customFormat="false" ht="15" hidden="false" customHeight="false" outlineLevel="0" collapsed="false">
      <c r="A437" s="49"/>
      <c r="B437" s="50"/>
      <c r="C437" s="49"/>
      <c r="D437" s="51" t="str">
        <f aca="false">IF(C437="","",IFERROR(INDEX('شجرة الحسابات'!$B$9:$B$208,MATCH(C437,'شجرة الحسابات'!$A$9:$A$208,0)),"⚠ حساب غير معرف"))</f>
        <v/>
      </c>
      <c r="E437" s="52"/>
      <c r="F437" s="52"/>
      <c r="G437" s="53"/>
      <c r="H437" s="53"/>
      <c r="I437" s="54" t="str">
        <f aca="false">IF(A437="",IF(M437="فارغ","","✖ بدون رقم قيد"),IF(COUNTIFS('قيود اليومية'!$A$11:$A$1010,A437,'قيود اليومية'!$M$11:$M$1010,"&lt;&gt;OK",'قيود اليومية'!$M$11:$M$1010,"&lt;&gt;فارغ")&gt;0,"✖ خطأ بالحساب",IF(ROUND(SUMIFS('قيود اليومية'!$G$11:$G$1010,'قيود اليومية'!$A$11:$A$1010,A437)-SUMIFS('قيود اليومية'!$H$11:$H$1010,'قيود اليومية'!$A$11:$A$1010,A437),2)&lt;&gt;0,"✖ غير متوازن","مرحل ✔")))</f>
        <v/>
      </c>
      <c r="J437" s="55" t="str">
        <f aca="false">IF(C437="","",IFERROR(INDEX('شجرة الحسابات'!$E$9:$E$208,MATCH(C437,'شجرة الحسابات'!$A$9:$A$208,0))&amp;"",""))</f>
        <v/>
      </c>
      <c r="K437" s="55" t="str">
        <f aca="false">IF(C437="","",IFERROR(INDEX('شجرة الحسابات'!$I$9:$I$208,MATCH(C437,'شجرة الحسابات'!$A$9:$A$208,0))&amp;"",""))</f>
        <v/>
      </c>
      <c r="L437" s="55" t="str">
        <f aca="false">IF(C437="","",IFERROR(INDEX('شجرة الحسابات'!$C$9:$C$208,MATCH(C437,'شجرة الحسابات'!$A$9:$A$208,0))&amp;"",""))</f>
        <v/>
      </c>
      <c r="M437" s="55" t="str">
        <f aca="false">IF(AND(C437="",G437="",H437=""),"فارغ",IF(ISNA(MATCH(C437,'شجرة الحسابات'!$A$9:$A$208,0)),"حساب غير معرف",IF(L437&lt;&gt;"تحليلي","حساب تجميعي",IF(AND(N(G437)&gt;0,N(H437)&gt;0),"مدين ودائن معاً",IF(N(G437)+N(H437)=0,"بدون قيمة","OK")))))</f>
        <v>فارغ</v>
      </c>
      <c r="N437" s="55" t="str">
        <f aca="false">IF(AND(E437&lt;&gt;"",E437='كشف حساب مشروع'!$C$6,I437="مرحل ✔"),COUNTIFS($E$11:E437,'كشف حساب مشروع'!$C$6,$I$11:I437,"مرحل ✔"),"")</f>
        <v/>
      </c>
      <c r="O437" s="55" t="str">
        <f aca="false">IF(AND(C437&lt;&gt;"",C437='دفتر الأستاذ'!$C$6,I437="مرحل ✔"),COUNTIFS($C$11:C437,'دفتر الأستاذ'!$C$6,$I$11:I437,"مرحل ✔"),"")</f>
        <v/>
      </c>
    </row>
    <row r="438" customFormat="false" ht="15" hidden="false" customHeight="false" outlineLevel="0" collapsed="false">
      <c r="A438" s="49"/>
      <c r="B438" s="50"/>
      <c r="C438" s="49"/>
      <c r="D438" s="51" t="str">
        <f aca="false">IF(C438="","",IFERROR(INDEX('شجرة الحسابات'!$B$9:$B$208,MATCH(C438,'شجرة الحسابات'!$A$9:$A$208,0)),"⚠ حساب غير معرف"))</f>
        <v/>
      </c>
      <c r="E438" s="52"/>
      <c r="F438" s="52"/>
      <c r="G438" s="53"/>
      <c r="H438" s="53"/>
      <c r="I438" s="54" t="str">
        <f aca="false">IF(A438="",IF(M438="فارغ","","✖ بدون رقم قيد"),IF(COUNTIFS('قيود اليومية'!$A$11:$A$1010,A438,'قيود اليومية'!$M$11:$M$1010,"&lt;&gt;OK",'قيود اليومية'!$M$11:$M$1010,"&lt;&gt;فارغ")&gt;0,"✖ خطأ بالحساب",IF(ROUND(SUMIFS('قيود اليومية'!$G$11:$G$1010,'قيود اليومية'!$A$11:$A$1010,A438)-SUMIFS('قيود اليومية'!$H$11:$H$1010,'قيود اليومية'!$A$11:$A$1010,A438),2)&lt;&gt;0,"✖ غير متوازن","مرحل ✔")))</f>
        <v/>
      </c>
      <c r="J438" s="55" t="str">
        <f aca="false">IF(C438="","",IFERROR(INDEX('شجرة الحسابات'!$E$9:$E$208,MATCH(C438,'شجرة الحسابات'!$A$9:$A$208,0))&amp;"",""))</f>
        <v/>
      </c>
      <c r="K438" s="55" t="str">
        <f aca="false">IF(C438="","",IFERROR(INDEX('شجرة الحسابات'!$I$9:$I$208,MATCH(C438,'شجرة الحسابات'!$A$9:$A$208,0))&amp;"",""))</f>
        <v/>
      </c>
      <c r="L438" s="55" t="str">
        <f aca="false">IF(C438="","",IFERROR(INDEX('شجرة الحسابات'!$C$9:$C$208,MATCH(C438,'شجرة الحسابات'!$A$9:$A$208,0))&amp;"",""))</f>
        <v/>
      </c>
      <c r="M438" s="55" t="str">
        <f aca="false">IF(AND(C438="",G438="",H438=""),"فارغ",IF(ISNA(MATCH(C438,'شجرة الحسابات'!$A$9:$A$208,0)),"حساب غير معرف",IF(L438&lt;&gt;"تحليلي","حساب تجميعي",IF(AND(N(G438)&gt;0,N(H438)&gt;0),"مدين ودائن معاً",IF(N(G438)+N(H438)=0,"بدون قيمة","OK")))))</f>
        <v>فارغ</v>
      </c>
      <c r="N438" s="55" t="str">
        <f aca="false">IF(AND(E438&lt;&gt;"",E438='كشف حساب مشروع'!$C$6,I438="مرحل ✔"),COUNTIFS($E$11:E438,'كشف حساب مشروع'!$C$6,$I$11:I438,"مرحل ✔"),"")</f>
        <v/>
      </c>
      <c r="O438" s="55" t="str">
        <f aca="false">IF(AND(C438&lt;&gt;"",C438='دفتر الأستاذ'!$C$6,I438="مرحل ✔"),COUNTIFS($C$11:C438,'دفتر الأستاذ'!$C$6,$I$11:I438,"مرحل ✔"),"")</f>
        <v/>
      </c>
    </row>
    <row r="439" customFormat="false" ht="15" hidden="false" customHeight="false" outlineLevel="0" collapsed="false">
      <c r="A439" s="49"/>
      <c r="B439" s="50"/>
      <c r="C439" s="49"/>
      <c r="D439" s="51" t="str">
        <f aca="false">IF(C439="","",IFERROR(INDEX('شجرة الحسابات'!$B$9:$B$208,MATCH(C439,'شجرة الحسابات'!$A$9:$A$208,0)),"⚠ حساب غير معرف"))</f>
        <v/>
      </c>
      <c r="E439" s="52"/>
      <c r="F439" s="52"/>
      <c r="G439" s="53"/>
      <c r="H439" s="53"/>
      <c r="I439" s="54" t="str">
        <f aca="false">IF(A439="",IF(M439="فارغ","","✖ بدون رقم قيد"),IF(COUNTIFS('قيود اليومية'!$A$11:$A$1010,A439,'قيود اليومية'!$M$11:$M$1010,"&lt;&gt;OK",'قيود اليومية'!$M$11:$M$1010,"&lt;&gt;فارغ")&gt;0,"✖ خطأ بالحساب",IF(ROUND(SUMIFS('قيود اليومية'!$G$11:$G$1010,'قيود اليومية'!$A$11:$A$1010,A439)-SUMIFS('قيود اليومية'!$H$11:$H$1010,'قيود اليومية'!$A$11:$A$1010,A439),2)&lt;&gt;0,"✖ غير متوازن","مرحل ✔")))</f>
        <v/>
      </c>
      <c r="J439" s="55" t="str">
        <f aca="false">IF(C439="","",IFERROR(INDEX('شجرة الحسابات'!$E$9:$E$208,MATCH(C439,'شجرة الحسابات'!$A$9:$A$208,0))&amp;"",""))</f>
        <v/>
      </c>
      <c r="K439" s="55" t="str">
        <f aca="false">IF(C439="","",IFERROR(INDEX('شجرة الحسابات'!$I$9:$I$208,MATCH(C439,'شجرة الحسابات'!$A$9:$A$208,0))&amp;"",""))</f>
        <v/>
      </c>
      <c r="L439" s="55" t="str">
        <f aca="false">IF(C439="","",IFERROR(INDEX('شجرة الحسابات'!$C$9:$C$208,MATCH(C439,'شجرة الحسابات'!$A$9:$A$208,0))&amp;"",""))</f>
        <v/>
      </c>
      <c r="M439" s="55" t="str">
        <f aca="false">IF(AND(C439="",G439="",H439=""),"فارغ",IF(ISNA(MATCH(C439,'شجرة الحسابات'!$A$9:$A$208,0)),"حساب غير معرف",IF(L439&lt;&gt;"تحليلي","حساب تجميعي",IF(AND(N(G439)&gt;0,N(H439)&gt;0),"مدين ودائن معاً",IF(N(G439)+N(H439)=0,"بدون قيمة","OK")))))</f>
        <v>فارغ</v>
      </c>
      <c r="N439" s="55" t="str">
        <f aca="false">IF(AND(E439&lt;&gt;"",E439='كشف حساب مشروع'!$C$6,I439="مرحل ✔"),COUNTIFS($E$11:E439,'كشف حساب مشروع'!$C$6,$I$11:I439,"مرحل ✔"),"")</f>
        <v/>
      </c>
      <c r="O439" s="55" t="str">
        <f aca="false">IF(AND(C439&lt;&gt;"",C439='دفتر الأستاذ'!$C$6,I439="مرحل ✔"),COUNTIFS($C$11:C439,'دفتر الأستاذ'!$C$6,$I$11:I439,"مرحل ✔"),"")</f>
        <v/>
      </c>
    </row>
    <row r="440" customFormat="false" ht="15" hidden="false" customHeight="false" outlineLevel="0" collapsed="false">
      <c r="A440" s="49"/>
      <c r="B440" s="50"/>
      <c r="C440" s="49"/>
      <c r="D440" s="51" t="str">
        <f aca="false">IF(C440="","",IFERROR(INDEX('شجرة الحسابات'!$B$9:$B$208,MATCH(C440,'شجرة الحسابات'!$A$9:$A$208,0)),"⚠ حساب غير معرف"))</f>
        <v/>
      </c>
      <c r="E440" s="52"/>
      <c r="F440" s="52"/>
      <c r="G440" s="53"/>
      <c r="H440" s="53"/>
      <c r="I440" s="54" t="str">
        <f aca="false">IF(A440="",IF(M440="فارغ","","✖ بدون رقم قيد"),IF(COUNTIFS('قيود اليومية'!$A$11:$A$1010,A440,'قيود اليومية'!$M$11:$M$1010,"&lt;&gt;OK",'قيود اليومية'!$M$11:$M$1010,"&lt;&gt;فارغ")&gt;0,"✖ خطأ بالحساب",IF(ROUND(SUMIFS('قيود اليومية'!$G$11:$G$1010,'قيود اليومية'!$A$11:$A$1010,A440)-SUMIFS('قيود اليومية'!$H$11:$H$1010,'قيود اليومية'!$A$11:$A$1010,A440),2)&lt;&gt;0,"✖ غير متوازن","مرحل ✔")))</f>
        <v/>
      </c>
      <c r="J440" s="55" t="str">
        <f aca="false">IF(C440="","",IFERROR(INDEX('شجرة الحسابات'!$E$9:$E$208,MATCH(C440,'شجرة الحسابات'!$A$9:$A$208,0))&amp;"",""))</f>
        <v/>
      </c>
      <c r="K440" s="55" t="str">
        <f aca="false">IF(C440="","",IFERROR(INDEX('شجرة الحسابات'!$I$9:$I$208,MATCH(C440,'شجرة الحسابات'!$A$9:$A$208,0))&amp;"",""))</f>
        <v/>
      </c>
      <c r="L440" s="55" t="str">
        <f aca="false">IF(C440="","",IFERROR(INDEX('شجرة الحسابات'!$C$9:$C$208,MATCH(C440,'شجرة الحسابات'!$A$9:$A$208,0))&amp;"",""))</f>
        <v/>
      </c>
      <c r="M440" s="55" t="str">
        <f aca="false">IF(AND(C440="",G440="",H440=""),"فارغ",IF(ISNA(MATCH(C440,'شجرة الحسابات'!$A$9:$A$208,0)),"حساب غير معرف",IF(L440&lt;&gt;"تحليلي","حساب تجميعي",IF(AND(N(G440)&gt;0,N(H440)&gt;0),"مدين ودائن معاً",IF(N(G440)+N(H440)=0,"بدون قيمة","OK")))))</f>
        <v>فارغ</v>
      </c>
      <c r="N440" s="55" t="str">
        <f aca="false">IF(AND(E440&lt;&gt;"",E440='كشف حساب مشروع'!$C$6,I440="مرحل ✔"),COUNTIFS($E$11:E440,'كشف حساب مشروع'!$C$6,$I$11:I440,"مرحل ✔"),"")</f>
        <v/>
      </c>
      <c r="O440" s="55" t="str">
        <f aca="false">IF(AND(C440&lt;&gt;"",C440='دفتر الأستاذ'!$C$6,I440="مرحل ✔"),COUNTIFS($C$11:C440,'دفتر الأستاذ'!$C$6,$I$11:I440,"مرحل ✔"),"")</f>
        <v/>
      </c>
    </row>
    <row r="441" customFormat="false" ht="15" hidden="false" customHeight="false" outlineLevel="0" collapsed="false">
      <c r="A441" s="49"/>
      <c r="B441" s="50"/>
      <c r="C441" s="49"/>
      <c r="D441" s="51" t="str">
        <f aca="false">IF(C441="","",IFERROR(INDEX('شجرة الحسابات'!$B$9:$B$208,MATCH(C441,'شجرة الحسابات'!$A$9:$A$208,0)),"⚠ حساب غير معرف"))</f>
        <v/>
      </c>
      <c r="E441" s="52"/>
      <c r="F441" s="52"/>
      <c r="G441" s="53"/>
      <c r="H441" s="53"/>
      <c r="I441" s="54" t="str">
        <f aca="false">IF(A441="",IF(M441="فارغ","","✖ بدون رقم قيد"),IF(COUNTIFS('قيود اليومية'!$A$11:$A$1010,A441,'قيود اليومية'!$M$11:$M$1010,"&lt;&gt;OK",'قيود اليومية'!$M$11:$M$1010,"&lt;&gt;فارغ")&gt;0,"✖ خطأ بالحساب",IF(ROUND(SUMIFS('قيود اليومية'!$G$11:$G$1010,'قيود اليومية'!$A$11:$A$1010,A441)-SUMIFS('قيود اليومية'!$H$11:$H$1010,'قيود اليومية'!$A$11:$A$1010,A441),2)&lt;&gt;0,"✖ غير متوازن","مرحل ✔")))</f>
        <v/>
      </c>
      <c r="J441" s="55" t="str">
        <f aca="false">IF(C441="","",IFERROR(INDEX('شجرة الحسابات'!$E$9:$E$208,MATCH(C441,'شجرة الحسابات'!$A$9:$A$208,0))&amp;"",""))</f>
        <v/>
      </c>
      <c r="K441" s="55" t="str">
        <f aca="false">IF(C441="","",IFERROR(INDEX('شجرة الحسابات'!$I$9:$I$208,MATCH(C441,'شجرة الحسابات'!$A$9:$A$208,0))&amp;"",""))</f>
        <v/>
      </c>
      <c r="L441" s="55" t="str">
        <f aca="false">IF(C441="","",IFERROR(INDEX('شجرة الحسابات'!$C$9:$C$208,MATCH(C441,'شجرة الحسابات'!$A$9:$A$208,0))&amp;"",""))</f>
        <v/>
      </c>
      <c r="M441" s="55" t="str">
        <f aca="false">IF(AND(C441="",G441="",H441=""),"فارغ",IF(ISNA(MATCH(C441,'شجرة الحسابات'!$A$9:$A$208,0)),"حساب غير معرف",IF(L441&lt;&gt;"تحليلي","حساب تجميعي",IF(AND(N(G441)&gt;0,N(H441)&gt;0),"مدين ودائن معاً",IF(N(G441)+N(H441)=0,"بدون قيمة","OK")))))</f>
        <v>فارغ</v>
      </c>
      <c r="N441" s="55" t="str">
        <f aca="false">IF(AND(E441&lt;&gt;"",E441='كشف حساب مشروع'!$C$6,I441="مرحل ✔"),COUNTIFS($E$11:E441,'كشف حساب مشروع'!$C$6,$I$11:I441,"مرحل ✔"),"")</f>
        <v/>
      </c>
      <c r="O441" s="55" t="str">
        <f aca="false">IF(AND(C441&lt;&gt;"",C441='دفتر الأستاذ'!$C$6,I441="مرحل ✔"),COUNTIFS($C$11:C441,'دفتر الأستاذ'!$C$6,$I$11:I441,"مرحل ✔"),"")</f>
        <v/>
      </c>
    </row>
    <row r="442" customFormat="false" ht="15" hidden="false" customHeight="false" outlineLevel="0" collapsed="false">
      <c r="A442" s="49"/>
      <c r="B442" s="50"/>
      <c r="C442" s="49"/>
      <c r="D442" s="51" t="str">
        <f aca="false">IF(C442="","",IFERROR(INDEX('شجرة الحسابات'!$B$9:$B$208,MATCH(C442,'شجرة الحسابات'!$A$9:$A$208,0)),"⚠ حساب غير معرف"))</f>
        <v/>
      </c>
      <c r="E442" s="52"/>
      <c r="F442" s="52"/>
      <c r="G442" s="53"/>
      <c r="H442" s="53"/>
      <c r="I442" s="54" t="str">
        <f aca="false">IF(A442="",IF(M442="فارغ","","✖ بدون رقم قيد"),IF(COUNTIFS('قيود اليومية'!$A$11:$A$1010,A442,'قيود اليومية'!$M$11:$M$1010,"&lt;&gt;OK",'قيود اليومية'!$M$11:$M$1010,"&lt;&gt;فارغ")&gt;0,"✖ خطأ بالحساب",IF(ROUND(SUMIFS('قيود اليومية'!$G$11:$G$1010,'قيود اليومية'!$A$11:$A$1010,A442)-SUMIFS('قيود اليومية'!$H$11:$H$1010,'قيود اليومية'!$A$11:$A$1010,A442),2)&lt;&gt;0,"✖ غير متوازن","مرحل ✔")))</f>
        <v/>
      </c>
      <c r="J442" s="55" t="str">
        <f aca="false">IF(C442="","",IFERROR(INDEX('شجرة الحسابات'!$E$9:$E$208,MATCH(C442,'شجرة الحسابات'!$A$9:$A$208,0))&amp;"",""))</f>
        <v/>
      </c>
      <c r="K442" s="55" t="str">
        <f aca="false">IF(C442="","",IFERROR(INDEX('شجرة الحسابات'!$I$9:$I$208,MATCH(C442,'شجرة الحسابات'!$A$9:$A$208,0))&amp;"",""))</f>
        <v/>
      </c>
      <c r="L442" s="55" t="str">
        <f aca="false">IF(C442="","",IFERROR(INDEX('شجرة الحسابات'!$C$9:$C$208,MATCH(C442,'شجرة الحسابات'!$A$9:$A$208,0))&amp;"",""))</f>
        <v/>
      </c>
      <c r="M442" s="55" t="str">
        <f aca="false">IF(AND(C442="",G442="",H442=""),"فارغ",IF(ISNA(MATCH(C442,'شجرة الحسابات'!$A$9:$A$208,0)),"حساب غير معرف",IF(L442&lt;&gt;"تحليلي","حساب تجميعي",IF(AND(N(G442)&gt;0,N(H442)&gt;0),"مدين ودائن معاً",IF(N(G442)+N(H442)=0,"بدون قيمة","OK")))))</f>
        <v>فارغ</v>
      </c>
      <c r="N442" s="55" t="str">
        <f aca="false">IF(AND(E442&lt;&gt;"",E442='كشف حساب مشروع'!$C$6,I442="مرحل ✔"),COUNTIFS($E$11:E442,'كشف حساب مشروع'!$C$6,$I$11:I442,"مرحل ✔"),"")</f>
        <v/>
      </c>
      <c r="O442" s="55" t="str">
        <f aca="false">IF(AND(C442&lt;&gt;"",C442='دفتر الأستاذ'!$C$6,I442="مرحل ✔"),COUNTIFS($C$11:C442,'دفتر الأستاذ'!$C$6,$I$11:I442,"مرحل ✔"),"")</f>
        <v/>
      </c>
    </row>
    <row r="443" customFormat="false" ht="15" hidden="false" customHeight="false" outlineLevel="0" collapsed="false">
      <c r="A443" s="49"/>
      <c r="B443" s="50"/>
      <c r="C443" s="49"/>
      <c r="D443" s="51" t="str">
        <f aca="false">IF(C443="","",IFERROR(INDEX('شجرة الحسابات'!$B$9:$B$208,MATCH(C443,'شجرة الحسابات'!$A$9:$A$208,0)),"⚠ حساب غير معرف"))</f>
        <v/>
      </c>
      <c r="E443" s="52"/>
      <c r="F443" s="52"/>
      <c r="G443" s="53"/>
      <c r="H443" s="53"/>
      <c r="I443" s="54" t="str">
        <f aca="false">IF(A443="",IF(M443="فارغ","","✖ بدون رقم قيد"),IF(COUNTIFS('قيود اليومية'!$A$11:$A$1010,A443,'قيود اليومية'!$M$11:$M$1010,"&lt;&gt;OK",'قيود اليومية'!$M$11:$M$1010,"&lt;&gt;فارغ")&gt;0,"✖ خطأ بالحساب",IF(ROUND(SUMIFS('قيود اليومية'!$G$11:$G$1010,'قيود اليومية'!$A$11:$A$1010,A443)-SUMIFS('قيود اليومية'!$H$11:$H$1010,'قيود اليومية'!$A$11:$A$1010,A443),2)&lt;&gt;0,"✖ غير متوازن","مرحل ✔")))</f>
        <v/>
      </c>
      <c r="J443" s="55" t="str">
        <f aca="false">IF(C443="","",IFERROR(INDEX('شجرة الحسابات'!$E$9:$E$208,MATCH(C443,'شجرة الحسابات'!$A$9:$A$208,0))&amp;"",""))</f>
        <v/>
      </c>
      <c r="K443" s="55" t="str">
        <f aca="false">IF(C443="","",IFERROR(INDEX('شجرة الحسابات'!$I$9:$I$208,MATCH(C443,'شجرة الحسابات'!$A$9:$A$208,0))&amp;"",""))</f>
        <v/>
      </c>
      <c r="L443" s="55" t="str">
        <f aca="false">IF(C443="","",IFERROR(INDEX('شجرة الحسابات'!$C$9:$C$208,MATCH(C443,'شجرة الحسابات'!$A$9:$A$208,0))&amp;"",""))</f>
        <v/>
      </c>
      <c r="M443" s="55" t="str">
        <f aca="false">IF(AND(C443="",G443="",H443=""),"فارغ",IF(ISNA(MATCH(C443,'شجرة الحسابات'!$A$9:$A$208,0)),"حساب غير معرف",IF(L443&lt;&gt;"تحليلي","حساب تجميعي",IF(AND(N(G443)&gt;0,N(H443)&gt;0),"مدين ودائن معاً",IF(N(G443)+N(H443)=0,"بدون قيمة","OK")))))</f>
        <v>فارغ</v>
      </c>
      <c r="N443" s="55" t="str">
        <f aca="false">IF(AND(E443&lt;&gt;"",E443='كشف حساب مشروع'!$C$6,I443="مرحل ✔"),COUNTIFS($E$11:E443,'كشف حساب مشروع'!$C$6,$I$11:I443,"مرحل ✔"),"")</f>
        <v/>
      </c>
      <c r="O443" s="55" t="str">
        <f aca="false">IF(AND(C443&lt;&gt;"",C443='دفتر الأستاذ'!$C$6,I443="مرحل ✔"),COUNTIFS($C$11:C443,'دفتر الأستاذ'!$C$6,$I$11:I443,"مرحل ✔"),"")</f>
        <v/>
      </c>
    </row>
    <row r="444" customFormat="false" ht="15" hidden="false" customHeight="false" outlineLevel="0" collapsed="false">
      <c r="A444" s="49"/>
      <c r="B444" s="50"/>
      <c r="C444" s="49"/>
      <c r="D444" s="51" t="str">
        <f aca="false">IF(C444="","",IFERROR(INDEX('شجرة الحسابات'!$B$9:$B$208,MATCH(C444,'شجرة الحسابات'!$A$9:$A$208,0)),"⚠ حساب غير معرف"))</f>
        <v/>
      </c>
      <c r="E444" s="52"/>
      <c r="F444" s="52"/>
      <c r="G444" s="53"/>
      <c r="H444" s="53"/>
      <c r="I444" s="54" t="str">
        <f aca="false">IF(A444="",IF(M444="فارغ","","✖ بدون رقم قيد"),IF(COUNTIFS('قيود اليومية'!$A$11:$A$1010,A444,'قيود اليومية'!$M$11:$M$1010,"&lt;&gt;OK",'قيود اليومية'!$M$11:$M$1010,"&lt;&gt;فارغ")&gt;0,"✖ خطأ بالحساب",IF(ROUND(SUMIFS('قيود اليومية'!$G$11:$G$1010,'قيود اليومية'!$A$11:$A$1010,A444)-SUMIFS('قيود اليومية'!$H$11:$H$1010,'قيود اليومية'!$A$11:$A$1010,A444),2)&lt;&gt;0,"✖ غير متوازن","مرحل ✔")))</f>
        <v/>
      </c>
      <c r="J444" s="55" t="str">
        <f aca="false">IF(C444="","",IFERROR(INDEX('شجرة الحسابات'!$E$9:$E$208,MATCH(C444,'شجرة الحسابات'!$A$9:$A$208,0))&amp;"",""))</f>
        <v/>
      </c>
      <c r="K444" s="55" t="str">
        <f aca="false">IF(C444="","",IFERROR(INDEX('شجرة الحسابات'!$I$9:$I$208,MATCH(C444,'شجرة الحسابات'!$A$9:$A$208,0))&amp;"",""))</f>
        <v/>
      </c>
      <c r="L444" s="55" t="str">
        <f aca="false">IF(C444="","",IFERROR(INDEX('شجرة الحسابات'!$C$9:$C$208,MATCH(C444,'شجرة الحسابات'!$A$9:$A$208,0))&amp;"",""))</f>
        <v/>
      </c>
      <c r="M444" s="55" t="str">
        <f aca="false">IF(AND(C444="",G444="",H444=""),"فارغ",IF(ISNA(MATCH(C444,'شجرة الحسابات'!$A$9:$A$208,0)),"حساب غير معرف",IF(L444&lt;&gt;"تحليلي","حساب تجميعي",IF(AND(N(G444)&gt;0,N(H444)&gt;0),"مدين ودائن معاً",IF(N(G444)+N(H444)=0,"بدون قيمة","OK")))))</f>
        <v>فارغ</v>
      </c>
      <c r="N444" s="55" t="str">
        <f aca="false">IF(AND(E444&lt;&gt;"",E444='كشف حساب مشروع'!$C$6,I444="مرحل ✔"),COUNTIFS($E$11:E444,'كشف حساب مشروع'!$C$6,$I$11:I444,"مرحل ✔"),"")</f>
        <v/>
      </c>
      <c r="O444" s="55" t="str">
        <f aca="false">IF(AND(C444&lt;&gt;"",C444='دفتر الأستاذ'!$C$6,I444="مرحل ✔"),COUNTIFS($C$11:C444,'دفتر الأستاذ'!$C$6,$I$11:I444,"مرحل ✔"),"")</f>
        <v/>
      </c>
    </row>
    <row r="445" customFormat="false" ht="15" hidden="false" customHeight="false" outlineLevel="0" collapsed="false">
      <c r="A445" s="49"/>
      <c r="B445" s="50"/>
      <c r="C445" s="49"/>
      <c r="D445" s="51" t="str">
        <f aca="false">IF(C445="","",IFERROR(INDEX('شجرة الحسابات'!$B$9:$B$208,MATCH(C445,'شجرة الحسابات'!$A$9:$A$208,0)),"⚠ حساب غير معرف"))</f>
        <v/>
      </c>
      <c r="E445" s="52"/>
      <c r="F445" s="52"/>
      <c r="G445" s="53"/>
      <c r="H445" s="53"/>
      <c r="I445" s="54" t="str">
        <f aca="false">IF(A445="",IF(M445="فارغ","","✖ بدون رقم قيد"),IF(COUNTIFS('قيود اليومية'!$A$11:$A$1010,A445,'قيود اليومية'!$M$11:$M$1010,"&lt;&gt;OK",'قيود اليومية'!$M$11:$M$1010,"&lt;&gt;فارغ")&gt;0,"✖ خطأ بالحساب",IF(ROUND(SUMIFS('قيود اليومية'!$G$11:$G$1010,'قيود اليومية'!$A$11:$A$1010,A445)-SUMIFS('قيود اليومية'!$H$11:$H$1010,'قيود اليومية'!$A$11:$A$1010,A445),2)&lt;&gt;0,"✖ غير متوازن","مرحل ✔")))</f>
        <v/>
      </c>
      <c r="J445" s="55" t="str">
        <f aca="false">IF(C445="","",IFERROR(INDEX('شجرة الحسابات'!$E$9:$E$208,MATCH(C445,'شجرة الحسابات'!$A$9:$A$208,0))&amp;"",""))</f>
        <v/>
      </c>
      <c r="K445" s="55" t="str">
        <f aca="false">IF(C445="","",IFERROR(INDEX('شجرة الحسابات'!$I$9:$I$208,MATCH(C445,'شجرة الحسابات'!$A$9:$A$208,0))&amp;"",""))</f>
        <v/>
      </c>
      <c r="L445" s="55" t="str">
        <f aca="false">IF(C445="","",IFERROR(INDEX('شجرة الحسابات'!$C$9:$C$208,MATCH(C445,'شجرة الحسابات'!$A$9:$A$208,0))&amp;"",""))</f>
        <v/>
      </c>
      <c r="M445" s="55" t="str">
        <f aca="false">IF(AND(C445="",G445="",H445=""),"فارغ",IF(ISNA(MATCH(C445,'شجرة الحسابات'!$A$9:$A$208,0)),"حساب غير معرف",IF(L445&lt;&gt;"تحليلي","حساب تجميعي",IF(AND(N(G445)&gt;0,N(H445)&gt;0),"مدين ودائن معاً",IF(N(G445)+N(H445)=0,"بدون قيمة","OK")))))</f>
        <v>فارغ</v>
      </c>
      <c r="N445" s="55" t="str">
        <f aca="false">IF(AND(E445&lt;&gt;"",E445='كشف حساب مشروع'!$C$6,I445="مرحل ✔"),COUNTIFS($E$11:E445,'كشف حساب مشروع'!$C$6,$I$11:I445,"مرحل ✔"),"")</f>
        <v/>
      </c>
      <c r="O445" s="55" t="str">
        <f aca="false">IF(AND(C445&lt;&gt;"",C445='دفتر الأستاذ'!$C$6,I445="مرحل ✔"),COUNTIFS($C$11:C445,'دفتر الأستاذ'!$C$6,$I$11:I445,"مرحل ✔"),"")</f>
        <v/>
      </c>
    </row>
    <row r="446" customFormat="false" ht="15" hidden="false" customHeight="false" outlineLevel="0" collapsed="false">
      <c r="A446" s="49"/>
      <c r="B446" s="50"/>
      <c r="C446" s="49"/>
      <c r="D446" s="51" t="str">
        <f aca="false">IF(C446="","",IFERROR(INDEX('شجرة الحسابات'!$B$9:$B$208,MATCH(C446,'شجرة الحسابات'!$A$9:$A$208,0)),"⚠ حساب غير معرف"))</f>
        <v/>
      </c>
      <c r="E446" s="52"/>
      <c r="F446" s="52"/>
      <c r="G446" s="53"/>
      <c r="H446" s="53"/>
      <c r="I446" s="54" t="str">
        <f aca="false">IF(A446="",IF(M446="فارغ","","✖ بدون رقم قيد"),IF(COUNTIFS('قيود اليومية'!$A$11:$A$1010,A446,'قيود اليومية'!$M$11:$M$1010,"&lt;&gt;OK",'قيود اليومية'!$M$11:$M$1010,"&lt;&gt;فارغ")&gt;0,"✖ خطأ بالحساب",IF(ROUND(SUMIFS('قيود اليومية'!$G$11:$G$1010,'قيود اليومية'!$A$11:$A$1010,A446)-SUMIFS('قيود اليومية'!$H$11:$H$1010,'قيود اليومية'!$A$11:$A$1010,A446),2)&lt;&gt;0,"✖ غير متوازن","مرحل ✔")))</f>
        <v/>
      </c>
      <c r="J446" s="55" t="str">
        <f aca="false">IF(C446="","",IFERROR(INDEX('شجرة الحسابات'!$E$9:$E$208,MATCH(C446,'شجرة الحسابات'!$A$9:$A$208,0))&amp;"",""))</f>
        <v/>
      </c>
      <c r="K446" s="55" t="str">
        <f aca="false">IF(C446="","",IFERROR(INDEX('شجرة الحسابات'!$I$9:$I$208,MATCH(C446,'شجرة الحسابات'!$A$9:$A$208,0))&amp;"",""))</f>
        <v/>
      </c>
      <c r="L446" s="55" t="str">
        <f aca="false">IF(C446="","",IFERROR(INDEX('شجرة الحسابات'!$C$9:$C$208,MATCH(C446,'شجرة الحسابات'!$A$9:$A$208,0))&amp;"",""))</f>
        <v/>
      </c>
      <c r="M446" s="55" t="str">
        <f aca="false">IF(AND(C446="",G446="",H446=""),"فارغ",IF(ISNA(MATCH(C446,'شجرة الحسابات'!$A$9:$A$208,0)),"حساب غير معرف",IF(L446&lt;&gt;"تحليلي","حساب تجميعي",IF(AND(N(G446)&gt;0,N(H446)&gt;0),"مدين ودائن معاً",IF(N(G446)+N(H446)=0,"بدون قيمة","OK")))))</f>
        <v>فارغ</v>
      </c>
      <c r="N446" s="55" t="str">
        <f aca="false">IF(AND(E446&lt;&gt;"",E446='كشف حساب مشروع'!$C$6,I446="مرحل ✔"),COUNTIFS($E$11:E446,'كشف حساب مشروع'!$C$6,$I$11:I446,"مرحل ✔"),"")</f>
        <v/>
      </c>
      <c r="O446" s="55" t="str">
        <f aca="false">IF(AND(C446&lt;&gt;"",C446='دفتر الأستاذ'!$C$6,I446="مرحل ✔"),COUNTIFS($C$11:C446,'دفتر الأستاذ'!$C$6,$I$11:I446,"مرحل ✔"),"")</f>
        <v/>
      </c>
    </row>
    <row r="447" customFormat="false" ht="15" hidden="false" customHeight="false" outlineLevel="0" collapsed="false">
      <c r="A447" s="49"/>
      <c r="B447" s="50"/>
      <c r="C447" s="49"/>
      <c r="D447" s="51" t="str">
        <f aca="false">IF(C447="","",IFERROR(INDEX('شجرة الحسابات'!$B$9:$B$208,MATCH(C447,'شجرة الحسابات'!$A$9:$A$208,0)),"⚠ حساب غير معرف"))</f>
        <v/>
      </c>
      <c r="E447" s="52"/>
      <c r="F447" s="52"/>
      <c r="G447" s="53"/>
      <c r="H447" s="53"/>
      <c r="I447" s="54" t="str">
        <f aca="false">IF(A447="",IF(M447="فارغ","","✖ بدون رقم قيد"),IF(COUNTIFS('قيود اليومية'!$A$11:$A$1010,A447,'قيود اليومية'!$M$11:$M$1010,"&lt;&gt;OK",'قيود اليومية'!$M$11:$M$1010,"&lt;&gt;فارغ")&gt;0,"✖ خطأ بالحساب",IF(ROUND(SUMIFS('قيود اليومية'!$G$11:$G$1010,'قيود اليومية'!$A$11:$A$1010,A447)-SUMIFS('قيود اليومية'!$H$11:$H$1010,'قيود اليومية'!$A$11:$A$1010,A447),2)&lt;&gt;0,"✖ غير متوازن","مرحل ✔")))</f>
        <v/>
      </c>
      <c r="J447" s="55" t="str">
        <f aca="false">IF(C447="","",IFERROR(INDEX('شجرة الحسابات'!$E$9:$E$208,MATCH(C447,'شجرة الحسابات'!$A$9:$A$208,0))&amp;"",""))</f>
        <v/>
      </c>
      <c r="K447" s="55" t="str">
        <f aca="false">IF(C447="","",IFERROR(INDEX('شجرة الحسابات'!$I$9:$I$208,MATCH(C447,'شجرة الحسابات'!$A$9:$A$208,0))&amp;"",""))</f>
        <v/>
      </c>
      <c r="L447" s="55" t="str">
        <f aca="false">IF(C447="","",IFERROR(INDEX('شجرة الحسابات'!$C$9:$C$208,MATCH(C447,'شجرة الحسابات'!$A$9:$A$208,0))&amp;"",""))</f>
        <v/>
      </c>
      <c r="M447" s="55" t="str">
        <f aca="false">IF(AND(C447="",G447="",H447=""),"فارغ",IF(ISNA(MATCH(C447,'شجرة الحسابات'!$A$9:$A$208,0)),"حساب غير معرف",IF(L447&lt;&gt;"تحليلي","حساب تجميعي",IF(AND(N(G447)&gt;0,N(H447)&gt;0),"مدين ودائن معاً",IF(N(G447)+N(H447)=0,"بدون قيمة","OK")))))</f>
        <v>فارغ</v>
      </c>
      <c r="N447" s="55" t="str">
        <f aca="false">IF(AND(E447&lt;&gt;"",E447='كشف حساب مشروع'!$C$6,I447="مرحل ✔"),COUNTIFS($E$11:E447,'كشف حساب مشروع'!$C$6,$I$11:I447,"مرحل ✔"),"")</f>
        <v/>
      </c>
      <c r="O447" s="55" t="str">
        <f aca="false">IF(AND(C447&lt;&gt;"",C447='دفتر الأستاذ'!$C$6,I447="مرحل ✔"),COUNTIFS($C$11:C447,'دفتر الأستاذ'!$C$6,$I$11:I447,"مرحل ✔"),"")</f>
        <v/>
      </c>
    </row>
    <row r="448" customFormat="false" ht="15" hidden="false" customHeight="false" outlineLevel="0" collapsed="false">
      <c r="A448" s="49"/>
      <c r="B448" s="50"/>
      <c r="C448" s="49"/>
      <c r="D448" s="51" t="str">
        <f aca="false">IF(C448="","",IFERROR(INDEX('شجرة الحسابات'!$B$9:$B$208,MATCH(C448,'شجرة الحسابات'!$A$9:$A$208,0)),"⚠ حساب غير معرف"))</f>
        <v/>
      </c>
      <c r="E448" s="52"/>
      <c r="F448" s="52"/>
      <c r="G448" s="53"/>
      <c r="H448" s="53"/>
      <c r="I448" s="54" t="str">
        <f aca="false">IF(A448="",IF(M448="فارغ","","✖ بدون رقم قيد"),IF(COUNTIFS('قيود اليومية'!$A$11:$A$1010,A448,'قيود اليومية'!$M$11:$M$1010,"&lt;&gt;OK",'قيود اليومية'!$M$11:$M$1010,"&lt;&gt;فارغ")&gt;0,"✖ خطأ بالحساب",IF(ROUND(SUMIFS('قيود اليومية'!$G$11:$G$1010,'قيود اليومية'!$A$11:$A$1010,A448)-SUMIFS('قيود اليومية'!$H$11:$H$1010,'قيود اليومية'!$A$11:$A$1010,A448),2)&lt;&gt;0,"✖ غير متوازن","مرحل ✔")))</f>
        <v/>
      </c>
      <c r="J448" s="55" t="str">
        <f aca="false">IF(C448="","",IFERROR(INDEX('شجرة الحسابات'!$E$9:$E$208,MATCH(C448,'شجرة الحسابات'!$A$9:$A$208,0))&amp;"",""))</f>
        <v/>
      </c>
      <c r="K448" s="55" t="str">
        <f aca="false">IF(C448="","",IFERROR(INDEX('شجرة الحسابات'!$I$9:$I$208,MATCH(C448,'شجرة الحسابات'!$A$9:$A$208,0))&amp;"",""))</f>
        <v/>
      </c>
      <c r="L448" s="55" t="str">
        <f aca="false">IF(C448="","",IFERROR(INDEX('شجرة الحسابات'!$C$9:$C$208,MATCH(C448,'شجرة الحسابات'!$A$9:$A$208,0))&amp;"",""))</f>
        <v/>
      </c>
      <c r="M448" s="55" t="str">
        <f aca="false">IF(AND(C448="",G448="",H448=""),"فارغ",IF(ISNA(MATCH(C448,'شجرة الحسابات'!$A$9:$A$208,0)),"حساب غير معرف",IF(L448&lt;&gt;"تحليلي","حساب تجميعي",IF(AND(N(G448)&gt;0,N(H448)&gt;0),"مدين ودائن معاً",IF(N(G448)+N(H448)=0,"بدون قيمة","OK")))))</f>
        <v>فارغ</v>
      </c>
      <c r="N448" s="55" t="str">
        <f aca="false">IF(AND(E448&lt;&gt;"",E448='كشف حساب مشروع'!$C$6,I448="مرحل ✔"),COUNTIFS($E$11:E448,'كشف حساب مشروع'!$C$6,$I$11:I448,"مرحل ✔"),"")</f>
        <v/>
      </c>
      <c r="O448" s="55" t="str">
        <f aca="false">IF(AND(C448&lt;&gt;"",C448='دفتر الأستاذ'!$C$6,I448="مرحل ✔"),COUNTIFS($C$11:C448,'دفتر الأستاذ'!$C$6,$I$11:I448,"مرحل ✔"),"")</f>
        <v/>
      </c>
    </row>
    <row r="449" customFormat="false" ht="15" hidden="false" customHeight="false" outlineLevel="0" collapsed="false">
      <c r="A449" s="49"/>
      <c r="B449" s="50"/>
      <c r="C449" s="49"/>
      <c r="D449" s="51" t="str">
        <f aca="false">IF(C449="","",IFERROR(INDEX('شجرة الحسابات'!$B$9:$B$208,MATCH(C449,'شجرة الحسابات'!$A$9:$A$208,0)),"⚠ حساب غير معرف"))</f>
        <v/>
      </c>
      <c r="E449" s="52"/>
      <c r="F449" s="52"/>
      <c r="G449" s="53"/>
      <c r="H449" s="53"/>
      <c r="I449" s="54" t="str">
        <f aca="false">IF(A449="",IF(M449="فارغ","","✖ بدون رقم قيد"),IF(COUNTIFS('قيود اليومية'!$A$11:$A$1010,A449,'قيود اليومية'!$M$11:$M$1010,"&lt;&gt;OK",'قيود اليومية'!$M$11:$M$1010,"&lt;&gt;فارغ")&gt;0,"✖ خطأ بالحساب",IF(ROUND(SUMIFS('قيود اليومية'!$G$11:$G$1010,'قيود اليومية'!$A$11:$A$1010,A449)-SUMIFS('قيود اليومية'!$H$11:$H$1010,'قيود اليومية'!$A$11:$A$1010,A449),2)&lt;&gt;0,"✖ غير متوازن","مرحل ✔")))</f>
        <v/>
      </c>
      <c r="J449" s="55" t="str">
        <f aca="false">IF(C449="","",IFERROR(INDEX('شجرة الحسابات'!$E$9:$E$208,MATCH(C449,'شجرة الحسابات'!$A$9:$A$208,0))&amp;"",""))</f>
        <v/>
      </c>
      <c r="K449" s="55" t="str">
        <f aca="false">IF(C449="","",IFERROR(INDEX('شجرة الحسابات'!$I$9:$I$208,MATCH(C449,'شجرة الحسابات'!$A$9:$A$208,0))&amp;"",""))</f>
        <v/>
      </c>
      <c r="L449" s="55" t="str">
        <f aca="false">IF(C449="","",IFERROR(INDEX('شجرة الحسابات'!$C$9:$C$208,MATCH(C449,'شجرة الحسابات'!$A$9:$A$208,0))&amp;"",""))</f>
        <v/>
      </c>
      <c r="M449" s="55" t="str">
        <f aca="false">IF(AND(C449="",G449="",H449=""),"فارغ",IF(ISNA(MATCH(C449,'شجرة الحسابات'!$A$9:$A$208,0)),"حساب غير معرف",IF(L449&lt;&gt;"تحليلي","حساب تجميعي",IF(AND(N(G449)&gt;0,N(H449)&gt;0),"مدين ودائن معاً",IF(N(G449)+N(H449)=0,"بدون قيمة","OK")))))</f>
        <v>فارغ</v>
      </c>
      <c r="N449" s="55" t="str">
        <f aca="false">IF(AND(E449&lt;&gt;"",E449='كشف حساب مشروع'!$C$6,I449="مرحل ✔"),COUNTIFS($E$11:E449,'كشف حساب مشروع'!$C$6,$I$11:I449,"مرحل ✔"),"")</f>
        <v/>
      </c>
      <c r="O449" s="55" t="str">
        <f aca="false">IF(AND(C449&lt;&gt;"",C449='دفتر الأستاذ'!$C$6,I449="مرحل ✔"),COUNTIFS($C$11:C449,'دفتر الأستاذ'!$C$6,$I$11:I449,"مرحل ✔"),"")</f>
        <v/>
      </c>
    </row>
    <row r="450" customFormat="false" ht="15" hidden="false" customHeight="false" outlineLevel="0" collapsed="false">
      <c r="A450" s="49"/>
      <c r="B450" s="50"/>
      <c r="C450" s="49"/>
      <c r="D450" s="51" t="str">
        <f aca="false">IF(C450="","",IFERROR(INDEX('شجرة الحسابات'!$B$9:$B$208,MATCH(C450,'شجرة الحسابات'!$A$9:$A$208,0)),"⚠ حساب غير معرف"))</f>
        <v/>
      </c>
      <c r="E450" s="52"/>
      <c r="F450" s="52"/>
      <c r="G450" s="53"/>
      <c r="H450" s="53"/>
      <c r="I450" s="54" t="str">
        <f aca="false">IF(A450="",IF(M450="فارغ","","✖ بدون رقم قيد"),IF(COUNTIFS('قيود اليومية'!$A$11:$A$1010,A450,'قيود اليومية'!$M$11:$M$1010,"&lt;&gt;OK",'قيود اليومية'!$M$11:$M$1010,"&lt;&gt;فارغ")&gt;0,"✖ خطأ بالحساب",IF(ROUND(SUMIFS('قيود اليومية'!$G$11:$G$1010,'قيود اليومية'!$A$11:$A$1010,A450)-SUMIFS('قيود اليومية'!$H$11:$H$1010,'قيود اليومية'!$A$11:$A$1010,A450),2)&lt;&gt;0,"✖ غير متوازن","مرحل ✔")))</f>
        <v/>
      </c>
      <c r="J450" s="55" t="str">
        <f aca="false">IF(C450="","",IFERROR(INDEX('شجرة الحسابات'!$E$9:$E$208,MATCH(C450,'شجرة الحسابات'!$A$9:$A$208,0))&amp;"",""))</f>
        <v/>
      </c>
      <c r="K450" s="55" t="str">
        <f aca="false">IF(C450="","",IFERROR(INDEX('شجرة الحسابات'!$I$9:$I$208,MATCH(C450,'شجرة الحسابات'!$A$9:$A$208,0))&amp;"",""))</f>
        <v/>
      </c>
      <c r="L450" s="55" t="str">
        <f aca="false">IF(C450="","",IFERROR(INDEX('شجرة الحسابات'!$C$9:$C$208,MATCH(C450,'شجرة الحسابات'!$A$9:$A$208,0))&amp;"",""))</f>
        <v/>
      </c>
      <c r="M450" s="55" t="str">
        <f aca="false">IF(AND(C450="",G450="",H450=""),"فارغ",IF(ISNA(MATCH(C450,'شجرة الحسابات'!$A$9:$A$208,0)),"حساب غير معرف",IF(L450&lt;&gt;"تحليلي","حساب تجميعي",IF(AND(N(G450)&gt;0,N(H450)&gt;0),"مدين ودائن معاً",IF(N(G450)+N(H450)=0,"بدون قيمة","OK")))))</f>
        <v>فارغ</v>
      </c>
      <c r="N450" s="55" t="str">
        <f aca="false">IF(AND(E450&lt;&gt;"",E450='كشف حساب مشروع'!$C$6,I450="مرحل ✔"),COUNTIFS($E$11:E450,'كشف حساب مشروع'!$C$6,$I$11:I450,"مرحل ✔"),"")</f>
        <v/>
      </c>
      <c r="O450" s="55" t="str">
        <f aca="false">IF(AND(C450&lt;&gt;"",C450='دفتر الأستاذ'!$C$6,I450="مرحل ✔"),COUNTIFS($C$11:C450,'دفتر الأستاذ'!$C$6,$I$11:I450,"مرحل ✔"),"")</f>
        <v/>
      </c>
    </row>
    <row r="451" customFormat="false" ht="15" hidden="false" customHeight="false" outlineLevel="0" collapsed="false">
      <c r="A451" s="49"/>
      <c r="B451" s="50"/>
      <c r="C451" s="49"/>
      <c r="D451" s="51" t="str">
        <f aca="false">IF(C451="","",IFERROR(INDEX('شجرة الحسابات'!$B$9:$B$208,MATCH(C451,'شجرة الحسابات'!$A$9:$A$208,0)),"⚠ حساب غير معرف"))</f>
        <v/>
      </c>
      <c r="E451" s="52"/>
      <c r="F451" s="52"/>
      <c r="G451" s="53"/>
      <c r="H451" s="53"/>
      <c r="I451" s="54" t="str">
        <f aca="false">IF(A451="",IF(M451="فارغ","","✖ بدون رقم قيد"),IF(COUNTIFS('قيود اليومية'!$A$11:$A$1010,A451,'قيود اليومية'!$M$11:$M$1010,"&lt;&gt;OK",'قيود اليومية'!$M$11:$M$1010,"&lt;&gt;فارغ")&gt;0,"✖ خطأ بالحساب",IF(ROUND(SUMIFS('قيود اليومية'!$G$11:$G$1010,'قيود اليومية'!$A$11:$A$1010,A451)-SUMIFS('قيود اليومية'!$H$11:$H$1010,'قيود اليومية'!$A$11:$A$1010,A451),2)&lt;&gt;0,"✖ غير متوازن","مرحل ✔")))</f>
        <v/>
      </c>
      <c r="J451" s="55" t="str">
        <f aca="false">IF(C451="","",IFERROR(INDEX('شجرة الحسابات'!$E$9:$E$208,MATCH(C451,'شجرة الحسابات'!$A$9:$A$208,0))&amp;"",""))</f>
        <v/>
      </c>
      <c r="K451" s="55" t="str">
        <f aca="false">IF(C451="","",IFERROR(INDEX('شجرة الحسابات'!$I$9:$I$208,MATCH(C451,'شجرة الحسابات'!$A$9:$A$208,0))&amp;"",""))</f>
        <v/>
      </c>
      <c r="L451" s="55" t="str">
        <f aca="false">IF(C451="","",IFERROR(INDEX('شجرة الحسابات'!$C$9:$C$208,MATCH(C451,'شجرة الحسابات'!$A$9:$A$208,0))&amp;"",""))</f>
        <v/>
      </c>
      <c r="M451" s="55" t="str">
        <f aca="false">IF(AND(C451="",G451="",H451=""),"فارغ",IF(ISNA(MATCH(C451,'شجرة الحسابات'!$A$9:$A$208,0)),"حساب غير معرف",IF(L451&lt;&gt;"تحليلي","حساب تجميعي",IF(AND(N(G451)&gt;0,N(H451)&gt;0),"مدين ودائن معاً",IF(N(G451)+N(H451)=0,"بدون قيمة","OK")))))</f>
        <v>فارغ</v>
      </c>
      <c r="N451" s="55" t="str">
        <f aca="false">IF(AND(E451&lt;&gt;"",E451='كشف حساب مشروع'!$C$6,I451="مرحل ✔"),COUNTIFS($E$11:E451,'كشف حساب مشروع'!$C$6,$I$11:I451,"مرحل ✔"),"")</f>
        <v/>
      </c>
      <c r="O451" s="55" t="str">
        <f aca="false">IF(AND(C451&lt;&gt;"",C451='دفتر الأستاذ'!$C$6,I451="مرحل ✔"),COUNTIFS($C$11:C451,'دفتر الأستاذ'!$C$6,$I$11:I451,"مرحل ✔"),"")</f>
        <v/>
      </c>
    </row>
    <row r="452" customFormat="false" ht="15" hidden="false" customHeight="false" outlineLevel="0" collapsed="false">
      <c r="A452" s="49"/>
      <c r="B452" s="50"/>
      <c r="C452" s="49"/>
      <c r="D452" s="51" t="str">
        <f aca="false">IF(C452="","",IFERROR(INDEX('شجرة الحسابات'!$B$9:$B$208,MATCH(C452,'شجرة الحسابات'!$A$9:$A$208,0)),"⚠ حساب غير معرف"))</f>
        <v/>
      </c>
      <c r="E452" s="52"/>
      <c r="F452" s="52"/>
      <c r="G452" s="53"/>
      <c r="H452" s="53"/>
      <c r="I452" s="54" t="str">
        <f aca="false">IF(A452="",IF(M452="فارغ","","✖ بدون رقم قيد"),IF(COUNTIFS('قيود اليومية'!$A$11:$A$1010,A452,'قيود اليومية'!$M$11:$M$1010,"&lt;&gt;OK",'قيود اليومية'!$M$11:$M$1010,"&lt;&gt;فارغ")&gt;0,"✖ خطأ بالحساب",IF(ROUND(SUMIFS('قيود اليومية'!$G$11:$G$1010,'قيود اليومية'!$A$11:$A$1010,A452)-SUMIFS('قيود اليومية'!$H$11:$H$1010,'قيود اليومية'!$A$11:$A$1010,A452),2)&lt;&gt;0,"✖ غير متوازن","مرحل ✔")))</f>
        <v/>
      </c>
      <c r="J452" s="55" t="str">
        <f aca="false">IF(C452="","",IFERROR(INDEX('شجرة الحسابات'!$E$9:$E$208,MATCH(C452,'شجرة الحسابات'!$A$9:$A$208,0))&amp;"",""))</f>
        <v/>
      </c>
      <c r="K452" s="55" t="str">
        <f aca="false">IF(C452="","",IFERROR(INDEX('شجرة الحسابات'!$I$9:$I$208,MATCH(C452,'شجرة الحسابات'!$A$9:$A$208,0))&amp;"",""))</f>
        <v/>
      </c>
      <c r="L452" s="55" t="str">
        <f aca="false">IF(C452="","",IFERROR(INDEX('شجرة الحسابات'!$C$9:$C$208,MATCH(C452,'شجرة الحسابات'!$A$9:$A$208,0))&amp;"",""))</f>
        <v/>
      </c>
      <c r="M452" s="55" t="str">
        <f aca="false">IF(AND(C452="",G452="",H452=""),"فارغ",IF(ISNA(MATCH(C452,'شجرة الحسابات'!$A$9:$A$208,0)),"حساب غير معرف",IF(L452&lt;&gt;"تحليلي","حساب تجميعي",IF(AND(N(G452)&gt;0,N(H452)&gt;0),"مدين ودائن معاً",IF(N(G452)+N(H452)=0,"بدون قيمة","OK")))))</f>
        <v>فارغ</v>
      </c>
      <c r="N452" s="55" t="str">
        <f aca="false">IF(AND(E452&lt;&gt;"",E452='كشف حساب مشروع'!$C$6,I452="مرحل ✔"),COUNTIFS($E$11:E452,'كشف حساب مشروع'!$C$6,$I$11:I452,"مرحل ✔"),"")</f>
        <v/>
      </c>
      <c r="O452" s="55" t="str">
        <f aca="false">IF(AND(C452&lt;&gt;"",C452='دفتر الأستاذ'!$C$6,I452="مرحل ✔"),COUNTIFS($C$11:C452,'دفتر الأستاذ'!$C$6,$I$11:I452,"مرحل ✔"),"")</f>
        <v/>
      </c>
    </row>
    <row r="453" customFormat="false" ht="15" hidden="false" customHeight="false" outlineLevel="0" collapsed="false">
      <c r="A453" s="49"/>
      <c r="B453" s="50"/>
      <c r="C453" s="49"/>
      <c r="D453" s="51" t="str">
        <f aca="false">IF(C453="","",IFERROR(INDEX('شجرة الحسابات'!$B$9:$B$208,MATCH(C453,'شجرة الحسابات'!$A$9:$A$208,0)),"⚠ حساب غير معرف"))</f>
        <v/>
      </c>
      <c r="E453" s="52"/>
      <c r="F453" s="52"/>
      <c r="G453" s="53"/>
      <c r="H453" s="53"/>
      <c r="I453" s="54" t="str">
        <f aca="false">IF(A453="",IF(M453="فارغ","","✖ بدون رقم قيد"),IF(COUNTIFS('قيود اليومية'!$A$11:$A$1010,A453,'قيود اليومية'!$M$11:$M$1010,"&lt;&gt;OK",'قيود اليومية'!$M$11:$M$1010,"&lt;&gt;فارغ")&gt;0,"✖ خطأ بالحساب",IF(ROUND(SUMIFS('قيود اليومية'!$G$11:$G$1010,'قيود اليومية'!$A$11:$A$1010,A453)-SUMIFS('قيود اليومية'!$H$11:$H$1010,'قيود اليومية'!$A$11:$A$1010,A453),2)&lt;&gt;0,"✖ غير متوازن","مرحل ✔")))</f>
        <v/>
      </c>
      <c r="J453" s="55" t="str">
        <f aca="false">IF(C453="","",IFERROR(INDEX('شجرة الحسابات'!$E$9:$E$208,MATCH(C453,'شجرة الحسابات'!$A$9:$A$208,0))&amp;"",""))</f>
        <v/>
      </c>
      <c r="K453" s="55" t="str">
        <f aca="false">IF(C453="","",IFERROR(INDEX('شجرة الحسابات'!$I$9:$I$208,MATCH(C453,'شجرة الحسابات'!$A$9:$A$208,0))&amp;"",""))</f>
        <v/>
      </c>
      <c r="L453" s="55" t="str">
        <f aca="false">IF(C453="","",IFERROR(INDEX('شجرة الحسابات'!$C$9:$C$208,MATCH(C453,'شجرة الحسابات'!$A$9:$A$208,0))&amp;"",""))</f>
        <v/>
      </c>
      <c r="M453" s="55" t="str">
        <f aca="false">IF(AND(C453="",G453="",H453=""),"فارغ",IF(ISNA(MATCH(C453,'شجرة الحسابات'!$A$9:$A$208,0)),"حساب غير معرف",IF(L453&lt;&gt;"تحليلي","حساب تجميعي",IF(AND(N(G453)&gt;0,N(H453)&gt;0),"مدين ودائن معاً",IF(N(G453)+N(H453)=0,"بدون قيمة","OK")))))</f>
        <v>فارغ</v>
      </c>
      <c r="N453" s="55" t="str">
        <f aca="false">IF(AND(E453&lt;&gt;"",E453='كشف حساب مشروع'!$C$6,I453="مرحل ✔"),COUNTIFS($E$11:E453,'كشف حساب مشروع'!$C$6,$I$11:I453,"مرحل ✔"),"")</f>
        <v/>
      </c>
      <c r="O453" s="55" t="str">
        <f aca="false">IF(AND(C453&lt;&gt;"",C453='دفتر الأستاذ'!$C$6,I453="مرحل ✔"),COUNTIFS($C$11:C453,'دفتر الأستاذ'!$C$6,$I$11:I453,"مرحل ✔"),"")</f>
        <v/>
      </c>
    </row>
    <row r="454" customFormat="false" ht="15" hidden="false" customHeight="false" outlineLevel="0" collapsed="false">
      <c r="A454" s="49"/>
      <c r="B454" s="50"/>
      <c r="C454" s="49"/>
      <c r="D454" s="51" t="str">
        <f aca="false">IF(C454="","",IFERROR(INDEX('شجرة الحسابات'!$B$9:$B$208,MATCH(C454,'شجرة الحسابات'!$A$9:$A$208,0)),"⚠ حساب غير معرف"))</f>
        <v/>
      </c>
      <c r="E454" s="52"/>
      <c r="F454" s="52"/>
      <c r="G454" s="53"/>
      <c r="H454" s="53"/>
      <c r="I454" s="54" t="str">
        <f aca="false">IF(A454="",IF(M454="فارغ","","✖ بدون رقم قيد"),IF(COUNTIFS('قيود اليومية'!$A$11:$A$1010,A454,'قيود اليومية'!$M$11:$M$1010,"&lt;&gt;OK",'قيود اليومية'!$M$11:$M$1010,"&lt;&gt;فارغ")&gt;0,"✖ خطأ بالحساب",IF(ROUND(SUMIFS('قيود اليومية'!$G$11:$G$1010,'قيود اليومية'!$A$11:$A$1010,A454)-SUMIFS('قيود اليومية'!$H$11:$H$1010,'قيود اليومية'!$A$11:$A$1010,A454),2)&lt;&gt;0,"✖ غير متوازن","مرحل ✔")))</f>
        <v/>
      </c>
      <c r="J454" s="55" t="str">
        <f aca="false">IF(C454="","",IFERROR(INDEX('شجرة الحسابات'!$E$9:$E$208,MATCH(C454,'شجرة الحسابات'!$A$9:$A$208,0))&amp;"",""))</f>
        <v/>
      </c>
      <c r="K454" s="55" t="str">
        <f aca="false">IF(C454="","",IFERROR(INDEX('شجرة الحسابات'!$I$9:$I$208,MATCH(C454,'شجرة الحسابات'!$A$9:$A$208,0))&amp;"",""))</f>
        <v/>
      </c>
      <c r="L454" s="55" t="str">
        <f aca="false">IF(C454="","",IFERROR(INDEX('شجرة الحسابات'!$C$9:$C$208,MATCH(C454,'شجرة الحسابات'!$A$9:$A$208,0))&amp;"",""))</f>
        <v/>
      </c>
      <c r="M454" s="55" t="str">
        <f aca="false">IF(AND(C454="",G454="",H454=""),"فارغ",IF(ISNA(MATCH(C454,'شجرة الحسابات'!$A$9:$A$208,0)),"حساب غير معرف",IF(L454&lt;&gt;"تحليلي","حساب تجميعي",IF(AND(N(G454)&gt;0,N(H454)&gt;0),"مدين ودائن معاً",IF(N(G454)+N(H454)=0,"بدون قيمة","OK")))))</f>
        <v>فارغ</v>
      </c>
      <c r="N454" s="55" t="str">
        <f aca="false">IF(AND(E454&lt;&gt;"",E454='كشف حساب مشروع'!$C$6,I454="مرحل ✔"),COUNTIFS($E$11:E454,'كشف حساب مشروع'!$C$6,$I$11:I454,"مرحل ✔"),"")</f>
        <v/>
      </c>
      <c r="O454" s="55" t="str">
        <f aca="false">IF(AND(C454&lt;&gt;"",C454='دفتر الأستاذ'!$C$6,I454="مرحل ✔"),COUNTIFS($C$11:C454,'دفتر الأستاذ'!$C$6,$I$11:I454,"مرحل ✔"),"")</f>
        <v/>
      </c>
    </row>
    <row r="455" customFormat="false" ht="15" hidden="false" customHeight="false" outlineLevel="0" collapsed="false">
      <c r="A455" s="49"/>
      <c r="B455" s="50"/>
      <c r="C455" s="49"/>
      <c r="D455" s="51" t="str">
        <f aca="false">IF(C455="","",IFERROR(INDEX('شجرة الحسابات'!$B$9:$B$208,MATCH(C455,'شجرة الحسابات'!$A$9:$A$208,0)),"⚠ حساب غير معرف"))</f>
        <v/>
      </c>
      <c r="E455" s="52"/>
      <c r="F455" s="52"/>
      <c r="G455" s="53"/>
      <c r="H455" s="53"/>
      <c r="I455" s="54" t="str">
        <f aca="false">IF(A455="",IF(M455="فارغ","","✖ بدون رقم قيد"),IF(COUNTIFS('قيود اليومية'!$A$11:$A$1010,A455,'قيود اليومية'!$M$11:$M$1010,"&lt;&gt;OK",'قيود اليومية'!$M$11:$M$1010,"&lt;&gt;فارغ")&gt;0,"✖ خطأ بالحساب",IF(ROUND(SUMIFS('قيود اليومية'!$G$11:$G$1010,'قيود اليومية'!$A$11:$A$1010,A455)-SUMIFS('قيود اليومية'!$H$11:$H$1010,'قيود اليومية'!$A$11:$A$1010,A455),2)&lt;&gt;0,"✖ غير متوازن","مرحل ✔")))</f>
        <v/>
      </c>
      <c r="J455" s="55" t="str">
        <f aca="false">IF(C455="","",IFERROR(INDEX('شجرة الحسابات'!$E$9:$E$208,MATCH(C455,'شجرة الحسابات'!$A$9:$A$208,0))&amp;"",""))</f>
        <v/>
      </c>
      <c r="K455" s="55" t="str">
        <f aca="false">IF(C455="","",IFERROR(INDEX('شجرة الحسابات'!$I$9:$I$208,MATCH(C455,'شجرة الحسابات'!$A$9:$A$208,0))&amp;"",""))</f>
        <v/>
      </c>
      <c r="L455" s="55" t="str">
        <f aca="false">IF(C455="","",IFERROR(INDEX('شجرة الحسابات'!$C$9:$C$208,MATCH(C455,'شجرة الحسابات'!$A$9:$A$208,0))&amp;"",""))</f>
        <v/>
      </c>
      <c r="M455" s="55" t="str">
        <f aca="false">IF(AND(C455="",G455="",H455=""),"فارغ",IF(ISNA(MATCH(C455,'شجرة الحسابات'!$A$9:$A$208,0)),"حساب غير معرف",IF(L455&lt;&gt;"تحليلي","حساب تجميعي",IF(AND(N(G455)&gt;0,N(H455)&gt;0),"مدين ودائن معاً",IF(N(G455)+N(H455)=0,"بدون قيمة","OK")))))</f>
        <v>فارغ</v>
      </c>
      <c r="N455" s="55" t="str">
        <f aca="false">IF(AND(E455&lt;&gt;"",E455='كشف حساب مشروع'!$C$6,I455="مرحل ✔"),COUNTIFS($E$11:E455,'كشف حساب مشروع'!$C$6,$I$11:I455,"مرحل ✔"),"")</f>
        <v/>
      </c>
      <c r="O455" s="55" t="str">
        <f aca="false">IF(AND(C455&lt;&gt;"",C455='دفتر الأستاذ'!$C$6,I455="مرحل ✔"),COUNTIFS($C$11:C455,'دفتر الأستاذ'!$C$6,$I$11:I455,"مرحل ✔"),"")</f>
        <v/>
      </c>
    </row>
    <row r="456" customFormat="false" ht="15" hidden="false" customHeight="false" outlineLevel="0" collapsed="false">
      <c r="A456" s="49"/>
      <c r="B456" s="50"/>
      <c r="C456" s="49"/>
      <c r="D456" s="51" t="str">
        <f aca="false">IF(C456="","",IFERROR(INDEX('شجرة الحسابات'!$B$9:$B$208,MATCH(C456,'شجرة الحسابات'!$A$9:$A$208,0)),"⚠ حساب غير معرف"))</f>
        <v/>
      </c>
      <c r="E456" s="52"/>
      <c r="F456" s="52"/>
      <c r="G456" s="53"/>
      <c r="H456" s="53"/>
      <c r="I456" s="54" t="str">
        <f aca="false">IF(A456="",IF(M456="فارغ","","✖ بدون رقم قيد"),IF(COUNTIFS('قيود اليومية'!$A$11:$A$1010,A456,'قيود اليومية'!$M$11:$M$1010,"&lt;&gt;OK",'قيود اليومية'!$M$11:$M$1010,"&lt;&gt;فارغ")&gt;0,"✖ خطأ بالحساب",IF(ROUND(SUMIFS('قيود اليومية'!$G$11:$G$1010,'قيود اليومية'!$A$11:$A$1010,A456)-SUMIFS('قيود اليومية'!$H$11:$H$1010,'قيود اليومية'!$A$11:$A$1010,A456),2)&lt;&gt;0,"✖ غير متوازن","مرحل ✔")))</f>
        <v/>
      </c>
      <c r="J456" s="55" t="str">
        <f aca="false">IF(C456="","",IFERROR(INDEX('شجرة الحسابات'!$E$9:$E$208,MATCH(C456,'شجرة الحسابات'!$A$9:$A$208,0))&amp;"",""))</f>
        <v/>
      </c>
      <c r="K456" s="55" t="str">
        <f aca="false">IF(C456="","",IFERROR(INDEX('شجرة الحسابات'!$I$9:$I$208,MATCH(C456,'شجرة الحسابات'!$A$9:$A$208,0))&amp;"",""))</f>
        <v/>
      </c>
      <c r="L456" s="55" t="str">
        <f aca="false">IF(C456="","",IFERROR(INDEX('شجرة الحسابات'!$C$9:$C$208,MATCH(C456,'شجرة الحسابات'!$A$9:$A$208,0))&amp;"",""))</f>
        <v/>
      </c>
      <c r="M456" s="55" t="str">
        <f aca="false">IF(AND(C456="",G456="",H456=""),"فارغ",IF(ISNA(MATCH(C456,'شجرة الحسابات'!$A$9:$A$208,0)),"حساب غير معرف",IF(L456&lt;&gt;"تحليلي","حساب تجميعي",IF(AND(N(G456)&gt;0,N(H456)&gt;0),"مدين ودائن معاً",IF(N(G456)+N(H456)=0,"بدون قيمة","OK")))))</f>
        <v>فارغ</v>
      </c>
      <c r="N456" s="55" t="str">
        <f aca="false">IF(AND(E456&lt;&gt;"",E456='كشف حساب مشروع'!$C$6,I456="مرحل ✔"),COUNTIFS($E$11:E456,'كشف حساب مشروع'!$C$6,$I$11:I456,"مرحل ✔"),"")</f>
        <v/>
      </c>
      <c r="O456" s="55" t="str">
        <f aca="false">IF(AND(C456&lt;&gt;"",C456='دفتر الأستاذ'!$C$6,I456="مرحل ✔"),COUNTIFS($C$11:C456,'دفتر الأستاذ'!$C$6,$I$11:I456,"مرحل ✔"),"")</f>
        <v/>
      </c>
    </row>
    <row r="457" customFormat="false" ht="15" hidden="false" customHeight="false" outlineLevel="0" collapsed="false">
      <c r="A457" s="49"/>
      <c r="B457" s="50"/>
      <c r="C457" s="49"/>
      <c r="D457" s="51" t="str">
        <f aca="false">IF(C457="","",IFERROR(INDEX('شجرة الحسابات'!$B$9:$B$208,MATCH(C457,'شجرة الحسابات'!$A$9:$A$208,0)),"⚠ حساب غير معرف"))</f>
        <v/>
      </c>
      <c r="E457" s="52"/>
      <c r="F457" s="52"/>
      <c r="G457" s="53"/>
      <c r="H457" s="53"/>
      <c r="I457" s="54" t="str">
        <f aca="false">IF(A457="",IF(M457="فارغ","","✖ بدون رقم قيد"),IF(COUNTIFS('قيود اليومية'!$A$11:$A$1010,A457,'قيود اليومية'!$M$11:$M$1010,"&lt;&gt;OK",'قيود اليومية'!$M$11:$M$1010,"&lt;&gt;فارغ")&gt;0,"✖ خطأ بالحساب",IF(ROUND(SUMIFS('قيود اليومية'!$G$11:$G$1010,'قيود اليومية'!$A$11:$A$1010,A457)-SUMIFS('قيود اليومية'!$H$11:$H$1010,'قيود اليومية'!$A$11:$A$1010,A457),2)&lt;&gt;0,"✖ غير متوازن","مرحل ✔")))</f>
        <v/>
      </c>
      <c r="J457" s="55" t="str">
        <f aca="false">IF(C457="","",IFERROR(INDEX('شجرة الحسابات'!$E$9:$E$208,MATCH(C457,'شجرة الحسابات'!$A$9:$A$208,0))&amp;"",""))</f>
        <v/>
      </c>
      <c r="K457" s="55" t="str">
        <f aca="false">IF(C457="","",IFERROR(INDEX('شجرة الحسابات'!$I$9:$I$208,MATCH(C457,'شجرة الحسابات'!$A$9:$A$208,0))&amp;"",""))</f>
        <v/>
      </c>
      <c r="L457" s="55" t="str">
        <f aca="false">IF(C457="","",IFERROR(INDEX('شجرة الحسابات'!$C$9:$C$208,MATCH(C457,'شجرة الحسابات'!$A$9:$A$208,0))&amp;"",""))</f>
        <v/>
      </c>
      <c r="M457" s="55" t="str">
        <f aca="false">IF(AND(C457="",G457="",H457=""),"فارغ",IF(ISNA(MATCH(C457,'شجرة الحسابات'!$A$9:$A$208,0)),"حساب غير معرف",IF(L457&lt;&gt;"تحليلي","حساب تجميعي",IF(AND(N(G457)&gt;0,N(H457)&gt;0),"مدين ودائن معاً",IF(N(G457)+N(H457)=0,"بدون قيمة","OK")))))</f>
        <v>فارغ</v>
      </c>
      <c r="N457" s="55" t="str">
        <f aca="false">IF(AND(E457&lt;&gt;"",E457='كشف حساب مشروع'!$C$6,I457="مرحل ✔"),COUNTIFS($E$11:E457,'كشف حساب مشروع'!$C$6,$I$11:I457,"مرحل ✔"),"")</f>
        <v/>
      </c>
      <c r="O457" s="55" t="str">
        <f aca="false">IF(AND(C457&lt;&gt;"",C457='دفتر الأستاذ'!$C$6,I457="مرحل ✔"),COUNTIFS($C$11:C457,'دفتر الأستاذ'!$C$6,$I$11:I457,"مرحل ✔"),"")</f>
        <v/>
      </c>
    </row>
    <row r="458" customFormat="false" ht="15" hidden="false" customHeight="false" outlineLevel="0" collapsed="false">
      <c r="A458" s="49"/>
      <c r="B458" s="50"/>
      <c r="C458" s="49"/>
      <c r="D458" s="51" t="str">
        <f aca="false">IF(C458="","",IFERROR(INDEX('شجرة الحسابات'!$B$9:$B$208,MATCH(C458,'شجرة الحسابات'!$A$9:$A$208,0)),"⚠ حساب غير معرف"))</f>
        <v/>
      </c>
      <c r="E458" s="52"/>
      <c r="F458" s="52"/>
      <c r="G458" s="53"/>
      <c r="H458" s="53"/>
      <c r="I458" s="54" t="str">
        <f aca="false">IF(A458="",IF(M458="فارغ","","✖ بدون رقم قيد"),IF(COUNTIFS('قيود اليومية'!$A$11:$A$1010,A458,'قيود اليومية'!$M$11:$M$1010,"&lt;&gt;OK",'قيود اليومية'!$M$11:$M$1010,"&lt;&gt;فارغ")&gt;0,"✖ خطأ بالحساب",IF(ROUND(SUMIFS('قيود اليومية'!$G$11:$G$1010,'قيود اليومية'!$A$11:$A$1010,A458)-SUMIFS('قيود اليومية'!$H$11:$H$1010,'قيود اليومية'!$A$11:$A$1010,A458),2)&lt;&gt;0,"✖ غير متوازن","مرحل ✔")))</f>
        <v/>
      </c>
      <c r="J458" s="55" t="str">
        <f aca="false">IF(C458="","",IFERROR(INDEX('شجرة الحسابات'!$E$9:$E$208,MATCH(C458,'شجرة الحسابات'!$A$9:$A$208,0))&amp;"",""))</f>
        <v/>
      </c>
      <c r="K458" s="55" t="str">
        <f aca="false">IF(C458="","",IFERROR(INDEX('شجرة الحسابات'!$I$9:$I$208,MATCH(C458,'شجرة الحسابات'!$A$9:$A$208,0))&amp;"",""))</f>
        <v/>
      </c>
      <c r="L458" s="55" t="str">
        <f aca="false">IF(C458="","",IFERROR(INDEX('شجرة الحسابات'!$C$9:$C$208,MATCH(C458,'شجرة الحسابات'!$A$9:$A$208,0))&amp;"",""))</f>
        <v/>
      </c>
      <c r="M458" s="55" t="str">
        <f aca="false">IF(AND(C458="",G458="",H458=""),"فارغ",IF(ISNA(MATCH(C458,'شجرة الحسابات'!$A$9:$A$208,0)),"حساب غير معرف",IF(L458&lt;&gt;"تحليلي","حساب تجميعي",IF(AND(N(G458)&gt;0,N(H458)&gt;0),"مدين ودائن معاً",IF(N(G458)+N(H458)=0,"بدون قيمة","OK")))))</f>
        <v>فارغ</v>
      </c>
      <c r="N458" s="55" t="str">
        <f aca="false">IF(AND(E458&lt;&gt;"",E458='كشف حساب مشروع'!$C$6,I458="مرحل ✔"),COUNTIFS($E$11:E458,'كشف حساب مشروع'!$C$6,$I$11:I458,"مرحل ✔"),"")</f>
        <v/>
      </c>
      <c r="O458" s="55" t="str">
        <f aca="false">IF(AND(C458&lt;&gt;"",C458='دفتر الأستاذ'!$C$6,I458="مرحل ✔"),COUNTIFS($C$11:C458,'دفتر الأستاذ'!$C$6,$I$11:I458,"مرحل ✔"),"")</f>
        <v/>
      </c>
    </row>
    <row r="459" customFormat="false" ht="15" hidden="false" customHeight="false" outlineLevel="0" collapsed="false">
      <c r="A459" s="49"/>
      <c r="B459" s="50"/>
      <c r="C459" s="49"/>
      <c r="D459" s="51" t="str">
        <f aca="false">IF(C459="","",IFERROR(INDEX('شجرة الحسابات'!$B$9:$B$208,MATCH(C459,'شجرة الحسابات'!$A$9:$A$208,0)),"⚠ حساب غير معرف"))</f>
        <v/>
      </c>
      <c r="E459" s="52"/>
      <c r="F459" s="52"/>
      <c r="G459" s="53"/>
      <c r="H459" s="53"/>
      <c r="I459" s="54" t="str">
        <f aca="false">IF(A459="",IF(M459="فارغ","","✖ بدون رقم قيد"),IF(COUNTIFS('قيود اليومية'!$A$11:$A$1010,A459,'قيود اليومية'!$M$11:$M$1010,"&lt;&gt;OK",'قيود اليومية'!$M$11:$M$1010,"&lt;&gt;فارغ")&gt;0,"✖ خطأ بالحساب",IF(ROUND(SUMIFS('قيود اليومية'!$G$11:$G$1010,'قيود اليومية'!$A$11:$A$1010,A459)-SUMIFS('قيود اليومية'!$H$11:$H$1010,'قيود اليومية'!$A$11:$A$1010,A459),2)&lt;&gt;0,"✖ غير متوازن","مرحل ✔")))</f>
        <v/>
      </c>
      <c r="J459" s="55" t="str">
        <f aca="false">IF(C459="","",IFERROR(INDEX('شجرة الحسابات'!$E$9:$E$208,MATCH(C459,'شجرة الحسابات'!$A$9:$A$208,0))&amp;"",""))</f>
        <v/>
      </c>
      <c r="K459" s="55" t="str">
        <f aca="false">IF(C459="","",IFERROR(INDEX('شجرة الحسابات'!$I$9:$I$208,MATCH(C459,'شجرة الحسابات'!$A$9:$A$208,0))&amp;"",""))</f>
        <v/>
      </c>
      <c r="L459" s="55" t="str">
        <f aca="false">IF(C459="","",IFERROR(INDEX('شجرة الحسابات'!$C$9:$C$208,MATCH(C459,'شجرة الحسابات'!$A$9:$A$208,0))&amp;"",""))</f>
        <v/>
      </c>
      <c r="M459" s="55" t="str">
        <f aca="false">IF(AND(C459="",G459="",H459=""),"فارغ",IF(ISNA(MATCH(C459,'شجرة الحسابات'!$A$9:$A$208,0)),"حساب غير معرف",IF(L459&lt;&gt;"تحليلي","حساب تجميعي",IF(AND(N(G459)&gt;0,N(H459)&gt;0),"مدين ودائن معاً",IF(N(G459)+N(H459)=0,"بدون قيمة","OK")))))</f>
        <v>فارغ</v>
      </c>
      <c r="N459" s="55" t="str">
        <f aca="false">IF(AND(E459&lt;&gt;"",E459='كشف حساب مشروع'!$C$6,I459="مرحل ✔"),COUNTIFS($E$11:E459,'كشف حساب مشروع'!$C$6,$I$11:I459,"مرحل ✔"),"")</f>
        <v/>
      </c>
      <c r="O459" s="55" t="str">
        <f aca="false">IF(AND(C459&lt;&gt;"",C459='دفتر الأستاذ'!$C$6,I459="مرحل ✔"),COUNTIFS($C$11:C459,'دفتر الأستاذ'!$C$6,$I$11:I459,"مرحل ✔"),"")</f>
        <v/>
      </c>
    </row>
    <row r="460" customFormat="false" ht="15" hidden="false" customHeight="false" outlineLevel="0" collapsed="false">
      <c r="A460" s="49"/>
      <c r="B460" s="50"/>
      <c r="C460" s="49"/>
      <c r="D460" s="51" t="str">
        <f aca="false">IF(C460="","",IFERROR(INDEX('شجرة الحسابات'!$B$9:$B$208,MATCH(C460,'شجرة الحسابات'!$A$9:$A$208,0)),"⚠ حساب غير معرف"))</f>
        <v/>
      </c>
      <c r="E460" s="52"/>
      <c r="F460" s="52"/>
      <c r="G460" s="53"/>
      <c r="H460" s="53"/>
      <c r="I460" s="54" t="str">
        <f aca="false">IF(A460="",IF(M460="فارغ","","✖ بدون رقم قيد"),IF(COUNTIFS('قيود اليومية'!$A$11:$A$1010,A460,'قيود اليومية'!$M$11:$M$1010,"&lt;&gt;OK",'قيود اليومية'!$M$11:$M$1010,"&lt;&gt;فارغ")&gt;0,"✖ خطأ بالحساب",IF(ROUND(SUMIFS('قيود اليومية'!$G$11:$G$1010,'قيود اليومية'!$A$11:$A$1010,A460)-SUMIFS('قيود اليومية'!$H$11:$H$1010,'قيود اليومية'!$A$11:$A$1010,A460),2)&lt;&gt;0,"✖ غير متوازن","مرحل ✔")))</f>
        <v/>
      </c>
      <c r="J460" s="55" t="str">
        <f aca="false">IF(C460="","",IFERROR(INDEX('شجرة الحسابات'!$E$9:$E$208,MATCH(C460,'شجرة الحسابات'!$A$9:$A$208,0))&amp;"",""))</f>
        <v/>
      </c>
      <c r="K460" s="55" t="str">
        <f aca="false">IF(C460="","",IFERROR(INDEX('شجرة الحسابات'!$I$9:$I$208,MATCH(C460,'شجرة الحسابات'!$A$9:$A$208,0))&amp;"",""))</f>
        <v/>
      </c>
      <c r="L460" s="55" t="str">
        <f aca="false">IF(C460="","",IFERROR(INDEX('شجرة الحسابات'!$C$9:$C$208,MATCH(C460,'شجرة الحسابات'!$A$9:$A$208,0))&amp;"",""))</f>
        <v/>
      </c>
      <c r="M460" s="55" t="str">
        <f aca="false">IF(AND(C460="",G460="",H460=""),"فارغ",IF(ISNA(MATCH(C460,'شجرة الحسابات'!$A$9:$A$208,0)),"حساب غير معرف",IF(L460&lt;&gt;"تحليلي","حساب تجميعي",IF(AND(N(G460)&gt;0,N(H460)&gt;0),"مدين ودائن معاً",IF(N(G460)+N(H460)=0,"بدون قيمة","OK")))))</f>
        <v>فارغ</v>
      </c>
      <c r="N460" s="55" t="str">
        <f aca="false">IF(AND(E460&lt;&gt;"",E460='كشف حساب مشروع'!$C$6,I460="مرحل ✔"),COUNTIFS($E$11:E460,'كشف حساب مشروع'!$C$6,$I$11:I460,"مرحل ✔"),"")</f>
        <v/>
      </c>
      <c r="O460" s="55" t="str">
        <f aca="false">IF(AND(C460&lt;&gt;"",C460='دفتر الأستاذ'!$C$6,I460="مرحل ✔"),COUNTIFS($C$11:C460,'دفتر الأستاذ'!$C$6,$I$11:I460,"مرحل ✔"),"")</f>
        <v/>
      </c>
    </row>
    <row r="461" customFormat="false" ht="15" hidden="false" customHeight="false" outlineLevel="0" collapsed="false">
      <c r="A461" s="49"/>
      <c r="B461" s="50"/>
      <c r="C461" s="49"/>
      <c r="D461" s="51" t="str">
        <f aca="false">IF(C461="","",IFERROR(INDEX('شجرة الحسابات'!$B$9:$B$208,MATCH(C461,'شجرة الحسابات'!$A$9:$A$208,0)),"⚠ حساب غير معرف"))</f>
        <v/>
      </c>
      <c r="E461" s="52"/>
      <c r="F461" s="52"/>
      <c r="G461" s="53"/>
      <c r="H461" s="53"/>
      <c r="I461" s="54" t="str">
        <f aca="false">IF(A461="",IF(M461="فارغ","","✖ بدون رقم قيد"),IF(COUNTIFS('قيود اليومية'!$A$11:$A$1010,A461,'قيود اليومية'!$M$11:$M$1010,"&lt;&gt;OK",'قيود اليومية'!$M$11:$M$1010,"&lt;&gt;فارغ")&gt;0,"✖ خطأ بالحساب",IF(ROUND(SUMIFS('قيود اليومية'!$G$11:$G$1010,'قيود اليومية'!$A$11:$A$1010,A461)-SUMIFS('قيود اليومية'!$H$11:$H$1010,'قيود اليومية'!$A$11:$A$1010,A461),2)&lt;&gt;0,"✖ غير متوازن","مرحل ✔")))</f>
        <v/>
      </c>
      <c r="J461" s="55" t="str">
        <f aca="false">IF(C461="","",IFERROR(INDEX('شجرة الحسابات'!$E$9:$E$208,MATCH(C461,'شجرة الحسابات'!$A$9:$A$208,0))&amp;"",""))</f>
        <v/>
      </c>
      <c r="K461" s="55" t="str">
        <f aca="false">IF(C461="","",IFERROR(INDEX('شجرة الحسابات'!$I$9:$I$208,MATCH(C461,'شجرة الحسابات'!$A$9:$A$208,0))&amp;"",""))</f>
        <v/>
      </c>
      <c r="L461" s="55" t="str">
        <f aca="false">IF(C461="","",IFERROR(INDEX('شجرة الحسابات'!$C$9:$C$208,MATCH(C461,'شجرة الحسابات'!$A$9:$A$208,0))&amp;"",""))</f>
        <v/>
      </c>
      <c r="M461" s="55" t="str">
        <f aca="false">IF(AND(C461="",G461="",H461=""),"فارغ",IF(ISNA(MATCH(C461,'شجرة الحسابات'!$A$9:$A$208,0)),"حساب غير معرف",IF(L461&lt;&gt;"تحليلي","حساب تجميعي",IF(AND(N(G461)&gt;0,N(H461)&gt;0),"مدين ودائن معاً",IF(N(G461)+N(H461)=0,"بدون قيمة","OK")))))</f>
        <v>فارغ</v>
      </c>
      <c r="N461" s="55" t="str">
        <f aca="false">IF(AND(E461&lt;&gt;"",E461='كشف حساب مشروع'!$C$6,I461="مرحل ✔"),COUNTIFS($E$11:E461,'كشف حساب مشروع'!$C$6,$I$11:I461,"مرحل ✔"),"")</f>
        <v/>
      </c>
      <c r="O461" s="55" t="str">
        <f aca="false">IF(AND(C461&lt;&gt;"",C461='دفتر الأستاذ'!$C$6,I461="مرحل ✔"),COUNTIFS($C$11:C461,'دفتر الأستاذ'!$C$6,$I$11:I461,"مرحل ✔"),"")</f>
        <v/>
      </c>
    </row>
    <row r="462" customFormat="false" ht="15" hidden="false" customHeight="false" outlineLevel="0" collapsed="false">
      <c r="A462" s="49"/>
      <c r="B462" s="50"/>
      <c r="C462" s="49"/>
      <c r="D462" s="51" t="str">
        <f aca="false">IF(C462="","",IFERROR(INDEX('شجرة الحسابات'!$B$9:$B$208,MATCH(C462,'شجرة الحسابات'!$A$9:$A$208,0)),"⚠ حساب غير معرف"))</f>
        <v/>
      </c>
      <c r="E462" s="52"/>
      <c r="F462" s="52"/>
      <c r="G462" s="53"/>
      <c r="H462" s="53"/>
      <c r="I462" s="54" t="str">
        <f aca="false">IF(A462="",IF(M462="فارغ","","✖ بدون رقم قيد"),IF(COUNTIFS('قيود اليومية'!$A$11:$A$1010,A462,'قيود اليومية'!$M$11:$M$1010,"&lt;&gt;OK",'قيود اليومية'!$M$11:$M$1010,"&lt;&gt;فارغ")&gt;0,"✖ خطأ بالحساب",IF(ROUND(SUMIFS('قيود اليومية'!$G$11:$G$1010,'قيود اليومية'!$A$11:$A$1010,A462)-SUMIFS('قيود اليومية'!$H$11:$H$1010,'قيود اليومية'!$A$11:$A$1010,A462),2)&lt;&gt;0,"✖ غير متوازن","مرحل ✔")))</f>
        <v/>
      </c>
      <c r="J462" s="55" t="str">
        <f aca="false">IF(C462="","",IFERROR(INDEX('شجرة الحسابات'!$E$9:$E$208,MATCH(C462,'شجرة الحسابات'!$A$9:$A$208,0))&amp;"",""))</f>
        <v/>
      </c>
      <c r="K462" s="55" t="str">
        <f aca="false">IF(C462="","",IFERROR(INDEX('شجرة الحسابات'!$I$9:$I$208,MATCH(C462,'شجرة الحسابات'!$A$9:$A$208,0))&amp;"",""))</f>
        <v/>
      </c>
      <c r="L462" s="55" t="str">
        <f aca="false">IF(C462="","",IFERROR(INDEX('شجرة الحسابات'!$C$9:$C$208,MATCH(C462,'شجرة الحسابات'!$A$9:$A$208,0))&amp;"",""))</f>
        <v/>
      </c>
      <c r="M462" s="55" t="str">
        <f aca="false">IF(AND(C462="",G462="",H462=""),"فارغ",IF(ISNA(MATCH(C462,'شجرة الحسابات'!$A$9:$A$208,0)),"حساب غير معرف",IF(L462&lt;&gt;"تحليلي","حساب تجميعي",IF(AND(N(G462)&gt;0,N(H462)&gt;0),"مدين ودائن معاً",IF(N(G462)+N(H462)=0,"بدون قيمة","OK")))))</f>
        <v>فارغ</v>
      </c>
      <c r="N462" s="55" t="str">
        <f aca="false">IF(AND(E462&lt;&gt;"",E462='كشف حساب مشروع'!$C$6,I462="مرحل ✔"),COUNTIFS($E$11:E462,'كشف حساب مشروع'!$C$6,$I$11:I462,"مرحل ✔"),"")</f>
        <v/>
      </c>
      <c r="O462" s="55" t="str">
        <f aca="false">IF(AND(C462&lt;&gt;"",C462='دفتر الأستاذ'!$C$6,I462="مرحل ✔"),COUNTIFS($C$11:C462,'دفتر الأستاذ'!$C$6,$I$11:I462,"مرحل ✔"),"")</f>
        <v/>
      </c>
    </row>
    <row r="463" customFormat="false" ht="15" hidden="false" customHeight="false" outlineLevel="0" collapsed="false">
      <c r="A463" s="49"/>
      <c r="B463" s="50"/>
      <c r="C463" s="49"/>
      <c r="D463" s="51" t="str">
        <f aca="false">IF(C463="","",IFERROR(INDEX('شجرة الحسابات'!$B$9:$B$208,MATCH(C463,'شجرة الحسابات'!$A$9:$A$208,0)),"⚠ حساب غير معرف"))</f>
        <v/>
      </c>
      <c r="E463" s="52"/>
      <c r="F463" s="52"/>
      <c r="G463" s="53"/>
      <c r="H463" s="53"/>
      <c r="I463" s="54" t="str">
        <f aca="false">IF(A463="",IF(M463="فارغ","","✖ بدون رقم قيد"),IF(COUNTIFS('قيود اليومية'!$A$11:$A$1010,A463,'قيود اليومية'!$M$11:$M$1010,"&lt;&gt;OK",'قيود اليومية'!$M$11:$M$1010,"&lt;&gt;فارغ")&gt;0,"✖ خطأ بالحساب",IF(ROUND(SUMIFS('قيود اليومية'!$G$11:$G$1010,'قيود اليومية'!$A$11:$A$1010,A463)-SUMIFS('قيود اليومية'!$H$11:$H$1010,'قيود اليومية'!$A$11:$A$1010,A463),2)&lt;&gt;0,"✖ غير متوازن","مرحل ✔")))</f>
        <v/>
      </c>
      <c r="J463" s="55" t="str">
        <f aca="false">IF(C463="","",IFERROR(INDEX('شجرة الحسابات'!$E$9:$E$208,MATCH(C463,'شجرة الحسابات'!$A$9:$A$208,0))&amp;"",""))</f>
        <v/>
      </c>
      <c r="K463" s="55" t="str">
        <f aca="false">IF(C463="","",IFERROR(INDEX('شجرة الحسابات'!$I$9:$I$208,MATCH(C463,'شجرة الحسابات'!$A$9:$A$208,0))&amp;"",""))</f>
        <v/>
      </c>
      <c r="L463" s="55" t="str">
        <f aca="false">IF(C463="","",IFERROR(INDEX('شجرة الحسابات'!$C$9:$C$208,MATCH(C463,'شجرة الحسابات'!$A$9:$A$208,0))&amp;"",""))</f>
        <v/>
      </c>
      <c r="M463" s="55" t="str">
        <f aca="false">IF(AND(C463="",G463="",H463=""),"فارغ",IF(ISNA(MATCH(C463,'شجرة الحسابات'!$A$9:$A$208,0)),"حساب غير معرف",IF(L463&lt;&gt;"تحليلي","حساب تجميعي",IF(AND(N(G463)&gt;0,N(H463)&gt;0),"مدين ودائن معاً",IF(N(G463)+N(H463)=0,"بدون قيمة","OK")))))</f>
        <v>فارغ</v>
      </c>
      <c r="N463" s="55" t="str">
        <f aca="false">IF(AND(E463&lt;&gt;"",E463='كشف حساب مشروع'!$C$6,I463="مرحل ✔"),COUNTIFS($E$11:E463,'كشف حساب مشروع'!$C$6,$I$11:I463,"مرحل ✔"),"")</f>
        <v/>
      </c>
      <c r="O463" s="55" t="str">
        <f aca="false">IF(AND(C463&lt;&gt;"",C463='دفتر الأستاذ'!$C$6,I463="مرحل ✔"),COUNTIFS($C$11:C463,'دفتر الأستاذ'!$C$6,$I$11:I463,"مرحل ✔"),"")</f>
        <v/>
      </c>
    </row>
    <row r="464" customFormat="false" ht="15" hidden="false" customHeight="false" outlineLevel="0" collapsed="false">
      <c r="A464" s="49"/>
      <c r="B464" s="50"/>
      <c r="C464" s="49"/>
      <c r="D464" s="51" t="str">
        <f aca="false">IF(C464="","",IFERROR(INDEX('شجرة الحسابات'!$B$9:$B$208,MATCH(C464,'شجرة الحسابات'!$A$9:$A$208,0)),"⚠ حساب غير معرف"))</f>
        <v/>
      </c>
      <c r="E464" s="52"/>
      <c r="F464" s="52"/>
      <c r="G464" s="53"/>
      <c r="H464" s="53"/>
      <c r="I464" s="54" t="str">
        <f aca="false">IF(A464="",IF(M464="فارغ","","✖ بدون رقم قيد"),IF(COUNTIFS('قيود اليومية'!$A$11:$A$1010,A464,'قيود اليومية'!$M$11:$M$1010,"&lt;&gt;OK",'قيود اليومية'!$M$11:$M$1010,"&lt;&gt;فارغ")&gt;0,"✖ خطأ بالحساب",IF(ROUND(SUMIFS('قيود اليومية'!$G$11:$G$1010,'قيود اليومية'!$A$11:$A$1010,A464)-SUMIFS('قيود اليومية'!$H$11:$H$1010,'قيود اليومية'!$A$11:$A$1010,A464),2)&lt;&gt;0,"✖ غير متوازن","مرحل ✔")))</f>
        <v/>
      </c>
      <c r="J464" s="55" t="str">
        <f aca="false">IF(C464="","",IFERROR(INDEX('شجرة الحسابات'!$E$9:$E$208,MATCH(C464,'شجرة الحسابات'!$A$9:$A$208,0))&amp;"",""))</f>
        <v/>
      </c>
      <c r="K464" s="55" t="str">
        <f aca="false">IF(C464="","",IFERROR(INDEX('شجرة الحسابات'!$I$9:$I$208,MATCH(C464,'شجرة الحسابات'!$A$9:$A$208,0))&amp;"",""))</f>
        <v/>
      </c>
      <c r="L464" s="55" t="str">
        <f aca="false">IF(C464="","",IFERROR(INDEX('شجرة الحسابات'!$C$9:$C$208,MATCH(C464,'شجرة الحسابات'!$A$9:$A$208,0))&amp;"",""))</f>
        <v/>
      </c>
      <c r="M464" s="55" t="str">
        <f aca="false">IF(AND(C464="",G464="",H464=""),"فارغ",IF(ISNA(MATCH(C464,'شجرة الحسابات'!$A$9:$A$208,0)),"حساب غير معرف",IF(L464&lt;&gt;"تحليلي","حساب تجميعي",IF(AND(N(G464)&gt;0,N(H464)&gt;0),"مدين ودائن معاً",IF(N(G464)+N(H464)=0,"بدون قيمة","OK")))))</f>
        <v>فارغ</v>
      </c>
      <c r="N464" s="55" t="str">
        <f aca="false">IF(AND(E464&lt;&gt;"",E464='كشف حساب مشروع'!$C$6,I464="مرحل ✔"),COUNTIFS($E$11:E464,'كشف حساب مشروع'!$C$6,$I$11:I464,"مرحل ✔"),"")</f>
        <v/>
      </c>
      <c r="O464" s="55" t="str">
        <f aca="false">IF(AND(C464&lt;&gt;"",C464='دفتر الأستاذ'!$C$6,I464="مرحل ✔"),COUNTIFS($C$11:C464,'دفتر الأستاذ'!$C$6,$I$11:I464,"مرحل ✔"),"")</f>
        <v/>
      </c>
    </row>
    <row r="465" customFormat="false" ht="15" hidden="false" customHeight="false" outlineLevel="0" collapsed="false">
      <c r="A465" s="49"/>
      <c r="B465" s="50"/>
      <c r="C465" s="49"/>
      <c r="D465" s="51" t="str">
        <f aca="false">IF(C465="","",IFERROR(INDEX('شجرة الحسابات'!$B$9:$B$208,MATCH(C465,'شجرة الحسابات'!$A$9:$A$208,0)),"⚠ حساب غير معرف"))</f>
        <v/>
      </c>
      <c r="E465" s="52"/>
      <c r="F465" s="52"/>
      <c r="G465" s="53"/>
      <c r="H465" s="53"/>
      <c r="I465" s="54" t="str">
        <f aca="false">IF(A465="",IF(M465="فارغ","","✖ بدون رقم قيد"),IF(COUNTIFS('قيود اليومية'!$A$11:$A$1010,A465,'قيود اليومية'!$M$11:$M$1010,"&lt;&gt;OK",'قيود اليومية'!$M$11:$M$1010,"&lt;&gt;فارغ")&gt;0,"✖ خطأ بالحساب",IF(ROUND(SUMIFS('قيود اليومية'!$G$11:$G$1010,'قيود اليومية'!$A$11:$A$1010,A465)-SUMIFS('قيود اليومية'!$H$11:$H$1010,'قيود اليومية'!$A$11:$A$1010,A465),2)&lt;&gt;0,"✖ غير متوازن","مرحل ✔")))</f>
        <v/>
      </c>
      <c r="J465" s="55" t="str">
        <f aca="false">IF(C465="","",IFERROR(INDEX('شجرة الحسابات'!$E$9:$E$208,MATCH(C465,'شجرة الحسابات'!$A$9:$A$208,0))&amp;"",""))</f>
        <v/>
      </c>
      <c r="K465" s="55" t="str">
        <f aca="false">IF(C465="","",IFERROR(INDEX('شجرة الحسابات'!$I$9:$I$208,MATCH(C465,'شجرة الحسابات'!$A$9:$A$208,0))&amp;"",""))</f>
        <v/>
      </c>
      <c r="L465" s="55" t="str">
        <f aca="false">IF(C465="","",IFERROR(INDEX('شجرة الحسابات'!$C$9:$C$208,MATCH(C465,'شجرة الحسابات'!$A$9:$A$208,0))&amp;"",""))</f>
        <v/>
      </c>
      <c r="M465" s="55" t="str">
        <f aca="false">IF(AND(C465="",G465="",H465=""),"فارغ",IF(ISNA(MATCH(C465,'شجرة الحسابات'!$A$9:$A$208,0)),"حساب غير معرف",IF(L465&lt;&gt;"تحليلي","حساب تجميعي",IF(AND(N(G465)&gt;0,N(H465)&gt;0),"مدين ودائن معاً",IF(N(G465)+N(H465)=0,"بدون قيمة","OK")))))</f>
        <v>فارغ</v>
      </c>
      <c r="N465" s="55" t="str">
        <f aca="false">IF(AND(E465&lt;&gt;"",E465='كشف حساب مشروع'!$C$6,I465="مرحل ✔"),COUNTIFS($E$11:E465,'كشف حساب مشروع'!$C$6,$I$11:I465,"مرحل ✔"),"")</f>
        <v/>
      </c>
      <c r="O465" s="55" t="str">
        <f aca="false">IF(AND(C465&lt;&gt;"",C465='دفتر الأستاذ'!$C$6,I465="مرحل ✔"),COUNTIFS($C$11:C465,'دفتر الأستاذ'!$C$6,$I$11:I465,"مرحل ✔"),"")</f>
        <v/>
      </c>
    </row>
    <row r="466" customFormat="false" ht="15" hidden="false" customHeight="false" outlineLevel="0" collapsed="false">
      <c r="A466" s="49"/>
      <c r="B466" s="50"/>
      <c r="C466" s="49"/>
      <c r="D466" s="51" t="str">
        <f aca="false">IF(C466="","",IFERROR(INDEX('شجرة الحسابات'!$B$9:$B$208,MATCH(C466,'شجرة الحسابات'!$A$9:$A$208,0)),"⚠ حساب غير معرف"))</f>
        <v/>
      </c>
      <c r="E466" s="52"/>
      <c r="F466" s="52"/>
      <c r="G466" s="53"/>
      <c r="H466" s="53"/>
      <c r="I466" s="54" t="str">
        <f aca="false">IF(A466="",IF(M466="فارغ","","✖ بدون رقم قيد"),IF(COUNTIFS('قيود اليومية'!$A$11:$A$1010,A466,'قيود اليومية'!$M$11:$M$1010,"&lt;&gt;OK",'قيود اليومية'!$M$11:$M$1010,"&lt;&gt;فارغ")&gt;0,"✖ خطأ بالحساب",IF(ROUND(SUMIFS('قيود اليومية'!$G$11:$G$1010,'قيود اليومية'!$A$11:$A$1010,A466)-SUMIFS('قيود اليومية'!$H$11:$H$1010,'قيود اليومية'!$A$11:$A$1010,A466),2)&lt;&gt;0,"✖ غير متوازن","مرحل ✔")))</f>
        <v/>
      </c>
      <c r="J466" s="55" t="str">
        <f aca="false">IF(C466="","",IFERROR(INDEX('شجرة الحسابات'!$E$9:$E$208,MATCH(C466,'شجرة الحسابات'!$A$9:$A$208,0))&amp;"",""))</f>
        <v/>
      </c>
      <c r="K466" s="55" t="str">
        <f aca="false">IF(C466="","",IFERROR(INDEX('شجرة الحسابات'!$I$9:$I$208,MATCH(C466,'شجرة الحسابات'!$A$9:$A$208,0))&amp;"",""))</f>
        <v/>
      </c>
      <c r="L466" s="55" t="str">
        <f aca="false">IF(C466="","",IFERROR(INDEX('شجرة الحسابات'!$C$9:$C$208,MATCH(C466,'شجرة الحسابات'!$A$9:$A$208,0))&amp;"",""))</f>
        <v/>
      </c>
      <c r="M466" s="55" t="str">
        <f aca="false">IF(AND(C466="",G466="",H466=""),"فارغ",IF(ISNA(MATCH(C466,'شجرة الحسابات'!$A$9:$A$208,0)),"حساب غير معرف",IF(L466&lt;&gt;"تحليلي","حساب تجميعي",IF(AND(N(G466)&gt;0,N(H466)&gt;0),"مدين ودائن معاً",IF(N(G466)+N(H466)=0,"بدون قيمة","OK")))))</f>
        <v>فارغ</v>
      </c>
      <c r="N466" s="55" t="str">
        <f aca="false">IF(AND(E466&lt;&gt;"",E466='كشف حساب مشروع'!$C$6,I466="مرحل ✔"),COUNTIFS($E$11:E466,'كشف حساب مشروع'!$C$6,$I$11:I466,"مرحل ✔"),"")</f>
        <v/>
      </c>
      <c r="O466" s="55" t="str">
        <f aca="false">IF(AND(C466&lt;&gt;"",C466='دفتر الأستاذ'!$C$6,I466="مرحل ✔"),COUNTIFS($C$11:C466,'دفتر الأستاذ'!$C$6,$I$11:I466,"مرحل ✔"),"")</f>
        <v/>
      </c>
    </row>
    <row r="467" customFormat="false" ht="15" hidden="false" customHeight="false" outlineLevel="0" collapsed="false">
      <c r="A467" s="49"/>
      <c r="B467" s="50"/>
      <c r="C467" s="49"/>
      <c r="D467" s="51" t="str">
        <f aca="false">IF(C467="","",IFERROR(INDEX('شجرة الحسابات'!$B$9:$B$208,MATCH(C467,'شجرة الحسابات'!$A$9:$A$208,0)),"⚠ حساب غير معرف"))</f>
        <v/>
      </c>
      <c r="E467" s="52"/>
      <c r="F467" s="52"/>
      <c r="G467" s="53"/>
      <c r="H467" s="53"/>
      <c r="I467" s="54" t="str">
        <f aca="false">IF(A467="",IF(M467="فارغ","","✖ بدون رقم قيد"),IF(COUNTIFS('قيود اليومية'!$A$11:$A$1010,A467,'قيود اليومية'!$M$11:$M$1010,"&lt;&gt;OK",'قيود اليومية'!$M$11:$M$1010,"&lt;&gt;فارغ")&gt;0,"✖ خطأ بالحساب",IF(ROUND(SUMIFS('قيود اليومية'!$G$11:$G$1010,'قيود اليومية'!$A$11:$A$1010,A467)-SUMIFS('قيود اليومية'!$H$11:$H$1010,'قيود اليومية'!$A$11:$A$1010,A467),2)&lt;&gt;0,"✖ غير متوازن","مرحل ✔")))</f>
        <v/>
      </c>
      <c r="J467" s="55" t="str">
        <f aca="false">IF(C467="","",IFERROR(INDEX('شجرة الحسابات'!$E$9:$E$208,MATCH(C467,'شجرة الحسابات'!$A$9:$A$208,0))&amp;"",""))</f>
        <v/>
      </c>
      <c r="K467" s="55" t="str">
        <f aca="false">IF(C467="","",IFERROR(INDEX('شجرة الحسابات'!$I$9:$I$208,MATCH(C467,'شجرة الحسابات'!$A$9:$A$208,0))&amp;"",""))</f>
        <v/>
      </c>
      <c r="L467" s="55" t="str">
        <f aca="false">IF(C467="","",IFERROR(INDEX('شجرة الحسابات'!$C$9:$C$208,MATCH(C467,'شجرة الحسابات'!$A$9:$A$208,0))&amp;"",""))</f>
        <v/>
      </c>
      <c r="M467" s="55" t="str">
        <f aca="false">IF(AND(C467="",G467="",H467=""),"فارغ",IF(ISNA(MATCH(C467,'شجرة الحسابات'!$A$9:$A$208,0)),"حساب غير معرف",IF(L467&lt;&gt;"تحليلي","حساب تجميعي",IF(AND(N(G467)&gt;0,N(H467)&gt;0),"مدين ودائن معاً",IF(N(G467)+N(H467)=0,"بدون قيمة","OK")))))</f>
        <v>فارغ</v>
      </c>
      <c r="N467" s="55" t="str">
        <f aca="false">IF(AND(E467&lt;&gt;"",E467='كشف حساب مشروع'!$C$6,I467="مرحل ✔"),COUNTIFS($E$11:E467,'كشف حساب مشروع'!$C$6,$I$11:I467,"مرحل ✔"),"")</f>
        <v/>
      </c>
      <c r="O467" s="55" t="str">
        <f aca="false">IF(AND(C467&lt;&gt;"",C467='دفتر الأستاذ'!$C$6,I467="مرحل ✔"),COUNTIFS($C$11:C467,'دفتر الأستاذ'!$C$6,$I$11:I467,"مرحل ✔"),"")</f>
        <v/>
      </c>
    </row>
    <row r="468" customFormat="false" ht="15" hidden="false" customHeight="false" outlineLevel="0" collapsed="false">
      <c r="A468" s="49"/>
      <c r="B468" s="50"/>
      <c r="C468" s="49"/>
      <c r="D468" s="51" t="str">
        <f aca="false">IF(C468="","",IFERROR(INDEX('شجرة الحسابات'!$B$9:$B$208,MATCH(C468,'شجرة الحسابات'!$A$9:$A$208,0)),"⚠ حساب غير معرف"))</f>
        <v/>
      </c>
      <c r="E468" s="52"/>
      <c r="F468" s="52"/>
      <c r="G468" s="53"/>
      <c r="H468" s="53"/>
      <c r="I468" s="54" t="str">
        <f aca="false">IF(A468="",IF(M468="فارغ","","✖ بدون رقم قيد"),IF(COUNTIFS('قيود اليومية'!$A$11:$A$1010,A468,'قيود اليومية'!$M$11:$M$1010,"&lt;&gt;OK",'قيود اليومية'!$M$11:$M$1010,"&lt;&gt;فارغ")&gt;0,"✖ خطأ بالحساب",IF(ROUND(SUMIFS('قيود اليومية'!$G$11:$G$1010,'قيود اليومية'!$A$11:$A$1010,A468)-SUMIFS('قيود اليومية'!$H$11:$H$1010,'قيود اليومية'!$A$11:$A$1010,A468),2)&lt;&gt;0,"✖ غير متوازن","مرحل ✔")))</f>
        <v/>
      </c>
      <c r="J468" s="55" t="str">
        <f aca="false">IF(C468="","",IFERROR(INDEX('شجرة الحسابات'!$E$9:$E$208,MATCH(C468,'شجرة الحسابات'!$A$9:$A$208,0))&amp;"",""))</f>
        <v/>
      </c>
      <c r="K468" s="55" t="str">
        <f aca="false">IF(C468="","",IFERROR(INDEX('شجرة الحسابات'!$I$9:$I$208,MATCH(C468,'شجرة الحسابات'!$A$9:$A$208,0))&amp;"",""))</f>
        <v/>
      </c>
      <c r="L468" s="55" t="str">
        <f aca="false">IF(C468="","",IFERROR(INDEX('شجرة الحسابات'!$C$9:$C$208,MATCH(C468,'شجرة الحسابات'!$A$9:$A$208,0))&amp;"",""))</f>
        <v/>
      </c>
      <c r="M468" s="55" t="str">
        <f aca="false">IF(AND(C468="",G468="",H468=""),"فارغ",IF(ISNA(MATCH(C468,'شجرة الحسابات'!$A$9:$A$208,0)),"حساب غير معرف",IF(L468&lt;&gt;"تحليلي","حساب تجميعي",IF(AND(N(G468)&gt;0,N(H468)&gt;0),"مدين ودائن معاً",IF(N(G468)+N(H468)=0,"بدون قيمة","OK")))))</f>
        <v>فارغ</v>
      </c>
      <c r="N468" s="55" t="str">
        <f aca="false">IF(AND(E468&lt;&gt;"",E468='كشف حساب مشروع'!$C$6,I468="مرحل ✔"),COUNTIFS($E$11:E468,'كشف حساب مشروع'!$C$6,$I$11:I468,"مرحل ✔"),"")</f>
        <v/>
      </c>
      <c r="O468" s="55" t="str">
        <f aca="false">IF(AND(C468&lt;&gt;"",C468='دفتر الأستاذ'!$C$6,I468="مرحل ✔"),COUNTIFS($C$11:C468,'دفتر الأستاذ'!$C$6,$I$11:I468,"مرحل ✔"),"")</f>
        <v/>
      </c>
    </row>
    <row r="469" customFormat="false" ht="15" hidden="false" customHeight="false" outlineLevel="0" collapsed="false">
      <c r="A469" s="49"/>
      <c r="B469" s="50"/>
      <c r="C469" s="49"/>
      <c r="D469" s="51" t="str">
        <f aca="false">IF(C469="","",IFERROR(INDEX('شجرة الحسابات'!$B$9:$B$208,MATCH(C469,'شجرة الحسابات'!$A$9:$A$208,0)),"⚠ حساب غير معرف"))</f>
        <v/>
      </c>
      <c r="E469" s="52"/>
      <c r="F469" s="52"/>
      <c r="G469" s="53"/>
      <c r="H469" s="53"/>
      <c r="I469" s="54" t="str">
        <f aca="false">IF(A469="",IF(M469="فارغ","","✖ بدون رقم قيد"),IF(COUNTIFS('قيود اليومية'!$A$11:$A$1010,A469,'قيود اليومية'!$M$11:$M$1010,"&lt;&gt;OK",'قيود اليومية'!$M$11:$M$1010,"&lt;&gt;فارغ")&gt;0,"✖ خطأ بالحساب",IF(ROUND(SUMIFS('قيود اليومية'!$G$11:$G$1010,'قيود اليومية'!$A$11:$A$1010,A469)-SUMIFS('قيود اليومية'!$H$11:$H$1010,'قيود اليومية'!$A$11:$A$1010,A469),2)&lt;&gt;0,"✖ غير متوازن","مرحل ✔")))</f>
        <v/>
      </c>
      <c r="J469" s="55" t="str">
        <f aca="false">IF(C469="","",IFERROR(INDEX('شجرة الحسابات'!$E$9:$E$208,MATCH(C469,'شجرة الحسابات'!$A$9:$A$208,0))&amp;"",""))</f>
        <v/>
      </c>
      <c r="K469" s="55" t="str">
        <f aca="false">IF(C469="","",IFERROR(INDEX('شجرة الحسابات'!$I$9:$I$208,MATCH(C469,'شجرة الحسابات'!$A$9:$A$208,0))&amp;"",""))</f>
        <v/>
      </c>
      <c r="L469" s="55" t="str">
        <f aca="false">IF(C469="","",IFERROR(INDEX('شجرة الحسابات'!$C$9:$C$208,MATCH(C469,'شجرة الحسابات'!$A$9:$A$208,0))&amp;"",""))</f>
        <v/>
      </c>
      <c r="M469" s="55" t="str">
        <f aca="false">IF(AND(C469="",G469="",H469=""),"فارغ",IF(ISNA(MATCH(C469,'شجرة الحسابات'!$A$9:$A$208,0)),"حساب غير معرف",IF(L469&lt;&gt;"تحليلي","حساب تجميعي",IF(AND(N(G469)&gt;0,N(H469)&gt;0),"مدين ودائن معاً",IF(N(G469)+N(H469)=0,"بدون قيمة","OK")))))</f>
        <v>فارغ</v>
      </c>
      <c r="N469" s="55" t="str">
        <f aca="false">IF(AND(E469&lt;&gt;"",E469='كشف حساب مشروع'!$C$6,I469="مرحل ✔"),COUNTIFS($E$11:E469,'كشف حساب مشروع'!$C$6,$I$11:I469,"مرحل ✔"),"")</f>
        <v/>
      </c>
      <c r="O469" s="55" t="str">
        <f aca="false">IF(AND(C469&lt;&gt;"",C469='دفتر الأستاذ'!$C$6,I469="مرحل ✔"),COUNTIFS($C$11:C469,'دفتر الأستاذ'!$C$6,$I$11:I469,"مرحل ✔"),"")</f>
        <v/>
      </c>
    </row>
    <row r="470" customFormat="false" ht="15" hidden="false" customHeight="false" outlineLevel="0" collapsed="false">
      <c r="A470" s="49"/>
      <c r="B470" s="50"/>
      <c r="C470" s="49"/>
      <c r="D470" s="51" t="str">
        <f aca="false">IF(C470="","",IFERROR(INDEX('شجرة الحسابات'!$B$9:$B$208,MATCH(C470,'شجرة الحسابات'!$A$9:$A$208,0)),"⚠ حساب غير معرف"))</f>
        <v/>
      </c>
      <c r="E470" s="52"/>
      <c r="F470" s="52"/>
      <c r="G470" s="53"/>
      <c r="H470" s="53"/>
      <c r="I470" s="54" t="str">
        <f aca="false">IF(A470="",IF(M470="فارغ","","✖ بدون رقم قيد"),IF(COUNTIFS('قيود اليومية'!$A$11:$A$1010,A470,'قيود اليومية'!$M$11:$M$1010,"&lt;&gt;OK",'قيود اليومية'!$M$11:$M$1010,"&lt;&gt;فارغ")&gt;0,"✖ خطأ بالحساب",IF(ROUND(SUMIFS('قيود اليومية'!$G$11:$G$1010,'قيود اليومية'!$A$11:$A$1010,A470)-SUMIFS('قيود اليومية'!$H$11:$H$1010,'قيود اليومية'!$A$11:$A$1010,A470),2)&lt;&gt;0,"✖ غير متوازن","مرحل ✔")))</f>
        <v/>
      </c>
      <c r="J470" s="55" t="str">
        <f aca="false">IF(C470="","",IFERROR(INDEX('شجرة الحسابات'!$E$9:$E$208,MATCH(C470,'شجرة الحسابات'!$A$9:$A$208,0))&amp;"",""))</f>
        <v/>
      </c>
      <c r="K470" s="55" t="str">
        <f aca="false">IF(C470="","",IFERROR(INDEX('شجرة الحسابات'!$I$9:$I$208,MATCH(C470,'شجرة الحسابات'!$A$9:$A$208,0))&amp;"",""))</f>
        <v/>
      </c>
      <c r="L470" s="55" t="str">
        <f aca="false">IF(C470="","",IFERROR(INDEX('شجرة الحسابات'!$C$9:$C$208,MATCH(C470,'شجرة الحسابات'!$A$9:$A$208,0))&amp;"",""))</f>
        <v/>
      </c>
      <c r="M470" s="55" t="str">
        <f aca="false">IF(AND(C470="",G470="",H470=""),"فارغ",IF(ISNA(MATCH(C470,'شجرة الحسابات'!$A$9:$A$208,0)),"حساب غير معرف",IF(L470&lt;&gt;"تحليلي","حساب تجميعي",IF(AND(N(G470)&gt;0,N(H470)&gt;0),"مدين ودائن معاً",IF(N(G470)+N(H470)=0,"بدون قيمة","OK")))))</f>
        <v>فارغ</v>
      </c>
      <c r="N470" s="55" t="str">
        <f aca="false">IF(AND(E470&lt;&gt;"",E470='كشف حساب مشروع'!$C$6,I470="مرحل ✔"),COUNTIFS($E$11:E470,'كشف حساب مشروع'!$C$6,$I$11:I470,"مرحل ✔"),"")</f>
        <v/>
      </c>
      <c r="O470" s="55" t="str">
        <f aca="false">IF(AND(C470&lt;&gt;"",C470='دفتر الأستاذ'!$C$6,I470="مرحل ✔"),COUNTIFS($C$11:C470,'دفتر الأستاذ'!$C$6,$I$11:I470,"مرحل ✔"),"")</f>
        <v/>
      </c>
    </row>
    <row r="471" customFormat="false" ht="15" hidden="false" customHeight="false" outlineLevel="0" collapsed="false">
      <c r="A471" s="49"/>
      <c r="B471" s="50"/>
      <c r="C471" s="49"/>
      <c r="D471" s="51" t="str">
        <f aca="false">IF(C471="","",IFERROR(INDEX('شجرة الحسابات'!$B$9:$B$208,MATCH(C471,'شجرة الحسابات'!$A$9:$A$208,0)),"⚠ حساب غير معرف"))</f>
        <v/>
      </c>
      <c r="E471" s="52"/>
      <c r="F471" s="52"/>
      <c r="G471" s="53"/>
      <c r="H471" s="53"/>
      <c r="I471" s="54" t="str">
        <f aca="false">IF(A471="",IF(M471="فارغ","","✖ بدون رقم قيد"),IF(COUNTIFS('قيود اليومية'!$A$11:$A$1010,A471,'قيود اليومية'!$M$11:$M$1010,"&lt;&gt;OK",'قيود اليومية'!$M$11:$M$1010,"&lt;&gt;فارغ")&gt;0,"✖ خطأ بالحساب",IF(ROUND(SUMIFS('قيود اليومية'!$G$11:$G$1010,'قيود اليومية'!$A$11:$A$1010,A471)-SUMIFS('قيود اليومية'!$H$11:$H$1010,'قيود اليومية'!$A$11:$A$1010,A471),2)&lt;&gt;0,"✖ غير متوازن","مرحل ✔")))</f>
        <v/>
      </c>
      <c r="J471" s="55" t="str">
        <f aca="false">IF(C471="","",IFERROR(INDEX('شجرة الحسابات'!$E$9:$E$208,MATCH(C471,'شجرة الحسابات'!$A$9:$A$208,0))&amp;"",""))</f>
        <v/>
      </c>
      <c r="K471" s="55" t="str">
        <f aca="false">IF(C471="","",IFERROR(INDEX('شجرة الحسابات'!$I$9:$I$208,MATCH(C471,'شجرة الحسابات'!$A$9:$A$208,0))&amp;"",""))</f>
        <v/>
      </c>
      <c r="L471" s="55" t="str">
        <f aca="false">IF(C471="","",IFERROR(INDEX('شجرة الحسابات'!$C$9:$C$208,MATCH(C471,'شجرة الحسابات'!$A$9:$A$208,0))&amp;"",""))</f>
        <v/>
      </c>
      <c r="M471" s="55" t="str">
        <f aca="false">IF(AND(C471="",G471="",H471=""),"فارغ",IF(ISNA(MATCH(C471,'شجرة الحسابات'!$A$9:$A$208,0)),"حساب غير معرف",IF(L471&lt;&gt;"تحليلي","حساب تجميعي",IF(AND(N(G471)&gt;0,N(H471)&gt;0),"مدين ودائن معاً",IF(N(G471)+N(H471)=0,"بدون قيمة","OK")))))</f>
        <v>فارغ</v>
      </c>
      <c r="N471" s="55" t="str">
        <f aca="false">IF(AND(E471&lt;&gt;"",E471='كشف حساب مشروع'!$C$6,I471="مرحل ✔"),COUNTIFS($E$11:E471,'كشف حساب مشروع'!$C$6,$I$11:I471,"مرحل ✔"),"")</f>
        <v/>
      </c>
      <c r="O471" s="55" t="str">
        <f aca="false">IF(AND(C471&lt;&gt;"",C471='دفتر الأستاذ'!$C$6,I471="مرحل ✔"),COUNTIFS($C$11:C471,'دفتر الأستاذ'!$C$6,$I$11:I471,"مرحل ✔"),"")</f>
        <v/>
      </c>
    </row>
    <row r="472" customFormat="false" ht="15" hidden="false" customHeight="false" outlineLevel="0" collapsed="false">
      <c r="A472" s="49"/>
      <c r="B472" s="50"/>
      <c r="C472" s="49"/>
      <c r="D472" s="51" t="str">
        <f aca="false">IF(C472="","",IFERROR(INDEX('شجرة الحسابات'!$B$9:$B$208,MATCH(C472,'شجرة الحسابات'!$A$9:$A$208,0)),"⚠ حساب غير معرف"))</f>
        <v/>
      </c>
      <c r="E472" s="52"/>
      <c r="F472" s="52"/>
      <c r="G472" s="53"/>
      <c r="H472" s="53"/>
      <c r="I472" s="54" t="str">
        <f aca="false">IF(A472="",IF(M472="فارغ","","✖ بدون رقم قيد"),IF(COUNTIFS('قيود اليومية'!$A$11:$A$1010,A472,'قيود اليومية'!$M$11:$M$1010,"&lt;&gt;OK",'قيود اليومية'!$M$11:$M$1010,"&lt;&gt;فارغ")&gt;0,"✖ خطأ بالحساب",IF(ROUND(SUMIFS('قيود اليومية'!$G$11:$G$1010,'قيود اليومية'!$A$11:$A$1010,A472)-SUMIFS('قيود اليومية'!$H$11:$H$1010,'قيود اليومية'!$A$11:$A$1010,A472),2)&lt;&gt;0,"✖ غير متوازن","مرحل ✔")))</f>
        <v/>
      </c>
      <c r="J472" s="55" t="str">
        <f aca="false">IF(C472="","",IFERROR(INDEX('شجرة الحسابات'!$E$9:$E$208,MATCH(C472,'شجرة الحسابات'!$A$9:$A$208,0))&amp;"",""))</f>
        <v/>
      </c>
      <c r="K472" s="55" t="str">
        <f aca="false">IF(C472="","",IFERROR(INDEX('شجرة الحسابات'!$I$9:$I$208,MATCH(C472,'شجرة الحسابات'!$A$9:$A$208,0))&amp;"",""))</f>
        <v/>
      </c>
      <c r="L472" s="55" t="str">
        <f aca="false">IF(C472="","",IFERROR(INDEX('شجرة الحسابات'!$C$9:$C$208,MATCH(C472,'شجرة الحسابات'!$A$9:$A$208,0))&amp;"",""))</f>
        <v/>
      </c>
      <c r="M472" s="55" t="str">
        <f aca="false">IF(AND(C472="",G472="",H472=""),"فارغ",IF(ISNA(MATCH(C472,'شجرة الحسابات'!$A$9:$A$208,0)),"حساب غير معرف",IF(L472&lt;&gt;"تحليلي","حساب تجميعي",IF(AND(N(G472)&gt;0,N(H472)&gt;0),"مدين ودائن معاً",IF(N(G472)+N(H472)=0,"بدون قيمة","OK")))))</f>
        <v>فارغ</v>
      </c>
      <c r="N472" s="55" t="str">
        <f aca="false">IF(AND(E472&lt;&gt;"",E472='كشف حساب مشروع'!$C$6,I472="مرحل ✔"),COUNTIFS($E$11:E472,'كشف حساب مشروع'!$C$6,$I$11:I472,"مرحل ✔"),"")</f>
        <v/>
      </c>
      <c r="O472" s="55" t="str">
        <f aca="false">IF(AND(C472&lt;&gt;"",C472='دفتر الأستاذ'!$C$6,I472="مرحل ✔"),COUNTIFS($C$11:C472,'دفتر الأستاذ'!$C$6,$I$11:I472,"مرحل ✔"),"")</f>
        <v/>
      </c>
    </row>
    <row r="473" customFormat="false" ht="15" hidden="false" customHeight="false" outlineLevel="0" collapsed="false">
      <c r="A473" s="49"/>
      <c r="B473" s="50"/>
      <c r="C473" s="49"/>
      <c r="D473" s="51" t="str">
        <f aca="false">IF(C473="","",IFERROR(INDEX('شجرة الحسابات'!$B$9:$B$208,MATCH(C473,'شجرة الحسابات'!$A$9:$A$208,0)),"⚠ حساب غير معرف"))</f>
        <v/>
      </c>
      <c r="E473" s="52"/>
      <c r="F473" s="52"/>
      <c r="G473" s="53"/>
      <c r="H473" s="53"/>
      <c r="I473" s="54" t="str">
        <f aca="false">IF(A473="",IF(M473="فارغ","","✖ بدون رقم قيد"),IF(COUNTIFS('قيود اليومية'!$A$11:$A$1010,A473,'قيود اليومية'!$M$11:$M$1010,"&lt;&gt;OK",'قيود اليومية'!$M$11:$M$1010,"&lt;&gt;فارغ")&gt;0,"✖ خطأ بالحساب",IF(ROUND(SUMIFS('قيود اليومية'!$G$11:$G$1010,'قيود اليومية'!$A$11:$A$1010,A473)-SUMIFS('قيود اليومية'!$H$11:$H$1010,'قيود اليومية'!$A$11:$A$1010,A473),2)&lt;&gt;0,"✖ غير متوازن","مرحل ✔")))</f>
        <v/>
      </c>
      <c r="J473" s="55" t="str">
        <f aca="false">IF(C473="","",IFERROR(INDEX('شجرة الحسابات'!$E$9:$E$208,MATCH(C473,'شجرة الحسابات'!$A$9:$A$208,0))&amp;"",""))</f>
        <v/>
      </c>
      <c r="K473" s="55" t="str">
        <f aca="false">IF(C473="","",IFERROR(INDEX('شجرة الحسابات'!$I$9:$I$208,MATCH(C473,'شجرة الحسابات'!$A$9:$A$208,0))&amp;"",""))</f>
        <v/>
      </c>
      <c r="L473" s="55" t="str">
        <f aca="false">IF(C473="","",IFERROR(INDEX('شجرة الحسابات'!$C$9:$C$208,MATCH(C473,'شجرة الحسابات'!$A$9:$A$208,0))&amp;"",""))</f>
        <v/>
      </c>
      <c r="M473" s="55" t="str">
        <f aca="false">IF(AND(C473="",G473="",H473=""),"فارغ",IF(ISNA(MATCH(C473,'شجرة الحسابات'!$A$9:$A$208,0)),"حساب غير معرف",IF(L473&lt;&gt;"تحليلي","حساب تجميعي",IF(AND(N(G473)&gt;0,N(H473)&gt;0),"مدين ودائن معاً",IF(N(G473)+N(H473)=0,"بدون قيمة","OK")))))</f>
        <v>فارغ</v>
      </c>
      <c r="N473" s="55" t="str">
        <f aca="false">IF(AND(E473&lt;&gt;"",E473='كشف حساب مشروع'!$C$6,I473="مرحل ✔"),COUNTIFS($E$11:E473,'كشف حساب مشروع'!$C$6,$I$11:I473,"مرحل ✔"),"")</f>
        <v/>
      </c>
      <c r="O473" s="55" t="str">
        <f aca="false">IF(AND(C473&lt;&gt;"",C473='دفتر الأستاذ'!$C$6,I473="مرحل ✔"),COUNTIFS($C$11:C473,'دفتر الأستاذ'!$C$6,$I$11:I473,"مرحل ✔"),"")</f>
        <v/>
      </c>
    </row>
    <row r="474" customFormat="false" ht="15" hidden="false" customHeight="false" outlineLevel="0" collapsed="false">
      <c r="A474" s="49"/>
      <c r="B474" s="50"/>
      <c r="C474" s="49"/>
      <c r="D474" s="51" t="str">
        <f aca="false">IF(C474="","",IFERROR(INDEX('شجرة الحسابات'!$B$9:$B$208,MATCH(C474,'شجرة الحسابات'!$A$9:$A$208,0)),"⚠ حساب غير معرف"))</f>
        <v/>
      </c>
      <c r="E474" s="52"/>
      <c r="F474" s="52"/>
      <c r="G474" s="53"/>
      <c r="H474" s="53"/>
      <c r="I474" s="54" t="str">
        <f aca="false">IF(A474="",IF(M474="فارغ","","✖ بدون رقم قيد"),IF(COUNTIFS('قيود اليومية'!$A$11:$A$1010,A474,'قيود اليومية'!$M$11:$M$1010,"&lt;&gt;OK",'قيود اليومية'!$M$11:$M$1010,"&lt;&gt;فارغ")&gt;0,"✖ خطأ بالحساب",IF(ROUND(SUMIFS('قيود اليومية'!$G$11:$G$1010,'قيود اليومية'!$A$11:$A$1010,A474)-SUMIFS('قيود اليومية'!$H$11:$H$1010,'قيود اليومية'!$A$11:$A$1010,A474),2)&lt;&gt;0,"✖ غير متوازن","مرحل ✔")))</f>
        <v/>
      </c>
      <c r="J474" s="55" t="str">
        <f aca="false">IF(C474="","",IFERROR(INDEX('شجرة الحسابات'!$E$9:$E$208,MATCH(C474,'شجرة الحسابات'!$A$9:$A$208,0))&amp;"",""))</f>
        <v/>
      </c>
      <c r="K474" s="55" t="str">
        <f aca="false">IF(C474="","",IFERROR(INDEX('شجرة الحسابات'!$I$9:$I$208,MATCH(C474,'شجرة الحسابات'!$A$9:$A$208,0))&amp;"",""))</f>
        <v/>
      </c>
      <c r="L474" s="55" t="str">
        <f aca="false">IF(C474="","",IFERROR(INDEX('شجرة الحسابات'!$C$9:$C$208,MATCH(C474,'شجرة الحسابات'!$A$9:$A$208,0))&amp;"",""))</f>
        <v/>
      </c>
      <c r="M474" s="55" t="str">
        <f aca="false">IF(AND(C474="",G474="",H474=""),"فارغ",IF(ISNA(MATCH(C474,'شجرة الحسابات'!$A$9:$A$208,0)),"حساب غير معرف",IF(L474&lt;&gt;"تحليلي","حساب تجميعي",IF(AND(N(G474)&gt;0,N(H474)&gt;0),"مدين ودائن معاً",IF(N(G474)+N(H474)=0,"بدون قيمة","OK")))))</f>
        <v>فارغ</v>
      </c>
      <c r="N474" s="55" t="str">
        <f aca="false">IF(AND(E474&lt;&gt;"",E474='كشف حساب مشروع'!$C$6,I474="مرحل ✔"),COUNTIFS($E$11:E474,'كشف حساب مشروع'!$C$6,$I$11:I474,"مرحل ✔"),"")</f>
        <v/>
      </c>
      <c r="O474" s="55" t="str">
        <f aca="false">IF(AND(C474&lt;&gt;"",C474='دفتر الأستاذ'!$C$6,I474="مرحل ✔"),COUNTIFS($C$11:C474,'دفتر الأستاذ'!$C$6,$I$11:I474,"مرحل ✔"),"")</f>
        <v/>
      </c>
    </row>
    <row r="475" customFormat="false" ht="15" hidden="false" customHeight="false" outlineLevel="0" collapsed="false">
      <c r="A475" s="49"/>
      <c r="B475" s="50"/>
      <c r="C475" s="49"/>
      <c r="D475" s="51" t="str">
        <f aca="false">IF(C475="","",IFERROR(INDEX('شجرة الحسابات'!$B$9:$B$208,MATCH(C475,'شجرة الحسابات'!$A$9:$A$208,0)),"⚠ حساب غير معرف"))</f>
        <v/>
      </c>
      <c r="E475" s="52"/>
      <c r="F475" s="52"/>
      <c r="G475" s="53"/>
      <c r="H475" s="53"/>
      <c r="I475" s="54" t="str">
        <f aca="false">IF(A475="",IF(M475="فارغ","","✖ بدون رقم قيد"),IF(COUNTIFS('قيود اليومية'!$A$11:$A$1010,A475,'قيود اليومية'!$M$11:$M$1010,"&lt;&gt;OK",'قيود اليومية'!$M$11:$M$1010,"&lt;&gt;فارغ")&gt;0,"✖ خطأ بالحساب",IF(ROUND(SUMIFS('قيود اليومية'!$G$11:$G$1010,'قيود اليومية'!$A$11:$A$1010,A475)-SUMIFS('قيود اليومية'!$H$11:$H$1010,'قيود اليومية'!$A$11:$A$1010,A475),2)&lt;&gt;0,"✖ غير متوازن","مرحل ✔")))</f>
        <v/>
      </c>
      <c r="J475" s="55" t="str">
        <f aca="false">IF(C475="","",IFERROR(INDEX('شجرة الحسابات'!$E$9:$E$208,MATCH(C475,'شجرة الحسابات'!$A$9:$A$208,0))&amp;"",""))</f>
        <v/>
      </c>
      <c r="K475" s="55" t="str">
        <f aca="false">IF(C475="","",IFERROR(INDEX('شجرة الحسابات'!$I$9:$I$208,MATCH(C475,'شجرة الحسابات'!$A$9:$A$208,0))&amp;"",""))</f>
        <v/>
      </c>
      <c r="L475" s="55" t="str">
        <f aca="false">IF(C475="","",IFERROR(INDEX('شجرة الحسابات'!$C$9:$C$208,MATCH(C475,'شجرة الحسابات'!$A$9:$A$208,0))&amp;"",""))</f>
        <v/>
      </c>
      <c r="M475" s="55" t="str">
        <f aca="false">IF(AND(C475="",G475="",H475=""),"فارغ",IF(ISNA(MATCH(C475,'شجرة الحسابات'!$A$9:$A$208,0)),"حساب غير معرف",IF(L475&lt;&gt;"تحليلي","حساب تجميعي",IF(AND(N(G475)&gt;0,N(H475)&gt;0),"مدين ودائن معاً",IF(N(G475)+N(H475)=0,"بدون قيمة","OK")))))</f>
        <v>فارغ</v>
      </c>
      <c r="N475" s="55" t="str">
        <f aca="false">IF(AND(E475&lt;&gt;"",E475='كشف حساب مشروع'!$C$6,I475="مرحل ✔"),COUNTIFS($E$11:E475,'كشف حساب مشروع'!$C$6,$I$11:I475,"مرحل ✔"),"")</f>
        <v/>
      </c>
      <c r="O475" s="55" t="str">
        <f aca="false">IF(AND(C475&lt;&gt;"",C475='دفتر الأستاذ'!$C$6,I475="مرحل ✔"),COUNTIFS($C$11:C475,'دفتر الأستاذ'!$C$6,$I$11:I475,"مرحل ✔"),"")</f>
        <v/>
      </c>
    </row>
    <row r="476" customFormat="false" ht="15" hidden="false" customHeight="false" outlineLevel="0" collapsed="false">
      <c r="A476" s="49"/>
      <c r="B476" s="50"/>
      <c r="C476" s="49"/>
      <c r="D476" s="51" t="str">
        <f aca="false">IF(C476="","",IFERROR(INDEX('شجرة الحسابات'!$B$9:$B$208,MATCH(C476,'شجرة الحسابات'!$A$9:$A$208,0)),"⚠ حساب غير معرف"))</f>
        <v/>
      </c>
      <c r="E476" s="52"/>
      <c r="F476" s="52"/>
      <c r="G476" s="53"/>
      <c r="H476" s="53"/>
      <c r="I476" s="54" t="str">
        <f aca="false">IF(A476="",IF(M476="فارغ","","✖ بدون رقم قيد"),IF(COUNTIFS('قيود اليومية'!$A$11:$A$1010,A476,'قيود اليومية'!$M$11:$M$1010,"&lt;&gt;OK",'قيود اليومية'!$M$11:$M$1010,"&lt;&gt;فارغ")&gt;0,"✖ خطأ بالحساب",IF(ROUND(SUMIFS('قيود اليومية'!$G$11:$G$1010,'قيود اليومية'!$A$11:$A$1010,A476)-SUMIFS('قيود اليومية'!$H$11:$H$1010,'قيود اليومية'!$A$11:$A$1010,A476),2)&lt;&gt;0,"✖ غير متوازن","مرحل ✔")))</f>
        <v/>
      </c>
      <c r="J476" s="55" t="str">
        <f aca="false">IF(C476="","",IFERROR(INDEX('شجرة الحسابات'!$E$9:$E$208,MATCH(C476,'شجرة الحسابات'!$A$9:$A$208,0))&amp;"",""))</f>
        <v/>
      </c>
      <c r="K476" s="55" t="str">
        <f aca="false">IF(C476="","",IFERROR(INDEX('شجرة الحسابات'!$I$9:$I$208,MATCH(C476,'شجرة الحسابات'!$A$9:$A$208,0))&amp;"",""))</f>
        <v/>
      </c>
      <c r="L476" s="55" t="str">
        <f aca="false">IF(C476="","",IFERROR(INDEX('شجرة الحسابات'!$C$9:$C$208,MATCH(C476,'شجرة الحسابات'!$A$9:$A$208,0))&amp;"",""))</f>
        <v/>
      </c>
      <c r="M476" s="55" t="str">
        <f aca="false">IF(AND(C476="",G476="",H476=""),"فارغ",IF(ISNA(MATCH(C476,'شجرة الحسابات'!$A$9:$A$208,0)),"حساب غير معرف",IF(L476&lt;&gt;"تحليلي","حساب تجميعي",IF(AND(N(G476)&gt;0,N(H476)&gt;0),"مدين ودائن معاً",IF(N(G476)+N(H476)=0,"بدون قيمة","OK")))))</f>
        <v>فارغ</v>
      </c>
      <c r="N476" s="55" t="str">
        <f aca="false">IF(AND(E476&lt;&gt;"",E476='كشف حساب مشروع'!$C$6,I476="مرحل ✔"),COUNTIFS($E$11:E476,'كشف حساب مشروع'!$C$6,$I$11:I476,"مرحل ✔"),"")</f>
        <v/>
      </c>
      <c r="O476" s="55" t="str">
        <f aca="false">IF(AND(C476&lt;&gt;"",C476='دفتر الأستاذ'!$C$6,I476="مرحل ✔"),COUNTIFS($C$11:C476,'دفتر الأستاذ'!$C$6,$I$11:I476,"مرحل ✔"),"")</f>
        <v/>
      </c>
    </row>
    <row r="477" customFormat="false" ht="15" hidden="false" customHeight="false" outlineLevel="0" collapsed="false">
      <c r="A477" s="49"/>
      <c r="B477" s="50"/>
      <c r="C477" s="49"/>
      <c r="D477" s="51" t="str">
        <f aca="false">IF(C477="","",IFERROR(INDEX('شجرة الحسابات'!$B$9:$B$208,MATCH(C477,'شجرة الحسابات'!$A$9:$A$208,0)),"⚠ حساب غير معرف"))</f>
        <v/>
      </c>
      <c r="E477" s="52"/>
      <c r="F477" s="52"/>
      <c r="G477" s="53"/>
      <c r="H477" s="53"/>
      <c r="I477" s="54" t="str">
        <f aca="false">IF(A477="",IF(M477="فارغ","","✖ بدون رقم قيد"),IF(COUNTIFS('قيود اليومية'!$A$11:$A$1010,A477,'قيود اليومية'!$M$11:$M$1010,"&lt;&gt;OK",'قيود اليومية'!$M$11:$M$1010,"&lt;&gt;فارغ")&gt;0,"✖ خطأ بالحساب",IF(ROUND(SUMIFS('قيود اليومية'!$G$11:$G$1010,'قيود اليومية'!$A$11:$A$1010,A477)-SUMIFS('قيود اليومية'!$H$11:$H$1010,'قيود اليومية'!$A$11:$A$1010,A477),2)&lt;&gt;0,"✖ غير متوازن","مرحل ✔")))</f>
        <v/>
      </c>
      <c r="J477" s="55" t="str">
        <f aca="false">IF(C477="","",IFERROR(INDEX('شجرة الحسابات'!$E$9:$E$208,MATCH(C477,'شجرة الحسابات'!$A$9:$A$208,0))&amp;"",""))</f>
        <v/>
      </c>
      <c r="K477" s="55" t="str">
        <f aca="false">IF(C477="","",IFERROR(INDEX('شجرة الحسابات'!$I$9:$I$208,MATCH(C477,'شجرة الحسابات'!$A$9:$A$208,0))&amp;"",""))</f>
        <v/>
      </c>
      <c r="L477" s="55" t="str">
        <f aca="false">IF(C477="","",IFERROR(INDEX('شجرة الحسابات'!$C$9:$C$208,MATCH(C477,'شجرة الحسابات'!$A$9:$A$208,0))&amp;"",""))</f>
        <v/>
      </c>
      <c r="M477" s="55" t="str">
        <f aca="false">IF(AND(C477="",G477="",H477=""),"فارغ",IF(ISNA(MATCH(C477,'شجرة الحسابات'!$A$9:$A$208,0)),"حساب غير معرف",IF(L477&lt;&gt;"تحليلي","حساب تجميعي",IF(AND(N(G477)&gt;0,N(H477)&gt;0),"مدين ودائن معاً",IF(N(G477)+N(H477)=0,"بدون قيمة","OK")))))</f>
        <v>فارغ</v>
      </c>
      <c r="N477" s="55" t="str">
        <f aca="false">IF(AND(E477&lt;&gt;"",E477='كشف حساب مشروع'!$C$6,I477="مرحل ✔"),COUNTIFS($E$11:E477,'كشف حساب مشروع'!$C$6,$I$11:I477,"مرحل ✔"),"")</f>
        <v/>
      </c>
      <c r="O477" s="55" t="str">
        <f aca="false">IF(AND(C477&lt;&gt;"",C477='دفتر الأستاذ'!$C$6,I477="مرحل ✔"),COUNTIFS($C$11:C477,'دفتر الأستاذ'!$C$6,$I$11:I477,"مرحل ✔"),"")</f>
        <v/>
      </c>
    </row>
    <row r="478" customFormat="false" ht="15" hidden="false" customHeight="false" outlineLevel="0" collapsed="false">
      <c r="A478" s="49"/>
      <c r="B478" s="50"/>
      <c r="C478" s="49"/>
      <c r="D478" s="51" t="str">
        <f aca="false">IF(C478="","",IFERROR(INDEX('شجرة الحسابات'!$B$9:$B$208,MATCH(C478,'شجرة الحسابات'!$A$9:$A$208,0)),"⚠ حساب غير معرف"))</f>
        <v/>
      </c>
      <c r="E478" s="52"/>
      <c r="F478" s="52"/>
      <c r="G478" s="53"/>
      <c r="H478" s="53"/>
      <c r="I478" s="54" t="str">
        <f aca="false">IF(A478="",IF(M478="فارغ","","✖ بدون رقم قيد"),IF(COUNTIFS('قيود اليومية'!$A$11:$A$1010,A478,'قيود اليومية'!$M$11:$M$1010,"&lt;&gt;OK",'قيود اليومية'!$M$11:$M$1010,"&lt;&gt;فارغ")&gt;0,"✖ خطأ بالحساب",IF(ROUND(SUMIFS('قيود اليومية'!$G$11:$G$1010,'قيود اليومية'!$A$11:$A$1010,A478)-SUMIFS('قيود اليومية'!$H$11:$H$1010,'قيود اليومية'!$A$11:$A$1010,A478),2)&lt;&gt;0,"✖ غير متوازن","مرحل ✔")))</f>
        <v/>
      </c>
      <c r="J478" s="55" t="str">
        <f aca="false">IF(C478="","",IFERROR(INDEX('شجرة الحسابات'!$E$9:$E$208,MATCH(C478,'شجرة الحسابات'!$A$9:$A$208,0))&amp;"",""))</f>
        <v/>
      </c>
      <c r="K478" s="55" t="str">
        <f aca="false">IF(C478="","",IFERROR(INDEX('شجرة الحسابات'!$I$9:$I$208,MATCH(C478,'شجرة الحسابات'!$A$9:$A$208,0))&amp;"",""))</f>
        <v/>
      </c>
      <c r="L478" s="55" t="str">
        <f aca="false">IF(C478="","",IFERROR(INDEX('شجرة الحسابات'!$C$9:$C$208,MATCH(C478,'شجرة الحسابات'!$A$9:$A$208,0))&amp;"",""))</f>
        <v/>
      </c>
      <c r="M478" s="55" t="str">
        <f aca="false">IF(AND(C478="",G478="",H478=""),"فارغ",IF(ISNA(MATCH(C478,'شجرة الحسابات'!$A$9:$A$208,0)),"حساب غير معرف",IF(L478&lt;&gt;"تحليلي","حساب تجميعي",IF(AND(N(G478)&gt;0,N(H478)&gt;0),"مدين ودائن معاً",IF(N(G478)+N(H478)=0,"بدون قيمة","OK")))))</f>
        <v>فارغ</v>
      </c>
      <c r="N478" s="55" t="str">
        <f aca="false">IF(AND(E478&lt;&gt;"",E478='كشف حساب مشروع'!$C$6,I478="مرحل ✔"),COUNTIFS($E$11:E478,'كشف حساب مشروع'!$C$6,$I$11:I478,"مرحل ✔"),"")</f>
        <v/>
      </c>
      <c r="O478" s="55" t="str">
        <f aca="false">IF(AND(C478&lt;&gt;"",C478='دفتر الأستاذ'!$C$6,I478="مرحل ✔"),COUNTIFS($C$11:C478,'دفتر الأستاذ'!$C$6,$I$11:I478,"مرحل ✔"),"")</f>
        <v/>
      </c>
    </row>
    <row r="479" customFormat="false" ht="15" hidden="false" customHeight="false" outlineLevel="0" collapsed="false">
      <c r="A479" s="49"/>
      <c r="B479" s="50"/>
      <c r="C479" s="49"/>
      <c r="D479" s="51" t="str">
        <f aca="false">IF(C479="","",IFERROR(INDEX('شجرة الحسابات'!$B$9:$B$208,MATCH(C479,'شجرة الحسابات'!$A$9:$A$208,0)),"⚠ حساب غير معرف"))</f>
        <v/>
      </c>
      <c r="E479" s="52"/>
      <c r="F479" s="52"/>
      <c r="G479" s="53"/>
      <c r="H479" s="53"/>
      <c r="I479" s="54" t="str">
        <f aca="false">IF(A479="",IF(M479="فارغ","","✖ بدون رقم قيد"),IF(COUNTIFS('قيود اليومية'!$A$11:$A$1010,A479,'قيود اليومية'!$M$11:$M$1010,"&lt;&gt;OK",'قيود اليومية'!$M$11:$M$1010,"&lt;&gt;فارغ")&gt;0,"✖ خطأ بالحساب",IF(ROUND(SUMIFS('قيود اليومية'!$G$11:$G$1010,'قيود اليومية'!$A$11:$A$1010,A479)-SUMIFS('قيود اليومية'!$H$11:$H$1010,'قيود اليومية'!$A$11:$A$1010,A479),2)&lt;&gt;0,"✖ غير متوازن","مرحل ✔")))</f>
        <v/>
      </c>
      <c r="J479" s="55" t="str">
        <f aca="false">IF(C479="","",IFERROR(INDEX('شجرة الحسابات'!$E$9:$E$208,MATCH(C479,'شجرة الحسابات'!$A$9:$A$208,0))&amp;"",""))</f>
        <v/>
      </c>
      <c r="K479" s="55" t="str">
        <f aca="false">IF(C479="","",IFERROR(INDEX('شجرة الحسابات'!$I$9:$I$208,MATCH(C479,'شجرة الحسابات'!$A$9:$A$208,0))&amp;"",""))</f>
        <v/>
      </c>
      <c r="L479" s="55" t="str">
        <f aca="false">IF(C479="","",IFERROR(INDEX('شجرة الحسابات'!$C$9:$C$208,MATCH(C479,'شجرة الحسابات'!$A$9:$A$208,0))&amp;"",""))</f>
        <v/>
      </c>
      <c r="M479" s="55" t="str">
        <f aca="false">IF(AND(C479="",G479="",H479=""),"فارغ",IF(ISNA(MATCH(C479,'شجرة الحسابات'!$A$9:$A$208,0)),"حساب غير معرف",IF(L479&lt;&gt;"تحليلي","حساب تجميعي",IF(AND(N(G479)&gt;0,N(H479)&gt;0),"مدين ودائن معاً",IF(N(G479)+N(H479)=0,"بدون قيمة","OK")))))</f>
        <v>فارغ</v>
      </c>
      <c r="N479" s="55" t="str">
        <f aca="false">IF(AND(E479&lt;&gt;"",E479='كشف حساب مشروع'!$C$6,I479="مرحل ✔"),COUNTIFS($E$11:E479,'كشف حساب مشروع'!$C$6,$I$11:I479,"مرحل ✔"),"")</f>
        <v/>
      </c>
      <c r="O479" s="55" t="str">
        <f aca="false">IF(AND(C479&lt;&gt;"",C479='دفتر الأستاذ'!$C$6,I479="مرحل ✔"),COUNTIFS($C$11:C479,'دفتر الأستاذ'!$C$6,$I$11:I479,"مرحل ✔"),"")</f>
        <v/>
      </c>
    </row>
    <row r="480" customFormat="false" ht="15" hidden="false" customHeight="false" outlineLevel="0" collapsed="false">
      <c r="A480" s="49"/>
      <c r="B480" s="50"/>
      <c r="C480" s="49"/>
      <c r="D480" s="51" t="str">
        <f aca="false">IF(C480="","",IFERROR(INDEX('شجرة الحسابات'!$B$9:$B$208,MATCH(C480,'شجرة الحسابات'!$A$9:$A$208,0)),"⚠ حساب غير معرف"))</f>
        <v/>
      </c>
      <c r="E480" s="52"/>
      <c r="F480" s="52"/>
      <c r="G480" s="53"/>
      <c r="H480" s="53"/>
      <c r="I480" s="54" t="str">
        <f aca="false">IF(A480="",IF(M480="فارغ","","✖ بدون رقم قيد"),IF(COUNTIFS('قيود اليومية'!$A$11:$A$1010,A480,'قيود اليومية'!$M$11:$M$1010,"&lt;&gt;OK",'قيود اليومية'!$M$11:$M$1010,"&lt;&gt;فارغ")&gt;0,"✖ خطأ بالحساب",IF(ROUND(SUMIFS('قيود اليومية'!$G$11:$G$1010,'قيود اليومية'!$A$11:$A$1010,A480)-SUMIFS('قيود اليومية'!$H$11:$H$1010,'قيود اليومية'!$A$11:$A$1010,A480),2)&lt;&gt;0,"✖ غير متوازن","مرحل ✔")))</f>
        <v/>
      </c>
      <c r="J480" s="55" t="str">
        <f aca="false">IF(C480="","",IFERROR(INDEX('شجرة الحسابات'!$E$9:$E$208,MATCH(C480,'شجرة الحسابات'!$A$9:$A$208,0))&amp;"",""))</f>
        <v/>
      </c>
      <c r="K480" s="55" t="str">
        <f aca="false">IF(C480="","",IFERROR(INDEX('شجرة الحسابات'!$I$9:$I$208,MATCH(C480,'شجرة الحسابات'!$A$9:$A$208,0))&amp;"",""))</f>
        <v/>
      </c>
      <c r="L480" s="55" t="str">
        <f aca="false">IF(C480="","",IFERROR(INDEX('شجرة الحسابات'!$C$9:$C$208,MATCH(C480,'شجرة الحسابات'!$A$9:$A$208,0))&amp;"",""))</f>
        <v/>
      </c>
      <c r="M480" s="55" t="str">
        <f aca="false">IF(AND(C480="",G480="",H480=""),"فارغ",IF(ISNA(MATCH(C480,'شجرة الحسابات'!$A$9:$A$208,0)),"حساب غير معرف",IF(L480&lt;&gt;"تحليلي","حساب تجميعي",IF(AND(N(G480)&gt;0,N(H480)&gt;0),"مدين ودائن معاً",IF(N(G480)+N(H480)=0,"بدون قيمة","OK")))))</f>
        <v>فارغ</v>
      </c>
      <c r="N480" s="55" t="str">
        <f aca="false">IF(AND(E480&lt;&gt;"",E480='كشف حساب مشروع'!$C$6,I480="مرحل ✔"),COUNTIFS($E$11:E480,'كشف حساب مشروع'!$C$6,$I$11:I480,"مرحل ✔"),"")</f>
        <v/>
      </c>
      <c r="O480" s="55" t="str">
        <f aca="false">IF(AND(C480&lt;&gt;"",C480='دفتر الأستاذ'!$C$6,I480="مرحل ✔"),COUNTIFS($C$11:C480,'دفتر الأستاذ'!$C$6,$I$11:I480,"مرحل ✔"),"")</f>
        <v/>
      </c>
    </row>
    <row r="481" customFormat="false" ht="15" hidden="false" customHeight="false" outlineLevel="0" collapsed="false">
      <c r="A481" s="49"/>
      <c r="B481" s="50"/>
      <c r="C481" s="49"/>
      <c r="D481" s="51" t="str">
        <f aca="false">IF(C481="","",IFERROR(INDEX('شجرة الحسابات'!$B$9:$B$208,MATCH(C481,'شجرة الحسابات'!$A$9:$A$208,0)),"⚠ حساب غير معرف"))</f>
        <v/>
      </c>
      <c r="E481" s="52"/>
      <c r="F481" s="52"/>
      <c r="G481" s="53"/>
      <c r="H481" s="53"/>
      <c r="I481" s="54" t="str">
        <f aca="false">IF(A481="",IF(M481="فارغ","","✖ بدون رقم قيد"),IF(COUNTIFS('قيود اليومية'!$A$11:$A$1010,A481,'قيود اليومية'!$M$11:$M$1010,"&lt;&gt;OK",'قيود اليومية'!$M$11:$M$1010,"&lt;&gt;فارغ")&gt;0,"✖ خطأ بالحساب",IF(ROUND(SUMIFS('قيود اليومية'!$G$11:$G$1010,'قيود اليومية'!$A$11:$A$1010,A481)-SUMIFS('قيود اليومية'!$H$11:$H$1010,'قيود اليومية'!$A$11:$A$1010,A481),2)&lt;&gt;0,"✖ غير متوازن","مرحل ✔")))</f>
        <v/>
      </c>
      <c r="J481" s="55" t="str">
        <f aca="false">IF(C481="","",IFERROR(INDEX('شجرة الحسابات'!$E$9:$E$208,MATCH(C481,'شجرة الحسابات'!$A$9:$A$208,0))&amp;"",""))</f>
        <v/>
      </c>
      <c r="K481" s="55" t="str">
        <f aca="false">IF(C481="","",IFERROR(INDEX('شجرة الحسابات'!$I$9:$I$208,MATCH(C481,'شجرة الحسابات'!$A$9:$A$208,0))&amp;"",""))</f>
        <v/>
      </c>
      <c r="L481" s="55" t="str">
        <f aca="false">IF(C481="","",IFERROR(INDEX('شجرة الحسابات'!$C$9:$C$208,MATCH(C481,'شجرة الحسابات'!$A$9:$A$208,0))&amp;"",""))</f>
        <v/>
      </c>
      <c r="M481" s="55" t="str">
        <f aca="false">IF(AND(C481="",G481="",H481=""),"فارغ",IF(ISNA(MATCH(C481,'شجرة الحسابات'!$A$9:$A$208,0)),"حساب غير معرف",IF(L481&lt;&gt;"تحليلي","حساب تجميعي",IF(AND(N(G481)&gt;0,N(H481)&gt;0),"مدين ودائن معاً",IF(N(G481)+N(H481)=0,"بدون قيمة","OK")))))</f>
        <v>فارغ</v>
      </c>
      <c r="N481" s="55" t="str">
        <f aca="false">IF(AND(E481&lt;&gt;"",E481='كشف حساب مشروع'!$C$6,I481="مرحل ✔"),COUNTIFS($E$11:E481,'كشف حساب مشروع'!$C$6,$I$11:I481,"مرحل ✔"),"")</f>
        <v/>
      </c>
      <c r="O481" s="55" t="str">
        <f aca="false">IF(AND(C481&lt;&gt;"",C481='دفتر الأستاذ'!$C$6,I481="مرحل ✔"),COUNTIFS($C$11:C481,'دفتر الأستاذ'!$C$6,$I$11:I481,"مرحل ✔"),"")</f>
        <v/>
      </c>
    </row>
    <row r="482" customFormat="false" ht="15" hidden="false" customHeight="false" outlineLevel="0" collapsed="false">
      <c r="A482" s="49"/>
      <c r="B482" s="50"/>
      <c r="C482" s="49"/>
      <c r="D482" s="51" t="str">
        <f aca="false">IF(C482="","",IFERROR(INDEX('شجرة الحسابات'!$B$9:$B$208,MATCH(C482,'شجرة الحسابات'!$A$9:$A$208,0)),"⚠ حساب غير معرف"))</f>
        <v/>
      </c>
      <c r="E482" s="52"/>
      <c r="F482" s="52"/>
      <c r="G482" s="53"/>
      <c r="H482" s="53"/>
      <c r="I482" s="54" t="str">
        <f aca="false">IF(A482="",IF(M482="فارغ","","✖ بدون رقم قيد"),IF(COUNTIFS('قيود اليومية'!$A$11:$A$1010,A482,'قيود اليومية'!$M$11:$M$1010,"&lt;&gt;OK",'قيود اليومية'!$M$11:$M$1010,"&lt;&gt;فارغ")&gt;0,"✖ خطأ بالحساب",IF(ROUND(SUMIFS('قيود اليومية'!$G$11:$G$1010,'قيود اليومية'!$A$11:$A$1010,A482)-SUMIFS('قيود اليومية'!$H$11:$H$1010,'قيود اليومية'!$A$11:$A$1010,A482),2)&lt;&gt;0,"✖ غير متوازن","مرحل ✔")))</f>
        <v/>
      </c>
      <c r="J482" s="55" t="str">
        <f aca="false">IF(C482="","",IFERROR(INDEX('شجرة الحسابات'!$E$9:$E$208,MATCH(C482,'شجرة الحسابات'!$A$9:$A$208,0))&amp;"",""))</f>
        <v/>
      </c>
      <c r="K482" s="55" t="str">
        <f aca="false">IF(C482="","",IFERROR(INDEX('شجرة الحسابات'!$I$9:$I$208,MATCH(C482,'شجرة الحسابات'!$A$9:$A$208,0))&amp;"",""))</f>
        <v/>
      </c>
      <c r="L482" s="55" t="str">
        <f aca="false">IF(C482="","",IFERROR(INDEX('شجرة الحسابات'!$C$9:$C$208,MATCH(C482,'شجرة الحسابات'!$A$9:$A$208,0))&amp;"",""))</f>
        <v/>
      </c>
      <c r="M482" s="55" t="str">
        <f aca="false">IF(AND(C482="",G482="",H482=""),"فارغ",IF(ISNA(MATCH(C482,'شجرة الحسابات'!$A$9:$A$208,0)),"حساب غير معرف",IF(L482&lt;&gt;"تحليلي","حساب تجميعي",IF(AND(N(G482)&gt;0,N(H482)&gt;0),"مدين ودائن معاً",IF(N(G482)+N(H482)=0,"بدون قيمة","OK")))))</f>
        <v>فارغ</v>
      </c>
      <c r="N482" s="55" t="str">
        <f aca="false">IF(AND(E482&lt;&gt;"",E482='كشف حساب مشروع'!$C$6,I482="مرحل ✔"),COUNTIFS($E$11:E482,'كشف حساب مشروع'!$C$6,$I$11:I482,"مرحل ✔"),"")</f>
        <v/>
      </c>
      <c r="O482" s="55" t="str">
        <f aca="false">IF(AND(C482&lt;&gt;"",C482='دفتر الأستاذ'!$C$6,I482="مرحل ✔"),COUNTIFS($C$11:C482,'دفتر الأستاذ'!$C$6,$I$11:I482,"مرحل ✔"),"")</f>
        <v/>
      </c>
    </row>
    <row r="483" customFormat="false" ht="15" hidden="false" customHeight="false" outlineLevel="0" collapsed="false">
      <c r="A483" s="49"/>
      <c r="B483" s="50"/>
      <c r="C483" s="49"/>
      <c r="D483" s="51" t="str">
        <f aca="false">IF(C483="","",IFERROR(INDEX('شجرة الحسابات'!$B$9:$B$208,MATCH(C483,'شجرة الحسابات'!$A$9:$A$208,0)),"⚠ حساب غير معرف"))</f>
        <v/>
      </c>
      <c r="E483" s="52"/>
      <c r="F483" s="52"/>
      <c r="G483" s="53"/>
      <c r="H483" s="53"/>
      <c r="I483" s="54" t="str">
        <f aca="false">IF(A483="",IF(M483="فارغ","","✖ بدون رقم قيد"),IF(COUNTIFS('قيود اليومية'!$A$11:$A$1010,A483,'قيود اليومية'!$M$11:$M$1010,"&lt;&gt;OK",'قيود اليومية'!$M$11:$M$1010,"&lt;&gt;فارغ")&gt;0,"✖ خطأ بالحساب",IF(ROUND(SUMIFS('قيود اليومية'!$G$11:$G$1010,'قيود اليومية'!$A$11:$A$1010,A483)-SUMIFS('قيود اليومية'!$H$11:$H$1010,'قيود اليومية'!$A$11:$A$1010,A483),2)&lt;&gt;0,"✖ غير متوازن","مرحل ✔")))</f>
        <v/>
      </c>
      <c r="J483" s="55" t="str">
        <f aca="false">IF(C483="","",IFERROR(INDEX('شجرة الحسابات'!$E$9:$E$208,MATCH(C483,'شجرة الحسابات'!$A$9:$A$208,0))&amp;"",""))</f>
        <v/>
      </c>
      <c r="K483" s="55" t="str">
        <f aca="false">IF(C483="","",IFERROR(INDEX('شجرة الحسابات'!$I$9:$I$208,MATCH(C483,'شجرة الحسابات'!$A$9:$A$208,0))&amp;"",""))</f>
        <v/>
      </c>
      <c r="L483" s="55" t="str">
        <f aca="false">IF(C483="","",IFERROR(INDEX('شجرة الحسابات'!$C$9:$C$208,MATCH(C483,'شجرة الحسابات'!$A$9:$A$208,0))&amp;"",""))</f>
        <v/>
      </c>
      <c r="M483" s="55" t="str">
        <f aca="false">IF(AND(C483="",G483="",H483=""),"فارغ",IF(ISNA(MATCH(C483,'شجرة الحسابات'!$A$9:$A$208,0)),"حساب غير معرف",IF(L483&lt;&gt;"تحليلي","حساب تجميعي",IF(AND(N(G483)&gt;0,N(H483)&gt;0),"مدين ودائن معاً",IF(N(G483)+N(H483)=0,"بدون قيمة","OK")))))</f>
        <v>فارغ</v>
      </c>
      <c r="N483" s="55" t="str">
        <f aca="false">IF(AND(E483&lt;&gt;"",E483='كشف حساب مشروع'!$C$6,I483="مرحل ✔"),COUNTIFS($E$11:E483,'كشف حساب مشروع'!$C$6,$I$11:I483,"مرحل ✔"),"")</f>
        <v/>
      </c>
      <c r="O483" s="55" t="str">
        <f aca="false">IF(AND(C483&lt;&gt;"",C483='دفتر الأستاذ'!$C$6,I483="مرحل ✔"),COUNTIFS($C$11:C483,'دفتر الأستاذ'!$C$6,$I$11:I483,"مرحل ✔"),"")</f>
        <v/>
      </c>
    </row>
    <row r="484" customFormat="false" ht="15" hidden="false" customHeight="false" outlineLevel="0" collapsed="false">
      <c r="A484" s="49"/>
      <c r="B484" s="50"/>
      <c r="C484" s="49"/>
      <c r="D484" s="51" t="str">
        <f aca="false">IF(C484="","",IFERROR(INDEX('شجرة الحسابات'!$B$9:$B$208,MATCH(C484,'شجرة الحسابات'!$A$9:$A$208,0)),"⚠ حساب غير معرف"))</f>
        <v/>
      </c>
      <c r="E484" s="52"/>
      <c r="F484" s="52"/>
      <c r="G484" s="53"/>
      <c r="H484" s="53"/>
      <c r="I484" s="54" t="str">
        <f aca="false">IF(A484="",IF(M484="فارغ","","✖ بدون رقم قيد"),IF(COUNTIFS('قيود اليومية'!$A$11:$A$1010,A484,'قيود اليومية'!$M$11:$M$1010,"&lt;&gt;OK",'قيود اليومية'!$M$11:$M$1010,"&lt;&gt;فارغ")&gt;0,"✖ خطأ بالحساب",IF(ROUND(SUMIFS('قيود اليومية'!$G$11:$G$1010,'قيود اليومية'!$A$11:$A$1010,A484)-SUMIFS('قيود اليومية'!$H$11:$H$1010,'قيود اليومية'!$A$11:$A$1010,A484),2)&lt;&gt;0,"✖ غير متوازن","مرحل ✔")))</f>
        <v/>
      </c>
      <c r="J484" s="55" t="str">
        <f aca="false">IF(C484="","",IFERROR(INDEX('شجرة الحسابات'!$E$9:$E$208,MATCH(C484,'شجرة الحسابات'!$A$9:$A$208,0))&amp;"",""))</f>
        <v/>
      </c>
      <c r="K484" s="55" t="str">
        <f aca="false">IF(C484="","",IFERROR(INDEX('شجرة الحسابات'!$I$9:$I$208,MATCH(C484,'شجرة الحسابات'!$A$9:$A$208,0))&amp;"",""))</f>
        <v/>
      </c>
      <c r="L484" s="55" t="str">
        <f aca="false">IF(C484="","",IFERROR(INDEX('شجرة الحسابات'!$C$9:$C$208,MATCH(C484,'شجرة الحسابات'!$A$9:$A$208,0))&amp;"",""))</f>
        <v/>
      </c>
      <c r="M484" s="55" t="str">
        <f aca="false">IF(AND(C484="",G484="",H484=""),"فارغ",IF(ISNA(MATCH(C484,'شجرة الحسابات'!$A$9:$A$208,0)),"حساب غير معرف",IF(L484&lt;&gt;"تحليلي","حساب تجميعي",IF(AND(N(G484)&gt;0,N(H484)&gt;0),"مدين ودائن معاً",IF(N(G484)+N(H484)=0,"بدون قيمة","OK")))))</f>
        <v>فارغ</v>
      </c>
      <c r="N484" s="55" t="str">
        <f aca="false">IF(AND(E484&lt;&gt;"",E484='كشف حساب مشروع'!$C$6,I484="مرحل ✔"),COUNTIFS($E$11:E484,'كشف حساب مشروع'!$C$6,$I$11:I484,"مرحل ✔"),"")</f>
        <v/>
      </c>
      <c r="O484" s="55" t="str">
        <f aca="false">IF(AND(C484&lt;&gt;"",C484='دفتر الأستاذ'!$C$6,I484="مرحل ✔"),COUNTIFS($C$11:C484,'دفتر الأستاذ'!$C$6,$I$11:I484,"مرحل ✔"),"")</f>
        <v/>
      </c>
    </row>
    <row r="485" customFormat="false" ht="15" hidden="false" customHeight="false" outlineLevel="0" collapsed="false">
      <c r="A485" s="49"/>
      <c r="B485" s="50"/>
      <c r="C485" s="49"/>
      <c r="D485" s="51" t="str">
        <f aca="false">IF(C485="","",IFERROR(INDEX('شجرة الحسابات'!$B$9:$B$208,MATCH(C485,'شجرة الحسابات'!$A$9:$A$208,0)),"⚠ حساب غير معرف"))</f>
        <v/>
      </c>
      <c r="E485" s="52"/>
      <c r="F485" s="52"/>
      <c r="G485" s="53"/>
      <c r="H485" s="53"/>
      <c r="I485" s="54" t="str">
        <f aca="false">IF(A485="",IF(M485="فارغ","","✖ بدون رقم قيد"),IF(COUNTIFS('قيود اليومية'!$A$11:$A$1010,A485,'قيود اليومية'!$M$11:$M$1010,"&lt;&gt;OK",'قيود اليومية'!$M$11:$M$1010,"&lt;&gt;فارغ")&gt;0,"✖ خطأ بالحساب",IF(ROUND(SUMIFS('قيود اليومية'!$G$11:$G$1010,'قيود اليومية'!$A$11:$A$1010,A485)-SUMIFS('قيود اليومية'!$H$11:$H$1010,'قيود اليومية'!$A$11:$A$1010,A485),2)&lt;&gt;0,"✖ غير متوازن","مرحل ✔")))</f>
        <v/>
      </c>
      <c r="J485" s="55" t="str">
        <f aca="false">IF(C485="","",IFERROR(INDEX('شجرة الحسابات'!$E$9:$E$208,MATCH(C485,'شجرة الحسابات'!$A$9:$A$208,0))&amp;"",""))</f>
        <v/>
      </c>
      <c r="K485" s="55" t="str">
        <f aca="false">IF(C485="","",IFERROR(INDEX('شجرة الحسابات'!$I$9:$I$208,MATCH(C485,'شجرة الحسابات'!$A$9:$A$208,0))&amp;"",""))</f>
        <v/>
      </c>
      <c r="L485" s="55" t="str">
        <f aca="false">IF(C485="","",IFERROR(INDEX('شجرة الحسابات'!$C$9:$C$208,MATCH(C485,'شجرة الحسابات'!$A$9:$A$208,0))&amp;"",""))</f>
        <v/>
      </c>
      <c r="M485" s="55" t="str">
        <f aca="false">IF(AND(C485="",G485="",H485=""),"فارغ",IF(ISNA(MATCH(C485,'شجرة الحسابات'!$A$9:$A$208,0)),"حساب غير معرف",IF(L485&lt;&gt;"تحليلي","حساب تجميعي",IF(AND(N(G485)&gt;0,N(H485)&gt;0),"مدين ودائن معاً",IF(N(G485)+N(H485)=0,"بدون قيمة","OK")))))</f>
        <v>فارغ</v>
      </c>
      <c r="N485" s="55" t="str">
        <f aca="false">IF(AND(E485&lt;&gt;"",E485='كشف حساب مشروع'!$C$6,I485="مرحل ✔"),COUNTIFS($E$11:E485,'كشف حساب مشروع'!$C$6,$I$11:I485,"مرحل ✔"),"")</f>
        <v/>
      </c>
      <c r="O485" s="55" t="str">
        <f aca="false">IF(AND(C485&lt;&gt;"",C485='دفتر الأستاذ'!$C$6,I485="مرحل ✔"),COUNTIFS($C$11:C485,'دفتر الأستاذ'!$C$6,$I$11:I485,"مرحل ✔"),"")</f>
        <v/>
      </c>
    </row>
    <row r="486" customFormat="false" ht="15" hidden="false" customHeight="false" outlineLevel="0" collapsed="false">
      <c r="A486" s="49"/>
      <c r="B486" s="50"/>
      <c r="C486" s="49"/>
      <c r="D486" s="51" t="str">
        <f aca="false">IF(C486="","",IFERROR(INDEX('شجرة الحسابات'!$B$9:$B$208,MATCH(C486,'شجرة الحسابات'!$A$9:$A$208,0)),"⚠ حساب غير معرف"))</f>
        <v/>
      </c>
      <c r="E486" s="52"/>
      <c r="F486" s="52"/>
      <c r="G486" s="53"/>
      <c r="H486" s="53"/>
      <c r="I486" s="54" t="str">
        <f aca="false">IF(A486="",IF(M486="فارغ","","✖ بدون رقم قيد"),IF(COUNTIFS('قيود اليومية'!$A$11:$A$1010,A486,'قيود اليومية'!$M$11:$M$1010,"&lt;&gt;OK",'قيود اليومية'!$M$11:$M$1010,"&lt;&gt;فارغ")&gt;0,"✖ خطأ بالحساب",IF(ROUND(SUMIFS('قيود اليومية'!$G$11:$G$1010,'قيود اليومية'!$A$11:$A$1010,A486)-SUMIFS('قيود اليومية'!$H$11:$H$1010,'قيود اليومية'!$A$11:$A$1010,A486),2)&lt;&gt;0,"✖ غير متوازن","مرحل ✔")))</f>
        <v/>
      </c>
      <c r="J486" s="55" t="str">
        <f aca="false">IF(C486="","",IFERROR(INDEX('شجرة الحسابات'!$E$9:$E$208,MATCH(C486,'شجرة الحسابات'!$A$9:$A$208,0))&amp;"",""))</f>
        <v/>
      </c>
      <c r="K486" s="55" t="str">
        <f aca="false">IF(C486="","",IFERROR(INDEX('شجرة الحسابات'!$I$9:$I$208,MATCH(C486,'شجرة الحسابات'!$A$9:$A$208,0))&amp;"",""))</f>
        <v/>
      </c>
      <c r="L486" s="55" t="str">
        <f aca="false">IF(C486="","",IFERROR(INDEX('شجرة الحسابات'!$C$9:$C$208,MATCH(C486,'شجرة الحسابات'!$A$9:$A$208,0))&amp;"",""))</f>
        <v/>
      </c>
      <c r="M486" s="55" t="str">
        <f aca="false">IF(AND(C486="",G486="",H486=""),"فارغ",IF(ISNA(MATCH(C486,'شجرة الحسابات'!$A$9:$A$208,0)),"حساب غير معرف",IF(L486&lt;&gt;"تحليلي","حساب تجميعي",IF(AND(N(G486)&gt;0,N(H486)&gt;0),"مدين ودائن معاً",IF(N(G486)+N(H486)=0,"بدون قيمة","OK")))))</f>
        <v>فارغ</v>
      </c>
      <c r="N486" s="55" t="str">
        <f aca="false">IF(AND(E486&lt;&gt;"",E486='كشف حساب مشروع'!$C$6,I486="مرحل ✔"),COUNTIFS($E$11:E486,'كشف حساب مشروع'!$C$6,$I$11:I486,"مرحل ✔"),"")</f>
        <v/>
      </c>
      <c r="O486" s="55" t="str">
        <f aca="false">IF(AND(C486&lt;&gt;"",C486='دفتر الأستاذ'!$C$6,I486="مرحل ✔"),COUNTIFS($C$11:C486,'دفتر الأستاذ'!$C$6,$I$11:I486,"مرحل ✔"),"")</f>
        <v/>
      </c>
    </row>
    <row r="487" customFormat="false" ht="15" hidden="false" customHeight="false" outlineLevel="0" collapsed="false">
      <c r="A487" s="49"/>
      <c r="B487" s="50"/>
      <c r="C487" s="49"/>
      <c r="D487" s="51" t="str">
        <f aca="false">IF(C487="","",IFERROR(INDEX('شجرة الحسابات'!$B$9:$B$208,MATCH(C487,'شجرة الحسابات'!$A$9:$A$208,0)),"⚠ حساب غير معرف"))</f>
        <v/>
      </c>
      <c r="E487" s="52"/>
      <c r="F487" s="52"/>
      <c r="G487" s="53"/>
      <c r="H487" s="53"/>
      <c r="I487" s="54" t="str">
        <f aca="false">IF(A487="",IF(M487="فارغ","","✖ بدون رقم قيد"),IF(COUNTIFS('قيود اليومية'!$A$11:$A$1010,A487,'قيود اليومية'!$M$11:$M$1010,"&lt;&gt;OK",'قيود اليومية'!$M$11:$M$1010,"&lt;&gt;فارغ")&gt;0,"✖ خطأ بالحساب",IF(ROUND(SUMIFS('قيود اليومية'!$G$11:$G$1010,'قيود اليومية'!$A$11:$A$1010,A487)-SUMIFS('قيود اليومية'!$H$11:$H$1010,'قيود اليومية'!$A$11:$A$1010,A487),2)&lt;&gt;0,"✖ غير متوازن","مرحل ✔")))</f>
        <v/>
      </c>
      <c r="J487" s="55" t="str">
        <f aca="false">IF(C487="","",IFERROR(INDEX('شجرة الحسابات'!$E$9:$E$208,MATCH(C487,'شجرة الحسابات'!$A$9:$A$208,0))&amp;"",""))</f>
        <v/>
      </c>
      <c r="K487" s="55" t="str">
        <f aca="false">IF(C487="","",IFERROR(INDEX('شجرة الحسابات'!$I$9:$I$208,MATCH(C487,'شجرة الحسابات'!$A$9:$A$208,0))&amp;"",""))</f>
        <v/>
      </c>
      <c r="L487" s="55" t="str">
        <f aca="false">IF(C487="","",IFERROR(INDEX('شجرة الحسابات'!$C$9:$C$208,MATCH(C487,'شجرة الحسابات'!$A$9:$A$208,0))&amp;"",""))</f>
        <v/>
      </c>
      <c r="M487" s="55" t="str">
        <f aca="false">IF(AND(C487="",G487="",H487=""),"فارغ",IF(ISNA(MATCH(C487,'شجرة الحسابات'!$A$9:$A$208,0)),"حساب غير معرف",IF(L487&lt;&gt;"تحليلي","حساب تجميعي",IF(AND(N(G487)&gt;0,N(H487)&gt;0),"مدين ودائن معاً",IF(N(G487)+N(H487)=0,"بدون قيمة","OK")))))</f>
        <v>فارغ</v>
      </c>
      <c r="N487" s="55" t="str">
        <f aca="false">IF(AND(E487&lt;&gt;"",E487='كشف حساب مشروع'!$C$6,I487="مرحل ✔"),COUNTIFS($E$11:E487,'كشف حساب مشروع'!$C$6,$I$11:I487,"مرحل ✔"),"")</f>
        <v/>
      </c>
      <c r="O487" s="55" t="str">
        <f aca="false">IF(AND(C487&lt;&gt;"",C487='دفتر الأستاذ'!$C$6,I487="مرحل ✔"),COUNTIFS($C$11:C487,'دفتر الأستاذ'!$C$6,$I$11:I487,"مرحل ✔"),"")</f>
        <v/>
      </c>
    </row>
    <row r="488" customFormat="false" ht="15" hidden="false" customHeight="false" outlineLevel="0" collapsed="false">
      <c r="A488" s="49"/>
      <c r="B488" s="50"/>
      <c r="C488" s="49"/>
      <c r="D488" s="51" t="str">
        <f aca="false">IF(C488="","",IFERROR(INDEX('شجرة الحسابات'!$B$9:$B$208,MATCH(C488,'شجرة الحسابات'!$A$9:$A$208,0)),"⚠ حساب غير معرف"))</f>
        <v/>
      </c>
      <c r="E488" s="52"/>
      <c r="F488" s="52"/>
      <c r="G488" s="53"/>
      <c r="H488" s="53"/>
      <c r="I488" s="54" t="str">
        <f aca="false">IF(A488="",IF(M488="فارغ","","✖ بدون رقم قيد"),IF(COUNTIFS('قيود اليومية'!$A$11:$A$1010,A488,'قيود اليومية'!$M$11:$M$1010,"&lt;&gt;OK",'قيود اليومية'!$M$11:$M$1010,"&lt;&gt;فارغ")&gt;0,"✖ خطأ بالحساب",IF(ROUND(SUMIFS('قيود اليومية'!$G$11:$G$1010,'قيود اليومية'!$A$11:$A$1010,A488)-SUMIFS('قيود اليومية'!$H$11:$H$1010,'قيود اليومية'!$A$11:$A$1010,A488),2)&lt;&gt;0,"✖ غير متوازن","مرحل ✔")))</f>
        <v/>
      </c>
      <c r="J488" s="55" t="str">
        <f aca="false">IF(C488="","",IFERROR(INDEX('شجرة الحسابات'!$E$9:$E$208,MATCH(C488,'شجرة الحسابات'!$A$9:$A$208,0))&amp;"",""))</f>
        <v/>
      </c>
      <c r="K488" s="55" t="str">
        <f aca="false">IF(C488="","",IFERROR(INDEX('شجرة الحسابات'!$I$9:$I$208,MATCH(C488,'شجرة الحسابات'!$A$9:$A$208,0))&amp;"",""))</f>
        <v/>
      </c>
      <c r="L488" s="55" t="str">
        <f aca="false">IF(C488="","",IFERROR(INDEX('شجرة الحسابات'!$C$9:$C$208,MATCH(C488,'شجرة الحسابات'!$A$9:$A$208,0))&amp;"",""))</f>
        <v/>
      </c>
      <c r="M488" s="55" t="str">
        <f aca="false">IF(AND(C488="",G488="",H488=""),"فارغ",IF(ISNA(MATCH(C488,'شجرة الحسابات'!$A$9:$A$208,0)),"حساب غير معرف",IF(L488&lt;&gt;"تحليلي","حساب تجميعي",IF(AND(N(G488)&gt;0,N(H488)&gt;0),"مدين ودائن معاً",IF(N(G488)+N(H488)=0,"بدون قيمة","OK")))))</f>
        <v>فارغ</v>
      </c>
      <c r="N488" s="55" t="str">
        <f aca="false">IF(AND(E488&lt;&gt;"",E488='كشف حساب مشروع'!$C$6,I488="مرحل ✔"),COUNTIFS($E$11:E488,'كشف حساب مشروع'!$C$6,$I$11:I488,"مرحل ✔"),"")</f>
        <v/>
      </c>
      <c r="O488" s="55" t="str">
        <f aca="false">IF(AND(C488&lt;&gt;"",C488='دفتر الأستاذ'!$C$6,I488="مرحل ✔"),COUNTIFS($C$11:C488,'دفتر الأستاذ'!$C$6,$I$11:I488,"مرحل ✔"),"")</f>
        <v/>
      </c>
    </row>
    <row r="489" customFormat="false" ht="15" hidden="false" customHeight="false" outlineLevel="0" collapsed="false">
      <c r="A489" s="49"/>
      <c r="B489" s="50"/>
      <c r="C489" s="49"/>
      <c r="D489" s="51" t="str">
        <f aca="false">IF(C489="","",IFERROR(INDEX('شجرة الحسابات'!$B$9:$B$208,MATCH(C489,'شجرة الحسابات'!$A$9:$A$208,0)),"⚠ حساب غير معرف"))</f>
        <v/>
      </c>
      <c r="E489" s="52"/>
      <c r="F489" s="52"/>
      <c r="G489" s="53"/>
      <c r="H489" s="53"/>
      <c r="I489" s="54" t="str">
        <f aca="false">IF(A489="",IF(M489="فارغ","","✖ بدون رقم قيد"),IF(COUNTIFS('قيود اليومية'!$A$11:$A$1010,A489,'قيود اليومية'!$M$11:$M$1010,"&lt;&gt;OK",'قيود اليومية'!$M$11:$M$1010,"&lt;&gt;فارغ")&gt;0,"✖ خطأ بالحساب",IF(ROUND(SUMIFS('قيود اليومية'!$G$11:$G$1010,'قيود اليومية'!$A$11:$A$1010,A489)-SUMIFS('قيود اليومية'!$H$11:$H$1010,'قيود اليومية'!$A$11:$A$1010,A489),2)&lt;&gt;0,"✖ غير متوازن","مرحل ✔")))</f>
        <v/>
      </c>
      <c r="J489" s="55" t="str">
        <f aca="false">IF(C489="","",IFERROR(INDEX('شجرة الحسابات'!$E$9:$E$208,MATCH(C489,'شجرة الحسابات'!$A$9:$A$208,0))&amp;"",""))</f>
        <v/>
      </c>
      <c r="K489" s="55" t="str">
        <f aca="false">IF(C489="","",IFERROR(INDEX('شجرة الحسابات'!$I$9:$I$208,MATCH(C489,'شجرة الحسابات'!$A$9:$A$208,0))&amp;"",""))</f>
        <v/>
      </c>
      <c r="L489" s="55" t="str">
        <f aca="false">IF(C489="","",IFERROR(INDEX('شجرة الحسابات'!$C$9:$C$208,MATCH(C489,'شجرة الحسابات'!$A$9:$A$208,0))&amp;"",""))</f>
        <v/>
      </c>
      <c r="M489" s="55" t="str">
        <f aca="false">IF(AND(C489="",G489="",H489=""),"فارغ",IF(ISNA(MATCH(C489,'شجرة الحسابات'!$A$9:$A$208,0)),"حساب غير معرف",IF(L489&lt;&gt;"تحليلي","حساب تجميعي",IF(AND(N(G489)&gt;0,N(H489)&gt;0),"مدين ودائن معاً",IF(N(G489)+N(H489)=0,"بدون قيمة","OK")))))</f>
        <v>فارغ</v>
      </c>
      <c r="N489" s="55" t="str">
        <f aca="false">IF(AND(E489&lt;&gt;"",E489='كشف حساب مشروع'!$C$6,I489="مرحل ✔"),COUNTIFS($E$11:E489,'كشف حساب مشروع'!$C$6,$I$11:I489,"مرحل ✔"),"")</f>
        <v/>
      </c>
      <c r="O489" s="55" t="str">
        <f aca="false">IF(AND(C489&lt;&gt;"",C489='دفتر الأستاذ'!$C$6,I489="مرحل ✔"),COUNTIFS($C$11:C489,'دفتر الأستاذ'!$C$6,$I$11:I489,"مرحل ✔"),"")</f>
        <v/>
      </c>
    </row>
    <row r="490" customFormat="false" ht="15" hidden="false" customHeight="false" outlineLevel="0" collapsed="false">
      <c r="A490" s="49"/>
      <c r="B490" s="50"/>
      <c r="C490" s="49"/>
      <c r="D490" s="51" t="str">
        <f aca="false">IF(C490="","",IFERROR(INDEX('شجرة الحسابات'!$B$9:$B$208,MATCH(C490,'شجرة الحسابات'!$A$9:$A$208,0)),"⚠ حساب غير معرف"))</f>
        <v/>
      </c>
      <c r="E490" s="52"/>
      <c r="F490" s="52"/>
      <c r="G490" s="53"/>
      <c r="H490" s="53"/>
      <c r="I490" s="54" t="str">
        <f aca="false">IF(A490="",IF(M490="فارغ","","✖ بدون رقم قيد"),IF(COUNTIFS('قيود اليومية'!$A$11:$A$1010,A490,'قيود اليومية'!$M$11:$M$1010,"&lt;&gt;OK",'قيود اليومية'!$M$11:$M$1010,"&lt;&gt;فارغ")&gt;0,"✖ خطأ بالحساب",IF(ROUND(SUMIFS('قيود اليومية'!$G$11:$G$1010,'قيود اليومية'!$A$11:$A$1010,A490)-SUMIFS('قيود اليومية'!$H$11:$H$1010,'قيود اليومية'!$A$11:$A$1010,A490),2)&lt;&gt;0,"✖ غير متوازن","مرحل ✔")))</f>
        <v/>
      </c>
      <c r="J490" s="55" t="str">
        <f aca="false">IF(C490="","",IFERROR(INDEX('شجرة الحسابات'!$E$9:$E$208,MATCH(C490,'شجرة الحسابات'!$A$9:$A$208,0))&amp;"",""))</f>
        <v/>
      </c>
      <c r="K490" s="55" t="str">
        <f aca="false">IF(C490="","",IFERROR(INDEX('شجرة الحسابات'!$I$9:$I$208,MATCH(C490,'شجرة الحسابات'!$A$9:$A$208,0))&amp;"",""))</f>
        <v/>
      </c>
      <c r="L490" s="55" t="str">
        <f aca="false">IF(C490="","",IFERROR(INDEX('شجرة الحسابات'!$C$9:$C$208,MATCH(C490,'شجرة الحسابات'!$A$9:$A$208,0))&amp;"",""))</f>
        <v/>
      </c>
      <c r="M490" s="55" t="str">
        <f aca="false">IF(AND(C490="",G490="",H490=""),"فارغ",IF(ISNA(MATCH(C490,'شجرة الحسابات'!$A$9:$A$208,0)),"حساب غير معرف",IF(L490&lt;&gt;"تحليلي","حساب تجميعي",IF(AND(N(G490)&gt;0,N(H490)&gt;0),"مدين ودائن معاً",IF(N(G490)+N(H490)=0,"بدون قيمة","OK")))))</f>
        <v>فارغ</v>
      </c>
      <c r="N490" s="55" t="str">
        <f aca="false">IF(AND(E490&lt;&gt;"",E490='كشف حساب مشروع'!$C$6,I490="مرحل ✔"),COUNTIFS($E$11:E490,'كشف حساب مشروع'!$C$6,$I$11:I490,"مرحل ✔"),"")</f>
        <v/>
      </c>
      <c r="O490" s="55" t="str">
        <f aca="false">IF(AND(C490&lt;&gt;"",C490='دفتر الأستاذ'!$C$6,I490="مرحل ✔"),COUNTIFS($C$11:C490,'دفتر الأستاذ'!$C$6,$I$11:I490,"مرحل ✔"),"")</f>
        <v/>
      </c>
    </row>
    <row r="491" customFormat="false" ht="15" hidden="false" customHeight="false" outlineLevel="0" collapsed="false">
      <c r="A491" s="49"/>
      <c r="B491" s="50"/>
      <c r="C491" s="49"/>
      <c r="D491" s="51" t="str">
        <f aca="false">IF(C491="","",IFERROR(INDEX('شجرة الحسابات'!$B$9:$B$208,MATCH(C491,'شجرة الحسابات'!$A$9:$A$208,0)),"⚠ حساب غير معرف"))</f>
        <v/>
      </c>
      <c r="E491" s="52"/>
      <c r="F491" s="52"/>
      <c r="G491" s="53"/>
      <c r="H491" s="53"/>
      <c r="I491" s="54" t="str">
        <f aca="false">IF(A491="",IF(M491="فارغ","","✖ بدون رقم قيد"),IF(COUNTIFS('قيود اليومية'!$A$11:$A$1010,A491,'قيود اليومية'!$M$11:$M$1010,"&lt;&gt;OK",'قيود اليومية'!$M$11:$M$1010,"&lt;&gt;فارغ")&gt;0,"✖ خطأ بالحساب",IF(ROUND(SUMIFS('قيود اليومية'!$G$11:$G$1010,'قيود اليومية'!$A$11:$A$1010,A491)-SUMIFS('قيود اليومية'!$H$11:$H$1010,'قيود اليومية'!$A$11:$A$1010,A491),2)&lt;&gt;0,"✖ غير متوازن","مرحل ✔")))</f>
        <v/>
      </c>
      <c r="J491" s="55" t="str">
        <f aca="false">IF(C491="","",IFERROR(INDEX('شجرة الحسابات'!$E$9:$E$208,MATCH(C491,'شجرة الحسابات'!$A$9:$A$208,0))&amp;"",""))</f>
        <v/>
      </c>
      <c r="K491" s="55" t="str">
        <f aca="false">IF(C491="","",IFERROR(INDEX('شجرة الحسابات'!$I$9:$I$208,MATCH(C491,'شجرة الحسابات'!$A$9:$A$208,0))&amp;"",""))</f>
        <v/>
      </c>
      <c r="L491" s="55" t="str">
        <f aca="false">IF(C491="","",IFERROR(INDEX('شجرة الحسابات'!$C$9:$C$208,MATCH(C491,'شجرة الحسابات'!$A$9:$A$208,0))&amp;"",""))</f>
        <v/>
      </c>
      <c r="M491" s="55" t="str">
        <f aca="false">IF(AND(C491="",G491="",H491=""),"فارغ",IF(ISNA(MATCH(C491,'شجرة الحسابات'!$A$9:$A$208,0)),"حساب غير معرف",IF(L491&lt;&gt;"تحليلي","حساب تجميعي",IF(AND(N(G491)&gt;0,N(H491)&gt;0),"مدين ودائن معاً",IF(N(G491)+N(H491)=0,"بدون قيمة","OK")))))</f>
        <v>فارغ</v>
      </c>
      <c r="N491" s="55" t="str">
        <f aca="false">IF(AND(E491&lt;&gt;"",E491='كشف حساب مشروع'!$C$6,I491="مرحل ✔"),COUNTIFS($E$11:E491,'كشف حساب مشروع'!$C$6,$I$11:I491,"مرحل ✔"),"")</f>
        <v/>
      </c>
      <c r="O491" s="55" t="str">
        <f aca="false">IF(AND(C491&lt;&gt;"",C491='دفتر الأستاذ'!$C$6,I491="مرحل ✔"),COUNTIFS($C$11:C491,'دفتر الأستاذ'!$C$6,$I$11:I491,"مرحل ✔"),"")</f>
        <v/>
      </c>
    </row>
    <row r="492" customFormat="false" ht="15" hidden="false" customHeight="false" outlineLevel="0" collapsed="false">
      <c r="A492" s="49"/>
      <c r="B492" s="50"/>
      <c r="C492" s="49"/>
      <c r="D492" s="51" t="str">
        <f aca="false">IF(C492="","",IFERROR(INDEX('شجرة الحسابات'!$B$9:$B$208,MATCH(C492,'شجرة الحسابات'!$A$9:$A$208,0)),"⚠ حساب غير معرف"))</f>
        <v/>
      </c>
      <c r="E492" s="52"/>
      <c r="F492" s="52"/>
      <c r="G492" s="53"/>
      <c r="H492" s="53"/>
      <c r="I492" s="54" t="str">
        <f aca="false">IF(A492="",IF(M492="فارغ","","✖ بدون رقم قيد"),IF(COUNTIFS('قيود اليومية'!$A$11:$A$1010,A492,'قيود اليومية'!$M$11:$M$1010,"&lt;&gt;OK",'قيود اليومية'!$M$11:$M$1010,"&lt;&gt;فارغ")&gt;0,"✖ خطأ بالحساب",IF(ROUND(SUMIFS('قيود اليومية'!$G$11:$G$1010,'قيود اليومية'!$A$11:$A$1010,A492)-SUMIFS('قيود اليومية'!$H$11:$H$1010,'قيود اليومية'!$A$11:$A$1010,A492),2)&lt;&gt;0,"✖ غير متوازن","مرحل ✔")))</f>
        <v/>
      </c>
      <c r="J492" s="55" t="str">
        <f aca="false">IF(C492="","",IFERROR(INDEX('شجرة الحسابات'!$E$9:$E$208,MATCH(C492,'شجرة الحسابات'!$A$9:$A$208,0))&amp;"",""))</f>
        <v/>
      </c>
      <c r="K492" s="55" t="str">
        <f aca="false">IF(C492="","",IFERROR(INDEX('شجرة الحسابات'!$I$9:$I$208,MATCH(C492,'شجرة الحسابات'!$A$9:$A$208,0))&amp;"",""))</f>
        <v/>
      </c>
      <c r="L492" s="55" t="str">
        <f aca="false">IF(C492="","",IFERROR(INDEX('شجرة الحسابات'!$C$9:$C$208,MATCH(C492,'شجرة الحسابات'!$A$9:$A$208,0))&amp;"",""))</f>
        <v/>
      </c>
      <c r="M492" s="55" t="str">
        <f aca="false">IF(AND(C492="",G492="",H492=""),"فارغ",IF(ISNA(MATCH(C492,'شجرة الحسابات'!$A$9:$A$208,0)),"حساب غير معرف",IF(L492&lt;&gt;"تحليلي","حساب تجميعي",IF(AND(N(G492)&gt;0,N(H492)&gt;0),"مدين ودائن معاً",IF(N(G492)+N(H492)=0,"بدون قيمة","OK")))))</f>
        <v>فارغ</v>
      </c>
      <c r="N492" s="55" t="str">
        <f aca="false">IF(AND(E492&lt;&gt;"",E492='كشف حساب مشروع'!$C$6,I492="مرحل ✔"),COUNTIFS($E$11:E492,'كشف حساب مشروع'!$C$6,$I$11:I492,"مرحل ✔"),"")</f>
        <v/>
      </c>
      <c r="O492" s="55" t="str">
        <f aca="false">IF(AND(C492&lt;&gt;"",C492='دفتر الأستاذ'!$C$6,I492="مرحل ✔"),COUNTIFS($C$11:C492,'دفتر الأستاذ'!$C$6,$I$11:I492,"مرحل ✔"),"")</f>
        <v/>
      </c>
    </row>
    <row r="493" customFormat="false" ht="15" hidden="false" customHeight="false" outlineLevel="0" collapsed="false">
      <c r="A493" s="49"/>
      <c r="B493" s="50"/>
      <c r="C493" s="49"/>
      <c r="D493" s="51" t="str">
        <f aca="false">IF(C493="","",IFERROR(INDEX('شجرة الحسابات'!$B$9:$B$208,MATCH(C493,'شجرة الحسابات'!$A$9:$A$208,0)),"⚠ حساب غير معرف"))</f>
        <v/>
      </c>
      <c r="E493" s="52"/>
      <c r="F493" s="52"/>
      <c r="G493" s="53"/>
      <c r="H493" s="53"/>
      <c r="I493" s="54" t="str">
        <f aca="false">IF(A493="",IF(M493="فارغ","","✖ بدون رقم قيد"),IF(COUNTIFS('قيود اليومية'!$A$11:$A$1010,A493,'قيود اليومية'!$M$11:$M$1010,"&lt;&gt;OK",'قيود اليومية'!$M$11:$M$1010,"&lt;&gt;فارغ")&gt;0,"✖ خطأ بالحساب",IF(ROUND(SUMIFS('قيود اليومية'!$G$11:$G$1010,'قيود اليومية'!$A$11:$A$1010,A493)-SUMIFS('قيود اليومية'!$H$11:$H$1010,'قيود اليومية'!$A$11:$A$1010,A493),2)&lt;&gt;0,"✖ غير متوازن","مرحل ✔")))</f>
        <v/>
      </c>
      <c r="J493" s="55" t="str">
        <f aca="false">IF(C493="","",IFERROR(INDEX('شجرة الحسابات'!$E$9:$E$208,MATCH(C493,'شجرة الحسابات'!$A$9:$A$208,0))&amp;"",""))</f>
        <v/>
      </c>
      <c r="K493" s="55" t="str">
        <f aca="false">IF(C493="","",IFERROR(INDEX('شجرة الحسابات'!$I$9:$I$208,MATCH(C493,'شجرة الحسابات'!$A$9:$A$208,0))&amp;"",""))</f>
        <v/>
      </c>
      <c r="L493" s="55" t="str">
        <f aca="false">IF(C493="","",IFERROR(INDEX('شجرة الحسابات'!$C$9:$C$208,MATCH(C493,'شجرة الحسابات'!$A$9:$A$208,0))&amp;"",""))</f>
        <v/>
      </c>
      <c r="M493" s="55" t="str">
        <f aca="false">IF(AND(C493="",G493="",H493=""),"فارغ",IF(ISNA(MATCH(C493,'شجرة الحسابات'!$A$9:$A$208,0)),"حساب غير معرف",IF(L493&lt;&gt;"تحليلي","حساب تجميعي",IF(AND(N(G493)&gt;0,N(H493)&gt;0),"مدين ودائن معاً",IF(N(G493)+N(H493)=0,"بدون قيمة","OK")))))</f>
        <v>فارغ</v>
      </c>
      <c r="N493" s="55" t="str">
        <f aca="false">IF(AND(E493&lt;&gt;"",E493='كشف حساب مشروع'!$C$6,I493="مرحل ✔"),COUNTIFS($E$11:E493,'كشف حساب مشروع'!$C$6,$I$11:I493,"مرحل ✔"),"")</f>
        <v/>
      </c>
      <c r="O493" s="55" t="str">
        <f aca="false">IF(AND(C493&lt;&gt;"",C493='دفتر الأستاذ'!$C$6,I493="مرحل ✔"),COUNTIFS($C$11:C493,'دفتر الأستاذ'!$C$6,$I$11:I493,"مرحل ✔"),"")</f>
        <v/>
      </c>
    </row>
    <row r="494" customFormat="false" ht="15" hidden="false" customHeight="false" outlineLevel="0" collapsed="false">
      <c r="A494" s="49"/>
      <c r="B494" s="50"/>
      <c r="C494" s="49"/>
      <c r="D494" s="51" t="str">
        <f aca="false">IF(C494="","",IFERROR(INDEX('شجرة الحسابات'!$B$9:$B$208,MATCH(C494,'شجرة الحسابات'!$A$9:$A$208,0)),"⚠ حساب غير معرف"))</f>
        <v/>
      </c>
      <c r="E494" s="52"/>
      <c r="F494" s="52"/>
      <c r="G494" s="53"/>
      <c r="H494" s="53"/>
      <c r="I494" s="54" t="str">
        <f aca="false">IF(A494="",IF(M494="فارغ","","✖ بدون رقم قيد"),IF(COUNTIFS('قيود اليومية'!$A$11:$A$1010,A494,'قيود اليومية'!$M$11:$M$1010,"&lt;&gt;OK",'قيود اليومية'!$M$11:$M$1010,"&lt;&gt;فارغ")&gt;0,"✖ خطأ بالحساب",IF(ROUND(SUMIFS('قيود اليومية'!$G$11:$G$1010,'قيود اليومية'!$A$11:$A$1010,A494)-SUMIFS('قيود اليومية'!$H$11:$H$1010,'قيود اليومية'!$A$11:$A$1010,A494),2)&lt;&gt;0,"✖ غير متوازن","مرحل ✔")))</f>
        <v/>
      </c>
      <c r="J494" s="55" t="str">
        <f aca="false">IF(C494="","",IFERROR(INDEX('شجرة الحسابات'!$E$9:$E$208,MATCH(C494,'شجرة الحسابات'!$A$9:$A$208,0))&amp;"",""))</f>
        <v/>
      </c>
      <c r="K494" s="55" t="str">
        <f aca="false">IF(C494="","",IFERROR(INDEX('شجرة الحسابات'!$I$9:$I$208,MATCH(C494,'شجرة الحسابات'!$A$9:$A$208,0))&amp;"",""))</f>
        <v/>
      </c>
      <c r="L494" s="55" t="str">
        <f aca="false">IF(C494="","",IFERROR(INDEX('شجرة الحسابات'!$C$9:$C$208,MATCH(C494,'شجرة الحسابات'!$A$9:$A$208,0))&amp;"",""))</f>
        <v/>
      </c>
      <c r="M494" s="55" t="str">
        <f aca="false">IF(AND(C494="",G494="",H494=""),"فارغ",IF(ISNA(MATCH(C494,'شجرة الحسابات'!$A$9:$A$208,0)),"حساب غير معرف",IF(L494&lt;&gt;"تحليلي","حساب تجميعي",IF(AND(N(G494)&gt;0,N(H494)&gt;0),"مدين ودائن معاً",IF(N(G494)+N(H494)=0,"بدون قيمة","OK")))))</f>
        <v>فارغ</v>
      </c>
      <c r="N494" s="55" t="str">
        <f aca="false">IF(AND(E494&lt;&gt;"",E494='كشف حساب مشروع'!$C$6,I494="مرحل ✔"),COUNTIFS($E$11:E494,'كشف حساب مشروع'!$C$6,$I$11:I494,"مرحل ✔"),"")</f>
        <v/>
      </c>
      <c r="O494" s="55" t="str">
        <f aca="false">IF(AND(C494&lt;&gt;"",C494='دفتر الأستاذ'!$C$6,I494="مرحل ✔"),COUNTIFS($C$11:C494,'دفتر الأستاذ'!$C$6,$I$11:I494,"مرحل ✔"),"")</f>
        <v/>
      </c>
    </row>
    <row r="495" customFormat="false" ht="15" hidden="false" customHeight="false" outlineLevel="0" collapsed="false">
      <c r="A495" s="49"/>
      <c r="B495" s="50"/>
      <c r="C495" s="49"/>
      <c r="D495" s="51" t="str">
        <f aca="false">IF(C495="","",IFERROR(INDEX('شجرة الحسابات'!$B$9:$B$208,MATCH(C495,'شجرة الحسابات'!$A$9:$A$208,0)),"⚠ حساب غير معرف"))</f>
        <v/>
      </c>
      <c r="E495" s="52"/>
      <c r="F495" s="52"/>
      <c r="G495" s="53"/>
      <c r="H495" s="53"/>
      <c r="I495" s="54" t="str">
        <f aca="false">IF(A495="",IF(M495="فارغ","","✖ بدون رقم قيد"),IF(COUNTIFS('قيود اليومية'!$A$11:$A$1010,A495,'قيود اليومية'!$M$11:$M$1010,"&lt;&gt;OK",'قيود اليومية'!$M$11:$M$1010,"&lt;&gt;فارغ")&gt;0,"✖ خطأ بالحساب",IF(ROUND(SUMIFS('قيود اليومية'!$G$11:$G$1010,'قيود اليومية'!$A$11:$A$1010,A495)-SUMIFS('قيود اليومية'!$H$11:$H$1010,'قيود اليومية'!$A$11:$A$1010,A495),2)&lt;&gt;0,"✖ غير متوازن","مرحل ✔")))</f>
        <v/>
      </c>
      <c r="J495" s="55" t="str">
        <f aca="false">IF(C495="","",IFERROR(INDEX('شجرة الحسابات'!$E$9:$E$208,MATCH(C495,'شجرة الحسابات'!$A$9:$A$208,0))&amp;"",""))</f>
        <v/>
      </c>
      <c r="K495" s="55" t="str">
        <f aca="false">IF(C495="","",IFERROR(INDEX('شجرة الحسابات'!$I$9:$I$208,MATCH(C495,'شجرة الحسابات'!$A$9:$A$208,0))&amp;"",""))</f>
        <v/>
      </c>
      <c r="L495" s="55" t="str">
        <f aca="false">IF(C495="","",IFERROR(INDEX('شجرة الحسابات'!$C$9:$C$208,MATCH(C495,'شجرة الحسابات'!$A$9:$A$208,0))&amp;"",""))</f>
        <v/>
      </c>
      <c r="M495" s="55" t="str">
        <f aca="false">IF(AND(C495="",G495="",H495=""),"فارغ",IF(ISNA(MATCH(C495,'شجرة الحسابات'!$A$9:$A$208,0)),"حساب غير معرف",IF(L495&lt;&gt;"تحليلي","حساب تجميعي",IF(AND(N(G495)&gt;0,N(H495)&gt;0),"مدين ودائن معاً",IF(N(G495)+N(H495)=0,"بدون قيمة","OK")))))</f>
        <v>فارغ</v>
      </c>
      <c r="N495" s="55" t="str">
        <f aca="false">IF(AND(E495&lt;&gt;"",E495='كشف حساب مشروع'!$C$6,I495="مرحل ✔"),COUNTIFS($E$11:E495,'كشف حساب مشروع'!$C$6,$I$11:I495,"مرحل ✔"),"")</f>
        <v/>
      </c>
      <c r="O495" s="55" t="str">
        <f aca="false">IF(AND(C495&lt;&gt;"",C495='دفتر الأستاذ'!$C$6,I495="مرحل ✔"),COUNTIFS($C$11:C495,'دفتر الأستاذ'!$C$6,$I$11:I495,"مرحل ✔"),"")</f>
        <v/>
      </c>
    </row>
    <row r="496" customFormat="false" ht="15" hidden="false" customHeight="false" outlineLevel="0" collapsed="false">
      <c r="A496" s="49"/>
      <c r="B496" s="50"/>
      <c r="C496" s="49"/>
      <c r="D496" s="51" t="str">
        <f aca="false">IF(C496="","",IFERROR(INDEX('شجرة الحسابات'!$B$9:$B$208,MATCH(C496,'شجرة الحسابات'!$A$9:$A$208,0)),"⚠ حساب غير معرف"))</f>
        <v/>
      </c>
      <c r="E496" s="52"/>
      <c r="F496" s="52"/>
      <c r="G496" s="53"/>
      <c r="H496" s="53"/>
      <c r="I496" s="54" t="str">
        <f aca="false">IF(A496="",IF(M496="فارغ","","✖ بدون رقم قيد"),IF(COUNTIFS('قيود اليومية'!$A$11:$A$1010,A496,'قيود اليومية'!$M$11:$M$1010,"&lt;&gt;OK",'قيود اليومية'!$M$11:$M$1010,"&lt;&gt;فارغ")&gt;0,"✖ خطأ بالحساب",IF(ROUND(SUMIFS('قيود اليومية'!$G$11:$G$1010,'قيود اليومية'!$A$11:$A$1010,A496)-SUMIFS('قيود اليومية'!$H$11:$H$1010,'قيود اليومية'!$A$11:$A$1010,A496),2)&lt;&gt;0,"✖ غير متوازن","مرحل ✔")))</f>
        <v/>
      </c>
      <c r="J496" s="55" t="str">
        <f aca="false">IF(C496="","",IFERROR(INDEX('شجرة الحسابات'!$E$9:$E$208,MATCH(C496,'شجرة الحسابات'!$A$9:$A$208,0))&amp;"",""))</f>
        <v/>
      </c>
      <c r="K496" s="55" t="str">
        <f aca="false">IF(C496="","",IFERROR(INDEX('شجرة الحسابات'!$I$9:$I$208,MATCH(C496,'شجرة الحسابات'!$A$9:$A$208,0))&amp;"",""))</f>
        <v/>
      </c>
      <c r="L496" s="55" t="str">
        <f aca="false">IF(C496="","",IFERROR(INDEX('شجرة الحسابات'!$C$9:$C$208,MATCH(C496,'شجرة الحسابات'!$A$9:$A$208,0))&amp;"",""))</f>
        <v/>
      </c>
      <c r="M496" s="55" t="str">
        <f aca="false">IF(AND(C496="",G496="",H496=""),"فارغ",IF(ISNA(MATCH(C496,'شجرة الحسابات'!$A$9:$A$208,0)),"حساب غير معرف",IF(L496&lt;&gt;"تحليلي","حساب تجميعي",IF(AND(N(G496)&gt;0,N(H496)&gt;0),"مدين ودائن معاً",IF(N(G496)+N(H496)=0,"بدون قيمة","OK")))))</f>
        <v>فارغ</v>
      </c>
      <c r="N496" s="55" t="str">
        <f aca="false">IF(AND(E496&lt;&gt;"",E496='كشف حساب مشروع'!$C$6,I496="مرحل ✔"),COUNTIFS($E$11:E496,'كشف حساب مشروع'!$C$6,$I$11:I496,"مرحل ✔"),"")</f>
        <v/>
      </c>
      <c r="O496" s="55" t="str">
        <f aca="false">IF(AND(C496&lt;&gt;"",C496='دفتر الأستاذ'!$C$6,I496="مرحل ✔"),COUNTIFS($C$11:C496,'دفتر الأستاذ'!$C$6,$I$11:I496,"مرحل ✔"),"")</f>
        <v/>
      </c>
    </row>
    <row r="497" customFormat="false" ht="15" hidden="false" customHeight="false" outlineLevel="0" collapsed="false">
      <c r="A497" s="49"/>
      <c r="B497" s="50"/>
      <c r="C497" s="49"/>
      <c r="D497" s="51" t="str">
        <f aca="false">IF(C497="","",IFERROR(INDEX('شجرة الحسابات'!$B$9:$B$208,MATCH(C497,'شجرة الحسابات'!$A$9:$A$208,0)),"⚠ حساب غير معرف"))</f>
        <v/>
      </c>
      <c r="E497" s="52"/>
      <c r="F497" s="52"/>
      <c r="G497" s="53"/>
      <c r="H497" s="53"/>
      <c r="I497" s="54" t="str">
        <f aca="false">IF(A497="",IF(M497="فارغ","","✖ بدون رقم قيد"),IF(COUNTIFS('قيود اليومية'!$A$11:$A$1010,A497,'قيود اليومية'!$M$11:$M$1010,"&lt;&gt;OK",'قيود اليومية'!$M$11:$M$1010,"&lt;&gt;فارغ")&gt;0,"✖ خطأ بالحساب",IF(ROUND(SUMIFS('قيود اليومية'!$G$11:$G$1010,'قيود اليومية'!$A$11:$A$1010,A497)-SUMIFS('قيود اليومية'!$H$11:$H$1010,'قيود اليومية'!$A$11:$A$1010,A497),2)&lt;&gt;0,"✖ غير متوازن","مرحل ✔")))</f>
        <v/>
      </c>
      <c r="J497" s="55" t="str">
        <f aca="false">IF(C497="","",IFERROR(INDEX('شجرة الحسابات'!$E$9:$E$208,MATCH(C497,'شجرة الحسابات'!$A$9:$A$208,0))&amp;"",""))</f>
        <v/>
      </c>
      <c r="K497" s="55" t="str">
        <f aca="false">IF(C497="","",IFERROR(INDEX('شجرة الحسابات'!$I$9:$I$208,MATCH(C497,'شجرة الحسابات'!$A$9:$A$208,0))&amp;"",""))</f>
        <v/>
      </c>
      <c r="L497" s="55" t="str">
        <f aca="false">IF(C497="","",IFERROR(INDEX('شجرة الحسابات'!$C$9:$C$208,MATCH(C497,'شجرة الحسابات'!$A$9:$A$208,0))&amp;"",""))</f>
        <v/>
      </c>
      <c r="M497" s="55" t="str">
        <f aca="false">IF(AND(C497="",G497="",H497=""),"فارغ",IF(ISNA(MATCH(C497,'شجرة الحسابات'!$A$9:$A$208,0)),"حساب غير معرف",IF(L497&lt;&gt;"تحليلي","حساب تجميعي",IF(AND(N(G497)&gt;0,N(H497)&gt;0),"مدين ودائن معاً",IF(N(G497)+N(H497)=0,"بدون قيمة","OK")))))</f>
        <v>فارغ</v>
      </c>
      <c r="N497" s="55" t="str">
        <f aca="false">IF(AND(E497&lt;&gt;"",E497='كشف حساب مشروع'!$C$6,I497="مرحل ✔"),COUNTIFS($E$11:E497,'كشف حساب مشروع'!$C$6,$I$11:I497,"مرحل ✔"),"")</f>
        <v/>
      </c>
      <c r="O497" s="55" t="str">
        <f aca="false">IF(AND(C497&lt;&gt;"",C497='دفتر الأستاذ'!$C$6,I497="مرحل ✔"),COUNTIFS($C$11:C497,'دفتر الأستاذ'!$C$6,$I$11:I497,"مرحل ✔"),"")</f>
        <v/>
      </c>
    </row>
    <row r="498" customFormat="false" ht="15" hidden="false" customHeight="false" outlineLevel="0" collapsed="false">
      <c r="A498" s="49"/>
      <c r="B498" s="50"/>
      <c r="C498" s="49"/>
      <c r="D498" s="51" t="str">
        <f aca="false">IF(C498="","",IFERROR(INDEX('شجرة الحسابات'!$B$9:$B$208,MATCH(C498,'شجرة الحسابات'!$A$9:$A$208,0)),"⚠ حساب غير معرف"))</f>
        <v/>
      </c>
      <c r="E498" s="52"/>
      <c r="F498" s="52"/>
      <c r="G498" s="53"/>
      <c r="H498" s="53"/>
      <c r="I498" s="54" t="str">
        <f aca="false">IF(A498="",IF(M498="فارغ","","✖ بدون رقم قيد"),IF(COUNTIFS('قيود اليومية'!$A$11:$A$1010,A498,'قيود اليومية'!$M$11:$M$1010,"&lt;&gt;OK",'قيود اليومية'!$M$11:$M$1010,"&lt;&gt;فارغ")&gt;0,"✖ خطأ بالحساب",IF(ROUND(SUMIFS('قيود اليومية'!$G$11:$G$1010,'قيود اليومية'!$A$11:$A$1010,A498)-SUMIFS('قيود اليومية'!$H$11:$H$1010,'قيود اليومية'!$A$11:$A$1010,A498),2)&lt;&gt;0,"✖ غير متوازن","مرحل ✔")))</f>
        <v/>
      </c>
      <c r="J498" s="55" t="str">
        <f aca="false">IF(C498="","",IFERROR(INDEX('شجرة الحسابات'!$E$9:$E$208,MATCH(C498,'شجرة الحسابات'!$A$9:$A$208,0))&amp;"",""))</f>
        <v/>
      </c>
      <c r="K498" s="55" t="str">
        <f aca="false">IF(C498="","",IFERROR(INDEX('شجرة الحسابات'!$I$9:$I$208,MATCH(C498,'شجرة الحسابات'!$A$9:$A$208,0))&amp;"",""))</f>
        <v/>
      </c>
      <c r="L498" s="55" t="str">
        <f aca="false">IF(C498="","",IFERROR(INDEX('شجرة الحسابات'!$C$9:$C$208,MATCH(C498,'شجرة الحسابات'!$A$9:$A$208,0))&amp;"",""))</f>
        <v/>
      </c>
      <c r="M498" s="55" t="str">
        <f aca="false">IF(AND(C498="",G498="",H498=""),"فارغ",IF(ISNA(MATCH(C498,'شجرة الحسابات'!$A$9:$A$208,0)),"حساب غير معرف",IF(L498&lt;&gt;"تحليلي","حساب تجميعي",IF(AND(N(G498)&gt;0,N(H498)&gt;0),"مدين ودائن معاً",IF(N(G498)+N(H498)=0,"بدون قيمة","OK")))))</f>
        <v>فارغ</v>
      </c>
      <c r="N498" s="55" t="str">
        <f aca="false">IF(AND(E498&lt;&gt;"",E498='كشف حساب مشروع'!$C$6,I498="مرحل ✔"),COUNTIFS($E$11:E498,'كشف حساب مشروع'!$C$6,$I$11:I498,"مرحل ✔"),"")</f>
        <v/>
      </c>
      <c r="O498" s="55" t="str">
        <f aca="false">IF(AND(C498&lt;&gt;"",C498='دفتر الأستاذ'!$C$6,I498="مرحل ✔"),COUNTIFS($C$11:C498,'دفتر الأستاذ'!$C$6,$I$11:I498,"مرحل ✔"),"")</f>
        <v/>
      </c>
    </row>
    <row r="499" customFormat="false" ht="15" hidden="false" customHeight="false" outlineLevel="0" collapsed="false">
      <c r="A499" s="49"/>
      <c r="B499" s="50"/>
      <c r="C499" s="49"/>
      <c r="D499" s="51" t="str">
        <f aca="false">IF(C499="","",IFERROR(INDEX('شجرة الحسابات'!$B$9:$B$208,MATCH(C499,'شجرة الحسابات'!$A$9:$A$208,0)),"⚠ حساب غير معرف"))</f>
        <v/>
      </c>
      <c r="E499" s="52"/>
      <c r="F499" s="52"/>
      <c r="G499" s="53"/>
      <c r="H499" s="53"/>
      <c r="I499" s="54" t="str">
        <f aca="false">IF(A499="",IF(M499="فارغ","","✖ بدون رقم قيد"),IF(COUNTIFS('قيود اليومية'!$A$11:$A$1010,A499,'قيود اليومية'!$M$11:$M$1010,"&lt;&gt;OK",'قيود اليومية'!$M$11:$M$1010,"&lt;&gt;فارغ")&gt;0,"✖ خطأ بالحساب",IF(ROUND(SUMIFS('قيود اليومية'!$G$11:$G$1010,'قيود اليومية'!$A$11:$A$1010,A499)-SUMIFS('قيود اليومية'!$H$11:$H$1010,'قيود اليومية'!$A$11:$A$1010,A499),2)&lt;&gt;0,"✖ غير متوازن","مرحل ✔")))</f>
        <v/>
      </c>
      <c r="J499" s="55" t="str">
        <f aca="false">IF(C499="","",IFERROR(INDEX('شجرة الحسابات'!$E$9:$E$208,MATCH(C499,'شجرة الحسابات'!$A$9:$A$208,0))&amp;"",""))</f>
        <v/>
      </c>
      <c r="K499" s="55" t="str">
        <f aca="false">IF(C499="","",IFERROR(INDEX('شجرة الحسابات'!$I$9:$I$208,MATCH(C499,'شجرة الحسابات'!$A$9:$A$208,0))&amp;"",""))</f>
        <v/>
      </c>
      <c r="L499" s="55" t="str">
        <f aca="false">IF(C499="","",IFERROR(INDEX('شجرة الحسابات'!$C$9:$C$208,MATCH(C499,'شجرة الحسابات'!$A$9:$A$208,0))&amp;"",""))</f>
        <v/>
      </c>
      <c r="M499" s="55" t="str">
        <f aca="false">IF(AND(C499="",G499="",H499=""),"فارغ",IF(ISNA(MATCH(C499,'شجرة الحسابات'!$A$9:$A$208,0)),"حساب غير معرف",IF(L499&lt;&gt;"تحليلي","حساب تجميعي",IF(AND(N(G499)&gt;0,N(H499)&gt;0),"مدين ودائن معاً",IF(N(G499)+N(H499)=0,"بدون قيمة","OK")))))</f>
        <v>فارغ</v>
      </c>
      <c r="N499" s="55" t="str">
        <f aca="false">IF(AND(E499&lt;&gt;"",E499='كشف حساب مشروع'!$C$6,I499="مرحل ✔"),COUNTIFS($E$11:E499,'كشف حساب مشروع'!$C$6,$I$11:I499,"مرحل ✔"),"")</f>
        <v/>
      </c>
      <c r="O499" s="55" t="str">
        <f aca="false">IF(AND(C499&lt;&gt;"",C499='دفتر الأستاذ'!$C$6,I499="مرحل ✔"),COUNTIFS($C$11:C499,'دفتر الأستاذ'!$C$6,$I$11:I499,"مرحل ✔"),"")</f>
        <v/>
      </c>
    </row>
    <row r="500" customFormat="false" ht="15" hidden="false" customHeight="false" outlineLevel="0" collapsed="false">
      <c r="A500" s="49"/>
      <c r="B500" s="50"/>
      <c r="C500" s="49"/>
      <c r="D500" s="51" t="str">
        <f aca="false">IF(C500="","",IFERROR(INDEX('شجرة الحسابات'!$B$9:$B$208,MATCH(C500,'شجرة الحسابات'!$A$9:$A$208,0)),"⚠ حساب غير معرف"))</f>
        <v/>
      </c>
      <c r="E500" s="52"/>
      <c r="F500" s="52"/>
      <c r="G500" s="53"/>
      <c r="H500" s="53"/>
      <c r="I500" s="54" t="str">
        <f aca="false">IF(A500="",IF(M500="فارغ","","✖ بدون رقم قيد"),IF(COUNTIFS('قيود اليومية'!$A$11:$A$1010,A500,'قيود اليومية'!$M$11:$M$1010,"&lt;&gt;OK",'قيود اليومية'!$M$11:$M$1010,"&lt;&gt;فارغ")&gt;0,"✖ خطأ بالحساب",IF(ROUND(SUMIFS('قيود اليومية'!$G$11:$G$1010,'قيود اليومية'!$A$11:$A$1010,A500)-SUMIFS('قيود اليومية'!$H$11:$H$1010,'قيود اليومية'!$A$11:$A$1010,A500),2)&lt;&gt;0,"✖ غير متوازن","مرحل ✔")))</f>
        <v/>
      </c>
      <c r="J500" s="55" t="str">
        <f aca="false">IF(C500="","",IFERROR(INDEX('شجرة الحسابات'!$E$9:$E$208,MATCH(C500,'شجرة الحسابات'!$A$9:$A$208,0))&amp;"",""))</f>
        <v/>
      </c>
      <c r="K500" s="55" t="str">
        <f aca="false">IF(C500="","",IFERROR(INDEX('شجرة الحسابات'!$I$9:$I$208,MATCH(C500,'شجرة الحسابات'!$A$9:$A$208,0))&amp;"",""))</f>
        <v/>
      </c>
      <c r="L500" s="55" t="str">
        <f aca="false">IF(C500="","",IFERROR(INDEX('شجرة الحسابات'!$C$9:$C$208,MATCH(C500,'شجرة الحسابات'!$A$9:$A$208,0))&amp;"",""))</f>
        <v/>
      </c>
      <c r="M500" s="55" t="str">
        <f aca="false">IF(AND(C500="",G500="",H500=""),"فارغ",IF(ISNA(MATCH(C500,'شجرة الحسابات'!$A$9:$A$208,0)),"حساب غير معرف",IF(L500&lt;&gt;"تحليلي","حساب تجميعي",IF(AND(N(G500)&gt;0,N(H500)&gt;0),"مدين ودائن معاً",IF(N(G500)+N(H500)=0,"بدون قيمة","OK")))))</f>
        <v>فارغ</v>
      </c>
      <c r="N500" s="55" t="str">
        <f aca="false">IF(AND(E500&lt;&gt;"",E500='كشف حساب مشروع'!$C$6,I500="مرحل ✔"),COUNTIFS($E$11:E500,'كشف حساب مشروع'!$C$6,$I$11:I500,"مرحل ✔"),"")</f>
        <v/>
      </c>
      <c r="O500" s="55" t="str">
        <f aca="false">IF(AND(C500&lt;&gt;"",C500='دفتر الأستاذ'!$C$6,I500="مرحل ✔"),COUNTIFS($C$11:C500,'دفتر الأستاذ'!$C$6,$I$11:I500,"مرحل ✔"),"")</f>
        <v/>
      </c>
    </row>
    <row r="501" customFormat="false" ht="15" hidden="false" customHeight="false" outlineLevel="0" collapsed="false">
      <c r="A501" s="49"/>
      <c r="B501" s="50"/>
      <c r="C501" s="49"/>
      <c r="D501" s="51" t="str">
        <f aca="false">IF(C501="","",IFERROR(INDEX('شجرة الحسابات'!$B$9:$B$208,MATCH(C501,'شجرة الحسابات'!$A$9:$A$208,0)),"⚠ حساب غير معرف"))</f>
        <v/>
      </c>
      <c r="E501" s="52"/>
      <c r="F501" s="52"/>
      <c r="G501" s="53"/>
      <c r="H501" s="53"/>
      <c r="I501" s="54" t="str">
        <f aca="false">IF(A501="",IF(M501="فارغ","","✖ بدون رقم قيد"),IF(COUNTIFS('قيود اليومية'!$A$11:$A$1010,A501,'قيود اليومية'!$M$11:$M$1010,"&lt;&gt;OK",'قيود اليومية'!$M$11:$M$1010,"&lt;&gt;فارغ")&gt;0,"✖ خطأ بالحساب",IF(ROUND(SUMIFS('قيود اليومية'!$G$11:$G$1010,'قيود اليومية'!$A$11:$A$1010,A501)-SUMIFS('قيود اليومية'!$H$11:$H$1010,'قيود اليومية'!$A$11:$A$1010,A501),2)&lt;&gt;0,"✖ غير متوازن","مرحل ✔")))</f>
        <v/>
      </c>
      <c r="J501" s="55" t="str">
        <f aca="false">IF(C501="","",IFERROR(INDEX('شجرة الحسابات'!$E$9:$E$208,MATCH(C501,'شجرة الحسابات'!$A$9:$A$208,0))&amp;"",""))</f>
        <v/>
      </c>
      <c r="K501" s="55" t="str">
        <f aca="false">IF(C501="","",IFERROR(INDEX('شجرة الحسابات'!$I$9:$I$208,MATCH(C501,'شجرة الحسابات'!$A$9:$A$208,0))&amp;"",""))</f>
        <v/>
      </c>
      <c r="L501" s="55" t="str">
        <f aca="false">IF(C501="","",IFERROR(INDEX('شجرة الحسابات'!$C$9:$C$208,MATCH(C501,'شجرة الحسابات'!$A$9:$A$208,0))&amp;"",""))</f>
        <v/>
      </c>
      <c r="M501" s="55" t="str">
        <f aca="false">IF(AND(C501="",G501="",H501=""),"فارغ",IF(ISNA(MATCH(C501,'شجرة الحسابات'!$A$9:$A$208,0)),"حساب غير معرف",IF(L501&lt;&gt;"تحليلي","حساب تجميعي",IF(AND(N(G501)&gt;0,N(H501)&gt;0),"مدين ودائن معاً",IF(N(G501)+N(H501)=0,"بدون قيمة","OK")))))</f>
        <v>فارغ</v>
      </c>
      <c r="N501" s="55" t="str">
        <f aca="false">IF(AND(E501&lt;&gt;"",E501='كشف حساب مشروع'!$C$6,I501="مرحل ✔"),COUNTIFS($E$11:E501,'كشف حساب مشروع'!$C$6,$I$11:I501,"مرحل ✔"),"")</f>
        <v/>
      </c>
      <c r="O501" s="55" t="str">
        <f aca="false">IF(AND(C501&lt;&gt;"",C501='دفتر الأستاذ'!$C$6,I501="مرحل ✔"),COUNTIFS($C$11:C501,'دفتر الأستاذ'!$C$6,$I$11:I501,"مرحل ✔"),"")</f>
        <v/>
      </c>
    </row>
    <row r="502" customFormat="false" ht="15" hidden="false" customHeight="false" outlineLevel="0" collapsed="false">
      <c r="A502" s="49"/>
      <c r="B502" s="50"/>
      <c r="C502" s="49"/>
      <c r="D502" s="51" t="str">
        <f aca="false">IF(C502="","",IFERROR(INDEX('شجرة الحسابات'!$B$9:$B$208,MATCH(C502,'شجرة الحسابات'!$A$9:$A$208,0)),"⚠ حساب غير معرف"))</f>
        <v/>
      </c>
      <c r="E502" s="52"/>
      <c r="F502" s="52"/>
      <c r="G502" s="53"/>
      <c r="H502" s="53"/>
      <c r="I502" s="54" t="str">
        <f aca="false">IF(A502="",IF(M502="فارغ","","✖ بدون رقم قيد"),IF(COUNTIFS('قيود اليومية'!$A$11:$A$1010,A502,'قيود اليومية'!$M$11:$M$1010,"&lt;&gt;OK",'قيود اليومية'!$M$11:$M$1010,"&lt;&gt;فارغ")&gt;0,"✖ خطأ بالحساب",IF(ROUND(SUMIFS('قيود اليومية'!$G$11:$G$1010,'قيود اليومية'!$A$11:$A$1010,A502)-SUMIFS('قيود اليومية'!$H$11:$H$1010,'قيود اليومية'!$A$11:$A$1010,A502),2)&lt;&gt;0,"✖ غير متوازن","مرحل ✔")))</f>
        <v/>
      </c>
      <c r="J502" s="55" t="str">
        <f aca="false">IF(C502="","",IFERROR(INDEX('شجرة الحسابات'!$E$9:$E$208,MATCH(C502,'شجرة الحسابات'!$A$9:$A$208,0))&amp;"",""))</f>
        <v/>
      </c>
      <c r="K502" s="55" t="str">
        <f aca="false">IF(C502="","",IFERROR(INDEX('شجرة الحسابات'!$I$9:$I$208,MATCH(C502,'شجرة الحسابات'!$A$9:$A$208,0))&amp;"",""))</f>
        <v/>
      </c>
      <c r="L502" s="55" t="str">
        <f aca="false">IF(C502="","",IFERROR(INDEX('شجرة الحسابات'!$C$9:$C$208,MATCH(C502,'شجرة الحسابات'!$A$9:$A$208,0))&amp;"",""))</f>
        <v/>
      </c>
      <c r="M502" s="55" t="str">
        <f aca="false">IF(AND(C502="",G502="",H502=""),"فارغ",IF(ISNA(MATCH(C502,'شجرة الحسابات'!$A$9:$A$208,0)),"حساب غير معرف",IF(L502&lt;&gt;"تحليلي","حساب تجميعي",IF(AND(N(G502)&gt;0,N(H502)&gt;0),"مدين ودائن معاً",IF(N(G502)+N(H502)=0,"بدون قيمة","OK")))))</f>
        <v>فارغ</v>
      </c>
      <c r="N502" s="55" t="str">
        <f aca="false">IF(AND(E502&lt;&gt;"",E502='كشف حساب مشروع'!$C$6,I502="مرحل ✔"),COUNTIFS($E$11:E502,'كشف حساب مشروع'!$C$6,$I$11:I502,"مرحل ✔"),"")</f>
        <v/>
      </c>
      <c r="O502" s="55" t="str">
        <f aca="false">IF(AND(C502&lt;&gt;"",C502='دفتر الأستاذ'!$C$6,I502="مرحل ✔"),COUNTIFS($C$11:C502,'دفتر الأستاذ'!$C$6,$I$11:I502,"مرحل ✔"),"")</f>
        <v/>
      </c>
    </row>
    <row r="503" customFormat="false" ht="15" hidden="false" customHeight="false" outlineLevel="0" collapsed="false">
      <c r="A503" s="49"/>
      <c r="B503" s="50"/>
      <c r="C503" s="49"/>
      <c r="D503" s="51" t="str">
        <f aca="false">IF(C503="","",IFERROR(INDEX('شجرة الحسابات'!$B$9:$B$208,MATCH(C503,'شجرة الحسابات'!$A$9:$A$208,0)),"⚠ حساب غير معرف"))</f>
        <v/>
      </c>
      <c r="E503" s="52"/>
      <c r="F503" s="52"/>
      <c r="G503" s="53"/>
      <c r="H503" s="53"/>
      <c r="I503" s="54" t="str">
        <f aca="false">IF(A503="",IF(M503="فارغ","","✖ بدون رقم قيد"),IF(COUNTIFS('قيود اليومية'!$A$11:$A$1010,A503,'قيود اليومية'!$M$11:$M$1010,"&lt;&gt;OK",'قيود اليومية'!$M$11:$M$1010,"&lt;&gt;فارغ")&gt;0,"✖ خطأ بالحساب",IF(ROUND(SUMIFS('قيود اليومية'!$G$11:$G$1010,'قيود اليومية'!$A$11:$A$1010,A503)-SUMIFS('قيود اليومية'!$H$11:$H$1010,'قيود اليومية'!$A$11:$A$1010,A503),2)&lt;&gt;0,"✖ غير متوازن","مرحل ✔")))</f>
        <v/>
      </c>
      <c r="J503" s="55" t="str">
        <f aca="false">IF(C503="","",IFERROR(INDEX('شجرة الحسابات'!$E$9:$E$208,MATCH(C503,'شجرة الحسابات'!$A$9:$A$208,0))&amp;"",""))</f>
        <v/>
      </c>
      <c r="K503" s="55" t="str">
        <f aca="false">IF(C503="","",IFERROR(INDEX('شجرة الحسابات'!$I$9:$I$208,MATCH(C503,'شجرة الحسابات'!$A$9:$A$208,0))&amp;"",""))</f>
        <v/>
      </c>
      <c r="L503" s="55" t="str">
        <f aca="false">IF(C503="","",IFERROR(INDEX('شجرة الحسابات'!$C$9:$C$208,MATCH(C503,'شجرة الحسابات'!$A$9:$A$208,0))&amp;"",""))</f>
        <v/>
      </c>
      <c r="M503" s="55" t="str">
        <f aca="false">IF(AND(C503="",G503="",H503=""),"فارغ",IF(ISNA(MATCH(C503,'شجرة الحسابات'!$A$9:$A$208,0)),"حساب غير معرف",IF(L503&lt;&gt;"تحليلي","حساب تجميعي",IF(AND(N(G503)&gt;0,N(H503)&gt;0),"مدين ودائن معاً",IF(N(G503)+N(H503)=0,"بدون قيمة","OK")))))</f>
        <v>فارغ</v>
      </c>
      <c r="N503" s="55" t="str">
        <f aca="false">IF(AND(E503&lt;&gt;"",E503='كشف حساب مشروع'!$C$6,I503="مرحل ✔"),COUNTIFS($E$11:E503,'كشف حساب مشروع'!$C$6,$I$11:I503,"مرحل ✔"),"")</f>
        <v/>
      </c>
      <c r="O503" s="55" t="str">
        <f aca="false">IF(AND(C503&lt;&gt;"",C503='دفتر الأستاذ'!$C$6,I503="مرحل ✔"),COUNTIFS($C$11:C503,'دفتر الأستاذ'!$C$6,$I$11:I503,"مرحل ✔"),"")</f>
        <v/>
      </c>
    </row>
    <row r="504" customFormat="false" ht="15" hidden="false" customHeight="false" outlineLevel="0" collapsed="false">
      <c r="A504" s="49"/>
      <c r="B504" s="50"/>
      <c r="C504" s="49"/>
      <c r="D504" s="51" t="str">
        <f aca="false">IF(C504="","",IFERROR(INDEX('شجرة الحسابات'!$B$9:$B$208,MATCH(C504,'شجرة الحسابات'!$A$9:$A$208,0)),"⚠ حساب غير معرف"))</f>
        <v/>
      </c>
      <c r="E504" s="52"/>
      <c r="F504" s="52"/>
      <c r="G504" s="53"/>
      <c r="H504" s="53"/>
      <c r="I504" s="54" t="str">
        <f aca="false">IF(A504="",IF(M504="فارغ","","✖ بدون رقم قيد"),IF(COUNTIFS('قيود اليومية'!$A$11:$A$1010,A504,'قيود اليومية'!$M$11:$M$1010,"&lt;&gt;OK",'قيود اليومية'!$M$11:$M$1010,"&lt;&gt;فارغ")&gt;0,"✖ خطأ بالحساب",IF(ROUND(SUMIFS('قيود اليومية'!$G$11:$G$1010,'قيود اليومية'!$A$11:$A$1010,A504)-SUMIFS('قيود اليومية'!$H$11:$H$1010,'قيود اليومية'!$A$11:$A$1010,A504),2)&lt;&gt;0,"✖ غير متوازن","مرحل ✔")))</f>
        <v/>
      </c>
      <c r="J504" s="55" t="str">
        <f aca="false">IF(C504="","",IFERROR(INDEX('شجرة الحسابات'!$E$9:$E$208,MATCH(C504,'شجرة الحسابات'!$A$9:$A$208,0))&amp;"",""))</f>
        <v/>
      </c>
      <c r="K504" s="55" t="str">
        <f aca="false">IF(C504="","",IFERROR(INDEX('شجرة الحسابات'!$I$9:$I$208,MATCH(C504,'شجرة الحسابات'!$A$9:$A$208,0))&amp;"",""))</f>
        <v/>
      </c>
      <c r="L504" s="55" t="str">
        <f aca="false">IF(C504="","",IFERROR(INDEX('شجرة الحسابات'!$C$9:$C$208,MATCH(C504,'شجرة الحسابات'!$A$9:$A$208,0))&amp;"",""))</f>
        <v/>
      </c>
      <c r="M504" s="55" t="str">
        <f aca="false">IF(AND(C504="",G504="",H504=""),"فارغ",IF(ISNA(MATCH(C504,'شجرة الحسابات'!$A$9:$A$208,0)),"حساب غير معرف",IF(L504&lt;&gt;"تحليلي","حساب تجميعي",IF(AND(N(G504)&gt;0,N(H504)&gt;0),"مدين ودائن معاً",IF(N(G504)+N(H504)=0,"بدون قيمة","OK")))))</f>
        <v>فارغ</v>
      </c>
      <c r="N504" s="55" t="str">
        <f aca="false">IF(AND(E504&lt;&gt;"",E504='كشف حساب مشروع'!$C$6,I504="مرحل ✔"),COUNTIFS($E$11:E504,'كشف حساب مشروع'!$C$6,$I$11:I504,"مرحل ✔"),"")</f>
        <v/>
      </c>
      <c r="O504" s="55" t="str">
        <f aca="false">IF(AND(C504&lt;&gt;"",C504='دفتر الأستاذ'!$C$6,I504="مرحل ✔"),COUNTIFS($C$11:C504,'دفتر الأستاذ'!$C$6,$I$11:I504,"مرحل ✔"),"")</f>
        <v/>
      </c>
    </row>
    <row r="505" customFormat="false" ht="15" hidden="false" customHeight="false" outlineLevel="0" collapsed="false">
      <c r="A505" s="49"/>
      <c r="B505" s="50"/>
      <c r="C505" s="49"/>
      <c r="D505" s="51" t="str">
        <f aca="false">IF(C505="","",IFERROR(INDEX('شجرة الحسابات'!$B$9:$B$208,MATCH(C505,'شجرة الحسابات'!$A$9:$A$208,0)),"⚠ حساب غير معرف"))</f>
        <v/>
      </c>
      <c r="E505" s="52"/>
      <c r="F505" s="52"/>
      <c r="G505" s="53"/>
      <c r="H505" s="53"/>
      <c r="I505" s="54" t="str">
        <f aca="false">IF(A505="",IF(M505="فارغ","","✖ بدون رقم قيد"),IF(COUNTIFS('قيود اليومية'!$A$11:$A$1010,A505,'قيود اليومية'!$M$11:$M$1010,"&lt;&gt;OK",'قيود اليومية'!$M$11:$M$1010,"&lt;&gt;فارغ")&gt;0,"✖ خطأ بالحساب",IF(ROUND(SUMIFS('قيود اليومية'!$G$11:$G$1010,'قيود اليومية'!$A$11:$A$1010,A505)-SUMIFS('قيود اليومية'!$H$11:$H$1010,'قيود اليومية'!$A$11:$A$1010,A505),2)&lt;&gt;0,"✖ غير متوازن","مرحل ✔")))</f>
        <v/>
      </c>
      <c r="J505" s="55" t="str">
        <f aca="false">IF(C505="","",IFERROR(INDEX('شجرة الحسابات'!$E$9:$E$208,MATCH(C505,'شجرة الحسابات'!$A$9:$A$208,0))&amp;"",""))</f>
        <v/>
      </c>
      <c r="K505" s="55" t="str">
        <f aca="false">IF(C505="","",IFERROR(INDEX('شجرة الحسابات'!$I$9:$I$208,MATCH(C505,'شجرة الحسابات'!$A$9:$A$208,0))&amp;"",""))</f>
        <v/>
      </c>
      <c r="L505" s="55" t="str">
        <f aca="false">IF(C505="","",IFERROR(INDEX('شجرة الحسابات'!$C$9:$C$208,MATCH(C505,'شجرة الحسابات'!$A$9:$A$208,0))&amp;"",""))</f>
        <v/>
      </c>
      <c r="M505" s="55" t="str">
        <f aca="false">IF(AND(C505="",G505="",H505=""),"فارغ",IF(ISNA(MATCH(C505,'شجرة الحسابات'!$A$9:$A$208,0)),"حساب غير معرف",IF(L505&lt;&gt;"تحليلي","حساب تجميعي",IF(AND(N(G505)&gt;0,N(H505)&gt;0),"مدين ودائن معاً",IF(N(G505)+N(H505)=0,"بدون قيمة","OK")))))</f>
        <v>فارغ</v>
      </c>
      <c r="N505" s="55" t="str">
        <f aca="false">IF(AND(E505&lt;&gt;"",E505='كشف حساب مشروع'!$C$6,I505="مرحل ✔"),COUNTIFS($E$11:E505,'كشف حساب مشروع'!$C$6,$I$11:I505,"مرحل ✔"),"")</f>
        <v/>
      </c>
      <c r="O505" s="55" t="str">
        <f aca="false">IF(AND(C505&lt;&gt;"",C505='دفتر الأستاذ'!$C$6,I505="مرحل ✔"),COUNTIFS($C$11:C505,'دفتر الأستاذ'!$C$6,$I$11:I505,"مرحل ✔"),"")</f>
        <v/>
      </c>
    </row>
    <row r="506" customFormat="false" ht="15" hidden="false" customHeight="false" outlineLevel="0" collapsed="false">
      <c r="A506" s="49"/>
      <c r="B506" s="50"/>
      <c r="C506" s="49"/>
      <c r="D506" s="51" t="str">
        <f aca="false">IF(C506="","",IFERROR(INDEX('شجرة الحسابات'!$B$9:$B$208,MATCH(C506,'شجرة الحسابات'!$A$9:$A$208,0)),"⚠ حساب غير معرف"))</f>
        <v/>
      </c>
      <c r="E506" s="52"/>
      <c r="F506" s="52"/>
      <c r="G506" s="53"/>
      <c r="H506" s="53"/>
      <c r="I506" s="54" t="str">
        <f aca="false">IF(A506="",IF(M506="فارغ","","✖ بدون رقم قيد"),IF(COUNTIFS('قيود اليومية'!$A$11:$A$1010,A506,'قيود اليومية'!$M$11:$M$1010,"&lt;&gt;OK",'قيود اليومية'!$M$11:$M$1010,"&lt;&gt;فارغ")&gt;0,"✖ خطأ بالحساب",IF(ROUND(SUMIFS('قيود اليومية'!$G$11:$G$1010,'قيود اليومية'!$A$11:$A$1010,A506)-SUMIFS('قيود اليومية'!$H$11:$H$1010,'قيود اليومية'!$A$11:$A$1010,A506),2)&lt;&gt;0,"✖ غير متوازن","مرحل ✔")))</f>
        <v/>
      </c>
      <c r="J506" s="55" t="str">
        <f aca="false">IF(C506="","",IFERROR(INDEX('شجرة الحسابات'!$E$9:$E$208,MATCH(C506,'شجرة الحسابات'!$A$9:$A$208,0))&amp;"",""))</f>
        <v/>
      </c>
      <c r="K506" s="55" t="str">
        <f aca="false">IF(C506="","",IFERROR(INDEX('شجرة الحسابات'!$I$9:$I$208,MATCH(C506,'شجرة الحسابات'!$A$9:$A$208,0))&amp;"",""))</f>
        <v/>
      </c>
      <c r="L506" s="55" t="str">
        <f aca="false">IF(C506="","",IFERROR(INDEX('شجرة الحسابات'!$C$9:$C$208,MATCH(C506,'شجرة الحسابات'!$A$9:$A$208,0))&amp;"",""))</f>
        <v/>
      </c>
      <c r="M506" s="55" t="str">
        <f aca="false">IF(AND(C506="",G506="",H506=""),"فارغ",IF(ISNA(MATCH(C506,'شجرة الحسابات'!$A$9:$A$208,0)),"حساب غير معرف",IF(L506&lt;&gt;"تحليلي","حساب تجميعي",IF(AND(N(G506)&gt;0,N(H506)&gt;0),"مدين ودائن معاً",IF(N(G506)+N(H506)=0,"بدون قيمة","OK")))))</f>
        <v>فارغ</v>
      </c>
      <c r="N506" s="55" t="str">
        <f aca="false">IF(AND(E506&lt;&gt;"",E506='كشف حساب مشروع'!$C$6,I506="مرحل ✔"),COUNTIFS($E$11:E506,'كشف حساب مشروع'!$C$6,$I$11:I506,"مرحل ✔"),"")</f>
        <v/>
      </c>
      <c r="O506" s="55" t="str">
        <f aca="false">IF(AND(C506&lt;&gt;"",C506='دفتر الأستاذ'!$C$6,I506="مرحل ✔"),COUNTIFS($C$11:C506,'دفتر الأستاذ'!$C$6,$I$11:I506,"مرحل ✔"),"")</f>
        <v/>
      </c>
    </row>
    <row r="507" customFormat="false" ht="15" hidden="false" customHeight="false" outlineLevel="0" collapsed="false">
      <c r="A507" s="49"/>
      <c r="B507" s="50"/>
      <c r="C507" s="49"/>
      <c r="D507" s="51" t="str">
        <f aca="false">IF(C507="","",IFERROR(INDEX('شجرة الحسابات'!$B$9:$B$208,MATCH(C507,'شجرة الحسابات'!$A$9:$A$208,0)),"⚠ حساب غير معرف"))</f>
        <v/>
      </c>
      <c r="E507" s="52"/>
      <c r="F507" s="52"/>
      <c r="G507" s="53"/>
      <c r="H507" s="53"/>
      <c r="I507" s="54" t="str">
        <f aca="false">IF(A507="",IF(M507="فارغ","","✖ بدون رقم قيد"),IF(COUNTIFS('قيود اليومية'!$A$11:$A$1010,A507,'قيود اليومية'!$M$11:$M$1010,"&lt;&gt;OK",'قيود اليومية'!$M$11:$M$1010,"&lt;&gt;فارغ")&gt;0,"✖ خطأ بالحساب",IF(ROUND(SUMIFS('قيود اليومية'!$G$11:$G$1010,'قيود اليومية'!$A$11:$A$1010,A507)-SUMIFS('قيود اليومية'!$H$11:$H$1010,'قيود اليومية'!$A$11:$A$1010,A507),2)&lt;&gt;0,"✖ غير متوازن","مرحل ✔")))</f>
        <v/>
      </c>
      <c r="J507" s="55" t="str">
        <f aca="false">IF(C507="","",IFERROR(INDEX('شجرة الحسابات'!$E$9:$E$208,MATCH(C507,'شجرة الحسابات'!$A$9:$A$208,0))&amp;"",""))</f>
        <v/>
      </c>
      <c r="K507" s="55" t="str">
        <f aca="false">IF(C507="","",IFERROR(INDEX('شجرة الحسابات'!$I$9:$I$208,MATCH(C507,'شجرة الحسابات'!$A$9:$A$208,0))&amp;"",""))</f>
        <v/>
      </c>
      <c r="L507" s="55" t="str">
        <f aca="false">IF(C507="","",IFERROR(INDEX('شجرة الحسابات'!$C$9:$C$208,MATCH(C507,'شجرة الحسابات'!$A$9:$A$208,0))&amp;"",""))</f>
        <v/>
      </c>
      <c r="M507" s="55" t="str">
        <f aca="false">IF(AND(C507="",G507="",H507=""),"فارغ",IF(ISNA(MATCH(C507,'شجرة الحسابات'!$A$9:$A$208,0)),"حساب غير معرف",IF(L507&lt;&gt;"تحليلي","حساب تجميعي",IF(AND(N(G507)&gt;0,N(H507)&gt;0),"مدين ودائن معاً",IF(N(G507)+N(H507)=0,"بدون قيمة","OK")))))</f>
        <v>فارغ</v>
      </c>
      <c r="N507" s="55" t="str">
        <f aca="false">IF(AND(E507&lt;&gt;"",E507='كشف حساب مشروع'!$C$6,I507="مرحل ✔"),COUNTIFS($E$11:E507,'كشف حساب مشروع'!$C$6,$I$11:I507,"مرحل ✔"),"")</f>
        <v/>
      </c>
      <c r="O507" s="55" t="str">
        <f aca="false">IF(AND(C507&lt;&gt;"",C507='دفتر الأستاذ'!$C$6,I507="مرحل ✔"),COUNTIFS($C$11:C507,'دفتر الأستاذ'!$C$6,$I$11:I507,"مرحل ✔"),"")</f>
        <v/>
      </c>
    </row>
    <row r="508" customFormat="false" ht="15" hidden="false" customHeight="false" outlineLevel="0" collapsed="false">
      <c r="A508" s="49"/>
      <c r="B508" s="50"/>
      <c r="C508" s="49"/>
      <c r="D508" s="51" t="str">
        <f aca="false">IF(C508="","",IFERROR(INDEX('شجرة الحسابات'!$B$9:$B$208,MATCH(C508,'شجرة الحسابات'!$A$9:$A$208,0)),"⚠ حساب غير معرف"))</f>
        <v/>
      </c>
      <c r="E508" s="52"/>
      <c r="F508" s="52"/>
      <c r="G508" s="53"/>
      <c r="H508" s="53"/>
      <c r="I508" s="54" t="str">
        <f aca="false">IF(A508="",IF(M508="فارغ","","✖ بدون رقم قيد"),IF(COUNTIFS('قيود اليومية'!$A$11:$A$1010,A508,'قيود اليومية'!$M$11:$M$1010,"&lt;&gt;OK",'قيود اليومية'!$M$11:$M$1010,"&lt;&gt;فارغ")&gt;0,"✖ خطأ بالحساب",IF(ROUND(SUMIFS('قيود اليومية'!$G$11:$G$1010,'قيود اليومية'!$A$11:$A$1010,A508)-SUMIFS('قيود اليومية'!$H$11:$H$1010,'قيود اليومية'!$A$11:$A$1010,A508),2)&lt;&gt;0,"✖ غير متوازن","مرحل ✔")))</f>
        <v/>
      </c>
      <c r="J508" s="55" t="str">
        <f aca="false">IF(C508="","",IFERROR(INDEX('شجرة الحسابات'!$E$9:$E$208,MATCH(C508,'شجرة الحسابات'!$A$9:$A$208,0))&amp;"",""))</f>
        <v/>
      </c>
      <c r="K508" s="55" t="str">
        <f aca="false">IF(C508="","",IFERROR(INDEX('شجرة الحسابات'!$I$9:$I$208,MATCH(C508,'شجرة الحسابات'!$A$9:$A$208,0))&amp;"",""))</f>
        <v/>
      </c>
      <c r="L508" s="55" t="str">
        <f aca="false">IF(C508="","",IFERROR(INDEX('شجرة الحسابات'!$C$9:$C$208,MATCH(C508,'شجرة الحسابات'!$A$9:$A$208,0))&amp;"",""))</f>
        <v/>
      </c>
      <c r="M508" s="55" t="str">
        <f aca="false">IF(AND(C508="",G508="",H508=""),"فارغ",IF(ISNA(MATCH(C508,'شجرة الحسابات'!$A$9:$A$208,0)),"حساب غير معرف",IF(L508&lt;&gt;"تحليلي","حساب تجميعي",IF(AND(N(G508)&gt;0,N(H508)&gt;0),"مدين ودائن معاً",IF(N(G508)+N(H508)=0,"بدون قيمة","OK")))))</f>
        <v>فارغ</v>
      </c>
      <c r="N508" s="55" t="str">
        <f aca="false">IF(AND(E508&lt;&gt;"",E508='كشف حساب مشروع'!$C$6,I508="مرحل ✔"),COUNTIFS($E$11:E508,'كشف حساب مشروع'!$C$6,$I$11:I508,"مرحل ✔"),"")</f>
        <v/>
      </c>
      <c r="O508" s="55" t="str">
        <f aca="false">IF(AND(C508&lt;&gt;"",C508='دفتر الأستاذ'!$C$6,I508="مرحل ✔"),COUNTIFS($C$11:C508,'دفتر الأستاذ'!$C$6,$I$11:I508,"مرحل ✔"),"")</f>
        <v/>
      </c>
    </row>
    <row r="509" customFormat="false" ht="15" hidden="false" customHeight="false" outlineLevel="0" collapsed="false">
      <c r="A509" s="49"/>
      <c r="B509" s="50"/>
      <c r="C509" s="49"/>
      <c r="D509" s="51" t="str">
        <f aca="false">IF(C509="","",IFERROR(INDEX('شجرة الحسابات'!$B$9:$B$208,MATCH(C509,'شجرة الحسابات'!$A$9:$A$208,0)),"⚠ حساب غير معرف"))</f>
        <v/>
      </c>
      <c r="E509" s="52"/>
      <c r="F509" s="52"/>
      <c r="G509" s="53"/>
      <c r="H509" s="53"/>
      <c r="I509" s="54" t="str">
        <f aca="false">IF(A509="",IF(M509="فارغ","","✖ بدون رقم قيد"),IF(COUNTIFS('قيود اليومية'!$A$11:$A$1010,A509,'قيود اليومية'!$M$11:$M$1010,"&lt;&gt;OK",'قيود اليومية'!$M$11:$M$1010,"&lt;&gt;فارغ")&gt;0,"✖ خطأ بالحساب",IF(ROUND(SUMIFS('قيود اليومية'!$G$11:$G$1010,'قيود اليومية'!$A$11:$A$1010,A509)-SUMIFS('قيود اليومية'!$H$11:$H$1010,'قيود اليومية'!$A$11:$A$1010,A509),2)&lt;&gt;0,"✖ غير متوازن","مرحل ✔")))</f>
        <v/>
      </c>
      <c r="J509" s="55" t="str">
        <f aca="false">IF(C509="","",IFERROR(INDEX('شجرة الحسابات'!$E$9:$E$208,MATCH(C509,'شجرة الحسابات'!$A$9:$A$208,0))&amp;"",""))</f>
        <v/>
      </c>
      <c r="K509" s="55" t="str">
        <f aca="false">IF(C509="","",IFERROR(INDEX('شجرة الحسابات'!$I$9:$I$208,MATCH(C509,'شجرة الحسابات'!$A$9:$A$208,0))&amp;"",""))</f>
        <v/>
      </c>
      <c r="L509" s="55" t="str">
        <f aca="false">IF(C509="","",IFERROR(INDEX('شجرة الحسابات'!$C$9:$C$208,MATCH(C509,'شجرة الحسابات'!$A$9:$A$208,0))&amp;"",""))</f>
        <v/>
      </c>
      <c r="M509" s="55" t="str">
        <f aca="false">IF(AND(C509="",G509="",H509=""),"فارغ",IF(ISNA(MATCH(C509,'شجرة الحسابات'!$A$9:$A$208,0)),"حساب غير معرف",IF(L509&lt;&gt;"تحليلي","حساب تجميعي",IF(AND(N(G509)&gt;0,N(H509)&gt;0),"مدين ودائن معاً",IF(N(G509)+N(H509)=0,"بدون قيمة","OK")))))</f>
        <v>فارغ</v>
      </c>
      <c r="N509" s="55" t="str">
        <f aca="false">IF(AND(E509&lt;&gt;"",E509='كشف حساب مشروع'!$C$6,I509="مرحل ✔"),COUNTIFS($E$11:E509,'كشف حساب مشروع'!$C$6,$I$11:I509,"مرحل ✔"),"")</f>
        <v/>
      </c>
      <c r="O509" s="55" t="str">
        <f aca="false">IF(AND(C509&lt;&gt;"",C509='دفتر الأستاذ'!$C$6,I509="مرحل ✔"),COUNTIFS($C$11:C509,'دفتر الأستاذ'!$C$6,$I$11:I509,"مرحل ✔"),"")</f>
        <v/>
      </c>
    </row>
    <row r="510" customFormat="false" ht="15" hidden="false" customHeight="false" outlineLevel="0" collapsed="false">
      <c r="A510" s="49"/>
      <c r="B510" s="50"/>
      <c r="C510" s="49"/>
      <c r="D510" s="51" t="str">
        <f aca="false">IF(C510="","",IFERROR(INDEX('شجرة الحسابات'!$B$9:$B$208,MATCH(C510,'شجرة الحسابات'!$A$9:$A$208,0)),"⚠ حساب غير معرف"))</f>
        <v/>
      </c>
      <c r="E510" s="52"/>
      <c r="F510" s="52"/>
      <c r="G510" s="53"/>
      <c r="H510" s="53"/>
      <c r="I510" s="54" t="str">
        <f aca="false">IF(A510="",IF(M510="فارغ","","✖ بدون رقم قيد"),IF(COUNTIFS('قيود اليومية'!$A$11:$A$1010,A510,'قيود اليومية'!$M$11:$M$1010,"&lt;&gt;OK",'قيود اليومية'!$M$11:$M$1010,"&lt;&gt;فارغ")&gt;0,"✖ خطأ بالحساب",IF(ROUND(SUMIFS('قيود اليومية'!$G$11:$G$1010,'قيود اليومية'!$A$11:$A$1010,A510)-SUMIFS('قيود اليومية'!$H$11:$H$1010,'قيود اليومية'!$A$11:$A$1010,A510),2)&lt;&gt;0,"✖ غير متوازن","مرحل ✔")))</f>
        <v/>
      </c>
      <c r="J510" s="55" t="str">
        <f aca="false">IF(C510="","",IFERROR(INDEX('شجرة الحسابات'!$E$9:$E$208,MATCH(C510,'شجرة الحسابات'!$A$9:$A$208,0))&amp;"",""))</f>
        <v/>
      </c>
      <c r="K510" s="55" t="str">
        <f aca="false">IF(C510="","",IFERROR(INDEX('شجرة الحسابات'!$I$9:$I$208,MATCH(C510,'شجرة الحسابات'!$A$9:$A$208,0))&amp;"",""))</f>
        <v/>
      </c>
      <c r="L510" s="55" t="str">
        <f aca="false">IF(C510="","",IFERROR(INDEX('شجرة الحسابات'!$C$9:$C$208,MATCH(C510,'شجرة الحسابات'!$A$9:$A$208,0))&amp;"",""))</f>
        <v/>
      </c>
      <c r="M510" s="55" t="str">
        <f aca="false">IF(AND(C510="",G510="",H510=""),"فارغ",IF(ISNA(MATCH(C510,'شجرة الحسابات'!$A$9:$A$208,0)),"حساب غير معرف",IF(L510&lt;&gt;"تحليلي","حساب تجميعي",IF(AND(N(G510)&gt;0,N(H510)&gt;0),"مدين ودائن معاً",IF(N(G510)+N(H510)=0,"بدون قيمة","OK")))))</f>
        <v>فارغ</v>
      </c>
      <c r="N510" s="55" t="str">
        <f aca="false">IF(AND(E510&lt;&gt;"",E510='كشف حساب مشروع'!$C$6,I510="مرحل ✔"),COUNTIFS($E$11:E510,'كشف حساب مشروع'!$C$6,$I$11:I510,"مرحل ✔"),"")</f>
        <v/>
      </c>
      <c r="O510" s="55" t="str">
        <f aca="false">IF(AND(C510&lt;&gt;"",C510='دفتر الأستاذ'!$C$6,I510="مرحل ✔"),COUNTIFS($C$11:C510,'دفتر الأستاذ'!$C$6,$I$11:I510,"مرحل ✔"),"")</f>
        <v/>
      </c>
    </row>
    <row r="511" customFormat="false" ht="15" hidden="false" customHeight="false" outlineLevel="0" collapsed="false">
      <c r="A511" s="49"/>
      <c r="B511" s="50"/>
      <c r="C511" s="49"/>
      <c r="D511" s="51" t="str">
        <f aca="false">IF(C511="","",IFERROR(INDEX('شجرة الحسابات'!$B$9:$B$208,MATCH(C511,'شجرة الحسابات'!$A$9:$A$208,0)),"⚠ حساب غير معرف"))</f>
        <v/>
      </c>
      <c r="E511" s="52"/>
      <c r="F511" s="52"/>
      <c r="G511" s="53"/>
      <c r="H511" s="53"/>
      <c r="I511" s="54" t="str">
        <f aca="false">IF(A511="",IF(M511="فارغ","","✖ بدون رقم قيد"),IF(COUNTIFS('قيود اليومية'!$A$11:$A$1010,A511,'قيود اليومية'!$M$11:$M$1010,"&lt;&gt;OK",'قيود اليومية'!$M$11:$M$1010,"&lt;&gt;فارغ")&gt;0,"✖ خطأ بالحساب",IF(ROUND(SUMIFS('قيود اليومية'!$G$11:$G$1010,'قيود اليومية'!$A$11:$A$1010,A511)-SUMIFS('قيود اليومية'!$H$11:$H$1010,'قيود اليومية'!$A$11:$A$1010,A511),2)&lt;&gt;0,"✖ غير متوازن","مرحل ✔")))</f>
        <v/>
      </c>
      <c r="J511" s="55" t="str">
        <f aca="false">IF(C511="","",IFERROR(INDEX('شجرة الحسابات'!$E$9:$E$208,MATCH(C511,'شجرة الحسابات'!$A$9:$A$208,0))&amp;"",""))</f>
        <v/>
      </c>
      <c r="K511" s="55" t="str">
        <f aca="false">IF(C511="","",IFERROR(INDEX('شجرة الحسابات'!$I$9:$I$208,MATCH(C511,'شجرة الحسابات'!$A$9:$A$208,0))&amp;"",""))</f>
        <v/>
      </c>
      <c r="L511" s="55" t="str">
        <f aca="false">IF(C511="","",IFERROR(INDEX('شجرة الحسابات'!$C$9:$C$208,MATCH(C511,'شجرة الحسابات'!$A$9:$A$208,0))&amp;"",""))</f>
        <v/>
      </c>
      <c r="M511" s="55" t="str">
        <f aca="false">IF(AND(C511="",G511="",H511=""),"فارغ",IF(ISNA(MATCH(C511,'شجرة الحسابات'!$A$9:$A$208,0)),"حساب غير معرف",IF(L511&lt;&gt;"تحليلي","حساب تجميعي",IF(AND(N(G511)&gt;0,N(H511)&gt;0),"مدين ودائن معاً",IF(N(G511)+N(H511)=0,"بدون قيمة","OK")))))</f>
        <v>فارغ</v>
      </c>
      <c r="N511" s="55" t="str">
        <f aca="false">IF(AND(E511&lt;&gt;"",E511='كشف حساب مشروع'!$C$6,I511="مرحل ✔"),COUNTIFS($E$11:E511,'كشف حساب مشروع'!$C$6,$I$11:I511,"مرحل ✔"),"")</f>
        <v/>
      </c>
      <c r="O511" s="55" t="str">
        <f aca="false">IF(AND(C511&lt;&gt;"",C511='دفتر الأستاذ'!$C$6,I511="مرحل ✔"),COUNTIFS($C$11:C511,'دفتر الأستاذ'!$C$6,$I$11:I511,"مرحل ✔"),"")</f>
        <v/>
      </c>
    </row>
    <row r="512" customFormat="false" ht="15" hidden="false" customHeight="false" outlineLevel="0" collapsed="false">
      <c r="A512" s="49"/>
      <c r="B512" s="50"/>
      <c r="C512" s="49"/>
      <c r="D512" s="51" t="str">
        <f aca="false">IF(C512="","",IFERROR(INDEX('شجرة الحسابات'!$B$9:$B$208,MATCH(C512,'شجرة الحسابات'!$A$9:$A$208,0)),"⚠ حساب غير معرف"))</f>
        <v/>
      </c>
      <c r="E512" s="52"/>
      <c r="F512" s="52"/>
      <c r="G512" s="53"/>
      <c r="H512" s="53"/>
      <c r="I512" s="54" t="str">
        <f aca="false">IF(A512="",IF(M512="فارغ","","✖ بدون رقم قيد"),IF(COUNTIFS('قيود اليومية'!$A$11:$A$1010,A512,'قيود اليومية'!$M$11:$M$1010,"&lt;&gt;OK",'قيود اليومية'!$M$11:$M$1010,"&lt;&gt;فارغ")&gt;0,"✖ خطأ بالحساب",IF(ROUND(SUMIFS('قيود اليومية'!$G$11:$G$1010,'قيود اليومية'!$A$11:$A$1010,A512)-SUMIFS('قيود اليومية'!$H$11:$H$1010,'قيود اليومية'!$A$11:$A$1010,A512),2)&lt;&gt;0,"✖ غير متوازن","مرحل ✔")))</f>
        <v/>
      </c>
      <c r="J512" s="55" t="str">
        <f aca="false">IF(C512="","",IFERROR(INDEX('شجرة الحسابات'!$E$9:$E$208,MATCH(C512,'شجرة الحسابات'!$A$9:$A$208,0))&amp;"",""))</f>
        <v/>
      </c>
      <c r="K512" s="55" t="str">
        <f aca="false">IF(C512="","",IFERROR(INDEX('شجرة الحسابات'!$I$9:$I$208,MATCH(C512,'شجرة الحسابات'!$A$9:$A$208,0))&amp;"",""))</f>
        <v/>
      </c>
      <c r="L512" s="55" t="str">
        <f aca="false">IF(C512="","",IFERROR(INDEX('شجرة الحسابات'!$C$9:$C$208,MATCH(C512,'شجرة الحسابات'!$A$9:$A$208,0))&amp;"",""))</f>
        <v/>
      </c>
      <c r="M512" s="55" t="str">
        <f aca="false">IF(AND(C512="",G512="",H512=""),"فارغ",IF(ISNA(MATCH(C512,'شجرة الحسابات'!$A$9:$A$208,0)),"حساب غير معرف",IF(L512&lt;&gt;"تحليلي","حساب تجميعي",IF(AND(N(G512)&gt;0,N(H512)&gt;0),"مدين ودائن معاً",IF(N(G512)+N(H512)=0,"بدون قيمة","OK")))))</f>
        <v>فارغ</v>
      </c>
      <c r="N512" s="55" t="str">
        <f aca="false">IF(AND(E512&lt;&gt;"",E512='كشف حساب مشروع'!$C$6,I512="مرحل ✔"),COUNTIFS($E$11:E512,'كشف حساب مشروع'!$C$6,$I$11:I512,"مرحل ✔"),"")</f>
        <v/>
      </c>
      <c r="O512" s="55" t="str">
        <f aca="false">IF(AND(C512&lt;&gt;"",C512='دفتر الأستاذ'!$C$6,I512="مرحل ✔"),COUNTIFS($C$11:C512,'دفتر الأستاذ'!$C$6,$I$11:I512,"مرحل ✔"),"")</f>
        <v/>
      </c>
    </row>
    <row r="513" customFormat="false" ht="15" hidden="false" customHeight="false" outlineLevel="0" collapsed="false">
      <c r="A513" s="49"/>
      <c r="B513" s="50"/>
      <c r="C513" s="49"/>
      <c r="D513" s="51" t="str">
        <f aca="false">IF(C513="","",IFERROR(INDEX('شجرة الحسابات'!$B$9:$B$208,MATCH(C513,'شجرة الحسابات'!$A$9:$A$208,0)),"⚠ حساب غير معرف"))</f>
        <v/>
      </c>
      <c r="E513" s="52"/>
      <c r="F513" s="52"/>
      <c r="G513" s="53"/>
      <c r="H513" s="53"/>
      <c r="I513" s="54" t="str">
        <f aca="false">IF(A513="",IF(M513="فارغ","","✖ بدون رقم قيد"),IF(COUNTIFS('قيود اليومية'!$A$11:$A$1010,A513,'قيود اليومية'!$M$11:$M$1010,"&lt;&gt;OK",'قيود اليومية'!$M$11:$M$1010,"&lt;&gt;فارغ")&gt;0,"✖ خطأ بالحساب",IF(ROUND(SUMIFS('قيود اليومية'!$G$11:$G$1010,'قيود اليومية'!$A$11:$A$1010,A513)-SUMIFS('قيود اليومية'!$H$11:$H$1010,'قيود اليومية'!$A$11:$A$1010,A513),2)&lt;&gt;0,"✖ غير متوازن","مرحل ✔")))</f>
        <v/>
      </c>
      <c r="J513" s="55" t="str">
        <f aca="false">IF(C513="","",IFERROR(INDEX('شجرة الحسابات'!$E$9:$E$208,MATCH(C513,'شجرة الحسابات'!$A$9:$A$208,0))&amp;"",""))</f>
        <v/>
      </c>
      <c r="K513" s="55" t="str">
        <f aca="false">IF(C513="","",IFERROR(INDEX('شجرة الحسابات'!$I$9:$I$208,MATCH(C513,'شجرة الحسابات'!$A$9:$A$208,0))&amp;"",""))</f>
        <v/>
      </c>
      <c r="L513" s="55" t="str">
        <f aca="false">IF(C513="","",IFERROR(INDEX('شجرة الحسابات'!$C$9:$C$208,MATCH(C513,'شجرة الحسابات'!$A$9:$A$208,0))&amp;"",""))</f>
        <v/>
      </c>
      <c r="M513" s="55" t="str">
        <f aca="false">IF(AND(C513="",G513="",H513=""),"فارغ",IF(ISNA(MATCH(C513,'شجرة الحسابات'!$A$9:$A$208,0)),"حساب غير معرف",IF(L513&lt;&gt;"تحليلي","حساب تجميعي",IF(AND(N(G513)&gt;0,N(H513)&gt;0),"مدين ودائن معاً",IF(N(G513)+N(H513)=0,"بدون قيمة","OK")))))</f>
        <v>فارغ</v>
      </c>
      <c r="N513" s="55" t="str">
        <f aca="false">IF(AND(E513&lt;&gt;"",E513='كشف حساب مشروع'!$C$6,I513="مرحل ✔"),COUNTIFS($E$11:E513,'كشف حساب مشروع'!$C$6,$I$11:I513,"مرحل ✔"),"")</f>
        <v/>
      </c>
      <c r="O513" s="55" t="str">
        <f aca="false">IF(AND(C513&lt;&gt;"",C513='دفتر الأستاذ'!$C$6,I513="مرحل ✔"),COUNTIFS($C$11:C513,'دفتر الأستاذ'!$C$6,$I$11:I513,"مرحل ✔"),"")</f>
        <v/>
      </c>
    </row>
    <row r="514" customFormat="false" ht="15" hidden="false" customHeight="false" outlineLevel="0" collapsed="false">
      <c r="A514" s="49"/>
      <c r="B514" s="50"/>
      <c r="C514" s="49"/>
      <c r="D514" s="51" t="str">
        <f aca="false">IF(C514="","",IFERROR(INDEX('شجرة الحسابات'!$B$9:$B$208,MATCH(C514,'شجرة الحسابات'!$A$9:$A$208,0)),"⚠ حساب غير معرف"))</f>
        <v/>
      </c>
      <c r="E514" s="52"/>
      <c r="F514" s="52"/>
      <c r="G514" s="53"/>
      <c r="H514" s="53"/>
      <c r="I514" s="54" t="str">
        <f aca="false">IF(A514="",IF(M514="فارغ","","✖ بدون رقم قيد"),IF(COUNTIFS('قيود اليومية'!$A$11:$A$1010,A514,'قيود اليومية'!$M$11:$M$1010,"&lt;&gt;OK",'قيود اليومية'!$M$11:$M$1010,"&lt;&gt;فارغ")&gt;0,"✖ خطأ بالحساب",IF(ROUND(SUMIFS('قيود اليومية'!$G$11:$G$1010,'قيود اليومية'!$A$11:$A$1010,A514)-SUMIFS('قيود اليومية'!$H$11:$H$1010,'قيود اليومية'!$A$11:$A$1010,A514),2)&lt;&gt;0,"✖ غير متوازن","مرحل ✔")))</f>
        <v/>
      </c>
      <c r="J514" s="55" t="str">
        <f aca="false">IF(C514="","",IFERROR(INDEX('شجرة الحسابات'!$E$9:$E$208,MATCH(C514,'شجرة الحسابات'!$A$9:$A$208,0))&amp;"",""))</f>
        <v/>
      </c>
      <c r="K514" s="55" t="str">
        <f aca="false">IF(C514="","",IFERROR(INDEX('شجرة الحسابات'!$I$9:$I$208,MATCH(C514,'شجرة الحسابات'!$A$9:$A$208,0))&amp;"",""))</f>
        <v/>
      </c>
      <c r="L514" s="55" t="str">
        <f aca="false">IF(C514="","",IFERROR(INDEX('شجرة الحسابات'!$C$9:$C$208,MATCH(C514,'شجرة الحسابات'!$A$9:$A$208,0))&amp;"",""))</f>
        <v/>
      </c>
      <c r="M514" s="55" t="str">
        <f aca="false">IF(AND(C514="",G514="",H514=""),"فارغ",IF(ISNA(MATCH(C514,'شجرة الحسابات'!$A$9:$A$208,0)),"حساب غير معرف",IF(L514&lt;&gt;"تحليلي","حساب تجميعي",IF(AND(N(G514)&gt;0,N(H514)&gt;0),"مدين ودائن معاً",IF(N(G514)+N(H514)=0,"بدون قيمة","OK")))))</f>
        <v>فارغ</v>
      </c>
      <c r="N514" s="55" t="str">
        <f aca="false">IF(AND(E514&lt;&gt;"",E514='كشف حساب مشروع'!$C$6,I514="مرحل ✔"),COUNTIFS($E$11:E514,'كشف حساب مشروع'!$C$6,$I$11:I514,"مرحل ✔"),"")</f>
        <v/>
      </c>
      <c r="O514" s="55" t="str">
        <f aca="false">IF(AND(C514&lt;&gt;"",C514='دفتر الأستاذ'!$C$6,I514="مرحل ✔"),COUNTIFS($C$11:C514,'دفتر الأستاذ'!$C$6,$I$11:I514,"مرحل ✔"),"")</f>
        <v/>
      </c>
    </row>
    <row r="515" customFormat="false" ht="15" hidden="false" customHeight="false" outlineLevel="0" collapsed="false">
      <c r="A515" s="49"/>
      <c r="B515" s="50"/>
      <c r="C515" s="49"/>
      <c r="D515" s="51" t="str">
        <f aca="false">IF(C515="","",IFERROR(INDEX('شجرة الحسابات'!$B$9:$B$208,MATCH(C515,'شجرة الحسابات'!$A$9:$A$208,0)),"⚠ حساب غير معرف"))</f>
        <v/>
      </c>
      <c r="E515" s="52"/>
      <c r="F515" s="52"/>
      <c r="G515" s="53"/>
      <c r="H515" s="53"/>
      <c r="I515" s="54" t="str">
        <f aca="false">IF(A515="",IF(M515="فارغ","","✖ بدون رقم قيد"),IF(COUNTIFS('قيود اليومية'!$A$11:$A$1010,A515,'قيود اليومية'!$M$11:$M$1010,"&lt;&gt;OK",'قيود اليومية'!$M$11:$M$1010,"&lt;&gt;فارغ")&gt;0,"✖ خطأ بالحساب",IF(ROUND(SUMIFS('قيود اليومية'!$G$11:$G$1010,'قيود اليومية'!$A$11:$A$1010,A515)-SUMIFS('قيود اليومية'!$H$11:$H$1010,'قيود اليومية'!$A$11:$A$1010,A515),2)&lt;&gt;0,"✖ غير متوازن","مرحل ✔")))</f>
        <v/>
      </c>
      <c r="J515" s="55" t="str">
        <f aca="false">IF(C515="","",IFERROR(INDEX('شجرة الحسابات'!$E$9:$E$208,MATCH(C515,'شجرة الحسابات'!$A$9:$A$208,0))&amp;"",""))</f>
        <v/>
      </c>
      <c r="K515" s="55" t="str">
        <f aca="false">IF(C515="","",IFERROR(INDEX('شجرة الحسابات'!$I$9:$I$208,MATCH(C515,'شجرة الحسابات'!$A$9:$A$208,0))&amp;"",""))</f>
        <v/>
      </c>
      <c r="L515" s="55" t="str">
        <f aca="false">IF(C515="","",IFERROR(INDEX('شجرة الحسابات'!$C$9:$C$208,MATCH(C515,'شجرة الحسابات'!$A$9:$A$208,0))&amp;"",""))</f>
        <v/>
      </c>
      <c r="M515" s="55" t="str">
        <f aca="false">IF(AND(C515="",G515="",H515=""),"فارغ",IF(ISNA(MATCH(C515,'شجرة الحسابات'!$A$9:$A$208,0)),"حساب غير معرف",IF(L515&lt;&gt;"تحليلي","حساب تجميعي",IF(AND(N(G515)&gt;0,N(H515)&gt;0),"مدين ودائن معاً",IF(N(G515)+N(H515)=0,"بدون قيمة","OK")))))</f>
        <v>فارغ</v>
      </c>
      <c r="N515" s="55" t="str">
        <f aca="false">IF(AND(E515&lt;&gt;"",E515='كشف حساب مشروع'!$C$6,I515="مرحل ✔"),COUNTIFS($E$11:E515,'كشف حساب مشروع'!$C$6,$I$11:I515,"مرحل ✔"),"")</f>
        <v/>
      </c>
      <c r="O515" s="55" t="str">
        <f aca="false">IF(AND(C515&lt;&gt;"",C515='دفتر الأستاذ'!$C$6,I515="مرحل ✔"),COUNTIFS($C$11:C515,'دفتر الأستاذ'!$C$6,$I$11:I515,"مرحل ✔"),"")</f>
        <v/>
      </c>
    </row>
    <row r="516" customFormat="false" ht="15" hidden="false" customHeight="false" outlineLevel="0" collapsed="false">
      <c r="A516" s="49"/>
      <c r="B516" s="50"/>
      <c r="C516" s="49"/>
      <c r="D516" s="51" t="str">
        <f aca="false">IF(C516="","",IFERROR(INDEX('شجرة الحسابات'!$B$9:$B$208,MATCH(C516,'شجرة الحسابات'!$A$9:$A$208,0)),"⚠ حساب غير معرف"))</f>
        <v/>
      </c>
      <c r="E516" s="52"/>
      <c r="F516" s="52"/>
      <c r="G516" s="53"/>
      <c r="H516" s="53"/>
      <c r="I516" s="54" t="str">
        <f aca="false">IF(A516="",IF(M516="فارغ","","✖ بدون رقم قيد"),IF(COUNTIFS('قيود اليومية'!$A$11:$A$1010,A516,'قيود اليومية'!$M$11:$M$1010,"&lt;&gt;OK",'قيود اليومية'!$M$11:$M$1010,"&lt;&gt;فارغ")&gt;0,"✖ خطأ بالحساب",IF(ROUND(SUMIFS('قيود اليومية'!$G$11:$G$1010,'قيود اليومية'!$A$11:$A$1010,A516)-SUMIFS('قيود اليومية'!$H$11:$H$1010,'قيود اليومية'!$A$11:$A$1010,A516),2)&lt;&gt;0,"✖ غير متوازن","مرحل ✔")))</f>
        <v/>
      </c>
      <c r="J516" s="55" t="str">
        <f aca="false">IF(C516="","",IFERROR(INDEX('شجرة الحسابات'!$E$9:$E$208,MATCH(C516,'شجرة الحسابات'!$A$9:$A$208,0))&amp;"",""))</f>
        <v/>
      </c>
      <c r="K516" s="55" t="str">
        <f aca="false">IF(C516="","",IFERROR(INDEX('شجرة الحسابات'!$I$9:$I$208,MATCH(C516,'شجرة الحسابات'!$A$9:$A$208,0))&amp;"",""))</f>
        <v/>
      </c>
      <c r="L516" s="55" t="str">
        <f aca="false">IF(C516="","",IFERROR(INDEX('شجرة الحسابات'!$C$9:$C$208,MATCH(C516,'شجرة الحسابات'!$A$9:$A$208,0))&amp;"",""))</f>
        <v/>
      </c>
      <c r="M516" s="55" t="str">
        <f aca="false">IF(AND(C516="",G516="",H516=""),"فارغ",IF(ISNA(MATCH(C516,'شجرة الحسابات'!$A$9:$A$208,0)),"حساب غير معرف",IF(L516&lt;&gt;"تحليلي","حساب تجميعي",IF(AND(N(G516)&gt;0,N(H516)&gt;0),"مدين ودائن معاً",IF(N(G516)+N(H516)=0,"بدون قيمة","OK")))))</f>
        <v>فارغ</v>
      </c>
      <c r="N516" s="55" t="str">
        <f aca="false">IF(AND(E516&lt;&gt;"",E516='كشف حساب مشروع'!$C$6,I516="مرحل ✔"),COUNTIFS($E$11:E516,'كشف حساب مشروع'!$C$6,$I$11:I516,"مرحل ✔"),"")</f>
        <v/>
      </c>
      <c r="O516" s="55" t="str">
        <f aca="false">IF(AND(C516&lt;&gt;"",C516='دفتر الأستاذ'!$C$6,I516="مرحل ✔"),COUNTIFS($C$11:C516,'دفتر الأستاذ'!$C$6,$I$11:I516,"مرحل ✔"),"")</f>
        <v/>
      </c>
    </row>
    <row r="517" customFormat="false" ht="15" hidden="false" customHeight="false" outlineLevel="0" collapsed="false">
      <c r="A517" s="49"/>
      <c r="B517" s="50"/>
      <c r="C517" s="49"/>
      <c r="D517" s="51" t="str">
        <f aca="false">IF(C517="","",IFERROR(INDEX('شجرة الحسابات'!$B$9:$B$208,MATCH(C517,'شجرة الحسابات'!$A$9:$A$208,0)),"⚠ حساب غير معرف"))</f>
        <v/>
      </c>
      <c r="E517" s="52"/>
      <c r="F517" s="52"/>
      <c r="G517" s="53"/>
      <c r="H517" s="53"/>
      <c r="I517" s="54" t="str">
        <f aca="false">IF(A517="",IF(M517="فارغ","","✖ بدون رقم قيد"),IF(COUNTIFS('قيود اليومية'!$A$11:$A$1010,A517,'قيود اليومية'!$M$11:$M$1010,"&lt;&gt;OK",'قيود اليومية'!$M$11:$M$1010,"&lt;&gt;فارغ")&gt;0,"✖ خطأ بالحساب",IF(ROUND(SUMIFS('قيود اليومية'!$G$11:$G$1010,'قيود اليومية'!$A$11:$A$1010,A517)-SUMIFS('قيود اليومية'!$H$11:$H$1010,'قيود اليومية'!$A$11:$A$1010,A517),2)&lt;&gt;0,"✖ غير متوازن","مرحل ✔")))</f>
        <v/>
      </c>
      <c r="J517" s="55" t="str">
        <f aca="false">IF(C517="","",IFERROR(INDEX('شجرة الحسابات'!$E$9:$E$208,MATCH(C517,'شجرة الحسابات'!$A$9:$A$208,0))&amp;"",""))</f>
        <v/>
      </c>
      <c r="K517" s="55" t="str">
        <f aca="false">IF(C517="","",IFERROR(INDEX('شجرة الحسابات'!$I$9:$I$208,MATCH(C517,'شجرة الحسابات'!$A$9:$A$208,0))&amp;"",""))</f>
        <v/>
      </c>
      <c r="L517" s="55" t="str">
        <f aca="false">IF(C517="","",IFERROR(INDEX('شجرة الحسابات'!$C$9:$C$208,MATCH(C517,'شجرة الحسابات'!$A$9:$A$208,0))&amp;"",""))</f>
        <v/>
      </c>
      <c r="M517" s="55" t="str">
        <f aca="false">IF(AND(C517="",G517="",H517=""),"فارغ",IF(ISNA(MATCH(C517,'شجرة الحسابات'!$A$9:$A$208,0)),"حساب غير معرف",IF(L517&lt;&gt;"تحليلي","حساب تجميعي",IF(AND(N(G517)&gt;0,N(H517)&gt;0),"مدين ودائن معاً",IF(N(G517)+N(H517)=0,"بدون قيمة","OK")))))</f>
        <v>فارغ</v>
      </c>
      <c r="N517" s="55" t="str">
        <f aca="false">IF(AND(E517&lt;&gt;"",E517='كشف حساب مشروع'!$C$6,I517="مرحل ✔"),COUNTIFS($E$11:E517,'كشف حساب مشروع'!$C$6,$I$11:I517,"مرحل ✔"),"")</f>
        <v/>
      </c>
      <c r="O517" s="55" t="str">
        <f aca="false">IF(AND(C517&lt;&gt;"",C517='دفتر الأستاذ'!$C$6,I517="مرحل ✔"),COUNTIFS($C$11:C517,'دفتر الأستاذ'!$C$6,$I$11:I517,"مرحل ✔"),"")</f>
        <v/>
      </c>
    </row>
    <row r="518" customFormat="false" ht="15" hidden="false" customHeight="false" outlineLevel="0" collapsed="false">
      <c r="A518" s="49"/>
      <c r="B518" s="50"/>
      <c r="C518" s="49"/>
      <c r="D518" s="51" t="str">
        <f aca="false">IF(C518="","",IFERROR(INDEX('شجرة الحسابات'!$B$9:$B$208,MATCH(C518,'شجرة الحسابات'!$A$9:$A$208,0)),"⚠ حساب غير معرف"))</f>
        <v/>
      </c>
      <c r="E518" s="52"/>
      <c r="F518" s="52"/>
      <c r="G518" s="53"/>
      <c r="H518" s="53"/>
      <c r="I518" s="54" t="str">
        <f aca="false">IF(A518="",IF(M518="فارغ","","✖ بدون رقم قيد"),IF(COUNTIFS('قيود اليومية'!$A$11:$A$1010,A518,'قيود اليومية'!$M$11:$M$1010,"&lt;&gt;OK",'قيود اليومية'!$M$11:$M$1010,"&lt;&gt;فارغ")&gt;0,"✖ خطأ بالحساب",IF(ROUND(SUMIFS('قيود اليومية'!$G$11:$G$1010,'قيود اليومية'!$A$11:$A$1010,A518)-SUMIFS('قيود اليومية'!$H$11:$H$1010,'قيود اليومية'!$A$11:$A$1010,A518),2)&lt;&gt;0,"✖ غير متوازن","مرحل ✔")))</f>
        <v/>
      </c>
      <c r="J518" s="55" t="str">
        <f aca="false">IF(C518="","",IFERROR(INDEX('شجرة الحسابات'!$E$9:$E$208,MATCH(C518,'شجرة الحسابات'!$A$9:$A$208,0))&amp;"",""))</f>
        <v/>
      </c>
      <c r="K518" s="55" t="str">
        <f aca="false">IF(C518="","",IFERROR(INDEX('شجرة الحسابات'!$I$9:$I$208,MATCH(C518,'شجرة الحسابات'!$A$9:$A$208,0))&amp;"",""))</f>
        <v/>
      </c>
      <c r="L518" s="55" t="str">
        <f aca="false">IF(C518="","",IFERROR(INDEX('شجرة الحسابات'!$C$9:$C$208,MATCH(C518,'شجرة الحسابات'!$A$9:$A$208,0))&amp;"",""))</f>
        <v/>
      </c>
      <c r="M518" s="55" t="str">
        <f aca="false">IF(AND(C518="",G518="",H518=""),"فارغ",IF(ISNA(MATCH(C518,'شجرة الحسابات'!$A$9:$A$208,0)),"حساب غير معرف",IF(L518&lt;&gt;"تحليلي","حساب تجميعي",IF(AND(N(G518)&gt;0,N(H518)&gt;0),"مدين ودائن معاً",IF(N(G518)+N(H518)=0,"بدون قيمة","OK")))))</f>
        <v>فارغ</v>
      </c>
      <c r="N518" s="55" t="str">
        <f aca="false">IF(AND(E518&lt;&gt;"",E518='كشف حساب مشروع'!$C$6,I518="مرحل ✔"),COUNTIFS($E$11:E518,'كشف حساب مشروع'!$C$6,$I$11:I518,"مرحل ✔"),"")</f>
        <v/>
      </c>
      <c r="O518" s="55" t="str">
        <f aca="false">IF(AND(C518&lt;&gt;"",C518='دفتر الأستاذ'!$C$6,I518="مرحل ✔"),COUNTIFS($C$11:C518,'دفتر الأستاذ'!$C$6,$I$11:I518,"مرحل ✔"),"")</f>
        <v/>
      </c>
    </row>
    <row r="519" customFormat="false" ht="15" hidden="false" customHeight="false" outlineLevel="0" collapsed="false">
      <c r="A519" s="49"/>
      <c r="B519" s="50"/>
      <c r="C519" s="49"/>
      <c r="D519" s="51" t="str">
        <f aca="false">IF(C519="","",IFERROR(INDEX('شجرة الحسابات'!$B$9:$B$208,MATCH(C519,'شجرة الحسابات'!$A$9:$A$208,0)),"⚠ حساب غير معرف"))</f>
        <v/>
      </c>
      <c r="E519" s="52"/>
      <c r="F519" s="52"/>
      <c r="G519" s="53"/>
      <c r="H519" s="53"/>
      <c r="I519" s="54" t="str">
        <f aca="false">IF(A519="",IF(M519="فارغ","","✖ بدون رقم قيد"),IF(COUNTIFS('قيود اليومية'!$A$11:$A$1010,A519,'قيود اليومية'!$M$11:$M$1010,"&lt;&gt;OK",'قيود اليومية'!$M$11:$M$1010,"&lt;&gt;فارغ")&gt;0,"✖ خطأ بالحساب",IF(ROUND(SUMIFS('قيود اليومية'!$G$11:$G$1010,'قيود اليومية'!$A$11:$A$1010,A519)-SUMIFS('قيود اليومية'!$H$11:$H$1010,'قيود اليومية'!$A$11:$A$1010,A519),2)&lt;&gt;0,"✖ غير متوازن","مرحل ✔")))</f>
        <v/>
      </c>
      <c r="J519" s="55" t="str">
        <f aca="false">IF(C519="","",IFERROR(INDEX('شجرة الحسابات'!$E$9:$E$208,MATCH(C519,'شجرة الحسابات'!$A$9:$A$208,0))&amp;"",""))</f>
        <v/>
      </c>
      <c r="K519" s="55" t="str">
        <f aca="false">IF(C519="","",IFERROR(INDEX('شجرة الحسابات'!$I$9:$I$208,MATCH(C519,'شجرة الحسابات'!$A$9:$A$208,0))&amp;"",""))</f>
        <v/>
      </c>
      <c r="L519" s="55" t="str">
        <f aca="false">IF(C519="","",IFERROR(INDEX('شجرة الحسابات'!$C$9:$C$208,MATCH(C519,'شجرة الحسابات'!$A$9:$A$208,0))&amp;"",""))</f>
        <v/>
      </c>
      <c r="M519" s="55" t="str">
        <f aca="false">IF(AND(C519="",G519="",H519=""),"فارغ",IF(ISNA(MATCH(C519,'شجرة الحسابات'!$A$9:$A$208,0)),"حساب غير معرف",IF(L519&lt;&gt;"تحليلي","حساب تجميعي",IF(AND(N(G519)&gt;0,N(H519)&gt;0),"مدين ودائن معاً",IF(N(G519)+N(H519)=0,"بدون قيمة","OK")))))</f>
        <v>فارغ</v>
      </c>
      <c r="N519" s="55" t="str">
        <f aca="false">IF(AND(E519&lt;&gt;"",E519='كشف حساب مشروع'!$C$6,I519="مرحل ✔"),COUNTIFS($E$11:E519,'كشف حساب مشروع'!$C$6,$I$11:I519,"مرحل ✔"),"")</f>
        <v/>
      </c>
      <c r="O519" s="55" t="str">
        <f aca="false">IF(AND(C519&lt;&gt;"",C519='دفتر الأستاذ'!$C$6,I519="مرحل ✔"),COUNTIFS($C$11:C519,'دفتر الأستاذ'!$C$6,$I$11:I519,"مرحل ✔"),"")</f>
        <v/>
      </c>
    </row>
    <row r="520" customFormat="false" ht="15" hidden="false" customHeight="false" outlineLevel="0" collapsed="false">
      <c r="A520" s="49"/>
      <c r="B520" s="50"/>
      <c r="C520" s="49"/>
      <c r="D520" s="51" t="str">
        <f aca="false">IF(C520="","",IFERROR(INDEX('شجرة الحسابات'!$B$9:$B$208,MATCH(C520,'شجرة الحسابات'!$A$9:$A$208,0)),"⚠ حساب غير معرف"))</f>
        <v/>
      </c>
      <c r="E520" s="52"/>
      <c r="F520" s="52"/>
      <c r="G520" s="53"/>
      <c r="H520" s="53"/>
      <c r="I520" s="54" t="str">
        <f aca="false">IF(A520="",IF(M520="فارغ","","✖ بدون رقم قيد"),IF(COUNTIFS('قيود اليومية'!$A$11:$A$1010,A520,'قيود اليومية'!$M$11:$M$1010,"&lt;&gt;OK",'قيود اليومية'!$M$11:$M$1010,"&lt;&gt;فارغ")&gt;0,"✖ خطأ بالحساب",IF(ROUND(SUMIFS('قيود اليومية'!$G$11:$G$1010,'قيود اليومية'!$A$11:$A$1010,A520)-SUMIFS('قيود اليومية'!$H$11:$H$1010,'قيود اليومية'!$A$11:$A$1010,A520),2)&lt;&gt;0,"✖ غير متوازن","مرحل ✔")))</f>
        <v/>
      </c>
      <c r="J520" s="55" t="str">
        <f aca="false">IF(C520="","",IFERROR(INDEX('شجرة الحسابات'!$E$9:$E$208,MATCH(C520,'شجرة الحسابات'!$A$9:$A$208,0))&amp;"",""))</f>
        <v/>
      </c>
      <c r="K520" s="55" t="str">
        <f aca="false">IF(C520="","",IFERROR(INDEX('شجرة الحسابات'!$I$9:$I$208,MATCH(C520,'شجرة الحسابات'!$A$9:$A$208,0))&amp;"",""))</f>
        <v/>
      </c>
      <c r="L520" s="55" t="str">
        <f aca="false">IF(C520="","",IFERROR(INDEX('شجرة الحسابات'!$C$9:$C$208,MATCH(C520,'شجرة الحسابات'!$A$9:$A$208,0))&amp;"",""))</f>
        <v/>
      </c>
      <c r="M520" s="55" t="str">
        <f aca="false">IF(AND(C520="",G520="",H520=""),"فارغ",IF(ISNA(MATCH(C520,'شجرة الحسابات'!$A$9:$A$208,0)),"حساب غير معرف",IF(L520&lt;&gt;"تحليلي","حساب تجميعي",IF(AND(N(G520)&gt;0,N(H520)&gt;0),"مدين ودائن معاً",IF(N(G520)+N(H520)=0,"بدون قيمة","OK")))))</f>
        <v>فارغ</v>
      </c>
      <c r="N520" s="55" t="str">
        <f aca="false">IF(AND(E520&lt;&gt;"",E520='كشف حساب مشروع'!$C$6,I520="مرحل ✔"),COUNTIFS($E$11:E520,'كشف حساب مشروع'!$C$6,$I$11:I520,"مرحل ✔"),"")</f>
        <v/>
      </c>
      <c r="O520" s="55" t="str">
        <f aca="false">IF(AND(C520&lt;&gt;"",C520='دفتر الأستاذ'!$C$6,I520="مرحل ✔"),COUNTIFS($C$11:C520,'دفتر الأستاذ'!$C$6,$I$11:I520,"مرحل ✔"),"")</f>
        <v/>
      </c>
    </row>
    <row r="521" customFormat="false" ht="15" hidden="false" customHeight="false" outlineLevel="0" collapsed="false">
      <c r="A521" s="49"/>
      <c r="B521" s="50"/>
      <c r="C521" s="49"/>
      <c r="D521" s="51" t="str">
        <f aca="false">IF(C521="","",IFERROR(INDEX('شجرة الحسابات'!$B$9:$B$208,MATCH(C521,'شجرة الحسابات'!$A$9:$A$208,0)),"⚠ حساب غير معرف"))</f>
        <v/>
      </c>
      <c r="E521" s="52"/>
      <c r="F521" s="52"/>
      <c r="G521" s="53"/>
      <c r="H521" s="53"/>
      <c r="I521" s="54" t="str">
        <f aca="false">IF(A521="",IF(M521="فارغ","","✖ بدون رقم قيد"),IF(COUNTIFS('قيود اليومية'!$A$11:$A$1010,A521,'قيود اليومية'!$M$11:$M$1010,"&lt;&gt;OK",'قيود اليومية'!$M$11:$M$1010,"&lt;&gt;فارغ")&gt;0,"✖ خطأ بالحساب",IF(ROUND(SUMIFS('قيود اليومية'!$G$11:$G$1010,'قيود اليومية'!$A$11:$A$1010,A521)-SUMIFS('قيود اليومية'!$H$11:$H$1010,'قيود اليومية'!$A$11:$A$1010,A521),2)&lt;&gt;0,"✖ غير متوازن","مرحل ✔")))</f>
        <v/>
      </c>
      <c r="J521" s="55" t="str">
        <f aca="false">IF(C521="","",IFERROR(INDEX('شجرة الحسابات'!$E$9:$E$208,MATCH(C521,'شجرة الحسابات'!$A$9:$A$208,0))&amp;"",""))</f>
        <v/>
      </c>
      <c r="K521" s="55" t="str">
        <f aca="false">IF(C521="","",IFERROR(INDEX('شجرة الحسابات'!$I$9:$I$208,MATCH(C521,'شجرة الحسابات'!$A$9:$A$208,0))&amp;"",""))</f>
        <v/>
      </c>
      <c r="L521" s="55" t="str">
        <f aca="false">IF(C521="","",IFERROR(INDEX('شجرة الحسابات'!$C$9:$C$208,MATCH(C521,'شجرة الحسابات'!$A$9:$A$208,0))&amp;"",""))</f>
        <v/>
      </c>
      <c r="M521" s="55" t="str">
        <f aca="false">IF(AND(C521="",G521="",H521=""),"فارغ",IF(ISNA(MATCH(C521,'شجرة الحسابات'!$A$9:$A$208,0)),"حساب غير معرف",IF(L521&lt;&gt;"تحليلي","حساب تجميعي",IF(AND(N(G521)&gt;0,N(H521)&gt;0),"مدين ودائن معاً",IF(N(G521)+N(H521)=0,"بدون قيمة","OK")))))</f>
        <v>فارغ</v>
      </c>
      <c r="N521" s="55" t="str">
        <f aca="false">IF(AND(E521&lt;&gt;"",E521='كشف حساب مشروع'!$C$6,I521="مرحل ✔"),COUNTIFS($E$11:E521,'كشف حساب مشروع'!$C$6,$I$11:I521,"مرحل ✔"),"")</f>
        <v/>
      </c>
      <c r="O521" s="55" t="str">
        <f aca="false">IF(AND(C521&lt;&gt;"",C521='دفتر الأستاذ'!$C$6,I521="مرحل ✔"),COUNTIFS($C$11:C521,'دفتر الأستاذ'!$C$6,$I$11:I521,"مرحل ✔"),"")</f>
        <v/>
      </c>
    </row>
    <row r="522" customFormat="false" ht="15" hidden="false" customHeight="false" outlineLevel="0" collapsed="false">
      <c r="A522" s="49"/>
      <c r="B522" s="50"/>
      <c r="C522" s="49"/>
      <c r="D522" s="51" t="str">
        <f aca="false">IF(C522="","",IFERROR(INDEX('شجرة الحسابات'!$B$9:$B$208,MATCH(C522,'شجرة الحسابات'!$A$9:$A$208,0)),"⚠ حساب غير معرف"))</f>
        <v/>
      </c>
      <c r="E522" s="52"/>
      <c r="F522" s="52"/>
      <c r="G522" s="53"/>
      <c r="H522" s="53"/>
      <c r="I522" s="54" t="str">
        <f aca="false">IF(A522="",IF(M522="فارغ","","✖ بدون رقم قيد"),IF(COUNTIFS('قيود اليومية'!$A$11:$A$1010,A522,'قيود اليومية'!$M$11:$M$1010,"&lt;&gt;OK",'قيود اليومية'!$M$11:$M$1010,"&lt;&gt;فارغ")&gt;0,"✖ خطأ بالحساب",IF(ROUND(SUMIFS('قيود اليومية'!$G$11:$G$1010,'قيود اليومية'!$A$11:$A$1010,A522)-SUMIFS('قيود اليومية'!$H$11:$H$1010,'قيود اليومية'!$A$11:$A$1010,A522),2)&lt;&gt;0,"✖ غير متوازن","مرحل ✔")))</f>
        <v/>
      </c>
      <c r="J522" s="55" t="str">
        <f aca="false">IF(C522="","",IFERROR(INDEX('شجرة الحسابات'!$E$9:$E$208,MATCH(C522,'شجرة الحسابات'!$A$9:$A$208,0))&amp;"",""))</f>
        <v/>
      </c>
      <c r="K522" s="55" t="str">
        <f aca="false">IF(C522="","",IFERROR(INDEX('شجرة الحسابات'!$I$9:$I$208,MATCH(C522,'شجرة الحسابات'!$A$9:$A$208,0))&amp;"",""))</f>
        <v/>
      </c>
      <c r="L522" s="55" t="str">
        <f aca="false">IF(C522="","",IFERROR(INDEX('شجرة الحسابات'!$C$9:$C$208,MATCH(C522,'شجرة الحسابات'!$A$9:$A$208,0))&amp;"",""))</f>
        <v/>
      </c>
      <c r="M522" s="55" t="str">
        <f aca="false">IF(AND(C522="",G522="",H522=""),"فارغ",IF(ISNA(MATCH(C522,'شجرة الحسابات'!$A$9:$A$208,0)),"حساب غير معرف",IF(L522&lt;&gt;"تحليلي","حساب تجميعي",IF(AND(N(G522)&gt;0,N(H522)&gt;0),"مدين ودائن معاً",IF(N(G522)+N(H522)=0,"بدون قيمة","OK")))))</f>
        <v>فارغ</v>
      </c>
      <c r="N522" s="55" t="str">
        <f aca="false">IF(AND(E522&lt;&gt;"",E522='كشف حساب مشروع'!$C$6,I522="مرحل ✔"),COUNTIFS($E$11:E522,'كشف حساب مشروع'!$C$6,$I$11:I522,"مرحل ✔"),"")</f>
        <v/>
      </c>
      <c r="O522" s="55" t="str">
        <f aca="false">IF(AND(C522&lt;&gt;"",C522='دفتر الأستاذ'!$C$6,I522="مرحل ✔"),COUNTIFS($C$11:C522,'دفتر الأستاذ'!$C$6,$I$11:I522,"مرحل ✔"),"")</f>
        <v/>
      </c>
    </row>
    <row r="523" customFormat="false" ht="15" hidden="false" customHeight="false" outlineLevel="0" collapsed="false">
      <c r="A523" s="49"/>
      <c r="B523" s="50"/>
      <c r="C523" s="49"/>
      <c r="D523" s="51" t="str">
        <f aca="false">IF(C523="","",IFERROR(INDEX('شجرة الحسابات'!$B$9:$B$208,MATCH(C523,'شجرة الحسابات'!$A$9:$A$208,0)),"⚠ حساب غير معرف"))</f>
        <v/>
      </c>
      <c r="E523" s="52"/>
      <c r="F523" s="52"/>
      <c r="G523" s="53"/>
      <c r="H523" s="53"/>
      <c r="I523" s="54" t="str">
        <f aca="false">IF(A523="",IF(M523="فارغ","","✖ بدون رقم قيد"),IF(COUNTIFS('قيود اليومية'!$A$11:$A$1010,A523,'قيود اليومية'!$M$11:$M$1010,"&lt;&gt;OK",'قيود اليومية'!$M$11:$M$1010,"&lt;&gt;فارغ")&gt;0,"✖ خطأ بالحساب",IF(ROUND(SUMIFS('قيود اليومية'!$G$11:$G$1010,'قيود اليومية'!$A$11:$A$1010,A523)-SUMIFS('قيود اليومية'!$H$11:$H$1010,'قيود اليومية'!$A$11:$A$1010,A523),2)&lt;&gt;0,"✖ غير متوازن","مرحل ✔")))</f>
        <v/>
      </c>
      <c r="J523" s="55" t="str">
        <f aca="false">IF(C523="","",IFERROR(INDEX('شجرة الحسابات'!$E$9:$E$208,MATCH(C523,'شجرة الحسابات'!$A$9:$A$208,0))&amp;"",""))</f>
        <v/>
      </c>
      <c r="K523" s="55" t="str">
        <f aca="false">IF(C523="","",IFERROR(INDEX('شجرة الحسابات'!$I$9:$I$208,MATCH(C523,'شجرة الحسابات'!$A$9:$A$208,0))&amp;"",""))</f>
        <v/>
      </c>
      <c r="L523" s="55" t="str">
        <f aca="false">IF(C523="","",IFERROR(INDEX('شجرة الحسابات'!$C$9:$C$208,MATCH(C523,'شجرة الحسابات'!$A$9:$A$208,0))&amp;"",""))</f>
        <v/>
      </c>
      <c r="M523" s="55" t="str">
        <f aca="false">IF(AND(C523="",G523="",H523=""),"فارغ",IF(ISNA(MATCH(C523,'شجرة الحسابات'!$A$9:$A$208,0)),"حساب غير معرف",IF(L523&lt;&gt;"تحليلي","حساب تجميعي",IF(AND(N(G523)&gt;0,N(H523)&gt;0),"مدين ودائن معاً",IF(N(G523)+N(H523)=0,"بدون قيمة","OK")))))</f>
        <v>فارغ</v>
      </c>
      <c r="N523" s="55" t="str">
        <f aca="false">IF(AND(E523&lt;&gt;"",E523='كشف حساب مشروع'!$C$6,I523="مرحل ✔"),COUNTIFS($E$11:E523,'كشف حساب مشروع'!$C$6,$I$11:I523,"مرحل ✔"),"")</f>
        <v/>
      </c>
      <c r="O523" s="55" t="str">
        <f aca="false">IF(AND(C523&lt;&gt;"",C523='دفتر الأستاذ'!$C$6,I523="مرحل ✔"),COUNTIFS($C$11:C523,'دفتر الأستاذ'!$C$6,$I$11:I523,"مرحل ✔"),"")</f>
        <v/>
      </c>
    </row>
    <row r="524" customFormat="false" ht="15" hidden="false" customHeight="false" outlineLevel="0" collapsed="false">
      <c r="A524" s="49"/>
      <c r="B524" s="50"/>
      <c r="C524" s="49"/>
      <c r="D524" s="51" t="str">
        <f aca="false">IF(C524="","",IFERROR(INDEX('شجرة الحسابات'!$B$9:$B$208,MATCH(C524,'شجرة الحسابات'!$A$9:$A$208,0)),"⚠ حساب غير معرف"))</f>
        <v/>
      </c>
      <c r="E524" s="52"/>
      <c r="F524" s="52"/>
      <c r="G524" s="53"/>
      <c r="H524" s="53"/>
      <c r="I524" s="54" t="str">
        <f aca="false">IF(A524="",IF(M524="فارغ","","✖ بدون رقم قيد"),IF(COUNTIFS('قيود اليومية'!$A$11:$A$1010,A524,'قيود اليومية'!$M$11:$M$1010,"&lt;&gt;OK",'قيود اليومية'!$M$11:$M$1010,"&lt;&gt;فارغ")&gt;0,"✖ خطأ بالحساب",IF(ROUND(SUMIFS('قيود اليومية'!$G$11:$G$1010,'قيود اليومية'!$A$11:$A$1010,A524)-SUMIFS('قيود اليومية'!$H$11:$H$1010,'قيود اليومية'!$A$11:$A$1010,A524),2)&lt;&gt;0,"✖ غير متوازن","مرحل ✔")))</f>
        <v/>
      </c>
      <c r="J524" s="55" t="str">
        <f aca="false">IF(C524="","",IFERROR(INDEX('شجرة الحسابات'!$E$9:$E$208,MATCH(C524,'شجرة الحسابات'!$A$9:$A$208,0))&amp;"",""))</f>
        <v/>
      </c>
      <c r="K524" s="55" t="str">
        <f aca="false">IF(C524="","",IFERROR(INDEX('شجرة الحسابات'!$I$9:$I$208,MATCH(C524,'شجرة الحسابات'!$A$9:$A$208,0))&amp;"",""))</f>
        <v/>
      </c>
      <c r="L524" s="55" t="str">
        <f aca="false">IF(C524="","",IFERROR(INDEX('شجرة الحسابات'!$C$9:$C$208,MATCH(C524,'شجرة الحسابات'!$A$9:$A$208,0))&amp;"",""))</f>
        <v/>
      </c>
      <c r="M524" s="55" t="str">
        <f aca="false">IF(AND(C524="",G524="",H524=""),"فارغ",IF(ISNA(MATCH(C524,'شجرة الحسابات'!$A$9:$A$208,0)),"حساب غير معرف",IF(L524&lt;&gt;"تحليلي","حساب تجميعي",IF(AND(N(G524)&gt;0,N(H524)&gt;0),"مدين ودائن معاً",IF(N(G524)+N(H524)=0,"بدون قيمة","OK")))))</f>
        <v>فارغ</v>
      </c>
      <c r="N524" s="55" t="str">
        <f aca="false">IF(AND(E524&lt;&gt;"",E524='كشف حساب مشروع'!$C$6,I524="مرحل ✔"),COUNTIFS($E$11:E524,'كشف حساب مشروع'!$C$6,$I$11:I524,"مرحل ✔"),"")</f>
        <v/>
      </c>
      <c r="O524" s="55" t="str">
        <f aca="false">IF(AND(C524&lt;&gt;"",C524='دفتر الأستاذ'!$C$6,I524="مرحل ✔"),COUNTIFS($C$11:C524,'دفتر الأستاذ'!$C$6,$I$11:I524,"مرحل ✔"),"")</f>
        <v/>
      </c>
    </row>
    <row r="525" customFormat="false" ht="15" hidden="false" customHeight="false" outlineLevel="0" collapsed="false">
      <c r="A525" s="49"/>
      <c r="B525" s="50"/>
      <c r="C525" s="49"/>
      <c r="D525" s="51" t="str">
        <f aca="false">IF(C525="","",IFERROR(INDEX('شجرة الحسابات'!$B$9:$B$208,MATCH(C525,'شجرة الحسابات'!$A$9:$A$208,0)),"⚠ حساب غير معرف"))</f>
        <v/>
      </c>
      <c r="E525" s="52"/>
      <c r="F525" s="52"/>
      <c r="G525" s="53"/>
      <c r="H525" s="53"/>
      <c r="I525" s="54" t="str">
        <f aca="false">IF(A525="",IF(M525="فارغ","","✖ بدون رقم قيد"),IF(COUNTIFS('قيود اليومية'!$A$11:$A$1010,A525,'قيود اليومية'!$M$11:$M$1010,"&lt;&gt;OK",'قيود اليومية'!$M$11:$M$1010,"&lt;&gt;فارغ")&gt;0,"✖ خطأ بالحساب",IF(ROUND(SUMIFS('قيود اليومية'!$G$11:$G$1010,'قيود اليومية'!$A$11:$A$1010,A525)-SUMIFS('قيود اليومية'!$H$11:$H$1010,'قيود اليومية'!$A$11:$A$1010,A525),2)&lt;&gt;0,"✖ غير متوازن","مرحل ✔")))</f>
        <v/>
      </c>
      <c r="J525" s="55" t="str">
        <f aca="false">IF(C525="","",IFERROR(INDEX('شجرة الحسابات'!$E$9:$E$208,MATCH(C525,'شجرة الحسابات'!$A$9:$A$208,0))&amp;"",""))</f>
        <v/>
      </c>
      <c r="K525" s="55" t="str">
        <f aca="false">IF(C525="","",IFERROR(INDEX('شجرة الحسابات'!$I$9:$I$208,MATCH(C525,'شجرة الحسابات'!$A$9:$A$208,0))&amp;"",""))</f>
        <v/>
      </c>
      <c r="L525" s="55" t="str">
        <f aca="false">IF(C525="","",IFERROR(INDEX('شجرة الحسابات'!$C$9:$C$208,MATCH(C525,'شجرة الحسابات'!$A$9:$A$208,0))&amp;"",""))</f>
        <v/>
      </c>
      <c r="M525" s="55" t="str">
        <f aca="false">IF(AND(C525="",G525="",H525=""),"فارغ",IF(ISNA(MATCH(C525,'شجرة الحسابات'!$A$9:$A$208,0)),"حساب غير معرف",IF(L525&lt;&gt;"تحليلي","حساب تجميعي",IF(AND(N(G525)&gt;0,N(H525)&gt;0),"مدين ودائن معاً",IF(N(G525)+N(H525)=0,"بدون قيمة","OK")))))</f>
        <v>فارغ</v>
      </c>
      <c r="N525" s="55" t="str">
        <f aca="false">IF(AND(E525&lt;&gt;"",E525='كشف حساب مشروع'!$C$6,I525="مرحل ✔"),COUNTIFS($E$11:E525,'كشف حساب مشروع'!$C$6,$I$11:I525,"مرحل ✔"),"")</f>
        <v/>
      </c>
      <c r="O525" s="55" t="str">
        <f aca="false">IF(AND(C525&lt;&gt;"",C525='دفتر الأستاذ'!$C$6,I525="مرحل ✔"),COUNTIFS($C$11:C525,'دفتر الأستاذ'!$C$6,$I$11:I525,"مرحل ✔"),"")</f>
        <v/>
      </c>
    </row>
    <row r="526" customFormat="false" ht="15" hidden="false" customHeight="false" outlineLevel="0" collapsed="false">
      <c r="A526" s="49"/>
      <c r="B526" s="50"/>
      <c r="C526" s="49"/>
      <c r="D526" s="51" t="str">
        <f aca="false">IF(C526="","",IFERROR(INDEX('شجرة الحسابات'!$B$9:$B$208,MATCH(C526,'شجرة الحسابات'!$A$9:$A$208,0)),"⚠ حساب غير معرف"))</f>
        <v/>
      </c>
      <c r="E526" s="52"/>
      <c r="F526" s="52"/>
      <c r="G526" s="53"/>
      <c r="H526" s="53"/>
      <c r="I526" s="54" t="str">
        <f aca="false">IF(A526="",IF(M526="فارغ","","✖ بدون رقم قيد"),IF(COUNTIFS('قيود اليومية'!$A$11:$A$1010,A526,'قيود اليومية'!$M$11:$M$1010,"&lt;&gt;OK",'قيود اليومية'!$M$11:$M$1010,"&lt;&gt;فارغ")&gt;0,"✖ خطأ بالحساب",IF(ROUND(SUMIFS('قيود اليومية'!$G$11:$G$1010,'قيود اليومية'!$A$11:$A$1010,A526)-SUMIFS('قيود اليومية'!$H$11:$H$1010,'قيود اليومية'!$A$11:$A$1010,A526),2)&lt;&gt;0,"✖ غير متوازن","مرحل ✔")))</f>
        <v/>
      </c>
      <c r="J526" s="55" t="str">
        <f aca="false">IF(C526="","",IFERROR(INDEX('شجرة الحسابات'!$E$9:$E$208,MATCH(C526,'شجرة الحسابات'!$A$9:$A$208,0))&amp;"",""))</f>
        <v/>
      </c>
      <c r="K526" s="55" t="str">
        <f aca="false">IF(C526="","",IFERROR(INDEX('شجرة الحسابات'!$I$9:$I$208,MATCH(C526,'شجرة الحسابات'!$A$9:$A$208,0))&amp;"",""))</f>
        <v/>
      </c>
      <c r="L526" s="55" t="str">
        <f aca="false">IF(C526="","",IFERROR(INDEX('شجرة الحسابات'!$C$9:$C$208,MATCH(C526,'شجرة الحسابات'!$A$9:$A$208,0))&amp;"",""))</f>
        <v/>
      </c>
      <c r="M526" s="55" t="str">
        <f aca="false">IF(AND(C526="",G526="",H526=""),"فارغ",IF(ISNA(MATCH(C526,'شجرة الحسابات'!$A$9:$A$208,0)),"حساب غير معرف",IF(L526&lt;&gt;"تحليلي","حساب تجميعي",IF(AND(N(G526)&gt;0,N(H526)&gt;0),"مدين ودائن معاً",IF(N(G526)+N(H526)=0,"بدون قيمة","OK")))))</f>
        <v>فارغ</v>
      </c>
      <c r="N526" s="55" t="str">
        <f aca="false">IF(AND(E526&lt;&gt;"",E526='كشف حساب مشروع'!$C$6,I526="مرحل ✔"),COUNTIFS($E$11:E526,'كشف حساب مشروع'!$C$6,$I$11:I526,"مرحل ✔"),"")</f>
        <v/>
      </c>
      <c r="O526" s="55" t="str">
        <f aca="false">IF(AND(C526&lt;&gt;"",C526='دفتر الأستاذ'!$C$6,I526="مرحل ✔"),COUNTIFS($C$11:C526,'دفتر الأستاذ'!$C$6,$I$11:I526,"مرحل ✔"),"")</f>
        <v/>
      </c>
    </row>
    <row r="527" customFormat="false" ht="15" hidden="false" customHeight="false" outlineLevel="0" collapsed="false">
      <c r="A527" s="49"/>
      <c r="B527" s="50"/>
      <c r="C527" s="49"/>
      <c r="D527" s="51" t="str">
        <f aca="false">IF(C527="","",IFERROR(INDEX('شجرة الحسابات'!$B$9:$B$208,MATCH(C527,'شجرة الحسابات'!$A$9:$A$208,0)),"⚠ حساب غير معرف"))</f>
        <v/>
      </c>
      <c r="E527" s="52"/>
      <c r="F527" s="52"/>
      <c r="G527" s="53"/>
      <c r="H527" s="53"/>
      <c r="I527" s="54" t="str">
        <f aca="false">IF(A527="",IF(M527="فارغ","","✖ بدون رقم قيد"),IF(COUNTIFS('قيود اليومية'!$A$11:$A$1010,A527,'قيود اليومية'!$M$11:$M$1010,"&lt;&gt;OK",'قيود اليومية'!$M$11:$M$1010,"&lt;&gt;فارغ")&gt;0,"✖ خطأ بالحساب",IF(ROUND(SUMIFS('قيود اليومية'!$G$11:$G$1010,'قيود اليومية'!$A$11:$A$1010,A527)-SUMIFS('قيود اليومية'!$H$11:$H$1010,'قيود اليومية'!$A$11:$A$1010,A527),2)&lt;&gt;0,"✖ غير متوازن","مرحل ✔")))</f>
        <v/>
      </c>
      <c r="J527" s="55" t="str">
        <f aca="false">IF(C527="","",IFERROR(INDEX('شجرة الحسابات'!$E$9:$E$208,MATCH(C527,'شجرة الحسابات'!$A$9:$A$208,0))&amp;"",""))</f>
        <v/>
      </c>
      <c r="K527" s="55" t="str">
        <f aca="false">IF(C527="","",IFERROR(INDEX('شجرة الحسابات'!$I$9:$I$208,MATCH(C527,'شجرة الحسابات'!$A$9:$A$208,0))&amp;"",""))</f>
        <v/>
      </c>
      <c r="L527" s="55" t="str">
        <f aca="false">IF(C527="","",IFERROR(INDEX('شجرة الحسابات'!$C$9:$C$208,MATCH(C527,'شجرة الحسابات'!$A$9:$A$208,0))&amp;"",""))</f>
        <v/>
      </c>
      <c r="M527" s="55" t="str">
        <f aca="false">IF(AND(C527="",G527="",H527=""),"فارغ",IF(ISNA(MATCH(C527,'شجرة الحسابات'!$A$9:$A$208,0)),"حساب غير معرف",IF(L527&lt;&gt;"تحليلي","حساب تجميعي",IF(AND(N(G527)&gt;0,N(H527)&gt;0),"مدين ودائن معاً",IF(N(G527)+N(H527)=0,"بدون قيمة","OK")))))</f>
        <v>فارغ</v>
      </c>
      <c r="N527" s="55" t="str">
        <f aca="false">IF(AND(E527&lt;&gt;"",E527='كشف حساب مشروع'!$C$6,I527="مرحل ✔"),COUNTIFS($E$11:E527,'كشف حساب مشروع'!$C$6,$I$11:I527,"مرحل ✔"),"")</f>
        <v/>
      </c>
      <c r="O527" s="55" t="str">
        <f aca="false">IF(AND(C527&lt;&gt;"",C527='دفتر الأستاذ'!$C$6,I527="مرحل ✔"),COUNTIFS($C$11:C527,'دفتر الأستاذ'!$C$6,$I$11:I527,"مرحل ✔"),"")</f>
        <v/>
      </c>
    </row>
    <row r="528" customFormat="false" ht="15" hidden="false" customHeight="false" outlineLevel="0" collapsed="false">
      <c r="A528" s="49"/>
      <c r="B528" s="50"/>
      <c r="C528" s="49"/>
      <c r="D528" s="51" t="str">
        <f aca="false">IF(C528="","",IFERROR(INDEX('شجرة الحسابات'!$B$9:$B$208,MATCH(C528,'شجرة الحسابات'!$A$9:$A$208,0)),"⚠ حساب غير معرف"))</f>
        <v/>
      </c>
      <c r="E528" s="52"/>
      <c r="F528" s="52"/>
      <c r="G528" s="53"/>
      <c r="H528" s="53"/>
      <c r="I528" s="54" t="str">
        <f aca="false">IF(A528="",IF(M528="فارغ","","✖ بدون رقم قيد"),IF(COUNTIFS('قيود اليومية'!$A$11:$A$1010,A528,'قيود اليومية'!$M$11:$M$1010,"&lt;&gt;OK",'قيود اليومية'!$M$11:$M$1010,"&lt;&gt;فارغ")&gt;0,"✖ خطأ بالحساب",IF(ROUND(SUMIFS('قيود اليومية'!$G$11:$G$1010,'قيود اليومية'!$A$11:$A$1010,A528)-SUMIFS('قيود اليومية'!$H$11:$H$1010,'قيود اليومية'!$A$11:$A$1010,A528),2)&lt;&gt;0,"✖ غير متوازن","مرحل ✔")))</f>
        <v/>
      </c>
      <c r="J528" s="55" t="str">
        <f aca="false">IF(C528="","",IFERROR(INDEX('شجرة الحسابات'!$E$9:$E$208,MATCH(C528,'شجرة الحسابات'!$A$9:$A$208,0))&amp;"",""))</f>
        <v/>
      </c>
      <c r="K528" s="55" t="str">
        <f aca="false">IF(C528="","",IFERROR(INDEX('شجرة الحسابات'!$I$9:$I$208,MATCH(C528,'شجرة الحسابات'!$A$9:$A$208,0))&amp;"",""))</f>
        <v/>
      </c>
      <c r="L528" s="55" t="str">
        <f aca="false">IF(C528="","",IFERROR(INDEX('شجرة الحسابات'!$C$9:$C$208,MATCH(C528,'شجرة الحسابات'!$A$9:$A$208,0))&amp;"",""))</f>
        <v/>
      </c>
      <c r="M528" s="55" t="str">
        <f aca="false">IF(AND(C528="",G528="",H528=""),"فارغ",IF(ISNA(MATCH(C528,'شجرة الحسابات'!$A$9:$A$208,0)),"حساب غير معرف",IF(L528&lt;&gt;"تحليلي","حساب تجميعي",IF(AND(N(G528)&gt;0,N(H528)&gt;0),"مدين ودائن معاً",IF(N(G528)+N(H528)=0,"بدون قيمة","OK")))))</f>
        <v>فارغ</v>
      </c>
      <c r="N528" s="55" t="str">
        <f aca="false">IF(AND(E528&lt;&gt;"",E528='كشف حساب مشروع'!$C$6,I528="مرحل ✔"),COUNTIFS($E$11:E528,'كشف حساب مشروع'!$C$6,$I$11:I528,"مرحل ✔"),"")</f>
        <v/>
      </c>
      <c r="O528" s="55" t="str">
        <f aca="false">IF(AND(C528&lt;&gt;"",C528='دفتر الأستاذ'!$C$6,I528="مرحل ✔"),COUNTIFS($C$11:C528,'دفتر الأستاذ'!$C$6,$I$11:I528,"مرحل ✔"),"")</f>
        <v/>
      </c>
    </row>
    <row r="529" customFormat="false" ht="15" hidden="false" customHeight="false" outlineLevel="0" collapsed="false">
      <c r="A529" s="49"/>
      <c r="B529" s="50"/>
      <c r="C529" s="49"/>
      <c r="D529" s="51" t="str">
        <f aca="false">IF(C529="","",IFERROR(INDEX('شجرة الحسابات'!$B$9:$B$208,MATCH(C529,'شجرة الحسابات'!$A$9:$A$208,0)),"⚠ حساب غير معرف"))</f>
        <v/>
      </c>
      <c r="E529" s="52"/>
      <c r="F529" s="52"/>
      <c r="G529" s="53"/>
      <c r="H529" s="53"/>
      <c r="I529" s="54" t="str">
        <f aca="false">IF(A529="",IF(M529="فارغ","","✖ بدون رقم قيد"),IF(COUNTIFS('قيود اليومية'!$A$11:$A$1010,A529,'قيود اليومية'!$M$11:$M$1010,"&lt;&gt;OK",'قيود اليومية'!$M$11:$M$1010,"&lt;&gt;فارغ")&gt;0,"✖ خطأ بالحساب",IF(ROUND(SUMIFS('قيود اليومية'!$G$11:$G$1010,'قيود اليومية'!$A$11:$A$1010,A529)-SUMIFS('قيود اليومية'!$H$11:$H$1010,'قيود اليومية'!$A$11:$A$1010,A529),2)&lt;&gt;0,"✖ غير متوازن","مرحل ✔")))</f>
        <v/>
      </c>
      <c r="J529" s="55" t="str">
        <f aca="false">IF(C529="","",IFERROR(INDEX('شجرة الحسابات'!$E$9:$E$208,MATCH(C529,'شجرة الحسابات'!$A$9:$A$208,0))&amp;"",""))</f>
        <v/>
      </c>
      <c r="K529" s="55" t="str">
        <f aca="false">IF(C529="","",IFERROR(INDEX('شجرة الحسابات'!$I$9:$I$208,MATCH(C529,'شجرة الحسابات'!$A$9:$A$208,0))&amp;"",""))</f>
        <v/>
      </c>
      <c r="L529" s="55" t="str">
        <f aca="false">IF(C529="","",IFERROR(INDEX('شجرة الحسابات'!$C$9:$C$208,MATCH(C529,'شجرة الحسابات'!$A$9:$A$208,0))&amp;"",""))</f>
        <v/>
      </c>
      <c r="M529" s="55" t="str">
        <f aca="false">IF(AND(C529="",G529="",H529=""),"فارغ",IF(ISNA(MATCH(C529,'شجرة الحسابات'!$A$9:$A$208,0)),"حساب غير معرف",IF(L529&lt;&gt;"تحليلي","حساب تجميعي",IF(AND(N(G529)&gt;0,N(H529)&gt;0),"مدين ودائن معاً",IF(N(G529)+N(H529)=0,"بدون قيمة","OK")))))</f>
        <v>فارغ</v>
      </c>
      <c r="N529" s="55" t="str">
        <f aca="false">IF(AND(E529&lt;&gt;"",E529='كشف حساب مشروع'!$C$6,I529="مرحل ✔"),COUNTIFS($E$11:E529,'كشف حساب مشروع'!$C$6,$I$11:I529,"مرحل ✔"),"")</f>
        <v/>
      </c>
      <c r="O529" s="55" t="str">
        <f aca="false">IF(AND(C529&lt;&gt;"",C529='دفتر الأستاذ'!$C$6,I529="مرحل ✔"),COUNTIFS($C$11:C529,'دفتر الأستاذ'!$C$6,$I$11:I529,"مرحل ✔"),"")</f>
        <v/>
      </c>
    </row>
    <row r="530" customFormat="false" ht="15" hidden="false" customHeight="false" outlineLevel="0" collapsed="false">
      <c r="A530" s="49"/>
      <c r="B530" s="50"/>
      <c r="C530" s="49"/>
      <c r="D530" s="51" t="str">
        <f aca="false">IF(C530="","",IFERROR(INDEX('شجرة الحسابات'!$B$9:$B$208,MATCH(C530,'شجرة الحسابات'!$A$9:$A$208,0)),"⚠ حساب غير معرف"))</f>
        <v/>
      </c>
      <c r="E530" s="52"/>
      <c r="F530" s="52"/>
      <c r="G530" s="53"/>
      <c r="H530" s="53"/>
      <c r="I530" s="54" t="str">
        <f aca="false">IF(A530="",IF(M530="فارغ","","✖ بدون رقم قيد"),IF(COUNTIFS('قيود اليومية'!$A$11:$A$1010,A530,'قيود اليومية'!$M$11:$M$1010,"&lt;&gt;OK",'قيود اليومية'!$M$11:$M$1010,"&lt;&gt;فارغ")&gt;0,"✖ خطأ بالحساب",IF(ROUND(SUMIFS('قيود اليومية'!$G$11:$G$1010,'قيود اليومية'!$A$11:$A$1010,A530)-SUMIFS('قيود اليومية'!$H$11:$H$1010,'قيود اليومية'!$A$11:$A$1010,A530),2)&lt;&gt;0,"✖ غير متوازن","مرحل ✔")))</f>
        <v/>
      </c>
      <c r="J530" s="55" t="str">
        <f aca="false">IF(C530="","",IFERROR(INDEX('شجرة الحسابات'!$E$9:$E$208,MATCH(C530,'شجرة الحسابات'!$A$9:$A$208,0))&amp;"",""))</f>
        <v/>
      </c>
      <c r="K530" s="55" t="str">
        <f aca="false">IF(C530="","",IFERROR(INDEX('شجرة الحسابات'!$I$9:$I$208,MATCH(C530,'شجرة الحسابات'!$A$9:$A$208,0))&amp;"",""))</f>
        <v/>
      </c>
      <c r="L530" s="55" t="str">
        <f aca="false">IF(C530="","",IFERROR(INDEX('شجرة الحسابات'!$C$9:$C$208,MATCH(C530,'شجرة الحسابات'!$A$9:$A$208,0))&amp;"",""))</f>
        <v/>
      </c>
      <c r="M530" s="55" t="str">
        <f aca="false">IF(AND(C530="",G530="",H530=""),"فارغ",IF(ISNA(MATCH(C530,'شجرة الحسابات'!$A$9:$A$208,0)),"حساب غير معرف",IF(L530&lt;&gt;"تحليلي","حساب تجميعي",IF(AND(N(G530)&gt;0,N(H530)&gt;0),"مدين ودائن معاً",IF(N(G530)+N(H530)=0,"بدون قيمة","OK")))))</f>
        <v>فارغ</v>
      </c>
      <c r="N530" s="55" t="str">
        <f aca="false">IF(AND(E530&lt;&gt;"",E530='كشف حساب مشروع'!$C$6,I530="مرحل ✔"),COUNTIFS($E$11:E530,'كشف حساب مشروع'!$C$6,$I$11:I530,"مرحل ✔"),"")</f>
        <v/>
      </c>
      <c r="O530" s="55" t="str">
        <f aca="false">IF(AND(C530&lt;&gt;"",C530='دفتر الأستاذ'!$C$6,I530="مرحل ✔"),COUNTIFS($C$11:C530,'دفتر الأستاذ'!$C$6,$I$11:I530,"مرحل ✔"),"")</f>
        <v/>
      </c>
    </row>
    <row r="531" customFormat="false" ht="15" hidden="false" customHeight="false" outlineLevel="0" collapsed="false">
      <c r="A531" s="49"/>
      <c r="B531" s="50"/>
      <c r="C531" s="49"/>
      <c r="D531" s="51" t="str">
        <f aca="false">IF(C531="","",IFERROR(INDEX('شجرة الحسابات'!$B$9:$B$208,MATCH(C531,'شجرة الحسابات'!$A$9:$A$208,0)),"⚠ حساب غير معرف"))</f>
        <v/>
      </c>
      <c r="E531" s="52"/>
      <c r="F531" s="52"/>
      <c r="G531" s="53"/>
      <c r="H531" s="53"/>
      <c r="I531" s="54" t="str">
        <f aca="false">IF(A531="",IF(M531="فارغ","","✖ بدون رقم قيد"),IF(COUNTIFS('قيود اليومية'!$A$11:$A$1010,A531,'قيود اليومية'!$M$11:$M$1010,"&lt;&gt;OK",'قيود اليومية'!$M$11:$M$1010,"&lt;&gt;فارغ")&gt;0,"✖ خطأ بالحساب",IF(ROUND(SUMIFS('قيود اليومية'!$G$11:$G$1010,'قيود اليومية'!$A$11:$A$1010,A531)-SUMIFS('قيود اليومية'!$H$11:$H$1010,'قيود اليومية'!$A$11:$A$1010,A531),2)&lt;&gt;0,"✖ غير متوازن","مرحل ✔")))</f>
        <v/>
      </c>
      <c r="J531" s="55" t="str">
        <f aca="false">IF(C531="","",IFERROR(INDEX('شجرة الحسابات'!$E$9:$E$208,MATCH(C531,'شجرة الحسابات'!$A$9:$A$208,0))&amp;"",""))</f>
        <v/>
      </c>
      <c r="K531" s="55" t="str">
        <f aca="false">IF(C531="","",IFERROR(INDEX('شجرة الحسابات'!$I$9:$I$208,MATCH(C531,'شجرة الحسابات'!$A$9:$A$208,0))&amp;"",""))</f>
        <v/>
      </c>
      <c r="L531" s="55" t="str">
        <f aca="false">IF(C531="","",IFERROR(INDEX('شجرة الحسابات'!$C$9:$C$208,MATCH(C531,'شجرة الحسابات'!$A$9:$A$208,0))&amp;"",""))</f>
        <v/>
      </c>
      <c r="M531" s="55" t="str">
        <f aca="false">IF(AND(C531="",G531="",H531=""),"فارغ",IF(ISNA(MATCH(C531,'شجرة الحسابات'!$A$9:$A$208,0)),"حساب غير معرف",IF(L531&lt;&gt;"تحليلي","حساب تجميعي",IF(AND(N(G531)&gt;0,N(H531)&gt;0),"مدين ودائن معاً",IF(N(G531)+N(H531)=0,"بدون قيمة","OK")))))</f>
        <v>فارغ</v>
      </c>
      <c r="N531" s="55" t="str">
        <f aca="false">IF(AND(E531&lt;&gt;"",E531='كشف حساب مشروع'!$C$6,I531="مرحل ✔"),COUNTIFS($E$11:E531,'كشف حساب مشروع'!$C$6,$I$11:I531,"مرحل ✔"),"")</f>
        <v/>
      </c>
      <c r="O531" s="55" t="str">
        <f aca="false">IF(AND(C531&lt;&gt;"",C531='دفتر الأستاذ'!$C$6,I531="مرحل ✔"),COUNTIFS($C$11:C531,'دفتر الأستاذ'!$C$6,$I$11:I531,"مرحل ✔"),"")</f>
        <v/>
      </c>
    </row>
    <row r="532" customFormat="false" ht="15" hidden="false" customHeight="false" outlineLevel="0" collapsed="false">
      <c r="A532" s="49"/>
      <c r="B532" s="50"/>
      <c r="C532" s="49"/>
      <c r="D532" s="51" t="str">
        <f aca="false">IF(C532="","",IFERROR(INDEX('شجرة الحسابات'!$B$9:$B$208,MATCH(C532,'شجرة الحسابات'!$A$9:$A$208,0)),"⚠ حساب غير معرف"))</f>
        <v/>
      </c>
      <c r="E532" s="52"/>
      <c r="F532" s="52"/>
      <c r="G532" s="53"/>
      <c r="H532" s="53"/>
      <c r="I532" s="54" t="str">
        <f aca="false">IF(A532="",IF(M532="فارغ","","✖ بدون رقم قيد"),IF(COUNTIFS('قيود اليومية'!$A$11:$A$1010,A532,'قيود اليومية'!$M$11:$M$1010,"&lt;&gt;OK",'قيود اليومية'!$M$11:$M$1010,"&lt;&gt;فارغ")&gt;0,"✖ خطأ بالحساب",IF(ROUND(SUMIFS('قيود اليومية'!$G$11:$G$1010,'قيود اليومية'!$A$11:$A$1010,A532)-SUMIFS('قيود اليومية'!$H$11:$H$1010,'قيود اليومية'!$A$11:$A$1010,A532),2)&lt;&gt;0,"✖ غير متوازن","مرحل ✔")))</f>
        <v/>
      </c>
      <c r="J532" s="55" t="str">
        <f aca="false">IF(C532="","",IFERROR(INDEX('شجرة الحسابات'!$E$9:$E$208,MATCH(C532,'شجرة الحسابات'!$A$9:$A$208,0))&amp;"",""))</f>
        <v/>
      </c>
      <c r="K532" s="55" t="str">
        <f aca="false">IF(C532="","",IFERROR(INDEX('شجرة الحسابات'!$I$9:$I$208,MATCH(C532,'شجرة الحسابات'!$A$9:$A$208,0))&amp;"",""))</f>
        <v/>
      </c>
      <c r="L532" s="55" t="str">
        <f aca="false">IF(C532="","",IFERROR(INDEX('شجرة الحسابات'!$C$9:$C$208,MATCH(C532,'شجرة الحسابات'!$A$9:$A$208,0))&amp;"",""))</f>
        <v/>
      </c>
      <c r="M532" s="55" t="str">
        <f aca="false">IF(AND(C532="",G532="",H532=""),"فارغ",IF(ISNA(MATCH(C532,'شجرة الحسابات'!$A$9:$A$208,0)),"حساب غير معرف",IF(L532&lt;&gt;"تحليلي","حساب تجميعي",IF(AND(N(G532)&gt;0,N(H532)&gt;0),"مدين ودائن معاً",IF(N(G532)+N(H532)=0,"بدون قيمة","OK")))))</f>
        <v>فارغ</v>
      </c>
      <c r="N532" s="55" t="str">
        <f aca="false">IF(AND(E532&lt;&gt;"",E532='كشف حساب مشروع'!$C$6,I532="مرحل ✔"),COUNTIFS($E$11:E532,'كشف حساب مشروع'!$C$6,$I$11:I532,"مرحل ✔"),"")</f>
        <v/>
      </c>
      <c r="O532" s="55" t="str">
        <f aca="false">IF(AND(C532&lt;&gt;"",C532='دفتر الأستاذ'!$C$6,I532="مرحل ✔"),COUNTIFS($C$11:C532,'دفتر الأستاذ'!$C$6,$I$11:I532,"مرحل ✔"),"")</f>
        <v/>
      </c>
    </row>
    <row r="533" customFormat="false" ht="15" hidden="false" customHeight="false" outlineLevel="0" collapsed="false">
      <c r="A533" s="49"/>
      <c r="B533" s="50"/>
      <c r="C533" s="49"/>
      <c r="D533" s="51" t="str">
        <f aca="false">IF(C533="","",IFERROR(INDEX('شجرة الحسابات'!$B$9:$B$208,MATCH(C533,'شجرة الحسابات'!$A$9:$A$208,0)),"⚠ حساب غير معرف"))</f>
        <v/>
      </c>
      <c r="E533" s="52"/>
      <c r="F533" s="52"/>
      <c r="G533" s="53"/>
      <c r="H533" s="53"/>
      <c r="I533" s="54" t="str">
        <f aca="false">IF(A533="",IF(M533="فارغ","","✖ بدون رقم قيد"),IF(COUNTIFS('قيود اليومية'!$A$11:$A$1010,A533,'قيود اليومية'!$M$11:$M$1010,"&lt;&gt;OK",'قيود اليومية'!$M$11:$M$1010,"&lt;&gt;فارغ")&gt;0,"✖ خطأ بالحساب",IF(ROUND(SUMIFS('قيود اليومية'!$G$11:$G$1010,'قيود اليومية'!$A$11:$A$1010,A533)-SUMIFS('قيود اليومية'!$H$11:$H$1010,'قيود اليومية'!$A$11:$A$1010,A533),2)&lt;&gt;0,"✖ غير متوازن","مرحل ✔")))</f>
        <v/>
      </c>
      <c r="J533" s="55" t="str">
        <f aca="false">IF(C533="","",IFERROR(INDEX('شجرة الحسابات'!$E$9:$E$208,MATCH(C533,'شجرة الحسابات'!$A$9:$A$208,0))&amp;"",""))</f>
        <v/>
      </c>
      <c r="K533" s="55" t="str">
        <f aca="false">IF(C533="","",IFERROR(INDEX('شجرة الحسابات'!$I$9:$I$208,MATCH(C533,'شجرة الحسابات'!$A$9:$A$208,0))&amp;"",""))</f>
        <v/>
      </c>
      <c r="L533" s="55" t="str">
        <f aca="false">IF(C533="","",IFERROR(INDEX('شجرة الحسابات'!$C$9:$C$208,MATCH(C533,'شجرة الحسابات'!$A$9:$A$208,0))&amp;"",""))</f>
        <v/>
      </c>
      <c r="M533" s="55" t="str">
        <f aca="false">IF(AND(C533="",G533="",H533=""),"فارغ",IF(ISNA(MATCH(C533,'شجرة الحسابات'!$A$9:$A$208,0)),"حساب غير معرف",IF(L533&lt;&gt;"تحليلي","حساب تجميعي",IF(AND(N(G533)&gt;0,N(H533)&gt;0),"مدين ودائن معاً",IF(N(G533)+N(H533)=0,"بدون قيمة","OK")))))</f>
        <v>فارغ</v>
      </c>
      <c r="N533" s="55" t="str">
        <f aca="false">IF(AND(E533&lt;&gt;"",E533='كشف حساب مشروع'!$C$6,I533="مرحل ✔"),COUNTIFS($E$11:E533,'كشف حساب مشروع'!$C$6,$I$11:I533,"مرحل ✔"),"")</f>
        <v/>
      </c>
      <c r="O533" s="55" t="str">
        <f aca="false">IF(AND(C533&lt;&gt;"",C533='دفتر الأستاذ'!$C$6,I533="مرحل ✔"),COUNTIFS($C$11:C533,'دفتر الأستاذ'!$C$6,$I$11:I533,"مرحل ✔"),"")</f>
        <v/>
      </c>
    </row>
    <row r="534" customFormat="false" ht="15" hidden="false" customHeight="false" outlineLevel="0" collapsed="false">
      <c r="A534" s="49"/>
      <c r="B534" s="50"/>
      <c r="C534" s="49"/>
      <c r="D534" s="51" t="str">
        <f aca="false">IF(C534="","",IFERROR(INDEX('شجرة الحسابات'!$B$9:$B$208,MATCH(C534,'شجرة الحسابات'!$A$9:$A$208,0)),"⚠ حساب غير معرف"))</f>
        <v/>
      </c>
      <c r="E534" s="52"/>
      <c r="F534" s="52"/>
      <c r="G534" s="53"/>
      <c r="H534" s="53"/>
      <c r="I534" s="54" t="str">
        <f aca="false">IF(A534="",IF(M534="فارغ","","✖ بدون رقم قيد"),IF(COUNTIFS('قيود اليومية'!$A$11:$A$1010,A534,'قيود اليومية'!$M$11:$M$1010,"&lt;&gt;OK",'قيود اليومية'!$M$11:$M$1010,"&lt;&gt;فارغ")&gt;0,"✖ خطأ بالحساب",IF(ROUND(SUMIFS('قيود اليومية'!$G$11:$G$1010,'قيود اليومية'!$A$11:$A$1010,A534)-SUMIFS('قيود اليومية'!$H$11:$H$1010,'قيود اليومية'!$A$11:$A$1010,A534),2)&lt;&gt;0,"✖ غير متوازن","مرحل ✔")))</f>
        <v/>
      </c>
      <c r="J534" s="55" t="str">
        <f aca="false">IF(C534="","",IFERROR(INDEX('شجرة الحسابات'!$E$9:$E$208,MATCH(C534,'شجرة الحسابات'!$A$9:$A$208,0))&amp;"",""))</f>
        <v/>
      </c>
      <c r="K534" s="55" t="str">
        <f aca="false">IF(C534="","",IFERROR(INDEX('شجرة الحسابات'!$I$9:$I$208,MATCH(C534,'شجرة الحسابات'!$A$9:$A$208,0))&amp;"",""))</f>
        <v/>
      </c>
      <c r="L534" s="55" t="str">
        <f aca="false">IF(C534="","",IFERROR(INDEX('شجرة الحسابات'!$C$9:$C$208,MATCH(C534,'شجرة الحسابات'!$A$9:$A$208,0))&amp;"",""))</f>
        <v/>
      </c>
      <c r="M534" s="55" t="str">
        <f aca="false">IF(AND(C534="",G534="",H534=""),"فارغ",IF(ISNA(MATCH(C534,'شجرة الحسابات'!$A$9:$A$208,0)),"حساب غير معرف",IF(L534&lt;&gt;"تحليلي","حساب تجميعي",IF(AND(N(G534)&gt;0,N(H534)&gt;0),"مدين ودائن معاً",IF(N(G534)+N(H534)=0,"بدون قيمة","OK")))))</f>
        <v>فارغ</v>
      </c>
      <c r="N534" s="55" t="str">
        <f aca="false">IF(AND(E534&lt;&gt;"",E534='كشف حساب مشروع'!$C$6,I534="مرحل ✔"),COUNTIFS($E$11:E534,'كشف حساب مشروع'!$C$6,$I$11:I534,"مرحل ✔"),"")</f>
        <v/>
      </c>
      <c r="O534" s="55" t="str">
        <f aca="false">IF(AND(C534&lt;&gt;"",C534='دفتر الأستاذ'!$C$6,I534="مرحل ✔"),COUNTIFS($C$11:C534,'دفتر الأستاذ'!$C$6,$I$11:I534,"مرحل ✔"),"")</f>
        <v/>
      </c>
    </row>
    <row r="535" customFormat="false" ht="15" hidden="false" customHeight="false" outlineLevel="0" collapsed="false">
      <c r="A535" s="49"/>
      <c r="B535" s="50"/>
      <c r="C535" s="49"/>
      <c r="D535" s="51" t="str">
        <f aca="false">IF(C535="","",IFERROR(INDEX('شجرة الحسابات'!$B$9:$B$208,MATCH(C535,'شجرة الحسابات'!$A$9:$A$208,0)),"⚠ حساب غير معرف"))</f>
        <v/>
      </c>
      <c r="E535" s="52"/>
      <c r="F535" s="52"/>
      <c r="G535" s="53"/>
      <c r="H535" s="53"/>
      <c r="I535" s="54" t="str">
        <f aca="false">IF(A535="",IF(M535="فارغ","","✖ بدون رقم قيد"),IF(COUNTIFS('قيود اليومية'!$A$11:$A$1010,A535,'قيود اليومية'!$M$11:$M$1010,"&lt;&gt;OK",'قيود اليومية'!$M$11:$M$1010,"&lt;&gt;فارغ")&gt;0,"✖ خطأ بالحساب",IF(ROUND(SUMIFS('قيود اليومية'!$G$11:$G$1010,'قيود اليومية'!$A$11:$A$1010,A535)-SUMIFS('قيود اليومية'!$H$11:$H$1010,'قيود اليومية'!$A$11:$A$1010,A535),2)&lt;&gt;0,"✖ غير متوازن","مرحل ✔")))</f>
        <v/>
      </c>
      <c r="J535" s="55" t="str">
        <f aca="false">IF(C535="","",IFERROR(INDEX('شجرة الحسابات'!$E$9:$E$208,MATCH(C535,'شجرة الحسابات'!$A$9:$A$208,0))&amp;"",""))</f>
        <v/>
      </c>
      <c r="K535" s="55" t="str">
        <f aca="false">IF(C535="","",IFERROR(INDEX('شجرة الحسابات'!$I$9:$I$208,MATCH(C535,'شجرة الحسابات'!$A$9:$A$208,0))&amp;"",""))</f>
        <v/>
      </c>
      <c r="L535" s="55" t="str">
        <f aca="false">IF(C535="","",IFERROR(INDEX('شجرة الحسابات'!$C$9:$C$208,MATCH(C535,'شجرة الحسابات'!$A$9:$A$208,0))&amp;"",""))</f>
        <v/>
      </c>
      <c r="M535" s="55" t="str">
        <f aca="false">IF(AND(C535="",G535="",H535=""),"فارغ",IF(ISNA(MATCH(C535,'شجرة الحسابات'!$A$9:$A$208,0)),"حساب غير معرف",IF(L535&lt;&gt;"تحليلي","حساب تجميعي",IF(AND(N(G535)&gt;0,N(H535)&gt;0),"مدين ودائن معاً",IF(N(G535)+N(H535)=0,"بدون قيمة","OK")))))</f>
        <v>فارغ</v>
      </c>
      <c r="N535" s="55" t="str">
        <f aca="false">IF(AND(E535&lt;&gt;"",E535='كشف حساب مشروع'!$C$6,I535="مرحل ✔"),COUNTIFS($E$11:E535,'كشف حساب مشروع'!$C$6,$I$11:I535,"مرحل ✔"),"")</f>
        <v/>
      </c>
      <c r="O535" s="55" t="str">
        <f aca="false">IF(AND(C535&lt;&gt;"",C535='دفتر الأستاذ'!$C$6,I535="مرحل ✔"),COUNTIFS($C$11:C535,'دفتر الأستاذ'!$C$6,$I$11:I535,"مرحل ✔"),"")</f>
        <v/>
      </c>
    </row>
    <row r="536" customFormat="false" ht="15" hidden="false" customHeight="false" outlineLevel="0" collapsed="false">
      <c r="A536" s="49"/>
      <c r="B536" s="50"/>
      <c r="C536" s="49"/>
      <c r="D536" s="51" t="str">
        <f aca="false">IF(C536="","",IFERROR(INDEX('شجرة الحسابات'!$B$9:$B$208,MATCH(C536,'شجرة الحسابات'!$A$9:$A$208,0)),"⚠ حساب غير معرف"))</f>
        <v/>
      </c>
      <c r="E536" s="52"/>
      <c r="F536" s="52"/>
      <c r="G536" s="53"/>
      <c r="H536" s="53"/>
      <c r="I536" s="54" t="str">
        <f aca="false">IF(A536="",IF(M536="فارغ","","✖ بدون رقم قيد"),IF(COUNTIFS('قيود اليومية'!$A$11:$A$1010,A536,'قيود اليومية'!$M$11:$M$1010,"&lt;&gt;OK",'قيود اليومية'!$M$11:$M$1010,"&lt;&gt;فارغ")&gt;0,"✖ خطأ بالحساب",IF(ROUND(SUMIFS('قيود اليومية'!$G$11:$G$1010,'قيود اليومية'!$A$11:$A$1010,A536)-SUMIFS('قيود اليومية'!$H$11:$H$1010,'قيود اليومية'!$A$11:$A$1010,A536),2)&lt;&gt;0,"✖ غير متوازن","مرحل ✔")))</f>
        <v/>
      </c>
      <c r="J536" s="55" t="str">
        <f aca="false">IF(C536="","",IFERROR(INDEX('شجرة الحسابات'!$E$9:$E$208,MATCH(C536,'شجرة الحسابات'!$A$9:$A$208,0))&amp;"",""))</f>
        <v/>
      </c>
      <c r="K536" s="55" t="str">
        <f aca="false">IF(C536="","",IFERROR(INDEX('شجرة الحسابات'!$I$9:$I$208,MATCH(C536,'شجرة الحسابات'!$A$9:$A$208,0))&amp;"",""))</f>
        <v/>
      </c>
      <c r="L536" s="55" t="str">
        <f aca="false">IF(C536="","",IFERROR(INDEX('شجرة الحسابات'!$C$9:$C$208,MATCH(C536,'شجرة الحسابات'!$A$9:$A$208,0))&amp;"",""))</f>
        <v/>
      </c>
      <c r="M536" s="55" t="str">
        <f aca="false">IF(AND(C536="",G536="",H536=""),"فارغ",IF(ISNA(MATCH(C536,'شجرة الحسابات'!$A$9:$A$208,0)),"حساب غير معرف",IF(L536&lt;&gt;"تحليلي","حساب تجميعي",IF(AND(N(G536)&gt;0,N(H536)&gt;0),"مدين ودائن معاً",IF(N(G536)+N(H536)=0,"بدون قيمة","OK")))))</f>
        <v>فارغ</v>
      </c>
      <c r="N536" s="55" t="str">
        <f aca="false">IF(AND(E536&lt;&gt;"",E536='كشف حساب مشروع'!$C$6,I536="مرحل ✔"),COUNTIFS($E$11:E536,'كشف حساب مشروع'!$C$6,$I$11:I536,"مرحل ✔"),"")</f>
        <v/>
      </c>
      <c r="O536" s="55" t="str">
        <f aca="false">IF(AND(C536&lt;&gt;"",C536='دفتر الأستاذ'!$C$6,I536="مرحل ✔"),COUNTIFS($C$11:C536,'دفتر الأستاذ'!$C$6,$I$11:I536,"مرحل ✔"),"")</f>
        <v/>
      </c>
    </row>
    <row r="537" customFormat="false" ht="15" hidden="false" customHeight="false" outlineLevel="0" collapsed="false">
      <c r="A537" s="49"/>
      <c r="B537" s="50"/>
      <c r="C537" s="49"/>
      <c r="D537" s="51" t="str">
        <f aca="false">IF(C537="","",IFERROR(INDEX('شجرة الحسابات'!$B$9:$B$208,MATCH(C537,'شجرة الحسابات'!$A$9:$A$208,0)),"⚠ حساب غير معرف"))</f>
        <v/>
      </c>
      <c r="E537" s="52"/>
      <c r="F537" s="52"/>
      <c r="G537" s="53"/>
      <c r="H537" s="53"/>
      <c r="I537" s="54" t="str">
        <f aca="false">IF(A537="",IF(M537="فارغ","","✖ بدون رقم قيد"),IF(COUNTIFS('قيود اليومية'!$A$11:$A$1010,A537,'قيود اليومية'!$M$11:$M$1010,"&lt;&gt;OK",'قيود اليومية'!$M$11:$M$1010,"&lt;&gt;فارغ")&gt;0,"✖ خطأ بالحساب",IF(ROUND(SUMIFS('قيود اليومية'!$G$11:$G$1010,'قيود اليومية'!$A$11:$A$1010,A537)-SUMIFS('قيود اليومية'!$H$11:$H$1010,'قيود اليومية'!$A$11:$A$1010,A537),2)&lt;&gt;0,"✖ غير متوازن","مرحل ✔")))</f>
        <v/>
      </c>
      <c r="J537" s="55" t="str">
        <f aca="false">IF(C537="","",IFERROR(INDEX('شجرة الحسابات'!$E$9:$E$208,MATCH(C537,'شجرة الحسابات'!$A$9:$A$208,0))&amp;"",""))</f>
        <v/>
      </c>
      <c r="K537" s="55" t="str">
        <f aca="false">IF(C537="","",IFERROR(INDEX('شجرة الحسابات'!$I$9:$I$208,MATCH(C537,'شجرة الحسابات'!$A$9:$A$208,0))&amp;"",""))</f>
        <v/>
      </c>
      <c r="L537" s="55" t="str">
        <f aca="false">IF(C537="","",IFERROR(INDEX('شجرة الحسابات'!$C$9:$C$208,MATCH(C537,'شجرة الحسابات'!$A$9:$A$208,0))&amp;"",""))</f>
        <v/>
      </c>
      <c r="M537" s="55" t="str">
        <f aca="false">IF(AND(C537="",G537="",H537=""),"فارغ",IF(ISNA(MATCH(C537,'شجرة الحسابات'!$A$9:$A$208,0)),"حساب غير معرف",IF(L537&lt;&gt;"تحليلي","حساب تجميعي",IF(AND(N(G537)&gt;0,N(H537)&gt;0),"مدين ودائن معاً",IF(N(G537)+N(H537)=0,"بدون قيمة","OK")))))</f>
        <v>فارغ</v>
      </c>
      <c r="N537" s="55" t="str">
        <f aca="false">IF(AND(E537&lt;&gt;"",E537='كشف حساب مشروع'!$C$6,I537="مرحل ✔"),COUNTIFS($E$11:E537,'كشف حساب مشروع'!$C$6,$I$11:I537,"مرحل ✔"),"")</f>
        <v/>
      </c>
      <c r="O537" s="55" t="str">
        <f aca="false">IF(AND(C537&lt;&gt;"",C537='دفتر الأستاذ'!$C$6,I537="مرحل ✔"),COUNTIFS($C$11:C537,'دفتر الأستاذ'!$C$6,$I$11:I537,"مرحل ✔"),"")</f>
        <v/>
      </c>
    </row>
    <row r="538" customFormat="false" ht="15" hidden="false" customHeight="false" outlineLevel="0" collapsed="false">
      <c r="A538" s="49"/>
      <c r="B538" s="50"/>
      <c r="C538" s="49"/>
      <c r="D538" s="51" t="str">
        <f aca="false">IF(C538="","",IFERROR(INDEX('شجرة الحسابات'!$B$9:$B$208,MATCH(C538,'شجرة الحسابات'!$A$9:$A$208,0)),"⚠ حساب غير معرف"))</f>
        <v/>
      </c>
      <c r="E538" s="52"/>
      <c r="F538" s="52"/>
      <c r="G538" s="53"/>
      <c r="H538" s="53"/>
      <c r="I538" s="54" t="str">
        <f aca="false">IF(A538="",IF(M538="فارغ","","✖ بدون رقم قيد"),IF(COUNTIFS('قيود اليومية'!$A$11:$A$1010,A538,'قيود اليومية'!$M$11:$M$1010,"&lt;&gt;OK",'قيود اليومية'!$M$11:$M$1010,"&lt;&gt;فارغ")&gt;0,"✖ خطأ بالحساب",IF(ROUND(SUMIFS('قيود اليومية'!$G$11:$G$1010,'قيود اليومية'!$A$11:$A$1010,A538)-SUMIFS('قيود اليومية'!$H$11:$H$1010,'قيود اليومية'!$A$11:$A$1010,A538),2)&lt;&gt;0,"✖ غير متوازن","مرحل ✔")))</f>
        <v/>
      </c>
      <c r="J538" s="55" t="str">
        <f aca="false">IF(C538="","",IFERROR(INDEX('شجرة الحسابات'!$E$9:$E$208,MATCH(C538,'شجرة الحسابات'!$A$9:$A$208,0))&amp;"",""))</f>
        <v/>
      </c>
      <c r="K538" s="55" t="str">
        <f aca="false">IF(C538="","",IFERROR(INDEX('شجرة الحسابات'!$I$9:$I$208,MATCH(C538,'شجرة الحسابات'!$A$9:$A$208,0))&amp;"",""))</f>
        <v/>
      </c>
      <c r="L538" s="55" t="str">
        <f aca="false">IF(C538="","",IFERROR(INDEX('شجرة الحسابات'!$C$9:$C$208,MATCH(C538,'شجرة الحسابات'!$A$9:$A$208,0))&amp;"",""))</f>
        <v/>
      </c>
      <c r="M538" s="55" t="str">
        <f aca="false">IF(AND(C538="",G538="",H538=""),"فارغ",IF(ISNA(MATCH(C538,'شجرة الحسابات'!$A$9:$A$208,0)),"حساب غير معرف",IF(L538&lt;&gt;"تحليلي","حساب تجميعي",IF(AND(N(G538)&gt;0,N(H538)&gt;0),"مدين ودائن معاً",IF(N(G538)+N(H538)=0,"بدون قيمة","OK")))))</f>
        <v>فارغ</v>
      </c>
      <c r="N538" s="55" t="str">
        <f aca="false">IF(AND(E538&lt;&gt;"",E538='كشف حساب مشروع'!$C$6,I538="مرحل ✔"),COUNTIFS($E$11:E538,'كشف حساب مشروع'!$C$6,$I$11:I538,"مرحل ✔"),"")</f>
        <v/>
      </c>
      <c r="O538" s="55" t="str">
        <f aca="false">IF(AND(C538&lt;&gt;"",C538='دفتر الأستاذ'!$C$6,I538="مرحل ✔"),COUNTIFS($C$11:C538,'دفتر الأستاذ'!$C$6,$I$11:I538,"مرحل ✔"),"")</f>
        <v/>
      </c>
    </row>
    <row r="539" customFormat="false" ht="15" hidden="false" customHeight="false" outlineLevel="0" collapsed="false">
      <c r="A539" s="49"/>
      <c r="B539" s="50"/>
      <c r="C539" s="49"/>
      <c r="D539" s="51" t="str">
        <f aca="false">IF(C539="","",IFERROR(INDEX('شجرة الحسابات'!$B$9:$B$208,MATCH(C539,'شجرة الحسابات'!$A$9:$A$208,0)),"⚠ حساب غير معرف"))</f>
        <v/>
      </c>
      <c r="E539" s="52"/>
      <c r="F539" s="52"/>
      <c r="G539" s="53"/>
      <c r="H539" s="53"/>
      <c r="I539" s="54" t="str">
        <f aca="false">IF(A539="",IF(M539="فارغ","","✖ بدون رقم قيد"),IF(COUNTIFS('قيود اليومية'!$A$11:$A$1010,A539,'قيود اليومية'!$M$11:$M$1010,"&lt;&gt;OK",'قيود اليومية'!$M$11:$M$1010,"&lt;&gt;فارغ")&gt;0,"✖ خطأ بالحساب",IF(ROUND(SUMIFS('قيود اليومية'!$G$11:$G$1010,'قيود اليومية'!$A$11:$A$1010,A539)-SUMIFS('قيود اليومية'!$H$11:$H$1010,'قيود اليومية'!$A$11:$A$1010,A539),2)&lt;&gt;0,"✖ غير متوازن","مرحل ✔")))</f>
        <v/>
      </c>
      <c r="J539" s="55" t="str">
        <f aca="false">IF(C539="","",IFERROR(INDEX('شجرة الحسابات'!$E$9:$E$208,MATCH(C539,'شجرة الحسابات'!$A$9:$A$208,0))&amp;"",""))</f>
        <v/>
      </c>
      <c r="K539" s="55" t="str">
        <f aca="false">IF(C539="","",IFERROR(INDEX('شجرة الحسابات'!$I$9:$I$208,MATCH(C539,'شجرة الحسابات'!$A$9:$A$208,0))&amp;"",""))</f>
        <v/>
      </c>
      <c r="L539" s="55" t="str">
        <f aca="false">IF(C539="","",IFERROR(INDEX('شجرة الحسابات'!$C$9:$C$208,MATCH(C539,'شجرة الحسابات'!$A$9:$A$208,0))&amp;"",""))</f>
        <v/>
      </c>
      <c r="M539" s="55" t="str">
        <f aca="false">IF(AND(C539="",G539="",H539=""),"فارغ",IF(ISNA(MATCH(C539,'شجرة الحسابات'!$A$9:$A$208,0)),"حساب غير معرف",IF(L539&lt;&gt;"تحليلي","حساب تجميعي",IF(AND(N(G539)&gt;0,N(H539)&gt;0),"مدين ودائن معاً",IF(N(G539)+N(H539)=0,"بدون قيمة","OK")))))</f>
        <v>فارغ</v>
      </c>
      <c r="N539" s="55" t="str">
        <f aca="false">IF(AND(E539&lt;&gt;"",E539='كشف حساب مشروع'!$C$6,I539="مرحل ✔"),COUNTIFS($E$11:E539,'كشف حساب مشروع'!$C$6,$I$11:I539,"مرحل ✔"),"")</f>
        <v/>
      </c>
      <c r="O539" s="55" t="str">
        <f aca="false">IF(AND(C539&lt;&gt;"",C539='دفتر الأستاذ'!$C$6,I539="مرحل ✔"),COUNTIFS($C$11:C539,'دفتر الأستاذ'!$C$6,$I$11:I539,"مرحل ✔"),"")</f>
        <v/>
      </c>
    </row>
    <row r="540" customFormat="false" ht="15" hidden="false" customHeight="false" outlineLevel="0" collapsed="false">
      <c r="A540" s="49"/>
      <c r="B540" s="50"/>
      <c r="C540" s="49"/>
      <c r="D540" s="51" t="str">
        <f aca="false">IF(C540="","",IFERROR(INDEX('شجرة الحسابات'!$B$9:$B$208,MATCH(C540,'شجرة الحسابات'!$A$9:$A$208,0)),"⚠ حساب غير معرف"))</f>
        <v/>
      </c>
      <c r="E540" s="52"/>
      <c r="F540" s="52"/>
      <c r="G540" s="53"/>
      <c r="H540" s="53"/>
      <c r="I540" s="54" t="str">
        <f aca="false">IF(A540="",IF(M540="فارغ","","✖ بدون رقم قيد"),IF(COUNTIFS('قيود اليومية'!$A$11:$A$1010,A540,'قيود اليومية'!$M$11:$M$1010,"&lt;&gt;OK",'قيود اليومية'!$M$11:$M$1010,"&lt;&gt;فارغ")&gt;0,"✖ خطأ بالحساب",IF(ROUND(SUMIFS('قيود اليومية'!$G$11:$G$1010,'قيود اليومية'!$A$11:$A$1010,A540)-SUMIFS('قيود اليومية'!$H$11:$H$1010,'قيود اليومية'!$A$11:$A$1010,A540),2)&lt;&gt;0,"✖ غير متوازن","مرحل ✔")))</f>
        <v/>
      </c>
      <c r="J540" s="55" t="str">
        <f aca="false">IF(C540="","",IFERROR(INDEX('شجرة الحسابات'!$E$9:$E$208,MATCH(C540,'شجرة الحسابات'!$A$9:$A$208,0))&amp;"",""))</f>
        <v/>
      </c>
      <c r="K540" s="55" t="str">
        <f aca="false">IF(C540="","",IFERROR(INDEX('شجرة الحسابات'!$I$9:$I$208,MATCH(C540,'شجرة الحسابات'!$A$9:$A$208,0))&amp;"",""))</f>
        <v/>
      </c>
      <c r="L540" s="55" t="str">
        <f aca="false">IF(C540="","",IFERROR(INDEX('شجرة الحسابات'!$C$9:$C$208,MATCH(C540,'شجرة الحسابات'!$A$9:$A$208,0))&amp;"",""))</f>
        <v/>
      </c>
      <c r="M540" s="55" t="str">
        <f aca="false">IF(AND(C540="",G540="",H540=""),"فارغ",IF(ISNA(MATCH(C540,'شجرة الحسابات'!$A$9:$A$208,0)),"حساب غير معرف",IF(L540&lt;&gt;"تحليلي","حساب تجميعي",IF(AND(N(G540)&gt;0,N(H540)&gt;0),"مدين ودائن معاً",IF(N(G540)+N(H540)=0,"بدون قيمة","OK")))))</f>
        <v>فارغ</v>
      </c>
      <c r="N540" s="55" t="str">
        <f aca="false">IF(AND(E540&lt;&gt;"",E540='كشف حساب مشروع'!$C$6,I540="مرحل ✔"),COUNTIFS($E$11:E540,'كشف حساب مشروع'!$C$6,$I$11:I540,"مرحل ✔"),"")</f>
        <v/>
      </c>
      <c r="O540" s="55" t="str">
        <f aca="false">IF(AND(C540&lt;&gt;"",C540='دفتر الأستاذ'!$C$6,I540="مرحل ✔"),COUNTIFS($C$11:C540,'دفتر الأستاذ'!$C$6,$I$11:I540,"مرحل ✔"),"")</f>
        <v/>
      </c>
    </row>
    <row r="541" customFormat="false" ht="15" hidden="false" customHeight="false" outlineLevel="0" collapsed="false">
      <c r="A541" s="49"/>
      <c r="B541" s="50"/>
      <c r="C541" s="49"/>
      <c r="D541" s="51" t="str">
        <f aca="false">IF(C541="","",IFERROR(INDEX('شجرة الحسابات'!$B$9:$B$208,MATCH(C541,'شجرة الحسابات'!$A$9:$A$208,0)),"⚠ حساب غير معرف"))</f>
        <v/>
      </c>
      <c r="E541" s="52"/>
      <c r="F541" s="52"/>
      <c r="G541" s="53"/>
      <c r="H541" s="53"/>
      <c r="I541" s="54" t="str">
        <f aca="false">IF(A541="",IF(M541="فارغ","","✖ بدون رقم قيد"),IF(COUNTIFS('قيود اليومية'!$A$11:$A$1010,A541,'قيود اليومية'!$M$11:$M$1010,"&lt;&gt;OK",'قيود اليومية'!$M$11:$M$1010,"&lt;&gt;فارغ")&gt;0,"✖ خطأ بالحساب",IF(ROUND(SUMIFS('قيود اليومية'!$G$11:$G$1010,'قيود اليومية'!$A$11:$A$1010,A541)-SUMIFS('قيود اليومية'!$H$11:$H$1010,'قيود اليومية'!$A$11:$A$1010,A541),2)&lt;&gt;0,"✖ غير متوازن","مرحل ✔")))</f>
        <v/>
      </c>
      <c r="J541" s="55" t="str">
        <f aca="false">IF(C541="","",IFERROR(INDEX('شجرة الحسابات'!$E$9:$E$208,MATCH(C541,'شجرة الحسابات'!$A$9:$A$208,0))&amp;"",""))</f>
        <v/>
      </c>
      <c r="K541" s="55" t="str">
        <f aca="false">IF(C541="","",IFERROR(INDEX('شجرة الحسابات'!$I$9:$I$208,MATCH(C541,'شجرة الحسابات'!$A$9:$A$208,0))&amp;"",""))</f>
        <v/>
      </c>
      <c r="L541" s="55" t="str">
        <f aca="false">IF(C541="","",IFERROR(INDEX('شجرة الحسابات'!$C$9:$C$208,MATCH(C541,'شجرة الحسابات'!$A$9:$A$208,0))&amp;"",""))</f>
        <v/>
      </c>
      <c r="M541" s="55" t="str">
        <f aca="false">IF(AND(C541="",G541="",H541=""),"فارغ",IF(ISNA(MATCH(C541,'شجرة الحسابات'!$A$9:$A$208,0)),"حساب غير معرف",IF(L541&lt;&gt;"تحليلي","حساب تجميعي",IF(AND(N(G541)&gt;0,N(H541)&gt;0),"مدين ودائن معاً",IF(N(G541)+N(H541)=0,"بدون قيمة","OK")))))</f>
        <v>فارغ</v>
      </c>
      <c r="N541" s="55" t="str">
        <f aca="false">IF(AND(E541&lt;&gt;"",E541='كشف حساب مشروع'!$C$6,I541="مرحل ✔"),COUNTIFS($E$11:E541,'كشف حساب مشروع'!$C$6,$I$11:I541,"مرحل ✔"),"")</f>
        <v/>
      </c>
      <c r="O541" s="55" t="str">
        <f aca="false">IF(AND(C541&lt;&gt;"",C541='دفتر الأستاذ'!$C$6,I541="مرحل ✔"),COUNTIFS($C$11:C541,'دفتر الأستاذ'!$C$6,$I$11:I541,"مرحل ✔"),"")</f>
        <v/>
      </c>
    </row>
    <row r="542" customFormat="false" ht="15" hidden="false" customHeight="false" outlineLevel="0" collapsed="false">
      <c r="A542" s="49"/>
      <c r="B542" s="50"/>
      <c r="C542" s="49"/>
      <c r="D542" s="51" t="str">
        <f aca="false">IF(C542="","",IFERROR(INDEX('شجرة الحسابات'!$B$9:$B$208,MATCH(C542,'شجرة الحسابات'!$A$9:$A$208,0)),"⚠ حساب غير معرف"))</f>
        <v/>
      </c>
      <c r="E542" s="52"/>
      <c r="F542" s="52"/>
      <c r="G542" s="53"/>
      <c r="H542" s="53"/>
      <c r="I542" s="54" t="str">
        <f aca="false">IF(A542="",IF(M542="فارغ","","✖ بدون رقم قيد"),IF(COUNTIFS('قيود اليومية'!$A$11:$A$1010,A542,'قيود اليومية'!$M$11:$M$1010,"&lt;&gt;OK",'قيود اليومية'!$M$11:$M$1010,"&lt;&gt;فارغ")&gt;0,"✖ خطأ بالحساب",IF(ROUND(SUMIFS('قيود اليومية'!$G$11:$G$1010,'قيود اليومية'!$A$11:$A$1010,A542)-SUMIFS('قيود اليومية'!$H$11:$H$1010,'قيود اليومية'!$A$11:$A$1010,A542),2)&lt;&gt;0,"✖ غير متوازن","مرحل ✔")))</f>
        <v/>
      </c>
      <c r="J542" s="55" t="str">
        <f aca="false">IF(C542="","",IFERROR(INDEX('شجرة الحسابات'!$E$9:$E$208,MATCH(C542,'شجرة الحسابات'!$A$9:$A$208,0))&amp;"",""))</f>
        <v/>
      </c>
      <c r="K542" s="55" t="str">
        <f aca="false">IF(C542="","",IFERROR(INDEX('شجرة الحسابات'!$I$9:$I$208,MATCH(C542,'شجرة الحسابات'!$A$9:$A$208,0))&amp;"",""))</f>
        <v/>
      </c>
      <c r="L542" s="55" t="str">
        <f aca="false">IF(C542="","",IFERROR(INDEX('شجرة الحسابات'!$C$9:$C$208,MATCH(C542,'شجرة الحسابات'!$A$9:$A$208,0))&amp;"",""))</f>
        <v/>
      </c>
      <c r="M542" s="55" t="str">
        <f aca="false">IF(AND(C542="",G542="",H542=""),"فارغ",IF(ISNA(MATCH(C542,'شجرة الحسابات'!$A$9:$A$208,0)),"حساب غير معرف",IF(L542&lt;&gt;"تحليلي","حساب تجميعي",IF(AND(N(G542)&gt;0,N(H542)&gt;0),"مدين ودائن معاً",IF(N(G542)+N(H542)=0,"بدون قيمة","OK")))))</f>
        <v>فارغ</v>
      </c>
      <c r="N542" s="55" t="str">
        <f aca="false">IF(AND(E542&lt;&gt;"",E542='كشف حساب مشروع'!$C$6,I542="مرحل ✔"),COUNTIFS($E$11:E542,'كشف حساب مشروع'!$C$6,$I$11:I542,"مرحل ✔"),"")</f>
        <v/>
      </c>
      <c r="O542" s="55" t="str">
        <f aca="false">IF(AND(C542&lt;&gt;"",C542='دفتر الأستاذ'!$C$6,I542="مرحل ✔"),COUNTIFS($C$11:C542,'دفتر الأستاذ'!$C$6,$I$11:I542,"مرحل ✔"),"")</f>
        <v/>
      </c>
    </row>
    <row r="543" customFormat="false" ht="15" hidden="false" customHeight="false" outlineLevel="0" collapsed="false">
      <c r="A543" s="49"/>
      <c r="B543" s="50"/>
      <c r="C543" s="49"/>
      <c r="D543" s="51" t="str">
        <f aca="false">IF(C543="","",IFERROR(INDEX('شجرة الحسابات'!$B$9:$B$208,MATCH(C543,'شجرة الحسابات'!$A$9:$A$208,0)),"⚠ حساب غير معرف"))</f>
        <v/>
      </c>
      <c r="E543" s="52"/>
      <c r="F543" s="52"/>
      <c r="G543" s="53"/>
      <c r="H543" s="53"/>
      <c r="I543" s="54" t="str">
        <f aca="false">IF(A543="",IF(M543="فارغ","","✖ بدون رقم قيد"),IF(COUNTIFS('قيود اليومية'!$A$11:$A$1010,A543,'قيود اليومية'!$M$11:$M$1010,"&lt;&gt;OK",'قيود اليومية'!$M$11:$M$1010,"&lt;&gt;فارغ")&gt;0,"✖ خطأ بالحساب",IF(ROUND(SUMIFS('قيود اليومية'!$G$11:$G$1010,'قيود اليومية'!$A$11:$A$1010,A543)-SUMIFS('قيود اليومية'!$H$11:$H$1010,'قيود اليومية'!$A$11:$A$1010,A543),2)&lt;&gt;0,"✖ غير متوازن","مرحل ✔")))</f>
        <v/>
      </c>
      <c r="J543" s="55" t="str">
        <f aca="false">IF(C543="","",IFERROR(INDEX('شجرة الحسابات'!$E$9:$E$208,MATCH(C543,'شجرة الحسابات'!$A$9:$A$208,0))&amp;"",""))</f>
        <v/>
      </c>
      <c r="K543" s="55" t="str">
        <f aca="false">IF(C543="","",IFERROR(INDEX('شجرة الحسابات'!$I$9:$I$208,MATCH(C543,'شجرة الحسابات'!$A$9:$A$208,0))&amp;"",""))</f>
        <v/>
      </c>
      <c r="L543" s="55" t="str">
        <f aca="false">IF(C543="","",IFERROR(INDEX('شجرة الحسابات'!$C$9:$C$208,MATCH(C543,'شجرة الحسابات'!$A$9:$A$208,0))&amp;"",""))</f>
        <v/>
      </c>
      <c r="M543" s="55" t="str">
        <f aca="false">IF(AND(C543="",G543="",H543=""),"فارغ",IF(ISNA(MATCH(C543,'شجرة الحسابات'!$A$9:$A$208,0)),"حساب غير معرف",IF(L543&lt;&gt;"تحليلي","حساب تجميعي",IF(AND(N(G543)&gt;0,N(H543)&gt;0),"مدين ودائن معاً",IF(N(G543)+N(H543)=0,"بدون قيمة","OK")))))</f>
        <v>فارغ</v>
      </c>
      <c r="N543" s="55" t="str">
        <f aca="false">IF(AND(E543&lt;&gt;"",E543='كشف حساب مشروع'!$C$6,I543="مرحل ✔"),COUNTIFS($E$11:E543,'كشف حساب مشروع'!$C$6,$I$11:I543,"مرحل ✔"),"")</f>
        <v/>
      </c>
      <c r="O543" s="55" t="str">
        <f aca="false">IF(AND(C543&lt;&gt;"",C543='دفتر الأستاذ'!$C$6,I543="مرحل ✔"),COUNTIFS($C$11:C543,'دفتر الأستاذ'!$C$6,$I$11:I543,"مرحل ✔"),"")</f>
        <v/>
      </c>
    </row>
    <row r="544" customFormat="false" ht="15" hidden="false" customHeight="false" outlineLevel="0" collapsed="false">
      <c r="A544" s="49"/>
      <c r="B544" s="50"/>
      <c r="C544" s="49"/>
      <c r="D544" s="51" t="str">
        <f aca="false">IF(C544="","",IFERROR(INDEX('شجرة الحسابات'!$B$9:$B$208,MATCH(C544,'شجرة الحسابات'!$A$9:$A$208,0)),"⚠ حساب غير معرف"))</f>
        <v/>
      </c>
      <c r="E544" s="52"/>
      <c r="F544" s="52"/>
      <c r="G544" s="53"/>
      <c r="H544" s="53"/>
      <c r="I544" s="54" t="str">
        <f aca="false">IF(A544="",IF(M544="فارغ","","✖ بدون رقم قيد"),IF(COUNTIFS('قيود اليومية'!$A$11:$A$1010,A544,'قيود اليومية'!$M$11:$M$1010,"&lt;&gt;OK",'قيود اليومية'!$M$11:$M$1010,"&lt;&gt;فارغ")&gt;0,"✖ خطأ بالحساب",IF(ROUND(SUMIFS('قيود اليومية'!$G$11:$G$1010,'قيود اليومية'!$A$11:$A$1010,A544)-SUMIFS('قيود اليومية'!$H$11:$H$1010,'قيود اليومية'!$A$11:$A$1010,A544),2)&lt;&gt;0,"✖ غير متوازن","مرحل ✔")))</f>
        <v/>
      </c>
      <c r="J544" s="55" t="str">
        <f aca="false">IF(C544="","",IFERROR(INDEX('شجرة الحسابات'!$E$9:$E$208,MATCH(C544,'شجرة الحسابات'!$A$9:$A$208,0))&amp;"",""))</f>
        <v/>
      </c>
      <c r="K544" s="55" t="str">
        <f aca="false">IF(C544="","",IFERROR(INDEX('شجرة الحسابات'!$I$9:$I$208,MATCH(C544,'شجرة الحسابات'!$A$9:$A$208,0))&amp;"",""))</f>
        <v/>
      </c>
      <c r="L544" s="55" t="str">
        <f aca="false">IF(C544="","",IFERROR(INDEX('شجرة الحسابات'!$C$9:$C$208,MATCH(C544,'شجرة الحسابات'!$A$9:$A$208,0))&amp;"",""))</f>
        <v/>
      </c>
      <c r="M544" s="55" t="str">
        <f aca="false">IF(AND(C544="",G544="",H544=""),"فارغ",IF(ISNA(MATCH(C544,'شجرة الحسابات'!$A$9:$A$208,0)),"حساب غير معرف",IF(L544&lt;&gt;"تحليلي","حساب تجميعي",IF(AND(N(G544)&gt;0,N(H544)&gt;0),"مدين ودائن معاً",IF(N(G544)+N(H544)=0,"بدون قيمة","OK")))))</f>
        <v>فارغ</v>
      </c>
      <c r="N544" s="55" t="str">
        <f aca="false">IF(AND(E544&lt;&gt;"",E544='كشف حساب مشروع'!$C$6,I544="مرحل ✔"),COUNTIFS($E$11:E544,'كشف حساب مشروع'!$C$6,$I$11:I544,"مرحل ✔"),"")</f>
        <v/>
      </c>
      <c r="O544" s="55" t="str">
        <f aca="false">IF(AND(C544&lt;&gt;"",C544='دفتر الأستاذ'!$C$6,I544="مرحل ✔"),COUNTIFS($C$11:C544,'دفتر الأستاذ'!$C$6,$I$11:I544,"مرحل ✔"),"")</f>
        <v/>
      </c>
    </row>
    <row r="545" customFormat="false" ht="15" hidden="false" customHeight="false" outlineLevel="0" collapsed="false">
      <c r="A545" s="49"/>
      <c r="B545" s="50"/>
      <c r="C545" s="49"/>
      <c r="D545" s="51" t="str">
        <f aca="false">IF(C545="","",IFERROR(INDEX('شجرة الحسابات'!$B$9:$B$208,MATCH(C545,'شجرة الحسابات'!$A$9:$A$208,0)),"⚠ حساب غير معرف"))</f>
        <v/>
      </c>
      <c r="E545" s="52"/>
      <c r="F545" s="52"/>
      <c r="G545" s="53"/>
      <c r="H545" s="53"/>
      <c r="I545" s="54" t="str">
        <f aca="false">IF(A545="",IF(M545="فارغ","","✖ بدون رقم قيد"),IF(COUNTIFS('قيود اليومية'!$A$11:$A$1010,A545,'قيود اليومية'!$M$11:$M$1010,"&lt;&gt;OK",'قيود اليومية'!$M$11:$M$1010,"&lt;&gt;فارغ")&gt;0,"✖ خطأ بالحساب",IF(ROUND(SUMIFS('قيود اليومية'!$G$11:$G$1010,'قيود اليومية'!$A$11:$A$1010,A545)-SUMIFS('قيود اليومية'!$H$11:$H$1010,'قيود اليومية'!$A$11:$A$1010,A545),2)&lt;&gt;0,"✖ غير متوازن","مرحل ✔")))</f>
        <v/>
      </c>
      <c r="J545" s="55" t="str">
        <f aca="false">IF(C545="","",IFERROR(INDEX('شجرة الحسابات'!$E$9:$E$208,MATCH(C545,'شجرة الحسابات'!$A$9:$A$208,0))&amp;"",""))</f>
        <v/>
      </c>
      <c r="K545" s="55" t="str">
        <f aca="false">IF(C545="","",IFERROR(INDEX('شجرة الحسابات'!$I$9:$I$208,MATCH(C545,'شجرة الحسابات'!$A$9:$A$208,0))&amp;"",""))</f>
        <v/>
      </c>
      <c r="L545" s="55" t="str">
        <f aca="false">IF(C545="","",IFERROR(INDEX('شجرة الحسابات'!$C$9:$C$208,MATCH(C545,'شجرة الحسابات'!$A$9:$A$208,0))&amp;"",""))</f>
        <v/>
      </c>
      <c r="M545" s="55" t="str">
        <f aca="false">IF(AND(C545="",G545="",H545=""),"فارغ",IF(ISNA(MATCH(C545,'شجرة الحسابات'!$A$9:$A$208,0)),"حساب غير معرف",IF(L545&lt;&gt;"تحليلي","حساب تجميعي",IF(AND(N(G545)&gt;0,N(H545)&gt;0),"مدين ودائن معاً",IF(N(G545)+N(H545)=0,"بدون قيمة","OK")))))</f>
        <v>فارغ</v>
      </c>
      <c r="N545" s="55" t="str">
        <f aca="false">IF(AND(E545&lt;&gt;"",E545='كشف حساب مشروع'!$C$6,I545="مرحل ✔"),COUNTIFS($E$11:E545,'كشف حساب مشروع'!$C$6,$I$11:I545,"مرحل ✔"),"")</f>
        <v/>
      </c>
      <c r="O545" s="55" t="str">
        <f aca="false">IF(AND(C545&lt;&gt;"",C545='دفتر الأستاذ'!$C$6,I545="مرحل ✔"),COUNTIFS($C$11:C545,'دفتر الأستاذ'!$C$6,$I$11:I545,"مرحل ✔"),"")</f>
        <v/>
      </c>
    </row>
    <row r="546" customFormat="false" ht="15" hidden="false" customHeight="false" outlineLevel="0" collapsed="false">
      <c r="A546" s="49"/>
      <c r="B546" s="50"/>
      <c r="C546" s="49"/>
      <c r="D546" s="51" t="str">
        <f aca="false">IF(C546="","",IFERROR(INDEX('شجرة الحسابات'!$B$9:$B$208,MATCH(C546,'شجرة الحسابات'!$A$9:$A$208,0)),"⚠ حساب غير معرف"))</f>
        <v/>
      </c>
      <c r="E546" s="52"/>
      <c r="F546" s="52"/>
      <c r="G546" s="53"/>
      <c r="H546" s="53"/>
      <c r="I546" s="54" t="str">
        <f aca="false">IF(A546="",IF(M546="فارغ","","✖ بدون رقم قيد"),IF(COUNTIFS('قيود اليومية'!$A$11:$A$1010,A546,'قيود اليومية'!$M$11:$M$1010,"&lt;&gt;OK",'قيود اليومية'!$M$11:$M$1010,"&lt;&gt;فارغ")&gt;0,"✖ خطأ بالحساب",IF(ROUND(SUMIFS('قيود اليومية'!$G$11:$G$1010,'قيود اليومية'!$A$11:$A$1010,A546)-SUMIFS('قيود اليومية'!$H$11:$H$1010,'قيود اليومية'!$A$11:$A$1010,A546),2)&lt;&gt;0,"✖ غير متوازن","مرحل ✔")))</f>
        <v/>
      </c>
      <c r="J546" s="55" t="str">
        <f aca="false">IF(C546="","",IFERROR(INDEX('شجرة الحسابات'!$E$9:$E$208,MATCH(C546,'شجرة الحسابات'!$A$9:$A$208,0))&amp;"",""))</f>
        <v/>
      </c>
      <c r="K546" s="55" t="str">
        <f aca="false">IF(C546="","",IFERROR(INDEX('شجرة الحسابات'!$I$9:$I$208,MATCH(C546,'شجرة الحسابات'!$A$9:$A$208,0))&amp;"",""))</f>
        <v/>
      </c>
      <c r="L546" s="55" t="str">
        <f aca="false">IF(C546="","",IFERROR(INDEX('شجرة الحسابات'!$C$9:$C$208,MATCH(C546,'شجرة الحسابات'!$A$9:$A$208,0))&amp;"",""))</f>
        <v/>
      </c>
      <c r="M546" s="55" t="str">
        <f aca="false">IF(AND(C546="",G546="",H546=""),"فارغ",IF(ISNA(MATCH(C546,'شجرة الحسابات'!$A$9:$A$208,0)),"حساب غير معرف",IF(L546&lt;&gt;"تحليلي","حساب تجميعي",IF(AND(N(G546)&gt;0,N(H546)&gt;0),"مدين ودائن معاً",IF(N(G546)+N(H546)=0,"بدون قيمة","OK")))))</f>
        <v>فارغ</v>
      </c>
      <c r="N546" s="55" t="str">
        <f aca="false">IF(AND(E546&lt;&gt;"",E546='كشف حساب مشروع'!$C$6,I546="مرحل ✔"),COUNTIFS($E$11:E546,'كشف حساب مشروع'!$C$6,$I$11:I546,"مرحل ✔"),"")</f>
        <v/>
      </c>
      <c r="O546" s="55" t="str">
        <f aca="false">IF(AND(C546&lt;&gt;"",C546='دفتر الأستاذ'!$C$6,I546="مرحل ✔"),COUNTIFS($C$11:C546,'دفتر الأستاذ'!$C$6,$I$11:I546,"مرحل ✔"),"")</f>
        <v/>
      </c>
    </row>
    <row r="547" customFormat="false" ht="15" hidden="false" customHeight="false" outlineLevel="0" collapsed="false">
      <c r="A547" s="49"/>
      <c r="B547" s="50"/>
      <c r="C547" s="49"/>
      <c r="D547" s="51" t="str">
        <f aca="false">IF(C547="","",IFERROR(INDEX('شجرة الحسابات'!$B$9:$B$208,MATCH(C547,'شجرة الحسابات'!$A$9:$A$208,0)),"⚠ حساب غير معرف"))</f>
        <v/>
      </c>
      <c r="E547" s="52"/>
      <c r="F547" s="52"/>
      <c r="G547" s="53"/>
      <c r="H547" s="53"/>
      <c r="I547" s="54" t="str">
        <f aca="false">IF(A547="",IF(M547="فارغ","","✖ بدون رقم قيد"),IF(COUNTIFS('قيود اليومية'!$A$11:$A$1010,A547,'قيود اليومية'!$M$11:$M$1010,"&lt;&gt;OK",'قيود اليومية'!$M$11:$M$1010,"&lt;&gt;فارغ")&gt;0,"✖ خطأ بالحساب",IF(ROUND(SUMIFS('قيود اليومية'!$G$11:$G$1010,'قيود اليومية'!$A$11:$A$1010,A547)-SUMIFS('قيود اليومية'!$H$11:$H$1010,'قيود اليومية'!$A$11:$A$1010,A547),2)&lt;&gt;0,"✖ غير متوازن","مرحل ✔")))</f>
        <v/>
      </c>
      <c r="J547" s="55" t="str">
        <f aca="false">IF(C547="","",IFERROR(INDEX('شجرة الحسابات'!$E$9:$E$208,MATCH(C547,'شجرة الحسابات'!$A$9:$A$208,0))&amp;"",""))</f>
        <v/>
      </c>
      <c r="K547" s="55" t="str">
        <f aca="false">IF(C547="","",IFERROR(INDEX('شجرة الحسابات'!$I$9:$I$208,MATCH(C547,'شجرة الحسابات'!$A$9:$A$208,0))&amp;"",""))</f>
        <v/>
      </c>
      <c r="L547" s="55" t="str">
        <f aca="false">IF(C547="","",IFERROR(INDEX('شجرة الحسابات'!$C$9:$C$208,MATCH(C547,'شجرة الحسابات'!$A$9:$A$208,0))&amp;"",""))</f>
        <v/>
      </c>
      <c r="M547" s="55" t="str">
        <f aca="false">IF(AND(C547="",G547="",H547=""),"فارغ",IF(ISNA(MATCH(C547,'شجرة الحسابات'!$A$9:$A$208,0)),"حساب غير معرف",IF(L547&lt;&gt;"تحليلي","حساب تجميعي",IF(AND(N(G547)&gt;0,N(H547)&gt;0),"مدين ودائن معاً",IF(N(G547)+N(H547)=0,"بدون قيمة","OK")))))</f>
        <v>فارغ</v>
      </c>
      <c r="N547" s="55" t="str">
        <f aca="false">IF(AND(E547&lt;&gt;"",E547='كشف حساب مشروع'!$C$6,I547="مرحل ✔"),COUNTIFS($E$11:E547,'كشف حساب مشروع'!$C$6,$I$11:I547,"مرحل ✔"),"")</f>
        <v/>
      </c>
      <c r="O547" s="55" t="str">
        <f aca="false">IF(AND(C547&lt;&gt;"",C547='دفتر الأستاذ'!$C$6,I547="مرحل ✔"),COUNTIFS($C$11:C547,'دفتر الأستاذ'!$C$6,$I$11:I547,"مرحل ✔"),"")</f>
        <v/>
      </c>
    </row>
    <row r="548" customFormat="false" ht="15" hidden="false" customHeight="false" outlineLevel="0" collapsed="false">
      <c r="A548" s="49"/>
      <c r="B548" s="50"/>
      <c r="C548" s="49"/>
      <c r="D548" s="51" t="str">
        <f aca="false">IF(C548="","",IFERROR(INDEX('شجرة الحسابات'!$B$9:$B$208,MATCH(C548,'شجرة الحسابات'!$A$9:$A$208,0)),"⚠ حساب غير معرف"))</f>
        <v/>
      </c>
      <c r="E548" s="52"/>
      <c r="F548" s="52"/>
      <c r="G548" s="53"/>
      <c r="H548" s="53"/>
      <c r="I548" s="54" t="str">
        <f aca="false">IF(A548="",IF(M548="فارغ","","✖ بدون رقم قيد"),IF(COUNTIFS('قيود اليومية'!$A$11:$A$1010,A548,'قيود اليومية'!$M$11:$M$1010,"&lt;&gt;OK",'قيود اليومية'!$M$11:$M$1010,"&lt;&gt;فارغ")&gt;0,"✖ خطأ بالحساب",IF(ROUND(SUMIFS('قيود اليومية'!$G$11:$G$1010,'قيود اليومية'!$A$11:$A$1010,A548)-SUMIFS('قيود اليومية'!$H$11:$H$1010,'قيود اليومية'!$A$11:$A$1010,A548),2)&lt;&gt;0,"✖ غير متوازن","مرحل ✔")))</f>
        <v/>
      </c>
      <c r="J548" s="55" t="str">
        <f aca="false">IF(C548="","",IFERROR(INDEX('شجرة الحسابات'!$E$9:$E$208,MATCH(C548,'شجرة الحسابات'!$A$9:$A$208,0))&amp;"",""))</f>
        <v/>
      </c>
      <c r="K548" s="55" t="str">
        <f aca="false">IF(C548="","",IFERROR(INDEX('شجرة الحسابات'!$I$9:$I$208,MATCH(C548,'شجرة الحسابات'!$A$9:$A$208,0))&amp;"",""))</f>
        <v/>
      </c>
      <c r="L548" s="55" t="str">
        <f aca="false">IF(C548="","",IFERROR(INDEX('شجرة الحسابات'!$C$9:$C$208,MATCH(C548,'شجرة الحسابات'!$A$9:$A$208,0))&amp;"",""))</f>
        <v/>
      </c>
      <c r="M548" s="55" t="str">
        <f aca="false">IF(AND(C548="",G548="",H548=""),"فارغ",IF(ISNA(MATCH(C548,'شجرة الحسابات'!$A$9:$A$208,0)),"حساب غير معرف",IF(L548&lt;&gt;"تحليلي","حساب تجميعي",IF(AND(N(G548)&gt;0,N(H548)&gt;0),"مدين ودائن معاً",IF(N(G548)+N(H548)=0,"بدون قيمة","OK")))))</f>
        <v>فارغ</v>
      </c>
      <c r="N548" s="55" t="str">
        <f aca="false">IF(AND(E548&lt;&gt;"",E548='كشف حساب مشروع'!$C$6,I548="مرحل ✔"),COUNTIFS($E$11:E548,'كشف حساب مشروع'!$C$6,$I$11:I548,"مرحل ✔"),"")</f>
        <v/>
      </c>
      <c r="O548" s="55" t="str">
        <f aca="false">IF(AND(C548&lt;&gt;"",C548='دفتر الأستاذ'!$C$6,I548="مرحل ✔"),COUNTIFS($C$11:C548,'دفتر الأستاذ'!$C$6,$I$11:I548,"مرحل ✔"),"")</f>
        <v/>
      </c>
    </row>
    <row r="549" customFormat="false" ht="15" hidden="false" customHeight="false" outlineLevel="0" collapsed="false">
      <c r="A549" s="49"/>
      <c r="B549" s="50"/>
      <c r="C549" s="49"/>
      <c r="D549" s="51" t="str">
        <f aca="false">IF(C549="","",IFERROR(INDEX('شجرة الحسابات'!$B$9:$B$208,MATCH(C549,'شجرة الحسابات'!$A$9:$A$208,0)),"⚠ حساب غير معرف"))</f>
        <v/>
      </c>
      <c r="E549" s="52"/>
      <c r="F549" s="52"/>
      <c r="G549" s="53"/>
      <c r="H549" s="53"/>
      <c r="I549" s="54" t="str">
        <f aca="false">IF(A549="",IF(M549="فارغ","","✖ بدون رقم قيد"),IF(COUNTIFS('قيود اليومية'!$A$11:$A$1010,A549,'قيود اليومية'!$M$11:$M$1010,"&lt;&gt;OK",'قيود اليومية'!$M$11:$M$1010,"&lt;&gt;فارغ")&gt;0,"✖ خطأ بالحساب",IF(ROUND(SUMIFS('قيود اليومية'!$G$11:$G$1010,'قيود اليومية'!$A$11:$A$1010,A549)-SUMIFS('قيود اليومية'!$H$11:$H$1010,'قيود اليومية'!$A$11:$A$1010,A549),2)&lt;&gt;0,"✖ غير متوازن","مرحل ✔")))</f>
        <v/>
      </c>
      <c r="J549" s="55" t="str">
        <f aca="false">IF(C549="","",IFERROR(INDEX('شجرة الحسابات'!$E$9:$E$208,MATCH(C549,'شجرة الحسابات'!$A$9:$A$208,0))&amp;"",""))</f>
        <v/>
      </c>
      <c r="K549" s="55" t="str">
        <f aca="false">IF(C549="","",IFERROR(INDEX('شجرة الحسابات'!$I$9:$I$208,MATCH(C549,'شجرة الحسابات'!$A$9:$A$208,0))&amp;"",""))</f>
        <v/>
      </c>
      <c r="L549" s="55" t="str">
        <f aca="false">IF(C549="","",IFERROR(INDEX('شجرة الحسابات'!$C$9:$C$208,MATCH(C549,'شجرة الحسابات'!$A$9:$A$208,0))&amp;"",""))</f>
        <v/>
      </c>
      <c r="M549" s="55" t="str">
        <f aca="false">IF(AND(C549="",G549="",H549=""),"فارغ",IF(ISNA(MATCH(C549,'شجرة الحسابات'!$A$9:$A$208,0)),"حساب غير معرف",IF(L549&lt;&gt;"تحليلي","حساب تجميعي",IF(AND(N(G549)&gt;0,N(H549)&gt;0),"مدين ودائن معاً",IF(N(G549)+N(H549)=0,"بدون قيمة","OK")))))</f>
        <v>فارغ</v>
      </c>
      <c r="N549" s="55" t="str">
        <f aca="false">IF(AND(E549&lt;&gt;"",E549='كشف حساب مشروع'!$C$6,I549="مرحل ✔"),COUNTIFS($E$11:E549,'كشف حساب مشروع'!$C$6,$I$11:I549,"مرحل ✔"),"")</f>
        <v/>
      </c>
      <c r="O549" s="55" t="str">
        <f aca="false">IF(AND(C549&lt;&gt;"",C549='دفتر الأستاذ'!$C$6,I549="مرحل ✔"),COUNTIFS($C$11:C549,'دفتر الأستاذ'!$C$6,$I$11:I549,"مرحل ✔"),"")</f>
        <v/>
      </c>
    </row>
    <row r="550" customFormat="false" ht="15" hidden="false" customHeight="false" outlineLevel="0" collapsed="false">
      <c r="A550" s="49"/>
      <c r="B550" s="50"/>
      <c r="C550" s="49"/>
      <c r="D550" s="51" t="str">
        <f aca="false">IF(C550="","",IFERROR(INDEX('شجرة الحسابات'!$B$9:$B$208,MATCH(C550,'شجرة الحسابات'!$A$9:$A$208,0)),"⚠ حساب غير معرف"))</f>
        <v/>
      </c>
      <c r="E550" s="52"/>
      <c r="F550" s="52"/>
      <c r="G550" s="53"/>
      <c r="H550" s="53"/>
      <c r="I550" s="54" t="str">
        <f aca="false">IF(A550="",IF(M550="فارغ","","✖ بدون رقم قيد"),IF(COUNTIFS('قيود اليومية'!$A$11:$A$1010,A550,'قيود اليومية'!$M$11:$M$1010,"&lt;&gt;OK",'قيود اليومية'!$M$11:$M$1010,"&lt;&gt;فارغ")&gt;0,"✖ خطأ بالحساب",IF(ROUND(SUMIFS('قيود اليومية'!$G$11:$G$1010,'قيود اليومية'!$A$11:$A$1010,A550)-SUMIFS('قيود اليومية'!$H$11:$H$1010,'قيود اليومية'!$A$11:$A$1010,A550),2)&lt;&gt;0,"✖ غير متوازن","مرحل ✔")))</f>
        <v/>
      </c>
      <c r="J550" s="55" t="str">
        <f aca="false">IF(C550="","",IFERROR(INDEX('شجرة الحسابات'!$E$9:$E$208,MATCH(C550,'شجرة الحسابات'!$A$9:$A$208,0))&amp;"",""))</f>
        <v/>
      </c>
      <c r="K550" s="55" t="str">
        <f aca="false">IF(C550="","",IFERROR(INDEX('شجرة الحسابات'!$I$9:$I$208,MATCH(C550,'شجرة الحسابات'!$A$9:$A$208,0))&amp;"",""))</f>
        <v/>
      </c>
      <c r="L550" s="55" t="str">
        <f aca="false">IF(C550="","",IFERROR(INDEX('شجرة الحسابات'!$C$9:$C$208,MATCH(C550,'شجرة الحسابات'!$A$9:$A$208,0))&amp;"",""))</f>
        <v/>
      </c>
      <c r="M550" s="55" t="str">
        <f aca="false">IF(AND(C550="",G550="",H550=""),"فارغ",IF(ISNA(MATCH(C550,'شجرة الحسابات'!$A$9:$A$208,0)),"حساب غير معرف",IF(L550&lt;&gt;"تحليلي","حساب تجميعي",IF(AND(N(G550)&gt;0,N(H550)&gt;0),"مدين ودائن معاً",IF(N(G550)+N(H550)=0,"بدون قيمة","OK")))))</f>
        <v>فارغ</v>
      </c>
      <c r="N550" s="55" t="str">
        <f aca="false">IF(AND(E550&lt;&gt;"",E550='كشف حساب مشروع'!$C$6,I550="مرحل ✔"),COUNTIFS($E$11:E550,'كشف حساب مشروع'!$C$6,$I$11:I550,"مرحل ✔"),"")</f>
        <v/>
      </c>
      <c r="O550" s="55" t="str">
        <f aca="false">IF(AND(C550&lt;&gt;"",C550='دفتر الأستاذ'!$C$6,I550="مرحل ✔"),COUNTIFS($C$11:C550,'دفتر الأستاذ'!$C$6,$I$11:I550,"مرحل ✔"),"")</f>
        <v/>
      </c>
    </row>
    <row r="551" customFormat="false" ht="15" hidden="false" customHeight="false" outlineLevel="0" collapsed="false">
      <c r="A551" s="49"/>
      <c r="B551" s="50"/>
      <c r="C551" s="49"/>
      <c r="D551" s="51" t="str">
        <f aca="false">IF(C551="","",IFERROR(INDEX('شجرة الحسابات'!$B$9:$B$208,MATCH(C551,'شجرة الحسابات'!$A$9:$A$208,0)),"⚠ حساب غير معرف"))</f>
        <v/>
      </c>
      <c r="E551" s="52"/>
      <c r="F551" s="52"/>
      <c r="G551" s="53"/>
      <c r="H551" s="53"/>
      <c r="I551" s="54" t="str">
        <f aca="false">IF(A551="",IF(M551="فارغ","","✖ بدون رقم قيد"),IF(COUNTIFS('قيود اليومية'!$A$11:$A$1010,A551,'قيود اليومية'!$M$11:$M$1010,"&lt;&gt;OK",'قيود اليومية'!$M$11:$M$1010,"&lt;&gt;فارغ")&gt;0,"✖ خطأ بالحساب",IF(ROUND(SUMIFS('قيود اليومية'!$G$11:$G$1010,'قيود اليومية'!$A$11:$A$1010,A551)-SUMIFS('قيود اليومية'!$H$11:$H$1010,'قيود اليومية'!$A$11:$A$1010,A551),2)&lt;&gt;0,"✖ غير متوازن","مرحل ✔")))</f>
        <v/>
      </c>
      <c r="J551" s="55" t="str">
        <f aca="false">IF(C551="","",IFERROR(INDEX('شجرة الحسابات'!$E$9:$E$208,MATCH(C551,'شجرة الحسابات'!$A$9:$A$208,0))&amp;"",""))</f>
        <v/>
      </c>
      <c r="K551" s="55" t="str">
        <f aca="false">IF(C551="","",IFERROR(INDEX('شجرة الحسابات'!$I$9:$I$208,MATCH(C551,'شجرة الحسابات'!$A$9:$A$208,0))&amp;"",""))</f>
        <v/>
      </c>
      <c r="L551" s="55" t="str">
        <f aca="false">IF(C551="","",IFERROR(INDEX('شجرة الحسابات'!$C$9:$C$208,MATCH(C551,'شجرة الحسابات'!$A$9:$A$208,0))&amp;"",""))</f>
        <v/>
      </c>
      <c r="M551" s="55" t="str">
        <f aca="false">IF(AND(C551="",G551="",H551=""),"فارغ",IF(ISNA(MATCH(C551,'شجرة الحسابات'!$A$9:$A$208,0)),"حساب غير معرف",IF(L551&lt;&gt;"تحليلي","حساب تجميعي",IF(AND(N(G551)&gt;0,N(H551)&gt;0),"مدين ودائن معاً",IF(N(G551)+N(H551)=0,"بدون قيمة","OK")))))</f>
        <v>فارغ</v>
      </c>
      <c r="N551" s="55" t="str">
        <f aca="false">IF(AND(E551&lt;&gt;"",E551='كشف حساب مشروع'!$C$6,I551="مرحل ✔"),COUNTIFS($E$11:E551,'كشف حساب مشروع'!$C$6,$I$11:I551,"مرحل ✔"),"")</f>
        <v/>
      </c>
      <c r="O551" s="55" t="str">
        <f aca="false">IF(AND(C551&lt;&gt;"",C551='دفتر الأستاذ'!$C$6,I551="مرحل ✔"),COUNTIFS($C$11:C551,'دفتر الأستاذ'!$C$6,$I$11:I551,"مرحل ✔"),"")</f>
        <v/>
      </c>
    </row>
    <row r="552" customFormat="false" ht="15" hidden="false" customHeight="false" outlineLevel="0" collapsed="false">
      <c r="A552" s="49"/>
      <c r="B552" s="50"/>
      <c r="C552" s="49"/>
      <c r="D552" s="51" t="str">
        <f aca="false">IF(C552="","",IFERROR(INDEX('شجرة الحسابات'!$B$9:$B$208,MATCH(C552,'شجرة الحسابات'!$A$9:$A$208,0)),"⚠ حساب غير معرف"))</f>
        <v/>
      </c>
      <c r="E552" s="52"/>
      <c r="F552" s="52"/>
      <c r="G552" s="53"/>
      <c r="H552" s="53"/>
      <c r="I552" s="54" t="str">
        <f aca="false">IF(A552="",IF(M552="فارغ","","✖ بدون رقم قيد"),IF(COUNTIFS('قيود اليومية'!$A$11:$A$1010,A552,'قيود اليومية'!$M$11:$M$1010,"&lt;&gt;OK",'قيود اليومية'!$M$11:$M$1010,"&lt;&gt;فارغ")&gt;0,"✖ خطأ بالحساب",IF(ROUND(SUMIFS('قيود اليومية'!$G$11:$G$1010,'قيود اليومية'!$A$11:$A$1010,A552)-SUMIFS('قيود اليومية'!$H$11:$H$1010,'قيود اليومية'!$A$11:$A$1010,A552),2)&lt;&gt;0,"✖ غير متوازن","مرحل ✔")))</f>
        <v/>
      </c>
      <c r="J552" s="55" t="str">
        <f aca="false">IF(C552="","",IFERROR(INDEX('شجرة الحسابات'!$E$9:$E$208,MATCH(C552,'شجرة الحسابات'!$A$9:$A$208,0))&amp;"",""))</f>
        <v/>
      </c>
      <c r="K552" s="55" t="str">
        <f aca="false">IF(C552="","",IFERROR(INDEX('شجرة الحسابات'!$I$9:$I$208,MATCH(C552,'شجرة الحسابات'!$A$9:$A$208,0))&amp;"",""))</f>
        <v/>
      </c>
      <c r="L552" s="55" t="str">
        <f aca="false">IF(C552="","",IFERROR(INDEX('شجرة الحسابات'!$C$9:$C$208,MATCH(C552,'شجرة الحسابات'!$A$9:$A$208,0))&amp;"",""))</f>
        <v/>
      </c>
      <c r="M552" s="55" t="str">
        <f aca="false">IF(AND(C552="",G552="",H552=""),"فارغ",IF(ISNA(MATCH(C552,'شجرة الحسابات'!$A$9:$A$208,0)),"حساب غير معرف",IF(L552&lt;&gt;"تحليلي","حساب تجميعي",IF(AND(N(G552)&gt;0,N(H552)&gt;0),"مدين ودائن معاً",IF(N(G552)+N(H552)=0,"بدون قيمة","OK")))))</f>
        <v>فارغ</v>
      </c>
      <c r="N552" s="55" t="str">
        <f aca="false">IF(AND(E552&lt;&gt;"",E552='كشف حساب مشروع'!$C$6,I552="مرحل ✔"),COUNTIFS($E$11:E552,'كشف حساب مشروع'!$C$6,$I$11:I552,"مرحل ✔"),"")</f>
        <v/>
      </c>
      <c r="O552" s="55" t="str">
        <f aca="false">IF(AND(C552&lt;&gt;"",C552='دفتر الأستاذ'!$C$6,I552="مرحل ✔"),COUNTIFS($C$11:C552,'دفتر الأستاذ'!$C$6,$I$11:I552,"مرحل ✔"),"")</f>
        <v/>
      </c>
    </row>
    <row r="553" customFormat="false" ht="15" hidden="false" customHeight="false" outlineLevel="0" collapsed="false">
      <c r="A553" s="49"/>
      <c r="B553" s="50"/>
      <c r="C553" s="49"/>
      <c r="D553" s="51" t="str">
        <f aca="false">IF(C553="","",IFERROR(INDEX('شجرة الحسابات'!$B$9:$B$208,MATCH(C553,'شجرة الحسابات'!$A$9:$A$208,0)),"⚠ حساب غير معرف"))</f>
        <v/>
      </c>
      <c r="E553" s="52"/>
      <c r="F553" s="52"/>
      <c r="G553" s="53"/>
      <c r="H553" s="53"/>
      <c r="I553" s="54" t="str">
        <f aca="false">IF(A553="",IF(M553="فارغ","","✖ بدون رقم قيد"),IF(COUNTIFS('قيود اليومية'!$A$11:$A$1010,A553,'قيود اليومية'!$M$11:$M$1010,"&lt;&gt;OK",'قيود اليومية'!$M$11:$M$1010,"&lt;&gt;فارغ")&gt;0,"✖ خطأ بالحساب",IF(ROUND(SUMIFS('قيود اليومية'!$G$11:$G$1010,'قيود اليومية'!$A$11:$A$1010,A553)-SUMIFS('قيود اليومية'!$H$11:$H$1010,'قيود اليومية'!$A$11:$A$1010,A553),2)&lt;&gt;0,"✖ غير متوازن","مرحل ✔")))</f>
        <v/>
      </c>
      <c r="J553" s="55" t="str">
        <f aca="false">IF(C553="","",IFERROR(INDEX('شجرة الحسابات'!$E$9:$E$208,MATCH(C553,'شجرة الحسابات'!$A$9:$A$208,0))&amp;"",""))</f>
        <v/>
      </c>
      <c r="K553" s="55" t="str">
        <f aca="false">IF(C553="","",IFERROR(INDEX('شجرة الحسابات'!$I$9:$I$208,MATCH(C553,'شجرة الحسابات'!$A$9:$A$208,0))&amp;"",""))</f>
        <v/>
      </c>
      <c r="L553" s="55" t="str">
        <f aca="false">IF(C553="","",IFERROR(INDEX('شجرة الحسابات'!$C$9:$C$208,MATCH(C553,'شجرة الحسابات'!$A$9:$A$208,0))&amp;"",""))</f>
        <v/>
      </c>
      <c r="M553" s="55" t="str">
        <f aca="false">IF(AND(C553="",G553="",H553=""),"فارغ",IF(ISNA(MATCH(C553,'شجرة الحسابات'!$A$9:$A$208,0)),"حساب غير معرف",IF(L553&lt;&gt;"تحليلي","حساب تجميعي",IF(AND(N(G553)&gt;0,N(H553)&gt;0),"مدين ودائن معاً",IF(N(G553)+N(H553)=0,"بدون قيمة","OK")))))</f>
        <v>فارغ</v>
      </c>
      <c r="N553" s="55" t="str">
        <f aca="false">IF(AND(E553&lt;&gt;"",E553='كشف حساب مشروع'!$C$6,I553="مرحل ✔"),COUNTIFS($E$11:E553,'كشف حساب مشروع'!$C$6,$I$11:I553,"مرحل ✔"),"")</f>
        <v/>
      </c>
      <c r="O553" s="55" t="str">
        <f aca="false">IF(AND(C553&lt;&gt;"",C553='دفتر الأستاذ'!$C$6,I553="مرحل ✔"),COUNTIFS($C$11:C553,'دفتر الأستاذ'!$C$6,$I$11:I553,"مرحل ✔"),"")</f>
        <v/>
      </c>
    </row>
    <row r="554" customFormat="false" ht="15" hidden="false" customHeight="false" outlineLevel="0" collapsed="false">
      <c r="A554" s="49"/>
      <c r="B554" s="50"/>
      <c r="C554" s="49"/>
      <c r="D554" s="51" t="str">
        <f aca="false">IF(C554="","",IFERROR(INDEX('شجرة الحسابات'!$B$9:$B$208,MATCH(C554,'شجرة الحسابات'!$A$9:$A$208,0)),"⚠ حساب غير معرف"))</f>
        <v/>
      </c>
      <c r="E554" s="52"/>
      <c r="F554" s="52"/>
      <c r="G554" s="53"/>
      <c r="H554" s="53"/>
      <c r="I554" s="54" t="str">
        <f aca="false">IF(A554="",IF(M554="فارغ","","✖ بدون رقم قيد"),IF(COUNTIFS('قيود اليومية'!$A$11:$A$1010,A554,'قيود اليومية'!$M$11:$M$1010,"&lt;&gt;OK",'قيود اليومية'!$M$11:$M$1010,"&lt;&gt;فارغ")&gt;0,"✖ خطأ بالحساب",IF(ROUND(SUMIFS('قيود اليومية'!$G$11:$G$1010,'قيود اليومية'!$A$11:$A$1010,A554)-SUMIFS('قيود اليومية'!$H$11:$H$1010,'قيود اليومية'!$A$11:$A$1010,A554),2)&lt;&gt;0,"✖ غير متوازن","مرحل ✔")))</f>
        <v/>
      </c>
      <c r="J554" s="55" t="str">
        <f aca="false">IF(C554="","",IFERROR(INDEX('شجرة الحسابات'!$E$9:$E$208,MATCH(C554,'شجرة الحسابات'!$A$9:$A$208,0))&amp;"",""))</f>
        <v/>
      </c>
      <c r="K554" s="55" t="str">
        <f aca="false">IF(C554="","",IFERROR(INDEX('شجرة الحسابات'!$I$9:$I$208,MATCH(C554,'شجرة الحسابات'!$A$9:$A$208,0))&amp;"",""))</f>
        <v/>
      </c>
      <c r="L554" s="55" t="str">
        <f aca="false">IF(C554="","",IFERROR(INDEX('شجرة الحسابات'!$C$9:$C$208,MATCH(C554,'شجرة الحسابات'!$A$9:$A$208,0))&amp;"",""))</f>
        <v/>
      </c>
      <c r="M554" s="55" t="str">
        <f aca="false">IF(AND(C554="",G554="",H554=""),"فارغ",IF(ISNA(MATCH(C554,'شجرة الحسابات'!$A$9:$A$208,0)),"حساب غير معرف",IF(L554&lt;&gt;"تحليلي","حساب تجميعي",IF(AND(N(G554)&gt;0,N(H554)&gt;0),"مدين ودائن معاً",IF(N(G554)+N(H554)=0,"بدون قيمة","OK")))))</f>
        <v>فارغ</v>
      </c>
      <c r="N554" s="55" t="str">
        <f aca="false">IF(AND(E554&lt;&gt;"",E554='كشف حساب مشروع'!$C$6,I554="مرحل ✔"),COUNTIFS($E$11:E554,'كشف حساب مشروع'!$C$6,$I$11:I554,"مرحل ✔"),"")</f>
        <v/>
      </c>
      <c r="O554" s="55" t="str">
        <f aca="false">IF(AND(C554&lt;&gt;"",C554='دفتر الأستاذ'!$C$6,I554="مرحل ✔"),COUNTIFS($C$11:C554,'دفتر الأستاذ'!$C$6,$I$11:I554,"مرحل ✔"),"")</f>
        <v/>
      </c>
    </row>
    <row r="555" customFormat="false" ht="15" hidden="false" customHeight="false" outlineLevel="0" collapsed="false">
      <c r="A555" s="49"/>
      <c r="B555" s="50"/>
      <c r="C555" s="49"/>
      <c r="D555" s="51" t="str">
        <f aca="false">IF(C555="","",IFERROR(INDEX('شجرة الحسابات'!$B$9:$B$208,MATCH(C555,'شجرة الحسابات'!$A$9:$A$208,0)),"⚠ حساب غير معرف"))</f>
        <v/>
      </c>
      <c r="E555" s="52"/>
      <c r="F555" s="52"/>
      <c r="G555" s="53"/>
      <c r="H555" s="53"/>
      <c r="I555" s="54" t="str">
        <f aca="false">IF(A555="",IF(M555="فارغ","","✖ بدون رقم قيد"),IF(COUNTIFS('قيود اليومية'!$A$11:$A$1010,A555,'قيود اليومية'!$M$11:$M$1010,"&lt;&gt;OK",'قيود اليومية'!$M$11:$M$1010,"&lt;&gt;فارغ")&gt;0,"✖ خطأ بالحساب",IF(ROUND(SUMIFS('قيود اليومية'!$G$11:$G$1010,'قيود اليومية'!$A$11:$A$1010,A555)-SUMIFS('قيود اليومية'!$H$11:$H$1010,'قيود اليومية'!$A$11:$A$1010,A555),2)&lt;&gt;0,"✖ غير متوازن","مرحل ✔")))</f>
        <v/>
      </c>
      <c r="J555" s="55" t="str">
        <f aca="false">IF(C555="","",IFERROR(INDEX('شجرة الحسابات'!$E$9:$E$208,MATCH(C555,'شجرة الحسابات'!$A$9:$A$208,0))&amp;"",""))</f>
        <v/>
      </c>
      <c r="K555" s="55" t="str">
        <f aca="false">IF(C555="","",IFERROR(INDEX('شجرة الحسابات'!$I$9:$I$208,MATCH(C555,'شجرة الحسابات'!$A$9:$A$208,0))&amp;"",""))</f>
        <v/>
      </c>
      <c r="L555" s="55" t="str">
        <f aca="false">IF(C555="","",IFERROR(INDEX('شجرة الحسابات'!$C$9:$C$208,MATCH(C555,'شجرة الحسابات'!$A$9:$A$208,0))&amp;"",""))</f>
        <v/>
      </c>
      <c r="M555" s="55" t="str">
        <f aca="false">IF(AND(C555="",G555="",H555=""),"فارغ",IF(ISNA(MATCH(C555,'شجرة الحسابات'!$A$9:$A$208,0)),"حساب غير معرف",IF(L555&lt;&gt;"تحليلي","حساب تجميعي",IF(AND(N(G555)&gt;0,N(H555)&gt;0),"مدين ودائن معاً",IF(N(G555)+N(H555)=0,"بدون قيمة","OK")))))</f>
        <v>فارغ</v>
      </c>
      <c r="N555" s="55" t="str">
        <f aca="false">IF(AND(E555&lt;&gt;"",E555='كشف حساب مشروع'!$C$6,I555="مرحل ✔"),COUNTIFS($E$11:E555,'كشف حساب مشروع'!$C$6,$I$11:I555,"مرحل ✔"),"")</f>
        <v/>
      </c>
      <c r="O555" s="55" t="str">
        <f aca="false">IF(AND(C555&lt;&gt;"",C555='دفتر الأستاذ'!$C$6,I555="مرحل ✔"),COUNTIFS($C$11:C555,'دفتر الأستاذ'!$C$6,$I$11:I555,"مرحل ✔"),"")</f>
        <v/>
      </c>
    </row>
    <row r="556" customFormat="false" ht="15" hidden="false" customHeight="false" outlineLevel="0" collapsed="false">
      <c r="A556" s="49"/>
      <c r="B556" s="50"/>
      <c r="C556" s="49"/>
      <c r="D556" s="51" t="str">
        <f aca="false">IF(C556="","",IFERROR(INDEX('شجرة الحسابات'!$B$9:$B$208,MATCH(C556,'شجرة الحسابات'!$A$9:$A$208,0)),"⚠ حساب غير معرف"))</f>
        <v/>
      </c>
      <c r="E556" s="52"/>
      <c r="F556" s="52"/>
      <c r="G556" s="53"/>
      <c r="H556" s="53"/>
      <c r="I556" s="54" t="str">
        <f aca="false">IF(A556="",IF(M556="فارغ","","✖ بدون رقم قيد"),IF(COUNTIFS('قيود اليومية'!$A$11:$A$1010,A556,'قيود اليومية'!$M$11:$M$1010,"&lt;&gt;OK",'قيود اليومية'!$M$11:$M$1010,"&lt;&gt;فارغ")&gt;0,"✖ خطأ بالحساب",IF(ROUND(SUMIFS('قيود اليومية'!$G$11:$G$1010,'قيود اليومية'!$A$11:$A$1010,A556)-SUMIFS('قيود اليومية'!$H$11:$H$1010,'قيود اليومية'!$A$11:$A$1010,A556),2)&lt;&gt;0,"✖ غير متوازن","مرحل ✔")))</f>
        <v/>
      </c>
      <c r="J556" s="55" t="str">
        <f aca="false">IF(C556="","",IFERROR(INDEX('شجرة الحسابات'!$E$9:$E$208,MATCH(C556,'شجرة الحسابات'!$A$9:$A$208,0))&amp;"",""))</f>
        <v/>
      </c>
      <c r="K556" s="55" t="str">
        <f aca="false">IF(C556="","",IFERROR(INDEX('شجرة الحسابات'!$I$9:$I$208,MATCH(C556,'شجرة الحسابات'!$A$9:$A$208,0))&amp;"",""))</f>
        <v/>
      </c>
      <c r="L556" s="55" t="str">
        <f aca="false">IF(C556="","",IFERROR(INDEX('شجرة الحسابات'!$C$9:$C$208,MATCH(C556,'شجرة الحسابات'!$A$9:$A$208,0))&amp;"",""))</f>
        <v/>
      </c>
      <c r="M556" s="55" t="str">
        <f aca="false">IF(AND(C556="",G556="",H556=""),"فارغ",IF(ISNA(MATCH(C556,'شجرة الحسابات'!$A$9:$A$208,0)),"حساب غير معرف",IF(L556&lt;&gt;"تحليلي","حساب تجميعي",IF(AND(N(G556)&gt;0,N(H556)&gt;0),"مدين ودائن معاً",IF(N(G556)+N(H556)=0,"بدون قيمة","OK")))))</f>
        <v>فارغ</v>
      </c>
      <c r="N556" s="55" t="str">
        <f aca="false">IF(AND(E556&lt;&gt;"",E556='كشف حساب مشروع'!$C$6,I556="مرحل ✔"),COUNTIFS($E$11:E556,'كشف حساب مشروع'!$C$6,$I$11:I556,"مرحل ✔"),"")</f>
        <v/>
      </c>
      <c r="O556" s="55" t="str">
        <f aca="false">IF(AND(C556&lt;&gt;"",C556='دفتر الأستاذ'!$C$6,I556="مرحل ✔"),COUNTIFS($C$11:C556,'دفتر الأستاذ'!$C$6,$I$11:I556,"مرحل ✔"),"")</f>
        <v/>
      </c>
    </row>
    <row r="557" customFormat="false" ht="15" hidden="false" customHeight="false" outlineLevel="0" collapsed="false">
      <c r="A557" s="49"/>
      <c r="B557" s="50"/>
      <c r="C557" s="49"/>
      <c r="D557" s="51" t="str">
        <f aca="false">IF(C557="","",IFERROR(INDEX('شجرة الحسابات'!$B$9:$B$208,MATCH(C557,'شجرة الحسابات'!$A$9:$A$208,0)),"⚠ حساب غير معرف"))</f>
        <v/>
      </c>
      <c r="E557" s="52"/>
      <c r="F557" s="52"/>
      <c r="G557" s="53"/>
      <c r="H557" s="53"/>
      <c r="I557" s="54" t="str">
        <f aca="false">IF(A557="",IF(M557="فارغ","","✖ بدون رقم قيد"),IF(COUNTIFS('قيود اليومية'!$A$11:$A$1010,A557,'قيود اليومية'!$M$11:$M$1010,"&lt;&gt;OK",'قيود اليومية'!$M$11:$M$1010,"&lt;&gt;فارغ")&gt;0,"✖ خطأ بالحساب",IF(ROUND(SUMIFS('قيود اليومية'!$G$11:$G$1010,'قيود اليومية'!$A$11:$A$1010,A557)-SUMIFS('قيود اليومية'!$H$11:$H$1010,'قيود اليومية'!$A$11:$A$1010,A557),2)&lt;&gt;0,"✖ غير متوازن","مرحل ✔")))</f>
        <v/>
      </c>
      <c r="J557" s="55" t="str">
        <f aca="false">IF(C557="","",IFERROR(INDEX('شجرة الحسابات'!$E$9:$E$208,MATCH(C557,'شجرة الحسابات'!$A$9:$A$208,0))&amp;"",""))</f>
        <v/>
      </c>
      <c r="K557" s="55" t="str">
        <f aca="false">IF(C557="","",IFERROR(INDEX('شجرة الحسابات'!$I$9:$I$208,MATCH(C557,'شجرة الحسابات'!$A$9:$A$208,0))&amp;"",""))</f>
        <v/>
      </c>
      <c r="L557" s="55" t="str">
        <f aca="false">IF(C557="","",IFERROR(INDEX('شجرة الحسابات'!$C$9:$C$208,MATCH(C557,'شجرة الحسابات'!$A$9:$A$208,0))&amp;"",""))</f>
        <v/>
      </c>
      <c r="M557" s="55" t="str">
        <f aca="false">IF(AND(C557="",G557="",H557=""),"فارغ",IF(ISNA(MATCH(C557,'شجرة الحسابات'!$A$9:$A$208,0)),"حساب غير معرف",IF(L557&lt;&gt;"تحليلي","حساب تجميعي",IF(AND(N(G557)&gt;0,N(H557)&gt;0),"مدين ودائن معاً",IF(N(G557)+N(H557)=0,"بدون قيمة","OK")))))</f>
        <v>فارغ</v>
      </c>
      <c r="N557" s="55" t="str">
        <f aca="false">IF(AND(E557&lt;&gt;"",E557='كشف حساب مشروع'!$C$6,I557="مرحل ✔"),COUNTIFS($E$11:E557,'كشف حساب مشروع'!$C$6,$I$11:I557,"مرحل ✔"),"")</f>
        <v/>
      </c>
      <c r="O557" s="55" t="str">
        <f aca="false">IF(AND(C557&lt;&gt;"",C557='دفتر الأستاذ'!$C$6,I557="مرحل ✔"),COUNTIFS($C$11:C557,'دفتر الأستاذ'!$C$6,$I$11:I557,"مرحل ✔"),"")</f>
        <v/>
      </c>
    </row>
    <row r="558" customFormat="false" ht="15" hidden="false" customHeight="false" outlineLevel="0" collapsed="false">
      <c r="A558" s="49"/>
      <c r="B558" s="50"/>
      <c r="C558" s="49"/>
      <c r="D558" s="51" t="str">
        <f aca="false">IF(C558="","",IFERROR(INDEX('شجرة الحسابات'!$B$9:$B$208,MATCH(C558,'شجرة الحسابات'!$A$9:$A$208,0)),"⚠ حساب غير معرف"))</f>
        <v/>
      </c>
      <c r="E558" s="52"/>
      <c r="F558" s="52"/>
      <c r="G558" s="53"/>
      <c r="H558" s="53"/>
      <c r="I558" s="54" t="str">
        <f aca="false">IF(A558="",IF(M558="فارغ","","✖ بدون رقم قيد"),IF(COUNTIFS('قيود اليومية'!$A$11:$A$1010,A558,'قيود اليومية'!$M$11:$M$1010,"&lt;&gt;OK",'قيود اليومية'!$M$11:$M$1010,"&lt;&gt;فارغ")&gt;0,"✖ خطأ بالحساب",IF(ROUND(SUMIFS('قيود اليومية'!$G$11:$G$1010,'قيود اليومية'!$A$11:$A$1010,A558)-SUMIFS('قيود اليومية'!$H$11:$H$1010,'قيود اليومية'!$A$11:$A$1010,A558),2)&lt;&gt;0,"✖ غير متوازن","مرحل ✔")))</f>
        <v/>
      </c>
      <c r="J558" s="55" t="str">
        <f aca="false">IF(C558="","",IFERROR(INDEX('شجرة الحسابات'!$E$9:$E$208,MATCH(C558,'شجرة الحسابات'!$A$9:$A$208,0))&amp;"",""))</f>
        <v/>
      </c>
      <c r="K558" s="55" t="str">
        <f aca="false">IF(C558="","",IFERROR(INDEX('شجرة الحسابات'!$I$9:$I$208,MATCH(C558,'شجرة الحسابات'!$A$9:$A$208,0))&amp;"",""))</f>
        <v/>
      </c>
      <c r="L558" s="55" t="str">
        <f aca="false">IF(C558="","",IFERROR(INDEX('شجرة الحسابات'!$C$9:$C$208,MATCH(C558,'شجرة الحسابات'!$A$9:$A$208,0))&amp;"",""))</f>
        <v/>
      </c>
      <c r="M558" s="55" t="str">
        <f aca="false">IF(AND(C558="",G558="",H558=""),"فارغ",IF(ISNA(MATCH(C558,'شجرة الحسابات'!$A$9:$A$208,0)),"حساب غير معرف",IF(L558&lt;&gt;"تحليلي","حساب تجميعي",IF(AND(N(G558)&gt;0,N(H558)&gt;0),"مدين ودائن معاً",IF(N(G558)+N(H558)=0,"بدون قيمة","OK")))))</f>
        <v>فارغ</v>
      </c>
      <c r="N558" s="55" t="str">
        <f aca="false">IF(AND(E558&lt;&gt;"",E558='كشف حساب مشروع'!$C$6,I558="مرحل ✔"),COUNTIFS($E$11:E558,'كشف حساب مشروع'!$C$6,$I$11:I558,"مرحل ✔"),"")</f>
        <v/>
      </c>
      <c r="O558" s="55" t="str">
        <f aca="false">IF(AND(C558&lt;&gt;"",C558='دفتر الأستاذ'!$C$6,I558="مرحل ✔"),COUNTIFS($C$11:C558,'دفتر الأستاذ'!$C$6,$I$11:I558,"مرحل ✔"),"")</f>
        <v/>
      </c>
    </row>
    <row r="559" customFormat="false" ht="15" hidden="false" customHeight="false" outlineLevel="0" collapsed="false">
      <c r="A559" s="49"/>
      <c r="B559" s="50"/>
      <c r="C559" s="49"/>
      <c r="D559" s="51" t="str">
        <f aca="false">IF(C559="","",IFERROR(INDEX('شجرة الحسابات'!$B$9:$B$208,MATCH(C559,'شجرة الحسابات'!$A$9:$A$208,0)),"⚠ حساب غير معرف"))</f>
        <v/>
      </c>
      <c r="E559" s="52"/>
      <c r="F559" s="52"/>
      <c r="G559" s="53"/>
      <c r="H559" s="53"/>
      <c r="I559" s="54" t="str">
        <f aca="false">IF(A559="",IF(M559="فارغ","","✖ بدون رقم قيد"),IF(COUNTIFS('قيود اليومية'!$A$11:$A$1010,A559,'قيود اليومية'!$M$11:$M$1010,"&lt;&gt;OK",'قيود اليومية'!$M$11:$M$1010,"&lt;&gt;فارغ")&gt;0,"✖ خطأ بالحساب",IF(ROUND(SUMIFS('قيود اليومية'!$G$11:$G$1010,'قيود اليومية'!$A$11:$A$1010,A559)-SUMIFS('قيود اليومية'!$H$11:$H$1010,'قيود اليومية'!$A$11:$A$1010,A559),2)&lt;&gt;0,"✖ غير متوازن","مرحل ✔")))</f>
        <v/>
      </c>
      <c r="J559" s="55" t="str">
        <f aca="false">IF(C559="","",IFERROR(INDEX('شجرة الحسابات'!$E$9:$E$208,MATCH(C559,'شجرة الحسابات'!$A$9:$A$208,0))&amp;"",""))</f>
        <v/>
      </c>
      <c r="K559" s="55" t="str">
        <f aca="false">IF(C559="","",IFERROR(INDEX('شجرة الحسابات'!$I$9:$I$208,MATCH(C559,'شجرة الحسابات'!$A$9:$A$208,0))&amp;"",""))</f>
        <v/>
      </c>
      <c r="L559" s="55" t="str">
        <f aca="false">IF(C559="","",IFERROR(INDEX('شجرة الحسابات'!$C$9:$C$208,MATCH(C559,'شجرة الحسابات'!$A$9:$A$208,0))&amp;"",""))</f>
        <v/>
      </c>
      <c r="M559" s="55" t="str">
        <f aca="false">IF(AND(C559="",G559="",H559=""),"فارغ",IF(ISNA(MATCH(C559,'شجرة الحسابات'!$A$9:$A$208,0)),"حساب غير معرف",IF(L559&lt;&gt;"تحليلي","حساب تجميعي",IF(AND(N(G559)&gt;0,N(H559)&gt;0),"مدين ودائن معاً",IF(N(G559)+N(H559)=0,"بدون قيمة","OK")))))</f>
        <v>فارغ</v>
      </c>
      <c r="N559" s="55" t="str">
        <f aca="false">IF(AND(E559&lt;&gt;"",E559='كشف حساب مشروع'!$C$6,I559="مرحل ✔"),COUNTIFS($E$11:E559,'كشف حساب مشروع'!$C$6,$I$11:I559,"مرحل ✔"),"")</f>
        <v/>
      </c>
      <c r="O559" s="55" t="str">
        <f aca="false">IF(AND(C559&lt;&gt;"",C559='دفتر الأستاذ'!$C$6,I559="مرحل ✔"),COUNTIFS($C$11:C559,'دفتر الأستاذ'!$C$6,$I$11:I559,"مرحل ✔"),"")</f>
        <v/>
      </c>
    </row>
    <row r="560" customFormat="false" ht="15" hidden="false" customHeight="false" outlineLevel="0" collapsed="false">
      <c r="A560" s="49"/>
      <c r="B560" s="50"/>
      <c r="C560" s="49"/>
      <c r="D560" s="51" t="str">
        <f aca="false">IF(C560="","",IFERROR(INDEX('شجرة الحسابات'!$B$9:$B$208,MATCH(C560,'شجرة الحسابات'!$A$9:$A$208,0)),"⚠ حساب غير معرف"))</f>
        <v/>
      </c>
      <c r="E560" s="52"/>
      <c r="F560" s="52"/>
      <c r="G560" s="53"/>
      <c r="H560" s="53"/>
      <c r="I560" s="54" t="str">
        <f aca="false">IF(A560="",IF(M560="فارغ","","✖ بدون رقم قيد"),IF(COUNTIFS('قيود اليومية'!$A$11:$A$1010,A560,'قيود اليومية'!$M$11:$M$1010,"&lt;&gt;OK",'قيود اليومية'!$M$11:$M$1010,"&lt;&gt;فارغ")&gt;0,"✖ خطأ بالحساب",IF(ROUND(SUMIFS('قيود اليومية'!$G$11:$G$1010,'قيود اليومية'!$A$11:$A$1010,A560)-SUMIFS('قيود اليومية'!$H$11:$H$1010,'قيود اليومية'!$A$11:$A$1010,A560),2)&lt;&gt;0,"✖ غير متوازن","مرحل ✔")))</f>
        <v/>
      </c>
      <c r="J560" s="55" t="str">
        <f aca="false">IF(C560="","",IFERROR(INDEX('شجرة الحسابات'!$E$9:$E$208,MATCH(C560,'شجرة الحسابات'!$A$9:$A$208,0))&amp;"",""))</f>
        <v/>
      </c>
      <c r="K560" s="55" t="str">
        <f aca="false">IF(C560="","",IFERROR(INDEX('شجرة الحسابات'!$I$9:$I$208,MATCH(C560,'شجرة الحسابات'!$A$9:$A$208,0))&amp;"",""))</f>
        <v/>
      </c>
      <c r="L560" s="55" t="str">
        <f aca="false">IF(C560="","",IFERROR(INDEX('شجرة الحسابات'!$C$9:$C$208,MATCH(C560,'شجرة الحسابات'!$A$9:$A$208,0))&amp;"",""))</f>
        <v/>
      </c>
      <c r="M560" s="55" t="str">
        <f aca="false">IF(AND(C560="",G560="",H560=""),"فارغ",IF(ISNA(MATCH(C560,'شجرة الحسابات'!$A$9:$A$208,0)),"حساب غير معرف",IF(L560&lt;&gt;"تحليلي","حساب تجميعي",IF(AND(N(G560)&gt;0,N(H560)&gt;0),"مدين ودائن معاً",IF(N(G560)+N(H560)=0,"بدون قيمة","OK")))))</f>
        <v>فارغ</v>
      </c>
      <c r="N560" s="55" t="str">
        <f aca="false">IF(AND(E560&lt;&gt;"",E560='كشف حساب مشروع'!$C$6,I560="مرحل ✔"),COUNTIFS($E$11:E560,'كشف حساب مشروع'!$C$6,$I$11:I560,"مرحل ✔"),"")</f>
        <v/>
      </c>
      <c r="O560" s="55" t="str">
        <f aca="false">IF(AND(C560&lt;&gt;"",C560='دفتر الأستاذ'!$C$6,I560="مرحل ✔"),COUNTIFS($C$11:C560,'دفتر الأستاذ'!$C$6,$I$11:I560,"مرحل ✔"),"")</f>
        <v/>
      </c>
    </row>
    <row r="561" customFormat="false" ht="15" hidden="false" customHeight="false" outlineLevel="0" collapsed="false">
      <c r="A561" s="49"/>
      <c r="B561" s="50"/>
      <c r="C561" s="49"/>
      <c r="D561" s="51" t="str">
        <f aca="false">IF(C561="","",IFERROR(INDEX('شجرة الحسابات'!$B$9:$B$208,MATCH(C561,'شجرة الحسابات'!$A$9:$A$208,0)),"⚠ حساب غير معرف"))</f>
        <v/>
      </c>
      <c r="E561" s="52"/>
      <c r="F561" s="52"/>
      <c r="G561" s="53"/>
      <c r="H561" s="53"/>
      <c r="I561" s="54" t="str">
        <f aca="false">IF(A561="",IF(M561="فارغ","","✖ بدون رقم قيد"),IF(COUNTIFS('قيود اليومية'!$A$11:$A$1010,A561,'قيود اليومية'!$M$11:$M$1010,"&lt;&gt;OK",'قيود اليومية'!$M$11:$M$1010,"&lt;&gt;فارغ")&gt;0,"✖ خطأ بالحساب",IF(ROUND(SUMIFS('قيود اليومية'!$G$11:$G$1010,'قيود اليومية'!$A$11:$A$1010,A561)-SUMIFS('قيود اليومية'!$H$11:$H$1010,'قيود اليومية'!$A$11:$A$1010,A561),2)&lt;&gt;0,"✖ غير متوازن","مرحل ✔")))</f>
        <v/>
      </c>
      <c r="J561" s="55" t="str">
        <f aca="false">IF(C561="","",IFERROR(INDEX('شجرة الحسابات'!$E$9:$E$208,MATCH(C561,'شجرة الحسابات'!$A$9:$A$208,0))&amp;"",""))</f>
        <v/>
      </c>
      <c r="K561" s="55" t="str">
        <f aca="false">IF(C561="","",IFERROR(INDEX('شجرة الحسابات'!$I$9:$I$208,MATCH(C561,'شجرة الحسابات'!$A$9:$A$208,0))&amp;"",""))</f>
        <v/>
      </c>
      <c r="L561" s="55" t="str">
        <f aca="false">IF(C561="","",IFERROR(INDEX('شجرة الحسابات'!$C$9:$C$208,MATCH(C561,'شجرة الحسابات'!$A$9:$A$208,0))&amp;"",""))</f>
        <v/>
      </c>
      <c r="M561" s="55" t="str">
        <f aca="false">IF(AND(C561="",G561="",H561=""),"فارغ",IF(ISNA(MATCH(C561,'شجرة الحسابات'!$A$9:$A$208,0)),"حساب غير معرف",IF(L561&lt;&gt;"تحليلي","حساب تجميعي",IF(AND(N(G561)&gt;0,N(H561)&gt;0),"مدين ودائن معاً",IF(N(G561)+N(H561)=0,"بدون قيمة","OK")))))</f>
        <v>فارغ</v>
      </c>
      <c r="N561" s="55" t="str">
        <f aca="false">IF(AND(E561&lt;&gt;"",E561='كشف حساب مشروع'!$C$6,I561="مرحل ✔"),COUNTIFS($E$11:E561,'كشف حساب مشروع'!$C$6,$I$11:I561,"مرحل ✔"),"")</f>
        <v/>
      </c>
      <c r="O561" s="55" t="str">
        <f aca="false">IF(AND(C561&lt;&gt;"",C561='دفتر الأستاذ'!$C$6,I561="مرحل ✔"),COUNTIFS($C$11:C561,'دفتر الأستاذ'!$C$6,$I$11:I561,"مرحل ✔"),"")</f>
        <v/>
      </c>
    </row>
    <row r="562" customFormat="false" ht="15" hidden="false" customHeight="false" outlineLevel="0" collapsed="false">
      <c r="A562" s="49"/>
      <c r="B562" s="50"/>
      <c r="C562" s="49"/>
      <c r="D562" s="51" t="str">
        <f aca="false">IF(C562="","",IFERROR(INDEX('شجرة الحسابات'!$B$9:$B$208,MATCH(C562,'شجرة الحسابات'!$A$9:$A$208,0)),"⚠ حساب غير معرف"))</f>
        <v/>
      </c>
      <c r="E562" s="52"/>
      <c r="F562" s="52"/>
      <c r="G562" s="53"/>
      <c r="H562" s="53"/>
      <c r="I562" s="54" t="str">
        <f aca="false">IF(A562="",IF(M562="فارغ","","✖ بدون رقم قيد"),IF(COUNTIFS('قيود اليومية'!$A$11:$A$1010,A562,'قيود اليومية'!$M$11:$M$1010,"&lt;&gt;OK",'قيود اليومية'!$M$11:$M$1010,"&lt;&gt;فارغ")&gt;0,"✖ خطأ بالحساب",IF(ROUND(SUMIFS('قيود اليومية'!$G$11:$G$1010,'قيود اليومية'!$A$11:$A$1010,A562)-SUMIFS('قيود اليومية'!$H$11:$H$1010,'قيود اليومية'!$A$11:$A$1010,A562),2)&lt;&gt;0,"✖ غير متوازن","مرحل ✔")))</f>
        <v/>
      </c>
      <c r="J562" s="55" t="str">
        <f aca="false">IF(C562="","",IFERROR(INDEX('شجرة الحسابات'!$E$9:$E$208,MATCH(C562,'شجرة الحسابات'!$A$9:$A$208,0))&amp;"",""))</f>
        <v/>
      </c>
      <c r="K562" s="55" t="str">
        <f aca="false">IF(C562="","",IFERROR(INDEX('شجرة الحسابات'!$I$9:$I$208,MATCH(C562,'شجرة الحسابات'!$A$9:$A$208,0))&amp;"",""))</f>
        <v/>
      </c>
      <c r="L562" s="55" t="str">
        <f aca="false">IF(C562="","",IFERROR(INDEX('شجرة الحسابات'!$C$9:$C$208,MATCH(C562,'شجرة الحسابات'!$A$9:$A$208,0))&amp;"",""))</f>
        <v/>
      </c>
      <c r="M562" s="55" t="str">
        <f aca="false">IF(AND(C562="",G562="",H562=""),"فارغ",IF(ISNA(MATCH(C562,'شجرة الحسابات'!$A$9:$A$208,0)),"حساب غير معرف",IF(L562&lt;&gt;"تحليلي","حساب تجميعي",IF(AND(N(G562)&gt;0,N(H562)&gt;0),"مدين ودائن معاً",IF(N(G562)+N(H562)=0,"بدون قيمة","OK")))))</f>
        <v>فارغ</v>
      </c>
      <c r="N562" s="55" t="str">
        <f aca="false">IF(AND(E562&lt;&gt;"",E562='كشف حساب مشروع'!$C$6,I562="مرحل ✔"),COUNTIFS($E$11:E562,'كشف حساب مشروع'!$C$6,$I$11:I562,"مرحل ✔"),"")</f>
        <v/>
      </c>
      <c r="O562" s="55" t="str">
        <f aca="false">IF(AND(C562&lt;&gt;"",C562='دفتر الأستاذ'!$C$6,I562="مرحل ✔"),COUNTIFS($C$11:C562,'دفتر الأستاذ'!$C$6,$I$11:I562,"مرحل ✔"),"")</f>
        <v/>
      </c>
    </row>
    <row r="563" customFormat="false" ht="15" hidden="false" customHeight="false" outlineLevel="0" collapsed="false">
      <c r="A563" s="49"/>
      <c r="B563" s="50"/>
      <c r="C563" s="49"/>
      <c r="D563" s="51" t="str">
        <f aca="false">IF(C563="","",IFERROR(INDEX('شجرة الحسابات'!$B$9:$B$208,MATCH(C563,'شجرة الحسابات'!$A$9:$A$208,0)),"⚠ حساب غير معرف"))</f>
        <v/>
      </c>
      <c r="E563" s="52"/>
      <c r="F563" s="52"/>
      <c r="G563" s="53"/>
      <c r="H563" s="53"/>
      <c r="I563" s="54" t="str">
        <f aca="false">IF(A563="",IF(M563="فارغ","","✖ بدون رقم قيد"),IF(COUNTIFS('قيود اليومية'!$A$11:$A$1010,A563,'قيود اليومية'!$M$11:$M$1010,"&lt;&gt;OK",'قيود اليومية'!$M$11:$M$1010,"&lt;&gt;فارغ")&gt;0,"✖ خطأ بالحساب",IF(ROUND(SUMIFS('قيود اليومية'!$G$11:$G$1010,'قيود اليومية'!$A$11:$A$1010,A563)-SUMIFS('قيود اليومية'!$H$11:$H$1010,'قيود اليومية'!$A$11:$A$1010,A563),2)&lt;&gt;0,"✖ غير متوازن","مرحل ✔")))</f>
        <v/>
      </c>
      <c r="J563" s="55" t="str">
        <f aca="false">IF(C563="","",IFERROR(INDEX('شجرة الحسابات'!$E$9:$E$208,MATCH(C563,'شجرة الحسابات'!$A$9:$A$208,0))&amp;"",""))</f>
        <v/>
      </c>
      <c r="K563" s="55" t="str">
        <f aca="false">IF(C563="","",IFERROR(INDEX('شجرة الحسابات'!$I$9:$I$208,MATCH(C563,'شجرة الحسابات'!$A$9:$A$208,0))&amp;"",""))</f>
        <v/>
      </c>
      <c r="L563" s="55" t="str">
        <f aca="false">IF(C563="","",IFERROR(INDEX('شجرة الحسابات'!$C$9:$C$208,MATCH(C563,'شجرة الحسابات'!$A$9:$A$208,0))&amp;"",""))</f>
        <v/>
      </c>
      <c r="M563" s="55" t="str">
        <f aca="false">IF(AND(C563="",G563="",H563=""),"فارغ",IF(ISNA(MATCH(C563,'شجرة الحسابات'!$A$9:$A$208,0)),"حساب غير معرف",IF(L563&lt;&gt;"تحليلي","حساب تجميعي",IF(AND(N(G563)&gt;0,N(H563)&gt;0),"مدين ودائن معاً",IF(N(G563)+N(H563)=0,"بدون قيمة","OK")))))</f>
        <v>فارغ</v>
      </c>
      <c r="N563" s="55" t="str">
        <f aca="false">IF(AND(E563&lt;&gt;"",E563='كشف حساب مشروع'!$C$6,I563="مرحل ✔"),COUNTIFS($E$11:E563,'كشف حساب مشروع'!$C$6,$I$11:I563,"مرحل ✔"),"")</f>
        <v/>
      </c>
      <c r="O563" s="55" t="str">
        <f aca="false">IF(AND(C563&lt;&gt;"",C563='دفتر الأستاذ'!$C$6,I563="مرحل ✔"),COUNTIFS($C$11:C563,'دفتر الأستاذ'!$C$6,$I$11:I563,"مرحل ✔"),"")</f>
        <v/>
      </c>
    </row>
    <row r="564" customFormat="false" ht="15" hidden="false" customHeight="false" outlineLevel="0" collapsed="false">
      <c r="A564" s="49"/>
      <c r="B564" s="50"/>
      <c r="C564" s="49"/>
      <c r="D564" s="51" t="str">
        <f aca="false">IF(C564="","",IFERROR(INDEX('شجرة الحسابات'!$B$9:$B$208,MATCH(C564,'شجرة الحسابات'!$A$9:$A$208,0)),"⚠ حساب غير معرف"))</f>
        <v/>
      </c>
      <c r="E564" s="52"/>
      <c r="F564" s="52"/>
      <c r="G564" s="53"/>
      <c r="H564" s="53"/>
      <c r="I564" s="54" t="str">
        <f aca="false">IF(A564="",IF(M564="فارغ","","✖ بدون رقم قيد"),IF(COUNTIFS('قيود اليومية'!$A$11:$A$1010,A564,'قيود اليومية'!$M$11:$M$1010,"&lt;&gt;OK",'قيود اليومية'!$M$11:$M$1010,"&lt;&gt;فارغ")&gt;0,"✖ خطأ بالحساب",IF(ROUND(SUMIFS('قيود اليومية'!$G$11:$G$1010,'قيود اليومية'!$A$11:$A$1010,A564)-SUMIFS('قيود اليومية'!$H$11:$H$1010,'قيود اليومية'!$A$11:$A$1010,A564),2)&lt;&gt;0,"✖ غير متوازن","مرحل ✔")))</f>
        <v/>
      </c>
      <c r="J564" s="55" t="str">
        <f aca="false">IF(C564="","",IFERROR(INDEX('شجرة الحسابات'!$E$9:$E$208,MATCH(C564,'شجرة الحسابات'!$A$9:$A$208,0))&amp;"",""))</f>
        <v/>
      </c>
      <c r="K564" s="55" t="str">
        <f aca="false">IF(C564="","",IFERROR(INDEX('شجرة الحسابات'!$I$9:$I$208,MATCH(C564,'شجرة الحسابات'!$A$9:$A$208,0))&amp;"",""))</f>
        <v/>
      </c>
      <c r="L564" s="55" t="str">
        <f aca="false">IF(C564="","",IFERROR(INDEX('شجرة الحسابات'!$C$9:$C$208,MATCH(C564,'شجرة الحسابات'!$A$9:$A$208,0))&amp;"",""))</f>
        <v/>
      </c>
      <c r="M564" s="55" t="str">
        <f aca="false">IF(AND(C564="",G564="",H564=""),"فارغ",IF(ISNA(MATCH(C564,'شجرة الحسابات'!$A$9:$A$208,0)),"حساب غير معرف",IF(L564&lt;&gt;"تحليلي","حساب تجميعي",IF(AND(N(G564)&gt;0,N(H564)&gt;0),"مدين ودائن معاً",IF(N(G564)+N(H564)=0,"بدون قيمة","OK")))))</f>
        <v>فارغ</v>
      </c>
      <c r="N564" s="55" t="str">
        <f aca="false">IF(AND(E564&lt;&gt;"",E564='كشف حساب مشروع'!$C$6,I564="مرحل ✔"),COUNTIFS($E$11:E564,'كشف حساب مشروع'!$C$6,$I$11:I564,"مرحل ✔"),"")</f>
        <v/>
      </c>
      <c r="O564" s="55" t="str">
        <f aca="false">IF(AND(C564&lt;&gt;"",C564='دفتر الأستاذ'!$C$6,I564="مرحل ✔"),COUNTIFS($C$11:C564,'دفتر الأستاذ'!$C$6,$I$11:I564,"مرحل ✔"),"")</f>
        <v/>
      </c>
    </row>
    <row r="565" customFormat="false" ht="15" hidden="false" customHeight="false" outlineLevel="0" collapsed="false">
      <c r="A565" s="49"/>
      <c r="B565" s="50"/>
      <c r="C565" s="49"/>
      <c r="D565" s="51" t="str">
        <f aca="false">IF(C565="","",IFERROR(INDEX('شجرة الحسابات'!$B$9:$B$208,MATCH(C565,'شجرة الحسابات'!$A$9:$A$208,0)),"⚠ حساب غير معرف"))</f>
        <v/>
      </c>
      <c r="E565" s="52"/>
      <c r="F565" s="52"/>
      <c r="G565" s="53"/>
      <c r="H565" s="53"/>
      <c r="I565" s="54" t="str">
        <f aca="false">IF(A565="",IF(M565="فارغ","","✖ بدون رقم قيد"),IF(COUNTIFS('قيود اليومية'!$A$11:$A$1010,A565,'قيود اليومية'!$M$11:$M$1010,"&lt;&gt;OK",'قيود اليومية'!$M$11:$M$1010,"&lt;&gt;فارغ")&gt;0,"✖ خطأ بالحساب",IF(ROUND(SUMIFS('قيود اليومية'!$G$11:$G$1010,'قيود اليومية'!$A$11:$A$1010,A565)-SUMIFS('قيود اليومية'!$H$11:$H$1010,'قيود اليومية'!$A$11:$A$1010,A565),2)&lt;&gt;0,"✖ غير متوازن","مرحل ✔")))</f>
        <v/>
      </c>
      <c r="J565" s="55" t="str">
        <f aca="false">IF(C565="","",IFERROR(INDEX('شجرة الحسابات'!$E$9:$E$208,MATCH(C565,'شجرة الحسابات'!$A$9:$A$208,0))&amp;"",""))</f>
        <v/>
      </c>
      <c r="K565" s="55" t="str">
        <f aca="false">IF(C565="","",IFERROR(INDEX('شجرة الحسابات'!$I$9:$I$208,MATCH(C565,'شجرة الحسابات'!$A$9:$A$208,0))&amp;"",""))</f>
        <v/>
      </c>
      <c r="L565" s="55" t="str">
        <f aca="false">IF(C565="","",IFERROR(INDEX('شجرة الحسابات'!$C$9:$C$208,MATCH(C565,'شجرة الحسابات'!$A$9:$A$208,0))&amp;"",""))</f>
        <v/>
      </c>
      <c r="M565" s="55" t="str">
        <f aca="false">IF(AND(C565="",G565="",H565=""),"فارغ",IF(ISNA(MATCH(C565,'شجرة الحسابات'!$A$9:$A$208,0)),"حساب غير معرف",IF(L565&lt;&gt;"تحليلي","حساب تجميعي",IF(AND(N(G565)&gt;0,N(H565)&gt;0),"مدين ودائن معاً",IF(N(G565)+N(H565)=0,"بدون قيمة","OK")))))</f>
        <v>فارغ</v>
      </c>
      <c r="N565" s="55" t="str">
        <f aca="false">IF(AND(E565&lt;&gt;"",E565='كشف حساب مشروع'!$C$6,I565="مرحل ✔"),COUNTIFS($E$11:E565,'كشف حساب مشروع'!$C$6,$I$11:I565,"مرحل ✔"),"")</f>
        <v/>
      </c>
      <c r="O565" s="55" t="str">
        <f aca="false">IF(AND(C565&lt;&gt;"",C565='دفتر الأستاذ'!$C$6,I565="مرحل ✔"),COUNTIFS($C$11:C565,'دفتر الأستاذ'!$C$6,$I$11:I565,"مرحل ✔"),"")</f>
        <v/>
      </c>
    </row>
    <row r="566" customFormat="false" ht="15" hidden="false" customHeight="false" outlineLevel="0" collapsed="false">
      <c r="A566" s="49"/>
      <c r="B566" s="50"/>
      <c r="C566" s="49"/>
      <c r="D566" s="51" t="str">
        <f aca="false">IF(C566="","",IFERROR(INDEX('شجرة الحسابات'!$B$9:$B$208,MATCH(C566,'شجرة الحسابات'!$A$9:$A$208,0)),"⚠ حساب غير معرف"))</f>
        <v/>
      </c>
      <c r="E566" s="52"/>
      <c r="F566" s="52"/>
      <c r="G566" s="53"/>
      <c r="H566" s="53"/>
      <c r="I566" s="54" t="str">
        <f aca="false">IF(A566="",IF(M566="فارغ","","✖ بدون رقم قيد"),IF(COUNTIFS('قيود اليومية'!$A$11:$A$1010,A566,'قيود اليومية'!$M$11:$M$1010,"&lt;&gt;OK",'قيود اليومية'!$M$11:$M$1010,"&lt;&gt;فارغ")&gt;0,"✖ خطأ بالحساب",IF(ROUND(SUMIFS('قيود اليومية'!$G$11:$G$1010,'قيود اليومية'!$A$11:$A$1010,A566)-SUMIFS('قيود اليومية'!$H$11:$H$1010,'قيود اليومية'!$A$11:$A$1010,A566),2)&lt;&gt;0,"✖ غير متوازن","مرحل ✔")))</f>
        <v/>
      </c>
      <c r="J566" s="55" t="str">
        <f aca="false">IF(C566="","",IFERROR(INDEX('شجرة الحسابات'!$E$9:$E$208,MATCH(C566,'شجرة الحسابات'!$A$9:$A$208,0))&amp;"",""))</f>
        <v/>
      </c>
      <c r="K566" s="55" t="str">
        <f aca="false">IF(C566="","",IFERROR(INDEX('شجرة الحسابات'!$I$9:$I$208,MATCH(C566,'شجرة الحسابات'!$A$9:$A$208,0))&amp;"",""))</f>
        <v/>
      </c>
      <c r="L566" s="55" t="str">
        <f aca="false">IF(C566="","",IFERROR(INDEX('شجرة الحسابات'!$C$9:$C$208,MATCH(C566,'شجرة الحسابات'!$A$9:$A$208,0))&amp;"",""))</f>
        <v/>
      </c>
      <c r="M566" s="55" t="str">
        <f aca="false">IF(AND(C566="",G566="",H566=""),"فارغ",IF(ISNA(MATCH(C566,'شجرة الحسابات'!$A$9:$A$208,0)),"حساب غير معرف",IF(L566&lt;&gt;"تحليلي","حساب تجميعي",IF(AND(N(G566)&gt;0,N(H566)&gt;0),"مدين ودائن معاً",IF(N(G566)+N(H566)=0,"بدون قيمة","OK")))))</f>
        <v>فارغ</v>
      </c>
      <c r="N566" s="55" t="str">
        <f aca="false">IF(AND(E566&lt;&gt;"",E566='كشف حساب مشروع'!$C$6,I566="مرحل ✔"),COUNTIFS($E$11:E566,'كشف حساب مشروع'!$C$6,$I$11:I566,"مرحل ✔"),"")</f>
        <v/>
      </c>
      <c r="O566" s="55" t="str">
        <f aca="false">IF(AND(C566&lt;&gt;"",C566='دفتر الأستاذ'!$C$6,I566="مرحل ✔"),COUNTIFS($C$11:C566,'دفتر الأستاذ'!$C$6,$I$11:I566,"مرحل ✔"),"")</f>
        <v/>
      </c>
    </row>
    <row r="567" customFormat="false" ht="15" hidden="false" customHeight="false" outlineLevel="0" collapsed="false">
      <c r="A567" s="49"/>
      <c r="B567" s="50"/>
      <c r="C567" s="49"/>
      <c r="D567" s="51" t="str">
        <f aca="false">IF(C567="","",IFERROR(INDEX('شجرة الحسابات'!$B$9:$B$208,MATCH(C567,'شجرة الحسابات'!$A$9:$A$208,0)),"⚠ حساب غير معرف"))</f>
        <v/>
      </c>
      <c r="E567" s="52"/>
      <c r="F567" s="52"/>
      <c r="G567" s="53"/>
      <c r="H567" s="53"/>
      <c r="I567" s="54" t="str">
        <f aca="false">IF(A567="",IF(M567="فارغ","","✖ بدون رقم قيد"),IF(COUNTIFS('قيود اليومية'!$A$11:$A$1010,A567,'قيود اليومية'!$M$11:$M$1010,"&lt;&gt;OK",'قيود اليومية'!$M$11:$M$1010,"&lt;&gt;فارغ")&gt;0,"✖ خطأ بالحساب",IF(ROUND(SUMIFS('قيود اليومية'!$G$11:$G$1010,'قيود اليومية'!$A$11:$A$1010,A567)-SUMIFS('قيود اليومية'!$H$11:$H$1010,'قيود اليومية'!$A$11:$A$1010,A567),2)&lt;&gt;0,"✖ غير متوازن","مرحل ✔")))</f>
        <v/>
      </c>
      <c r="J567" s="55" t="str">
        <f aca="false">IF(C567="","",IFERROR(INDEX('شجرة الحسابات'!$E$9:$E$208,MATCH(C567,'شجرة الحسابات'!$A$9:$A$208,0))&amp;"",""))</f>
        <v/>
      </c>
      <c r="K567" s="55" t="str">
        <f aca="false">IF(C567="","",IFERROR(INDEX('شجرة الحسابات'!$I$9:$I$208,MATCH(C567,'شجرة الحسابات'!$A$9:$A$208,0))&amp;"",""))</f>
        <v/>
      </c>
      <c r="L567" s="55" t="str">
        <f aca="false">IF(C567="","",IFERROR(INDEX('شجرة الحسابات'!$C$9:$C$208,MATCH(C567,'شجرة الحسابات'!$A$9:$A$208,0))&amp;"",""))</f>
        <v/>
      </c>
      <c r="M567" s="55" t="str">
        <f aca="false">IF(AND(C567="",G567="",H567=""),"فارغ",IF(ISNA(MATCH(C567,'شجرة الحسابات'!$A$9:$A$208,0)),"حساب غير معرف",IF(L567&lt;&gt;"تحليلي","حساب تجميعي",IF(AND(N(G567)&gt;0,N(H567)&gt;0),"مدين ودائن معاً",IF(N(G567)+N(H567)=0,"بدون قيمة","OK")))))</f>
        <v>فارغ</v>
      </c>
      <c r="N567" s="55" t="str">
        <f aca="false">IF(AND(E567&lt;&gt;"",E567='كشف حساب مشروع'!$C$6,I567="مرحل ✔"),COUNTIFS($E$11:E567,'كشف حساب مشروع'!$C$6,$I$11:I567,"مرحل ✔"),"")</f>
        <v/>
      </c>
      <c r="O567" s="55" t="str">
        <f aca="false">IF(AND(C567&lt;&gt;"",C567='دفتر الأستاذ'!$C$6,I567="مرحل ✔"),COUNTIFS($C$11:C567,'دفتر الأستاذ'!$C$6,$I$11:I567,"مرحل ✔"),"")</f>
        <v/>
      </c>
    </row>
    <row r="568" customFormat="false" ht="15" hidden="false" customHeight="false" outlineLevel="0" collapsed="false">
      <c r="A568" s="49"/>
      <c r="B568" s="50"/>
      <c r="C568" s="49"/>
      <c r="D568" s="51" t="str">
        <f aca="false">IF(C568="","",IFERROR(INDEX('شجرة الحسابات'!$B$9:$B$208,MATCH(C568,'شجرة الحسابات'!$A$9:$A$208,0)),"⚠ حساب غير معرف"))</f>
        <v/>
      </c>
      <c r="E568" s="52"/>
      <c r="F568" s="52"/>
      <c r="G568" s="53"/>
      <c r="H568" s="53"/>
      <c r="I568" s="54" t="str">
        <f aca="false">IF(A568="",IF(M568="فارغ","","✖ بدون رقم قيد"),IF(COUNTIFS('قيود اليومية'!$A$11:$A$1010,A568,'قيود اليومية'!$M$11:$M$1010,"&lt;&gt;OK",'قيود اليومية'!$M$11:$M$1010,"&lt;&gt;فارغ")&gt;0,"✖ خطأ بالحساب",IF(ROUND(SUMIFS('قيود اليومية'!$G$11:$G$1010,'قيود اليومية'!$A$11:$A$1010,A568)-SUMIFS('قيود اليومية'!$H$11:$H$1010,'قيود اليومية'!$A$11:$A$1010,A568),2)&lt;&gt;0,"✖ غير متوازن","مرحل ✔")))</f>
        <v/>
      </c>
      <c r="J568" s="55" t="str">
        <f aca="false">IF(C568="","",IFERROR(INDEX('شجرة الحسابات'!$E$9:$E$208,MATCH(C568,'شجرة الحسابات'!$A$9:$A$208,0))&amp;"",""))</f>
        <v/>
      </c>
      <c r="K568" s="55" t="str">
        <f aca="false">IF(C568="","",IFERROR(INDEX('شجرة الحسابات'!$I$9:$I$208,MATCH(C568,'شجرة الحسابات'!$A$9:$A$208,0))&amp;"",""))</f>
        <v/>
      </c>
      <c r="L568" s="55" t="str">
        <f aca="false">IF(C568="","",IFERROR(INDEX('شجرة الحسابات'!$C$9:$C$208,MATCH(C568,'شجرة الحسابات'!$A$9:$A$208,0))&amp;"",""))</f>
        <v/>
      </c>
      <c r="M568" s="55" t="str">
        <f aca="false">IF(AND(C568="",G568="",H568=""),"فارغ",IF(ISNA(MATCH(C568,'شجرة الحسابات'!$A$9:$A$208,0)),"حساب غير معرف",IF(L568&lt;&gt;"تحليلي","حساب تجميعي",IF(AND(N(G568)&gt;0,N(H568)&gt;0),"مدين ودائن معاً",IF(N(G568)+N(H568)=0,"بدون قيمة","OK")))))</f>
        <v>فارغ</v>
      </c>
      <c r="N568" s="55" t="str">
        <f aca="false">IF(AND(E568&lt;&gt;"",E568='كشف حساب مشروع'!$C$6,I568="مرحل ✔"),COUNTIFS($E$11:E568,'كشف حساب مشروع'!$C$6,$I$11:I568,"مرحل ✔"),"")</f>
        <v/>
      </c>
      <c r="O568" s="55" t="str">
        <f aca="false">IF(AND(C568&lt;&gt;"",C568='دفتر الأستاذ'!$C$6,I568="مرحل ✔"),COUNTIFS($C$11:C568,'دفتر الأستاذ'!$C$6,$I$11:I568,"مرحل ✔"),"")</f>
        <v/>
      </c>
    </row>
    <row r="569" customFormat="false" ht="15" hidden="false" customHeight="false" outlineLevel="0" collapsed="false">
      <c r="A569" s="49"/>
      <c r="B569" s="50"/>
      <c r="C569" s="49"/>
      <c r="D569" s="51" t="str">
        <f aca="false">IF(C569="","",IFERROR(INDEX('شجرة الحسابات'!$B$9:$B$208,MATCH(C569,'شجرة الحسابات'!$A$9:$A$208,0)),"⚠ حساب غير معرف"))</f>
        <v/>
      </c>
      <c r="E569" s="52"/>
      <c r="F569" s="52"/>
      <c r="G569" s="53"/>
      <c r="H569" s="53"/>
      <c r="I569" s="54" t="str">
        <f aca="false">IF(A569="",IF(M569="فارغ","","✖ بدون رقم قيد"),IF(COUNTIFS('قيود اليومية'!$A$11:$A$1010,A569,'قيود اليومية'!$M$11:$M$1010,"&lt;&gt;OK",'قيود اليومية'!$M$11:$M$1010,"&lt;&gt;فارغ")&gt;0,"✖ خطأ بالحساب",IF(ROUND(SUMIFS('قيود اليومية'!$G$11:$G$1010,'قيود اليومية'!$A$11:$A$1010,A569)-SUMIFS('قيود اليومية'!$H$11:$H$1010,'قيود اليومية'!$A$11:$A$1010,A569),2)&lt;&gt;0,"✖ غير متوازن","مرحل ✔")))</f>
        <v/>
      </c>
      <c r="J569" s="55" t="str">
        <f aca="false">IF(C569="","",IFERROR(INDEX('شجرة الحسابات'!$E$9:$E$208,MATCH(C569,'شجرة الحسابات'!$A$9:$A$208,0))&amp;"",""))</f>
        <v/>
      </c>
      <c r="K569" s="55" t="str">
        <f aca="false">IF(C569="","",IFERROR(INDEX('شجرة الحسابات'!$I$9:$I$208,MATCH(C569,'شجرة الحسابات'!$A$9:$A$208,0))&amp;"",""))</f>
        <v/>
      </c>
      <c r="L569" s="55" t="str">
        <f aca="false">IF(C569="","",IFERROR(INDEX('شجرة الحسابات'!$C$9:$C$208,MATCH(C569,'شجرة الحسابات'!$A$9:$A$208,0))&amp;"",""))</f>
        <v/>
      </c>
      <c r="M569" s="55" t="str">
        <f aca="false">IF(AND(C569="",G569="",H569=""),"فارغ",IF(ISNA(MATCH(C569,'شجرة الحسابات'!$A$9:$A$208,0)),"حساب غير معرف",IF(L569&lt;&gt;"تحليلي","حساب تجميعي",IF(AND(N(G569)&gt;0,N(H569)&gt;0),"مدين ودائن معاً",IF(N(G569)+N(H569)=0,"بدون قيمة","OK")))))</f>
        <v>فارغ</v>
      </c>
      <c r="N569" s="55" t="str">
        <f aca="false">IF(AND(E569&lt;&gt;"",E569='كشف حساب مشروع'!$C$6,I569="مرحل ✔"),COUNTIFS($E$11:E569,'كشف حساب مشروع'!$C$6,$I$11:I569,"مرحل ✔"),"")</f>
        <v/>
      </c>
      <c r="O569" s="55" t="str">
        <f aca="false">IF(AND(C569&lt;&gt;"",C569='دفتر الأستاذ'!$C$6,I569="مرحل ✔"),COUNTIFS($C$11:C569,'دفتر الأستاذ'!$C$6,$I$11:I569,"مرحل ✔"),"")</f>
        <v/>
      </c>
    </row>
    <row r="570" customFormat="false" ht="15" hidden="false" customHeight="false" outlineLevel="0" collapsed="false">
      <c r="A570" s="49"/>
      <c r="B570" s="50"/>
      <c r="C570" s="49"/>
      <c r="D570" s="51" t="str">
        <f aca="false">IF(C570="","",IFERROR(INDEX('شجرة الحسابات'!$B$9:$B$208,MATCH(C570,'شجرة الحسابات'!$A$9:$A$208,0)),"⚠ حساب غير معرف"))</f>
        <v/>
      </c>
      <c r="E570" s="52"/>
      <c r="F570" s="52"/>
      <c r="G570" s="53"/>
      <c r="H570" s="53"/>
      <c r="I570" s="54" t="str">
        <f aca="false">IF(A570="",IF(M570="فارغ","","✖ بدون رقم قيد"),IF(COUNTIFS('قيود اليومية'!$A$11:$A$1010,A570,'قيود اليومية'!$M$11:$M$1010,"&lt;&gt;OK",'قيود اليومية'!$M$11:$M$1010,"&lt;&gt;فارغ")&gt;0,"✖ خطأ بالحساب",IF(ROUND(SUMIFS('قيود اليومية'!$G$11:$G$1010,'قيود اليومية'!$A$11:$A$1010,A570)-SUMIFS('قيود اليومية'!$H$11:$H$1010,'قيود اليومية'!$A$11:$A$1010,A570),2)&lt;&gt;0,"✖ غير متوازن","مرحل ✔")))</f>
        <v/>
      </c>
      <c r="J570" s="55" t="str">
        <f aca="false">IF(C570="","",IFERROR(INDEX('شجرة الحسابات'!$E$9:$E$208,MATCH(C570,'شجرة الحسابات'!$A$9:$A$208,0))&amp;"",""))</f>
        <v/>
      </c>
      <c r="K570" s="55" t="str">
        <f aca="false">IF(C570="","",IFERROR(INDEX('شجرة الحسابات'!$I$9:$I$208,MATCH(C570,'شجرة الحسابات'!$A$9:$A$208,0))&amp;"",""))</f>
        <v/>
      </c>
      <c r="L570" s="55" t="str">
        <f aca="false">IF(C570="","",IFERROR(INDEX('شجرة الحسابات'!$C$9:$C$208,MATCH(C570,'شجرة الحسابات'!$A$9:$A$208,0))&amp;"",""))</f>
        <v/>
      </c>
      <c r="M570" s="55" t="str">
        <f aca="false">IF(AND(C570="",G570="",H570=""),"فارغ",IF(ISNA(MATCH(C570,'شجرة الحسابات'!$A$9:$A$208,0)),"حساب غير معرف",IF(L570&lt;&gt;"تحليلي","حساب تجميعي",IF(AND(N(G570)&gt;0,N(H570)&gt;0),"مدين ودائن معاً",IF(N(G570)+N(H570)=0,"بدون قيمة","OK")))))</f>
        <v>فارغ</v>
      </c>
      <c r="N570" s="55" t="str">
        <f aca="false">IF(AND(E570&lt;&gt;"",E570='كشف حساب مشروع'!$C$6,I570="مرحل ✔"),COUNTIFS($E$11:E570,'كشف حساب مشروع'!$C$6,$I$11:I570,"مرحل ✔"),"")</f>
        <v/>
      </c>
      <c r="O570" s="55" t="str">
        <f aca="false">IF(AND(C570&lt;&gt;"",C570='دفتر الأستاذ'!$C$6,I570="مرحل ✔"),COUNTIFS($C$11:C570,'دفتر الأستاذ'!$C$6,$I$11:I570,"مرحل ✔"),"")</f>
        <v/>
      </c>
    </row>
    <row r="571" customFormat="false" ht="15" hidden="false" customHeight="false" outlineLevel="0" collapsed="false">
      <c r="A571" s="49"/>
      <c r="B571" s="50"/>
      <c r="C571" s="49"/>
      <c r="D571" s="51" t="str">
        <f aca="false">IF(C571="","",IFERROR(INDEX('شجرة الحسابات'!$B$9:$B$208,MATCH(C571,'شجرة الحسابات'!$A$9:$A$208,0)),"⚠ حساب غير معرف"))</f>
        <v/>
      </c>
      <c r="E571" s="52"/>
      <c r="F571" s="52"/>
      <c r="G571" s="53"/>
      <c r="H571" s="53"/>
      <c r="I571" s="54" t="str">
        <f aca="false">IF(A571="",IF(M571="فارغ","","✖ بدون رقم قيد"),IF(COUNTIFS('قيود اليومية'!$A$11:$A$1010,A571,'قيود اليومية'!$M$11:$M$1010,"&lt;&gt;OK",'قيود اليومية'!$M$11:$M$1010,"&lt;&gt;فارغ")&gt;0,"✖ خطأ بالحساب",IF(ROUND(SUMIFS('قيود اليومية'!$G$11:$G$1010,'قيود اليومية'!$A$11:$A$1010,A571)-SUMIFS('قيود اليومية'!$H$11:$H$1010,'قيود اليومية'!$A$11:$A$1010,A571),2)&lt;&gt;0,"✖ غير متوازن","مرحل ✔")))</f>
        <v/>
      </c>
      <c r="J571" s="55" t="str">
        <f aca="false">IF(C571="","",IFERROR(INDEX('شجرة الحسابات'!$E$9:$E$208,MATCH(C571,'شجرة الحسابات'!$A$9:$A$208,0))&amp;"",""))</f>
        <v/>
      </c>
      <c r="K571" s="55" t="str">
        <f aca="false">IF(C571="","",IFERROR(INDEX('شجرة الحسابات'!$I$9:$I$208,MATCH(C571,'شجرة الحسابات'!$A$9:$A$208,0))&amp;"",""))</f>
        <v/>
      </c>
      <c r="L571" s="55" t="str">
        <f aca="false">IF(C571="","",IFERROR(INDEX('شجرة الحسابات'!$C$9:$C$208,MATCH(C571,'شجرة الحسابات'!$A$9:$A$208,0))&amp;"",""))</f>
        <v/>
      </c>
      <c r="M571" s="55" t="str">
        <f aca="false">IF(AND(C571="",G571="",H571=""),"فارغ",IF(ISNA(MATCH(C571,'شجرة الحسابات'!$A$9:$A$208,0)),"حساب غير معرف",IF(L571&lt;&gt;"تحليلي","حساب تجميعي",IF(AND(N(G571)&gt;0,N(H571)&gt;0),"مدين ودائن معاً",IF(N(G571)+N(H571)=0,"بدون قيمة","OK")))))</f>
        <v>فارغ</v>
      </c>
      <c r="N571" s="55" t="str">
        <f aca="false">IF(AND(E571&lt;&gt;"",E571='كشف حساب مشروع'!$C$6,I571="مرحل ✔"),COUNTIFS($E$11:E571,'كشف حساب مشروع'!$C$6,$I$11:I571,"مرحل ✔"),"")</f>
        <v/>
      </c>
      <c r="O571" s="55" t="str">
        <f aca="false">IF(AND(C571&lt;&gt;"",C571='دفتر الأستاذ'!$C$6,I571="مرحل ✔"),COUNTIFS($C$11:C571,'دفتر الأستاذ'!$C$6,$I$11:I571,"مرحل ✔"),"")</f>
        <v/>
      </c>
    </row>
    <row r="572" customFormat="false" ht="15" hidden="false" customHeight="false" outlineLevel="0" collapsed="false">
      <c r="A572" s="49"/>
      <c r="B572" s="50"/>
      <c r="C572" s="49"/>
      <c r="D572" s="51" t="str">
        <f aca="false">IF(C572="","",IFERROR(INDEX('شجرة الحسابات'!$B$9:$B$208,MATCH(C572,'شجرة الحسابات'!$A$9:$A$208,0)),"⚠ حساب غير معرف"))</f>
        <v/>
      </c>
      <c r="E572" s="52"/>
      <c r="F572" s="52"/>
      <c r="G572" s="53"/>
      <c r="H572" s="53"/>
      <c r="I572" s="54" t="str">
        <f aca="false">IF(A572="",IF(M572="فارغ","","✖ بدون رقم قيد"),IF(COUNTIFS('قيود اليومية'!$A$11:$A$1010,A572,'قيود اليومية'!$M$11:$M$1010,"&lt;&gt;OK",'قيود اليومية'!$M$11:$M$1010,"&lt;&gt;فارغ")&gt;0,"✖ خطأ بالحساب",IF(ROUND(SUMIFS('قيود اليومية'!$G$11:$G$1010,'قيود اليومية'!$A$11:$A$1010,A572)-SUMIFS('قيود اليومية'!$H$11:$H$1010,'قيود اليومية'!$A$11:$A$1010,A572),2)&lt;&gt;0,"✖ غير متوازن","مرحل ✔")))</f>
        <v/>
      </c>
      <c r="J572" s="55" t="str">
        <f aca="false">IF(C572="","",IFERROR(INDEX('شجرة الحسابات'!$E$9:$E$208,MATCH(C572,'شجرة الحسابات'!$A$9:$A$208,0))&amp;"",""))</f>
        <v/>
      </c>
      <c r="K572" s="55" t="str">
        <f aca="false">IF(C572="","",IFERROR(INDEX('شجرة الحسابات'!$I$9:$I$208,MATCH(C572,'شجرة الحسابات'!$A$9:$A$208,0))&amp;"",""))</f>
        <v/>
      </c>
      <c r="L572" s="55" t="str">
        <f aca="false">IF(C572="","",IFERROR(INDEX('شجرة الحسابات'!$C$9:$C$208,MATCH(C572,'شجرة الحسابات'!$A$9:$A$208,0))&amp;"",""))</f>
        <v/>
      </c>
      <c r="M572" s="55" t="str">
        <f aca="false">IF(AND(C572="",G572="",H572=""),"فارغ",IF(ISNA(MATCH(C572,'شجرة الحسابات'!$A$9:$A$208,0)),"حساب غير معرف",IF(L572&lt;&gt;"تحليلي","حساب تجميعي",IF(AND(N(G572)&gt;0,N(H572)&gt;0),"مدين ودائن معاً",IF(N(G572)+N(H572)=0,"بدون قيمة","OK")))))</f>
        <v>فارغ</v>
      </c>
      <c r="N572" s="55" t="str">
        <f aca="false">IF(AND(E572&lt;&gt;"",E572='كشف حساب مشروع'!$C$6,I572="مرحل ✔"),COUNTIFS($E$11:E572,'كشف حساب مشروع'!$C$6,$I$11:I572,"مرحل ✔"),"")</f>
        <v/>
      </c>
      <c r="O572" s="55" t="str">
        <f aca="false">IF(AND(C572&lt;&gt;"",C572='دفتر الأستاذ'!$C$6,I572="مرحل ✔"),COUNTIFS($C$11:C572,'دفتر الأستاذ'!$C$6,$I$11:I572,"مرحل ✔"),"")</f>
        <v/>
      </c>
    </row>
    <row r="573" customFormat="false" ht="15" hidden="false" customHeight="false" outlineLevel="0" collapsed="false">
      <c r="A573" s="49"/>
      <c r="B573" s="50"/>
      <c r="C573" s="49"/>
      <c r="D573" s="51" t="str">
        <f aca="false">IF(C573="","",IFERROR(INDEX('شجرة الحسابات'!$B$9:$B$208,MATCH(C573,'شجرة الحسابات'!$A$9:$A$208,0)),"⚠ حساب غير معرف"))</f>
        <v/>
      </c>
      <c r="E573" s="52"/>
      <c r="F573" s="52"/>
      <c r="G573" s="53"/>
      <c r="H573" s="53"/>
      <c r="I573" s="54" t="str">
        <f aca="false">IF(A573="",IF(M573="فارغ","","✖ بدون رقم قيد"),IF(COUNTIFS('قيود اليومية'!$A$11:$A$1010,A573,'قيود اليومية'!$M$11:$M$1010,"&lt;&gt;OK",'قيود اليومية'!$M$11:$M$1010,"&lt;&gt;فارغ")&gt;0,"✖ خطأ بالحساب",IF(ROUND(SUMIFS('قيود اليومية'!$G$11:$G$1010,'قيود اليومية'!$A$11:$A$1010,A573)-SUMIFS('قيود اليومية'!$H$11:$H$1010,'قيود اليومية'!$A$11:$A$1010,A573),2)&lt;&gt;0,"✖ غير متوازن","مرحل ✔")))</f>
        <v/>
      </c>
      <c r="J573" s="55" t="str">
        <f aca="false">IF(C573="","",IFERROR(INDEX('شجرة الحسابات'!$E$9:$E$208,MATCH(C573,'شجرة الحسابات'!$A$9:$A$208,0))&amp;"",""))</f>
        <v/>
      </c>
      <c r="K573" s="55" t="str">
        <f aca="false">IF(C573="","",IFERROR(INDEX('شجرة الحسابات'!$I$9:$I$208,MATCH(C573,'شجرة الحسابات'!$A$9:$A$208,0))&amp;"",""))</f>
        <v/>
      </c>
      <c r="L573" s="55" t="str">
        <f aca="false">IF(C573="","",IFERROR(INDEX('شجرة الحسابات'!$C$9:$C$208,MATCH(C573,'شجرة الحسابات'!$A$9:$A$208,0))&amp;"",""))</f>
        <v/>
      </c>
      <c r="M573" s="55" t="str">
        <f aca="false">IF(AND(C573="",G573="",H573=""),"فارغ",IF(ISNA(MATCH(C573,'شجرة الحسابات'!$A$9:$A$208,0)),"حساب غير معرف",IF(L573&lt;&gt;"تحليلي","حساب تجميعي",IF(AND(N(G573)&gt;0,N(H573)&gt;0),"مدين ودائن معاً",IF(N(G573)+N(H573)=0,"بدون قيمة","OK")))))</f>
        <v>فارغ</v>
      </c>
      <c r="N573" s="55" t="str">
        <f aca="false">IF(AND(E573&lt;&gt;"",E573='كشف حساب مشروع'!$C$6,I573="مرحل ✔"),COUNTIFS($E$11:E573,'كشف حساب مشروع'!$C$6,$I$11:I573,"مرحل ✔"),"")</f>
        <v/>
      </c>
      <c r="O573" s="55" t="str">
        <f aca="false">IF(AND(C573&lt;&gt;"",C573='دفتر الأستاذ'!$C$6,I573="مرحل ✔"),COUNTIFS($C$11:C573,'دفتر الأستاذ'!$C$6,$I$11:I573,"مرحل ✔"),"")</f>
        <v/>
      </c>
    </row>
    <row r="574" customFormat="false" ht="15" hidden="false" customHeight="false" outlineLevel="0" collapsed="false">
      <c r="A574" s="49"/>
      <c r="B574" s="50"/>
      <c r="C574" s="49"/>
      <c r="D574" s="51" t="str">
        <f aca="false">IF(C574="","",IFERROR(INDEX('شجرة الحسابات'!$B$9:$B$208,MATCH(C574,'شجرة الحسابات'!$A$9:$A$208,0)),"⚠ حساب غير معرف"))</f>
        <v/>
      </c>
      <c r="E574" s="52"/>
      <c r="F574" s="52"/>
      <c r="G574" s="53"/>
      <c r="H574" s="53"/>
      <c r="I574" s="54" t="str">
        <f aca="false">IF(A574="",IF(M574="فارغ","","✖ بدون رقم قيد"),IF(COUNTIFS('قيود اليومية'!$A$11:$A$1010,A574,'قيود اليومية'!$M$11:$M$1010,"&lt;&gt;OK",'قيود اليومية'!$M$11:$M$1010,"&lt;&gt;فارغ")&gt;0,"✖ خطأ بالحساب",IF(ROUND(SUMIFS('قيود اليومية'!$G$11:$G$1010,'قيود اليومية'!$A$11:$A$1010,A574)-SUMIFS('قيود اليومية'!$H$11:$H$1010,'قيود اليومية'!$A$11:$A$1010,A574),2)&lt;&gt;0,"✖ غير متوازن","مرحل ✔")))</f>
        <v/>
      </c>
      <c r="J574" s="55" t="str">
        <f aca="false">IF(C574="","",IFERROR(INDEX('شجرة الحسابات'!$E$9:$E$208,MATCH(C574,'شجرة الحسابات'!$A$9:$A$208,0))&amp;"",""))</f>
        <v/>
      </c>
      <c r="K574" s="55" t="str">
        <f aca="false">IF(C574="","",IFERROR(INDEX('شجرة الحسابات'!$I$9:$I$208,MATCH(C574,'شجرة الحسابات'!$A$9:$A$208,0))&amp;"",""))</f>
        <v/>
      </c>
      <c r="L574" s="55" t="str">
        <f aca="false">IF(C574="","",IFERROR(INDEX('شجرة الحسابات'!$C$9:$C$208,MATCH(C574,'شجرة الحسابات'!$A$9:$A$208,0))&amp;"",""))</f>
        <v/>
      </c>
      <c r="M574" s="55" t="str">
        <f aca="false">IF(AND(C574="",G574="",H574=""),"فارغ",IF(ISNA(MATCH(C574,'شجرة الحسابات'!$A$9:$A$208,0)),"حساب غير معرف",IF(L574&lt;&gt;"تحليلي","حساب تجميعي",IF(AND(N(G574)&gt;0,N(H574)&gt;0),"مدين ودائن معاً",IF(N(G574)+N(H574)=0,"بدون قيمة","OK")))))</f>
        <v>فارغ</v>
      </c>
      <c r="N574" s="55" t="str">
        <f aca="false">IF(AND(E574&lt;&gt;"",E574='كشف حساب مشروع'!$C$6,I574="مرحل ✔"),COUNTIFS($E$11:E574,'كشف حساب مشروع'!$C$6,$I$11:I574,"مرحل ✔"),"")</f>
        <v/>
      </c>
      <c r="O574" s="55" t="str">
        <f aca="false">IF(AND(C574&lt;&gt;"",C574='دفتر الأستاذ'!$C$6,I574="مرحل ✔"),COUNTIFS($C$11:C574,'دفتر الأستاذ'!$C$6,$I$11:I574,"مرحل ✔"),"")</f>
        <v/>
      </c>
    </row>
    <row r="575" customFormat="false" ht="15" hidden="false" customHeight="false" outlineLevel="0" collapsed="false">
      <c r="A575" s="49"/>
      <c r="B575" s="50"/>
      <c r="C575" s="49"/>
      <c r="D575" s="51" t="str">
        <f aca="false">IF(C575="","",IFERROR(INDEX('شجرة الحسابات'!$B$9:$B$208,MATCH(C575,'شجرة الحسابات'!$A$9:$A$208,0)),"⚠ حساب غير معرف"))</f>
        <v/>
      </c>
      <c r="E575" s="52"/>
      <c r="F575" s="52"/>
      <c r="G575" s="53"/>
      <c r="H575" s="53"/>
      <c r="I575" s="54" t="str">
        <f aca="false">IF(A575="",IF(M575="فارغ","","✖ بدون رقم قيد"),IF(COUNTIFS('قيود اليومية'!$A$11:$A$1010,A575,'قيود اليومية'!$M$11:$M$1010,"&lt;&gt;OK",'قيود اليومية'!$M$11:$M$1010,"&lt;&gt;فارغ")&gt;0,"✖ خطأ بالحساب",IF(ROUND(SUMIFS('قيود اليومية'!$G$11:$G$1010,'قيود اليومية'!$A$11:$A$1010,A575)-SUMIFS('قيود اليومية'!$H$11:$H$1010,'قيود اليومية'!$A$11:$A$1010,A575),2)&lt;&gt;0,"✖ غير متوازن","مرحل ✔")))</f>
        <v/>
      </c>
      <c r="J575" s="55" t="str">
        <f aca="false">IF(C575="","",IFERROR(INDEX('شجرة الحسابات'!$E$9:$E$208,MATCH(C575,'شجرة الحسابات'!$A$9:$A$208,0))&amp;"",""))</f>
        <v/>
      </c>
      <c r="K575" s="55" t="str">
        <f aca="false">IF(C575="","",IFERROR(INDEX('شجرة الحسابات'!$I$9:$I$208,MATCH(C575,'شجرة الحسابات'!$A$9:$A$208,0))&amp;"",""))</f>
        <v/>
      </c>
      <c r="L575" s="55" t="str">
        <f aca="false">IF(C575="","",IFERROR(INDEX('شجرة الحسابات'!$C$9:$C$208,MATCH(C575,'شجرة الحسابات'!$A$9:$A$208,0))&amp;"",""))</f>
        <v/>
      </c>
      <c r="M575" s="55" t="str">
        <f aca="false">IF(AND(C575="",G575="",H575=""),"فارغ",IF(ISNA(MATCH(C575,'شجرة الحسابات'!$A$9:$A$208,0)),"حساب غير معرف",IF(L575&lt;&gt;"تحليلي","حساب تجميعي",IF(AND(N(G575)&gt;0,N(H575)&gt;0),"مدين ودائن معاً",IF(N(G575)+N(H575)=0,"بدون قيمة","OK")))))</f>
        <v>فارغ</v>
      </c>
      <c r="N575" s="55" t="str">
        <f aca="false">IF(AND(E575&lt;&gt;"",E575='كشف حساب مشروع'!$C$6,I575="مرحل ✔"),COUNTIFS($E$11:E575,'كشف حساب مشروع'!$C$6,$I$11:I575,"مرحل ✔"),"")</f>
        <v/>
      </c>
      <c r="O575" s="55" t="str">
        <f aca="false">IF(AND(C575&lt;&gt;"",C575='دفتر الأستاذ'!$C$6,I575="مرحل ✔"),COUNTIFS($C$11:C575,'دفتر الأستاذ'!$C$6,$I$11:I575,"مرحل ✔"),"")</f>
        <v/>
      </c>
    </row>
    <row r="576" customFormat="false" ht="15" hidden="false" customHeight="false" outlineLevel="0" collapsed="false">
      <c r="A576" s="49"/>
      <c r="B576" s="50"/>
      <c r="C576" s="49"/>
      <c r="D576" s="51" t="str">
        <f aca="false">IF(C576="","",IFERROR(INDEX('شجرة الحسابات'!$B$9:$B$208,MATCH(C576,'شجرة الحسابات'!$A$9:$A$208,0)),"⚠ حساب غير معرف"))</f>
        <v/>
      </c>
      <c r="E576" s="52"/>
      <c r="F576" s="52"/>
      <c r="G576" s="53"/>
      <c r="H576" s="53"/>
      <c r="I576" s="54" t="str">
        <f aca="false">IF(A576="",IF(M576="فارغ","","✖ بدون رقم قيد"),IF(COUNTIFS('قيود اليومية'!$A$11:$A$1010,A576,'قيود اليومية'!$M$11:$M$1010,"&lt;&gt;OK",'قيود اليومية'!$M$11:$M$1010,"&lt;&gt;فارغ")&gt;0,"✖ خطأ بالحساب",IF(ROUND(SUMIFS('قيود اليومية'!$G$11:$G$1010,'قيود اليومية'!$A$11:$A$1010,A576)-SUMIFS('قيود اليومية'!$H$11:$H$1010,'قيود اليومية'!$A$11:$A$1010,A576),2)&lt;&gt;0,"✖ غير متوازن","مرحل ✔")))</f>
        <v/>
      </c>
      <c r="J576" s="55" t="str">
        <f aca="false">IF(C576="","",IFERROR(INDEX('شجرة الحسابات'!$E$9:$E$208,MATCH(C576,'شجرة الحسابات'!$A$9:$A$208,0))&amp;"",""))</f>
        <v/>
      </c>
      <c r="K576" s="55" t="str">
        <f aca="false">IF(C576="","",IFERROR(INDEX('شجرة الحسابات'!$I$9:$I$208,MATCH(C576,'شجرة الحسابات'!$A$9:$A$208,0))&amp;"",""))</f>
        <v/>
      </c>
      <c r="L576" s="55" t="str">
        <f aca="false">IF(C576="","",IFERROR(INDEX('شجرة الحسابات'!$C$9:$C$208,MATCH(C576,'شجرة الحسابات'!$A$9:$A$208,0))&amp;"",""))</f>
        <v/>
      </c>
      <c r="M576" s="55" t="str">
        <f aca="false">IF(AND(C576="",G576="",H576=""),"فارغ",IF(ISNA(MATCH(C576,'شجرة الحسابات'!$A$9:$A$208,0)),"حساب غير معرف",IF(L576&lt;&gt;"تحليلي","حساب تجميعي",IF(AND(N(G576)&gt;0,N(H576)&gt;0),"مدين ودائن معاً",IF(N(G576)+N(H576)=0,"بدون قيمة","OK")))))</f>
        <v>فارغ</v>
      </c>
      <c r="N576" s="55" t="str">
        <f aca="false">IF(AND(E576&lt;&gt;"",E576='كشف حساب مشروع'!$C$6,I576="مرحل ✔"),COUNTIFS($E$11:E576,'كشف حساب مشروع'!$C$6,$I$11:I576,"مرحل ✔"),"")</f>
        <v/>
      </c>
      <c r="O576" s="55" t="str">
        <f aca="false">IF(AND(C576&lt;&gt;"",C576='دفتر الأستاذ'!$C$6,I576="مرحل ✔"),COUNTIFS($C$11:C576,'دفتر الأستاذ'!$C$6,$I$11:I576,"مرحل ✔"),"")</f>
        <v/>
      </c>
    </row>
    <row r="577" customFormat="false" ht="15" hidden="false" customHeight="false" outlineLevel="0" collapsed="false">
      <c r="A577" s="49"/>
      <c r="B577" s="50"/>
      <c r="C577" s="49"/>
      <c r="D577" s="51" t="str">
        <f aca="false">IF(C577="","",IFERROR(INDEX('شجرة الحسابات'!$B$9:$B$208,MATCH(C577,'شجرة الحسابات'!$A$9:$A$208,0)),"⚠ حساب غير معرف"))</f>
        <v/>
      </c>
      <c r="E577" s="52"/>
      <c r="F577" s="52"/>
      <c r="G577" s="53"/>
      <c r="H577" s="53"/>
      <c r="I577" s="54" t="str">
        <f aca="false">IF(A577="",IF(M577="فارغ","","✖ بدون رقم قيد"),IF(COUNTIFS('قيود اليومية'!$A$11:$A$1010,A577,'قيود اليومية'!$M$11:$M$1010,"&lt;&gt;OK",'قيود اليومية'!$M$11:$M$1010,"&lt;&gt;فارغ")&gt;0,"✖ خطأ بالحساب",IF(ROUND(SUMIFS('قيود اليومية'!$G$11:$G$1010,'قيود اليومية'!$A$11:$A$1010,A577)-SUMIFS('قيود اليومية'!$H$11:$H$1010,'قيود اليومية'!$A$11:$A$1010,A577),2)&lt;&gt;0,"✖ غير متوازن","مرحل ✔")))</f>
        <v/>
      </c>
      <c r="J577" s="55" t="str">
        <f aca="false">IF(C577="","",IFERROR(INDEX('شجرة الحسابات'!$E$9:$E$208,MATCH(C577,'شجرة الحسابات'!$A$9:$A$208,0))&amp;"",""))</f>
        <v/>
      </c>
      <c r="K577" s="55" t="str">
        <f aca="false">IF(C577="","",IFERROR(INDEX('شجرة الحسابات'!$I$9:$I$208,MATCH(C577,'شجرة الحسابات'!$A$9:$A$208,0))&amp;"",""))</f>
        <v/>
      </c>
      <c r="L577" s="55" t="str">
        <f aca="false">IF(C577="","",IFERROR(INDEX('شجرة الحسابات'!$C$9:$C$208,MATCH(C577,'شجرة الحسابات'!$A$9:$A$208,0))&amp;"",""))</f>
        <v/>
      </c>
      <c r="M577" s="55" t="str">
        <f aca="false">IF(AND(C577="",G577="",H577=""),"فارغ",IF(ISNA(MATCH(C577,'شجرة الحسابات'!$A$9:$A$208,0)),"حساب غير معرف",IF(L577&lt;&gt;"تحليلي","حساب تجميعي",IF(AND(N(G577)&gt;0,N(H577)&gt;0),"مدين ودائن معاً",IF(N(G577)+N(H577)=0,"بدون قيمة","OK")))))</f>
        <v>فارغ</v>
      </c>
      <c r="N577" s="55" t="str">
        <f aca="false">IF(AND(E577&lt;&gt;"",E577='كشف حساب مشروع'!$C$6,I577="مرحل ✔"),COUNTIFS($E$11:E577,'كشف حساب مشروع'!$C$6,$I$11:I577,"مرحل ✔"),"")</f>
        <v/>
      </c>
      <c r="O577" s="55" t="str">
        <f aca="false">IF(AND(C577&lt;&gt;"",C577='دفتر الأستاذ'!$C$6,I577="مرحل ✔"),COUNTIFS($C$11:C577,'دفتر الأستاذ'!$C$6,$I$11:I577,"مرحل ✔"),"")</f>
        <v/>
      </c>
    </row>
    <row r="578" customFormat="false" ht="15" hidden="false" customHeight="false" outlineLevel="0" collapsed="false">
      <c r="A578" s="49"/>
      <c r="B578" s="50"/>
      <c r="C578" s="49"/>
      <c r="D578" s="51" t="str">
        <f aca="false">IF(C578="","",IFERROR(INDEX('شجرة الحسابات'!$B$9:$B$208,MATCH(C578,'شجرة الحسابات'!$A$9:$A$208,0)),"⚠ حساب غير معرف"))</f>
        <v/>
      </c>
      <c r="E578" s="52"/>
      <c r="F578" s="52"/>
      <c r="G578" s="53"/>
      <c r="H578" s="53"/>
      <c r="I578" s="54" t="str">
        <f aca="false">IF(A578="",IF(M578="فارغ","","✖ بدون رقم قيد"),IF(COUNTIFS('قيود اليومية'!$A$11:$A$1010,A578,'قيود اليومية'!$M$11:$M$1010,"&lt;&gt;OK",'قيود اليومية'!$M$11:$M$1010,"&lt;&gt;فارغ")&gt;0,"✖ خطأ بالحساب",IF(ROUND(SUMIFS('قيود اليومية'!$G$11:$G$1010,'قيود اليومية'!$A$11:$A$1010,A578)-SUMIFS('قيود اليومية'!$H$11:$H$1010,'قيود اليومية'!$A$11:$A$1010,A578),2)&lt;&gt;0,"✖ غير متوازن","مرحل ✔")))</f>
        <v/>
      </c>
      <c r="J578" s="55" t="str">
        <f aca="false">IF(C578="","",IFERROR(INDEX('شجرة الحسابات'!$E$9:$E$208,MATCH(C578,'شجرة الحسابات'!$A$9:$A$208,0))&amp;"",""))</f>
        <v/>
      </c>
      <c r="K578" s="55" t="str">
        <f aca="false">IF(C578="","",IFERROR(INDEX('شجرة الحسابات'!$I$9:$I$208,MATCH(C578,'شجرة الحسابات'!$A$9:$A$208,0))&amp;"",""))</f>
        <v/>
      </c>
      <c r="L578" s="55" t="str">
        <f aca="false">IF(C578="","",IFERROR(INDEX('شجرة الحسابات'!$C$9:$C$208,MATCH(C578,'شجرة الحسابات'!$A$9:$A$208,0))&amp;"",""))</f>
        <v/>
      </c>
      <c r="M578" s="55" t="str">
        <f aca="false">IF(AND(C578="",G578="",H578=""),"فارغ",IF(ISNA(MATCH(C578,'شجرة الحسابات'!$A$9:$A$208,0)),"حساب غير معرف",IF(L578&lt;&gt;"تحليلي","حساب تجميعي",IF(AND(N(G578)&gt;0,N(H578)&gt;0),"مدين ودائن معاً",IF(N(G578)+N(H578)=0,"بدون قيمة","OK")))))</f>
        <v>فارغ</v>
      </c>
      <c r="N578" s="55" t="str">
        <f aca="false">IF(AND(E578&lt;&gt;"",E578='كشف حساب مشروع'!$C$6,I578="مرحل ✔"),COUNTIFS($E$11:E578,'كشف حساب مشروع'!$C$6,$I$11:I578,"مرحل ✔"),"")</f>
        <v/>
      </c>
      <c r="O578" s="55" t="str">
        <f aca="false">IF(AND(C578&lt;&gt;"",C578='دفتر الأستاذ'!$C$6,I578="مرحل ✔"),COUNTIFS($C$11:C578,'دفتر الأستاذ'!$C$6,$I$11:I578,"مرحل ✔"),"")</f>
        <v/>
      </c>
    </row>
    <row r="579" customFormat="false" ht="15" hidden="false" customHeight="false" outlineLevel="0" collapsed="false">
      <c r="A579" s="49"/>
      <c r="B579" s="50"/>
      <c r="C579" s="49"/>
      <c r="D579" s="51" t="str">
        <f aca="false">IF(C579="","",IFERROR(INDEX('شجرة الحسابات'!$B$9:$B$208,MATCH(C579,'شجرة الحسابات'!$A$9:$A$208,0)),"⚠ حساب غير معرف"))</f>
        <v/>
      </c>
      <c r="E579" s="52"/>
      <c r="F579" s="52"/>
      <c r="G579" s="53"/>
      <c r="H579" s="53"/>
      <c r="I579" s="54" t="str">
        <f aca="false">IF(A579="",IF(M579="فارغ","","✖ بدون رقم قيد"),IF(COUNTIFS('قيود اليومية'!$A$11:$A$1010,A579,'قيود اليومية'!$M$11:$M$1010,"&lt;&gt;OK",'قيود اليومية'!$M$11:$M$1010,"&lt;&gt;فارغ")&gt;0,"✖ خطأ بالحساب",IF(ROUND(SUMIFS('قيود اليومية'!$G$11:$G$1010,'قيود اليومية'!$A$11:$A$1010,A579)-SUMIFS('قيود اليومية'!$H$11:$H$1010,'قيود اليومية'!$A$11:$A$1010,A579),2)&lt;&gt;0,"✖ غير متوازن","مرحل ✔")))</f>
        <v/>
      </c>
      <c r="J579" s="55" t="str">
        <f aca="false">IF(C579="","",IFERROR(INDEX('شجرة الحسابات'!$E$9:$E$208,MATCH(C579,'شجرة الحسابات'!$A$9:$A$208,0))&amp;"",""))</f>
        <v/>
      </c>
      <c r="K579" s="55" t="str">
        <f aca="false">IF(C579="","",IFERROR(INDEX('شجرة الحسابات'!$I$9:$I$208,MATCH(C579,'شجرة الحسابات'!$A$9:$A$208,0))&amp;"",""))</f>
        <v/>
      </c>
      <c r="L579" s="55" t="str">
        <f aca="false">IF(C579="","",IFERROR(INDEX('شجرة الحسابات'!$C$9:$C$208,MATCH(C579,'شجرة الحسابات'!$A$9:$A$208,0))&amp;"",""))</f>
        <v/>
      </c>
      <c r="M579" s="55" t="str">
        <f aca="false">IF(AND(C579="",G579="",H579=""),"فارغ",IF(ISNA(MATCH(C579,'شجرة الحسابات'!$A$9:$A$208,0)),"حساب غير معرف",IF(L579&lt;&gt;"تحليلي","حساب تجميعي",IF(AND(N(G579)&gt;0,N(H579)&gt;0),"مدين ودائن معاً",IF(N(G579)+N(H579)=0,"بدون قيمة","OK")))))</f>
        <v>فارغ</v>
      </c>
      <c r="N579" s="55" t="str">
        <f aca="false">IF(AND(E579&lt;&gt;"",E579='كشف حساب مشروع'!$C$6,I579="مرحل ✔"),COUNTIFS($E$11:E579,'كشف حساب مشروع'!$C$6,$I$11:I579,"مرحل ✔"),"")</f>
        <v/>
      </c>
      <c r="O579" s="55" t="str">
        <f aca="false">IF(AND(C579&lt;&gt;"",C579='دفتر الأستاذ'!$C$6,I579="مرحل ✔"),COUNTIFS($C$11:C579,'دفتر الأستاذ'!$C$6,$I$11:I579,"مرحل ✔"),"")</f>
        <v/>
      </c>
    </row>
    <row r="580" customFormat="false" ht="15" hidden="false" customHeight="false" outlineLevel="0" collapsed="false">
      <c r="A580" s="49"/>
      <c r="B580" s="50"/>
      <c r="C580" s="49"/>
      <c r="D580" s="51" t="str">
        <f aca="false">IF(C580="","",IFERROR(INDEX('شجرة الحسابات'!$B$9:$B$208,MATCH(C580,'شجرة الحسابات'!$A$9:$A$208,0)),"⚠ حساب غير معرف"))</f>
        <v/>
      </c>
      <c r="E580" s="52"/>
      <c r="F580" s="52"/>
      <c r="G580" s="53"/>
      <c r="H580" s="53"/>
      <c r="I580" s="54" t="str">
        <f aca="false">IF(A580="",IF(M580="فارغ","","✖ بدون رقم قيد"),IF(COUNTIFS('قيود اليومية'!$A$11:$A$1010,A580,'قيود اليومية'!$M$11:$M$1010,"&lt;&gt;OK",'قيود اليومية'!$M$11:$M$1010,"&lt;&gt;فارغ")&gt;0,"✖ خطأ بالحساب",IF(ROUND(SUMIFS('قيود اليومية'!$G$11:$G$1010,'قيود اليومية'!$A$11:$A$1010,A580)-SUMIFS('قيود اليومية'!$H$11:$H$1010,'قيود اليومية'!$A$11:$A$1010,A580),2)&lt;&gt;0,"✖ غير متوازن","مرحل ✔")))</f>
        <v/>
      </c>
      <c r="J580" s="55" t="str">
        <f aca="false">IF(C580="","",IFERROR(INDEX('شجرة الحسابات'!$E$9:$E$208,MATCH(C580,'شجرة الحسابات'!$A$9:$A$208,0))&amp;"",""))</f>
        <v/>
      </c>
      <c r="K580" s="55" t="str">
        <f aca="false">IF(C580="","",IFERROR(INDEX('شجرة الحسابات'!$I$9:$I$208,MATCH(C580,'شجرة الحسابات'!$A$9:$A$208,0))&amp;"",""))</f>
        <v/>
      </c>
      <c r="L580" s="55" t="str">
        <f aca="false">IF(C580="","",IFERROR(INDEX('شجرة الحسابات'!$C$9:$C$208,MATCH(C580,'شجرة الحسابات'!$A$9:$A$208,0))&amp;"",""))</f>
        <v/>
      </c>
      <c r="M580" s="55" t="str">
        <f aca="false">IF(AND(C580="",G580="",H580=""),"فارغ",IF(ISNA(MATCH(C580,'شجرة الحسابات'!$A$9:$A$208,0)),"حساب غير معرف",IF(L580&lt;&gt;"تحليلي","حساب تجميعي",IF(AND(N(G580)&gt;0,N(H580)&gt;0),"مدين ودائن معاً",IF(N(G580)+N(H580)=0,"بدون قيمة","OK")))))</f>
        <v>فارغ</v>
      </c>
      <c r="N580" s="55" t="str">
        <f aca="false">IF(AND(E580&lt;&gt;"",E580='كشف حساب مشروع'!$C$6,I580="مرحل ✔"),COUNTIFS($E$11:E580,'كشف حساب مشروع'!$C$6,$I$11:I580,"مرحل ✔"),"")</f>
        <v/>
      </c>
      <c r="O580" s="55" t="str">
        <f aca="false">IF(AND(C580&lt;&gt;"",C580='دفتر الأستاذ'!$C$6,I580="مرحل ✔"),COUNTIFS($C$11:C580,'دفتر الأستاذ'!$C$6,$I$11:I580,"مرحل ✔"),"")</f>
        <v/>
      </c>
    </row>
    <row r="581" customFormat="false" ht="15" hidden="false" customHeight="false" outlineLevel="0" collapsed="false">
      <c r="A581" s="49"/>
      <c r="B581" s="50"/>
      <c r="C581" s="49"/>
      <c r="D581" s="51" t="str">
        <f aca="false">IF(C581="","",IFERROR(INDEX('شجرة الحسابات'!$B$9:$B$208,MATCH(C581,'شجرة الحسابات'!$A$9:$A$208,0)),"⚠ حساب غير معرف"))</f>
        <v/>
      </c>
      <c r="E581" s="52"/>
      <c r="F581" s="52"/>
      <c r="G581" s="53"/>
      <c r="H581" s="53"/>
      <c r="I581" s="54" t="str">
        <f aca="false">IF(A581="",IF(M581="فارغ","","✖ بدون رقم قيد"),IF(COUNTIFS('قيود اليومية'!$A$11:$A$1010,A581,'قيود اليومية'!$M$11:$M$1010,"&lt;&gt;OK",'قيود اليومية'!$M$11:$M$1010,"&lt;&gt;فارغ")&gt;0,"✖ خطأ بالحساب",IF(ROUND(SUMIFS('قيود اليومية'!$G$11:$G$1010,'قيود اليومية'!$A$11:$A$1010,A581)-SUMIFS('قيود اليومية'!$H$11:$H$1010,'قيود اليومية'!$A$11:$A$1010,A581),2)&lt;&gt;0,"✖ غير متوازن","مرحل ✔")))</f>
        <v/>
      </c>
      <c r="J581" s="55" t="str">
        <f aca="false">IF(C581="","",IFERROR(INDEX('شجرة الحسابات'!$E$9:$E$208,MATCH(C581,'شجرة الحسابات'!$A$9:$A$208,0))&amp;"",""))</f>
        <v/>
      </c>
      <c r="K581" s="55" t="str">
        <f aca="false">IF(C581="","",IFERROR(INDEX('شجرة الحسابات'!$I$9:$I$208,MATCH(C581,'شجرة الحسابات'!$A$9:$A$208,0))&amp;"",""))</f>
        <v/>
      </c>
      <c r="L581" s="55" t="str">
        <f aca="false">IF(C581="","",IFERROR(INDEX('شجرة الحسابات'!$C$9:$C$208,MATCH(C581,'شجرة الحسابات'!$A$9:$A$208,0))&amp;"",""))</f>
        <v/>
      </c>
      <c r="M581" s="55" t="str">
        <f aca="false">IF(AND(C581="",G581="",H581=""),"فارغ",IF(ISNA(MATCH(C581,'شجرة الحسابات'!$A$9:$A$208,0)),"حساب غير معرف",IF(L581&lt;&gt;"تحليلي","حساب تجميعي",IF(AND(N(G581)&gt;0,N(H581)&gt;0),"مدين ودائن معاً",IF(N(G581)+N(H581)=0,"بدون قيمة","OK")))))</f>
        <v>فارغ</v>
      </c>
      <c r="N581" s="55" t="str">
        <f aca="false">IF(AND(E581&lt;&gt;"",E581='كشف حساب مشروع'!$C$6,I581="مرحل ✔"),COUNTIFS($E$11:E581,'كشف حساب مشروع'!$C$6,$I$11:I581,"مرحل ✔"),"")</f>
        <v/>
      </c>
      <c r="O581" s="55" t="str">
        <f aca="false">IF(AND(C581&lt;&gt;"",C581='دفتر الأستاذ'!$C$6,I581="مرحل ✔"),COUNTIFS($C$11:C581,'دفتر الأستاذ'!$C$6,$I$11:I581,"مرحل ✔"),"")</f>
        <v/>
      </c>
    </row>
    <row r="582" customFormat="false" ht="15" hidden="false" customHeight="false" outlineLevel="0" collapsed="false">
      <c r="A582" s="49"/>
      <c r="B582" s="50"/>
      <c r="C582" s="49"/>
      <c r="D582" s="51" t="str">
        <f aca="false">IF(C582="","",IFERROR(INDEX('شجرة الحسابات'!$B$9:$B$208,MATCH(C582,'شجرة الحسابات'!$A$9:$A$208,0)),"⚠ حساب غير معرف"))</f>
        <v/>
      </c>
      <c r="E582" s="52"/>
      <c r="F582" s="52"/>
      <c r="G582" s="53"/>
      <c r="H582" s="53"/>
      <c r="I582" s="54" t="str">
        <f aca="false">IF(A582="",IF(M582="فارغ","","✖ بدون رقم قيد"),IF(COUNTIFS('قيود اليومية'!$A$11:$A$1010,A582,'قيود اليومية'!$M$11:$M$1010,"&lt;&gt;OK",'قيود اليومية'!$M$11:$M$1010,"&lt;&gt;فارغ")&gt;0,"✖ خطأ بالحساب",IF(ROUND(SUMIFS('قيود اليومية'!$G$11:$G$1010,'قيود اليومية'!$A$11:$A$1010,A582)-SUMIFS('قيود اليومية'!$H$11:$H$1010,'قيود اليومية'!$A$11:$A$1010,A582),2)&lt;&gt;0,"✖ غير متوازن","مرحل ✔")))</f>
        <v/>
      </c>
      <c r="J582" s="55" t="str">
        <f aca="false">IF(C582="","",IFERROR(INDEX('شجرة الحسابات'!$E$9:$E$208,MATCH(C582,'شجرة الحسابات'!$A$9:$A$208,0))&amp;"",""))</f>
        <v/>
      </c>
      <c r="K582" s="55" t="str">
        <f aca="false">IF(C582="","",IFERROR(INDEX('شجرة الحسابات'!$I$9:$I$208,MATCH(C582,'شجرة الحسابات'!$A$9:$A$208,0))&amp;"",""))</f>
        <v/>
      </c>
      <c r="L582" s="55" t="str">
        <f aca="false">IF(C582="","",IFERROR(INDEX('شجرة الحسابات'!$C$9:$C$208,MATCH(C582,'شجرة الحسابات'!$A$9:$A$208,0))&amp;"",""))</f>
        <v/>
      </c>
      <c r="M582" s="55" t="str">
        <f aca="false">IF(AND(C582="",G582="",H582=""),"فارغ",IF(ISNA(MATCH(C582,'شجرة الحسابات'!$A$9:$A$208,0)),"حساب غير معرف",IF(L582&lt;&gt;"تحليلي","حساب تجميعي",IF(AND(N(G582)&gt;0,N(H582)&gt;0),"مدين ودائن معاً",IF(N(G582)+N(H582)=0,"بدون قيمة","OK")))))</f>
        <v>فارغ</v>
      </c>
      <c r="N582" s="55" t="str">
        <f aca="false">IF(AND(E582&lt;&gt;"",E582='كشف حساب مشروع'!$C$6,I582="مرحل ✔"),COUNTIFS($E$11:E582,'كشف حساب مشروع'!$C$6,$I$11:I582,"مرحل ✔"),"")</f>
        <v/>
      </c>
      <c r="O582" s="55" t="str">
        <f aca="false">IF(AND(C582&lt;&gt;"",C582='دفتر الأستاذ'!$C$6,I582="مرحل ✔"),COUNTIFS($C$11:C582,'دفتر الأستاذ'!$C$6,$I$11:I582,"مرحل ✔"),"")</f>
        <v/>
      </c>
    </row>
    <row r="583" customFormat="false" ht="15" hidden="false" customHeight="false" outlineLevel="0" collapsed="false">
      <c r="A583" s="49"/>
      <c r="B583" s="50"/>
      <c r="C583" s="49"/>
      <c r="D583" s="51" t="str">
        <f aca="false">IF(C583="","",IFERROR(INDEX('شجرة الحسابات'!$B$9:$B$208,MATCH(C583,'شجرة الحسابات'!$A$9:$A$208,0)),"⚠ حساب غير معرف"))</f>
        <v/>
      </c>
      <c r="E583" s="52"/>
      <c r="F583" s="52"/>
      <c r="G583" s="53"/>
      <c r="H583" s="53"/>
      <c r="I583" s="54" t="str">
        <f aca="false">IF(A583="",IF(M583="فارغ","","✖ بدون رقم قيد"),IF(COUNTIFS('قيود اليومية'!$A$11:$A$1010,A583,'قيود اليومية'!$M$11:$M$1010,"&lt;&gt;OK",'قيود اليومية'!$M$11:$M$1010,"&lt;&gt;فارغ")&gt;0,"✖ خطأ بالحساب",IF(ROUND(SUMIFS('قيود اليومية'!$G$11:$G$1010,'قيود اليومية'!$A$11:$A$1010,A583)-SUMIFS('قيود اليومية'!$H$11:$H$1010,'قيود اليومية'!$A$11:$A$1010,A583),2)&lt;&gt;0,"✖ غير متوازن","مرحل ✔")))</f>
        <v/>
      </c>
      <c r="J583" s="55" t="str">
        <f aca="false">IF(C583="","",IFERROR(INDEX('شجرة الحسابات'!$E$9:$E$208,MATCH(C583,'شجرة الحسابات'!$A$9:$A$208,0))&amp;"",""))</f>
        <v/>
      </c>
      <c r="K583" s="55" t="str">
        <f aca="false">IF(C583="","",IFERROR(INDEX('شجرة الحسابات'!$I$9:$I$208,MATCH(C583,'شجرة الحسابات'!$A$9:$A$208,0))&amp;"",""))</f>
        <v/>
      </c>
      <c r="L583" s="55" t="str">
        <f aca="false">IF(C583="","",IFERROR(INDEX('شجرة الحسابات'!$C$9:$C$208,MATCH(C583,'شجرة الحسابات'!$A$9:$A$208,0))&amp;"",""))</f>
        <v/>
      </c>
      <c r="M583" s="55" t="str">
        <f aca="false">IF(AND(C583="",G583="",H583=""),"فارغ",IF(ISNA(MATCH(C583,'شجرة الحسابات'!$A$9:$A$208,0)),"حساب غير معرف",IF(L583&lt;&gt;"تحليلي","حساب تجميعي",IF(AND(N(G583)&gt;0,N(H583)&gt;0),"مدين ودائن معاً",IF(N(G583)+N(H583)=0,"بدون قيمة","OK")))))</f>
        <v>فارغ</v>
      </c>
      <c r="N583" s="55" t="str">
        <f aca="false">IF(AND(E583&lt;&gt;"",E583='كشف حساب مشروع'!$C$6,I583="مرحل ✔"),COUNTIFS($E$11:E583,'كشف حساب مشروع'!$C$6,$I$11:I583,"مرحل ✔"),"")</f>
        <v/>
      </c>
      <c r="O583" s="55" t="str">
        <f aca="false">IF(AND(C583&lt;&gt;"",C583='دفتر الأستاذ'!$C$6,I583="مرحل ✔"),COUNTIFS($C$11:C583,'دفتر الأستاذ'!$C$6,$I$11:I583,"مرحل ✔"),"")</f>
        <v/>
      </c>
    </row>
    <row r="584" customFormat="false" ht="15" hidden="false" customHeight="false" outlineLevel="0" collapsed="false">
      <c r="A584" s="49"/>
      <c r="B584" s="50"/>
      <c r="C584" s="49"/>
      <c r="D584" s="51" t="str">
        <f aca="false">IF(C584="","",IFERROR(INDEX('شجرة الحسابات'!$B$9:$B$208,MATCH(C584,'شجرة الحسابات'!$A$9:$A$208,0)),"⚠ حساب غير معرف"))</f>
        <v/>
      </c>
      <c r="E584" s="52"/>
      <c r="F584" s="52"/>
      <c r="G584" s="53"/>
      <c r="H584" s="53"/>
      <c r="I584" s="54" t="str">
        <f aca="false">IF(A584="",IF(M584="فارغ","","✖ بدون رقم قيد"),IF(COUNTIFS('قيود اليومية'!$A$11:$A$1010,A584,'قيود اليومية'!$M$11:$M$1010,"&lt;&gt;OK",'قيود اليومية'!$M$11:$M$1010,"&lt;&gt;فارغ")&gt;0,"✖ خطأ بالحساب",IF(ROUND(SUMIFS('قيود اليومية'!$G$11:$G$1010,'قيود اليومية'!$A$11:$A$1010,A584)-SUMIFS('قيود اليومية'!$H$11:$H$1010,'قيود اليومية'!$A$11:$A$1010,A584),2)&lt;&gt;0,"✖ غير متوازن","مرحل ✔")))</f>
        <v/>
      </c>
      <c r="J584" s="55" t="str">
        <f aca="false">IF(C584="","",IFERROR(INDEX('شجرة الحسابات'!$E$9:$E$208,MATCH(C584,'شجرة الحسابات'!$A$9:$A$208,0))&amp;"",""))</f>
        <v/>
      </c>
      <c r="K584" s="55" t="str">
        <f aca="false">IF(C584="","",IFERROR(INDEX('شجرة الحسابات'!$I$9:$I$208,MATCH(C584,'شجرة الحسابات'!$A$9:$A$208,0))&amp;"",""))</f>
        <v/>
      </c>
      <c r="L584" s="55" t="str">
        <f aca="false">IF(C584="","",IFERROR(INDEX('شجرة الحسابات'!$C$9:$C$208,MATCH(C584,'شجرة الحسابات'!$A$9:$A$208,0))&amp;"",""))</f>
        <v/>
      </c>
      <c r="M584" s="55" t="str">
        <f aca="false">IF(AND(C584="",G584="",H584=""),"فارغ",IF(ISNA(MATCH(C584,'شجرة الحسابات'!$A$9:$A$208,0)),"حساب غير معرف",IF(L584&lt;&gt;"تحليلي","حساب تجميعي",IF(AND(N(G584)&gt;0,N(H584)&gt;0),"مدين ودائن معاً",IF(N(G584)+N(H584)=0,"بدون قيمة","OK")))))</f>
        <v>فارغ</v>
      </c>
      <c r="N584" s="55" t="str">
        <f aca="false">IF(AND(E584&lt;&gt;"",E584='كشف حساب مشروع'!$C$6,I584="مرحل ✔"),COUNTIFS($E$11:E584,'كشف حساب مشروع'!$C$6,$I$11:I584,"مرحل ✔"),"")</f>
        <v/>
      </c>
      <c r="O584" s="55" t="str">
        <f aca="false">IF(AND(C584&lt;&gt;"",C584='دفتر الأستاذ'!$C$6,I584="مرحل ✔"),COUNTIFS($C$11:C584,'دفتر الأستاذ'!$C$6,$I$11:I584,"مرحل ✔"),"")</f>
        <v/>
      </c>
    </row>
    <row r="585" customFormat="false" ht="15" hidden="false" customHeight="false" outlineLevel="0" collapsed="false">
      <c r="A585" s="49"/>
      <c r="B585" s="50"/>
      <c r="C585" s="49"/>
      <c r="D585" s="51" t="str">
        <f aca="false">IF(C585="","",IFERROR(INDEX('شجرة الحسابات'!$B$9:$B$208,MATCH(C585,'شجرة الحسابات'!$A$9:$A$208,0)),"⚠ حساب غير معرف"))</f>
        <v/>
      </c>
      <c r="E585" s="52"/>
      <c r="F585" s="52"/>
      <c r="G585" s="53"/>
      <c r="H585" s="53"/>
      <c r="I585" s="54" t="str">
        <f aca="false">IF(A585="",IF(M585="فارغ","","✖ بدون رقم قيد"),IF(COUNTIFS('قيود اليومية'!$A$11:$A$1010,A585,'قيود اليومية'!$M$11:$M$1010,"&lt;&gt;OK",'قيود اليومية'!$M$11:$M$1010,"&lt;&gt;فارغ")&gt;0,"✖ خطأ بالحساب",IF(ROUND(SUMIFS('قيود اليومية'!$G$11:$G$1010,'قيود اليومية'!$A$11:$A$1010,A585)-SUMIFS('قيود اليومية'!$H$11:$H$1010,'قيود اليومية'!$A$11:$A$1010,A585),2)&lt;&gt;0,"✖ غير متوازن","مرحل ✔")))</f>
        <v/>
      </c>
      <c r="J585" s="55" t="str">
        <f aca="false">IF(C585="","",IFERROR(INDEX('شجرة الحسابات'!$E$9:$E$208,MATCH(C585,'شجرة الحسابات'!$A$9:$A$208,0))&amp;"",""))</f>
        <v/>
      </c>
      <c r="K585" s="55" t="str">
        <f aca="false">IF(C585="","",IFERROR(INDEX('شجرة الحسابات'!$I$9:$I$208,MATCH(C585,'شجرة الحسابات'!$A$9:$A$208,0))&amp;"",""))</f>
        <v/>
      </c>
      <c r="L585" s="55" t="str">
        <f aca="false">IF(C585="","",IFERROR(INDEX('شجرة الحسابات'!$C$9:$C$208,MATCH(C585,'شجرة الحسابات'!$A$9:$A$208,0))&amp;"",""))</f>
        <v/>
      </c>
      <c r="M585" s="55" t="str">
        <f aca="false">IF(AND(C585="",G585="",H585=""),"فارغ",IF(ISNA(MATCH(C585,'شجرة الحسابات'!$A$9:$A$208,0)),"حساب غير معرف",IF(L585&lt;&gt;"تحليلي","حساب تجميعي",IF(AND(N(G585)&gt;0,N(H585)&gt;0),"مدين ودائن معاً",IF(N(G585)+N(H585)=0,"بدون قيمة","OK")))))</f>
        <v>فارغ</v>
      </c>
      <c r="N585" s="55" t="str">
        <f aca="false">IF(AND(E585&lt;&gt;"",E585='كشف حساب مشروع'!$C$6,I585="مرحل ✔"),COUNTIFS($E$11:E585,'كشف حساب مشروع'!$C$6,$I$11:I585,"مرحل ✔"),"")</f>
        <v/>
      </c>
      <c r="O585" s="55" t="str">
        <f aca="false">IF(AND(C585&lt;&gt;"",C585='دفتر الأستاذ'!$C$6,I585="مرحل ✔"),COUNTIFS($C$11:C585,'دفتر الأستاذ'!$C$6,$I$11:I585,"مرحل ✔"),"")</f>
        <v/>
      </c>
    </row>
    <row r="586" customFormat="false" ht="15" hidden="false" customHeight="false" outlineLevel="0" collapsed="false">
      <c r="A586" s="49"/>
      <c r="B586" s="50"/>
      <c r="C586" s="49"/>
      <c r="D586" s="51" t="str">
        <f aca="false">IF(C586="","",IFERROR(INDEX('شجرة الحسابات'!$B$9:$B$208,MATCH(C586,'شجرة الحسابات'!$A$9:$A$208,0)),"⚠ حساب غير معرف"))</f>
        <v/>
      </c>
      <c r="E586" s="52"/>
      <c r="F586" s="52"/>
      <c r="G586" s="53"/>
      <c r="H586" s="53"/>
      <c r="I586" s="54" t="str">
        <f aca="false">IF(A586="",IF(M586="فارغ","","✖ بدون رقم قيد"),IF(COUNTIFS('قيود اليومية'!$A$11:$A$1010,A586,'قيود اليومية'!$M$11:$M$1010,"&lt;&gt;OK",'قيود اليومية'!$M$11:$M$1010,"&lt;&gt;فارغ")&gt;0,"✖ خطأ بالحساب",IF(ROUND(SUMIFS('قيود اليومية'!$G$11:$G$1010,'قيود اليومية'!$A$11:$A$1010,A586)-SUMIFS('قيود اليومية'!$H$11:$H$1010,'قيود اليومية'!$A$11:$A$1010,A586),2)&lt;&gt;0,"✖ غير متوازن","مرحل ✔")))</f>
        <v/>
      </c>
      <c r="J586" s="55" t="str">
        <f aca="false">IF(C586="","",IFERROR(INDEX('شجرة الحسابات'!$E$9:$E$208,MATCH(C586,'شجرة الحسابات'!$A$9:$A$208,0))&amp;"",""))</f>
        <v/>
      </c>
      <c r="K586" s="55" t="str">
        <f aca="false">IF(C586="","",IFERROR(INDEX('شجرة الحسابات'!$I$9:$I$208,MATCH(C586,'شجرة الحسابات'!$A$9:$A$208,0))&amp;"",""))</f>
        <v/>
      </c>
      <c r="L586" s="55" t="str">
        <f aca="false">IF(C586="","",IFERROR(INDEX('شجرة الحسابات'!$C$9:$C$208,MATCH(C586,'شجرة الحسابات'!$A$9:$A$208,0))&amp;"",""))</f>
        <v/>
      </c>
      <c r="M586" s="55" t="str">
        <f aca="false">IF(AND(C586="",G586="",H586=""),"فارغ",IF(ISNA(MATCH(C586,'شجرة الحسابات'!$A$9:$A$208,0)),"حساب غير معرف",IF(L586&lt;&gt;"تحليلي","حساب تجميعي",IF(AND(N(G586)&gt;0,N(H586)&gt;0),"مدين ودائن معاً",IF(N(G586)+N(H586)=0,"بدون قيمة","OK")))))</f>
        <v>فارغ</v>
      </c>
      <c r="N586" s="55" t="str">
        <f aca="false">IF(AND(E586&lt;&gt;"",E586='كشف حساب مشروع'!$C$6,I586="مرحل ✔"),COUNTIFS($E$11:E586,'كشف حساب مشروع'!$C$6,$I$11:I586,"مرحل ✔"),"")</f>
        <v/>
      </c>
      <c r="O586" s="55" t="str">
        <f aca="false">IF(AND(C586&lt;&gt;"",C586='دفتر الأستاذ'!$C$6,I586="مرحل ✔"),COUNTIFS($C$11:C586,'دفتر الأستاذ'!$C$6,$I$11:I586,"مرحل ✔"),"")</f>
        <v/>
      </c>
    </row>
    <row r="587" customFormat="false" ht="15" hidden="false" customHeight="false" outlineLevel="0" collapsed="false">
      <c r="A587" s="49"/>
      <c r="B587" s="50"/>
      <c r="C587" s="49"/>
      <c r="D587" s="51" t="str">
        <f aca="false">IF(C587="","",IFERROR(INDEX('شجرة الحسابات'!$B$9:$B$208,MATCH(C587,'شجرة الحسابات'!$A$9:$A$208,0)),"⚠ حساب غير معرف"))</f>
        <v/>
      </c>
      <c r="E587" s="52"/>
      <c r="F587" s="52"/>
      <c r="G587" s="53"/>
      <c r="H587" s="53"/>
      <c r="I587" s="54" t="str">
        <f aca="false">IF(A587="",IF(M587="فارغ","","✖ بدون رقم قيد"),IF(COUNTIFS('قيود اليومية'!$A$11:$A$1010,A587,'قيود اليومية'!$M$11:$M$1010,"&lt;&gt;OK",'قيود اليومية'!$M$11:$M$1010,"&lt;&gt;فارغ")&gt;0,"✖ خطأ بالحساب",IF(ROUND(SUMIFS('قيود اليومية'!$G$11:$G$1010,'قيود اليومية'!$A$11:$A$1010,A587)-SUMIFS('قيود اليومية'!$H$11:$H$1010,'قيود اليومية'!$A$11:$A$1010,A587),2)&lt;&gt;0,"✖ غير متوازن","مرحل ✔")))</f>
        <v/>
      </c>
      <c r="J587" s="55" t="str">
        <f aca="false">IF(C587="","",IFERROR(INDEX('شجرة الحسابات'!$E$9:$E$208,MATCH(C587,'شجرة الحسابات'!$A$9:$A$208,0))&amp;"",""))</f>
        <v/>
      </c>
      <c r="K587" s="55" t="str">
        <f aca="false">IF(C587="","",IFERROR(INDEX('شجرة الحسابات'!$I$9:$I$208,MATCH(C587,'شجرة الحسابات'!$A$9:$A$208,0))&amp;"",""))</f>
        <v/>
      </c>
      <c r="L587" s="55" t="str">
        <f aca="false">IF(C587="","",IFERROR(INDEX('شجرة الحسابات'!$C$9:$C$208,MATCH(C587,'شجرة الحسابات'!$A$9:$A$208,0))&amp;"",""))</f>
        <v/>
      </c>
      <c r="M587" s="55" t="str">
        <f aca="false">IF(AND(C587="",G587="",H587=""),"فارغ",IF(ISNA(MATCH(C587,'شجرة الحسابات'!$A$9:$A$208,0)),"حساب غير معرف",IF(L587&lt;&gt;"تحليلي","حساب تجميعي",IF(AND(N(G587)&gt;0,N(H587)&gt;0),"مدين ودائن معاً",IF(N(G587)+N(H587)=0,"بدون قيمة","OK")))))</f>
        <v>فارغ</v>
      </c>
      <c r="N587" s="55" t="str">
        <f aca="false">IF(AND(E587&lt;&gt;"",E587='كشف حساب مشروع'!$C$6,I587="مرحل ✔"),COUNTIFS($E$11:E587,'كشف حساب مشروع'!$C$6,$I$11:I587,"مرحل ✔"),"")</f>
        <v/>
      </c>
      <c r="O587" s="55" t="str">
        <f aca="false">IF(AND(C587&lt;&gt;"",C587='دفتر الأستاذ'!$C$6,I587="مرحل ✔"),COUNTIFS($C$11:C587,'دفتر الأستاذ'!$C$6,$I$11:I587,"مرحل ✔"),"")</f>
        <v/>
      </c>
    </row>
    <row r="588" customFormat="false" ht="15" hidden="false" customHeight="false" outlineLevel="0" collapsed="false">
      <c r="A588" s="49"/>
      <c r="B588" s="50"/>
      <c r="C588" s="49"/>
      <c r="D588" s="51" t="str">
        <f aca="false">IF(C588="","",IFERROR(INDEX('شجرة الحسابات'!$B$9:$B$208,MATCH(C588,'شجرة الحسابات'!$A$9:$A$208,0)),"⚠ حساب غير معرف"))</f>
        <v/>
      </c>
      <c r="E588" s="52"/>
      <c r="F588" s="52"/>
      <c r="G588" s="53"/>
      <c r="H588" s="53"/>
      <c r="I588" s="54" t="str">
        <f aca="false">IF(A588="",IF(M588="فارغ","","✖ بدون رقم قيد"),IF(COUNTIFS('قيود اليومية'!$A$11:$A$1010,A588,'قيود اليومية'!$M$11:$M$1010,"&lt;&gt;OK",'قيود اليومية'!$M$11:$M$1010,"&lt;&gt;فارغ")&gt;0,"✖ خطأ بالحساب",IF(ROUND(SUMIFS('قيود اليومية'!$G$11:$G$1010,'قيود اليومية'!$A$11:$A$1010,A588)-SUMIFS('قيود اليومية'!$H$11:$H$1010,'قيود اليومية'!$A$11:$A$1010,A588),2)&lt;&gt;0,"✖ غير متوازن","مرحل ✔")))</f>
        <v/>
      </c>
      <c r="J588" s="55" t="str">
        <f aca="false">IF(C588="","",IFERROR(INDEX('شجرة الحسابات'!$E$9:$E$208,MATCH(C588,'شجرة الحسابات'!$A$9:$A$208,0))&amp;"",""))</f>
        <v/>
      </c>
      <c r="K588" s="55" t="str">
        <f aca="false">IF(C588="","",IFERROR(INDEX('شجرة الحسابات'!$I$9:$I$208,MATCH(C588,'شجرة الحسابات'!$A$9:$A$208,0))&amp;"",""))</f>
        <v/>
      </c>
      <c r="L588" s="55" t="str">
        <f aca="false">IF(C588="","",IFERROR(INDEX('شجرة الحسابات'!$C$9:$C$208,MATCH(C588,'شجرة الحسابات'!$A$9:$A$208,0))&amp;"",""))</f>
        <v/>
      </c>
      <c r="M588" s="55" t="str">
        <f aca="false">IF(AND(C588="",G588="",H588=""),"فارغ",IF(ISNA(MATCH(C588,'شجرة الحسابات'!$A$9:$A$208,0)),"حساب غير معرف",IF(L588&lt;&gt;"تحليلي","حساب تجميعي",IF(AND(N(G588)&gt;0,N(H588)&gt;0),"مدين ودائن معاً",IF(N(G588)+N(H588)=0,"بدون قيمة","OK")))))</f>
        <v>فارغ</v>
      </c>
      <c r="N588" s="55" t="str">
        <f aca="false">IF(AND(E588&lt;&gt;"",E588='كشف حساب مشروع'!$C$6,I588="مرحل ✔"),COUNTIFS($E$11:E588,'كشف حساب مشروع'!$C$6,$I$11:I588,"مرحل ✔"),"")</f>
        <v/>
      </c>
      <c r="O588" s="55" t="str">
        <f aca="false">IF(AND(C588&lt;&gt;"",C588='دفتر الأستاذ'!$C$6,I588="مرحل ✔"),COUNTIFS($C$11:C588,'دفتر الأستاذ'!$C$6,$I$11:I588,"مرحل ✔"),"")</f>
        <v/>
      </c>
    </row>
    <row r="589" customFormat="false" ht="15" hidden="false" customHeight="false" outlineLevel="0" collapsed="false">
      <c r="A589" s="49"/>
      <c r="B589" s="50"/>
      <c r="C589" s="49"/>
      <c r="D589" s="51" t="str">
        <f aca="false">IF(C589="","",IFERROR(INDEX('شجرة الحسابات'!$B$9:$B$208,MATCH(C589,'شجرة الحسابات'!$A$9:$A$208,0)),"⚠ حساب غير معرف"))</f>
        <v/>
      </c>
      <c r="E589" s="52"/>
      <c r="F589" s="52"/>
      <c r="G589" s="53"/>
      <c r="H589" s="53"/>
      <c r="I589" s="54" t="str">
        <f aca="false">IF(A589="",IF(M589="فارغ","","✖ بدون رقم قيد"),IF(COUNTIFS('قيود اليومية'!$A$11:$A$1010,A589,'قيود اليومية'!$M$11:$M$1010,"&lt;&gt;OK",'قيود اليومية'!$M$11:$M$1010,"&lt;&gt;فارغ")&gt;0,"✖ خطأ بالحساب",IF(ROUND(SUMIFS('قيود اليومية'!$G$11:$G$1010,'قيود اليومية'!$A$11:$A$1010,A589)-SUMIFS('قيود اليومية'!$H$11:$H$1010,'قيود اليومية'!$A$11:$A$1010,A589),2)&lt;&gt;0,"✖ غير متوازن","مرحل ✔")))</f>
        <v/>
      </c>
      <c r="J589" s="55" t="str">
        <f aca="false">IF(C589="","",IFERROR(INDEX('شجرة الحسابات'!$E$9:$E$208,MATCH(C589,'شجرة الحسابات'!$A$9:$A$208,0))&amp;"",""))</f>
        <v/>
      </c>
      <c r="K589" s="55" t="str">
        <f aca="false">IF(C589="","",IFERROR(INDEX('شجرة الحسابات'!$I$9:$I$208,MATCH(C589,'شجرة الحسابات'!$A$9:$A$208,0))&amp;"",""))</f>
        <v/>
      </c>
      <c r="L589" s="55" t="str">
        <f aca="false">IF(C589="","",IFERROR(INDEX('شجرة الحسابات'!$C$9:$C$208,MATCH(C589,'شجرة الحسابات'!$A$9:$A$208,0))&amp;"",""))</f>
        <v/>
      </c>
      <c r="M589" s="55" t="str">
        <f aca="false">IF(AND(C589="",G589="",H589=""),"فارغ",IF(ISNA(MATCH(C589,'شجرة الحسابات'!$A$9:$A$208,0)),"حساب غير معرف",IF(L589&lt;&gt;"تحليلي","حساب تجميعي",IF(AND(N(G589)&gt;0,N(H589)&gt;0),"مدين ودائن معاً",IF(N(G589)+N(H589)=0,"بدون قيمة","OK")))))</f>
        <v>فارغ</v>
      </c>
      <c r="N589" s="55" t="str">
        <f aca="false">IF(AND(E589&lt;&gt;"",E589='كشف حساب مشروع'!$C$6,I589="مرحل ✔"),COUNTIFS($E$11:E589,'كشف حساب مشروع'!$C$6,$I$11:I589,"مرحل ✔"),"")</f>
        <v/>
      </c>
      <c r="O589" s="55" t="str">
        <f aca="false">IF(AND(C589&lt;&gt;"",C589='دفتر الأستاذ'!$C$6,I589="مرحل ✔"),COUNTIFS($C$11:C589,'دفتر الأستاذ'!$C$6,$I$11:I589,"مرحل ✔"),"")</f>
        <v/>
      </c>
    </row>
    <row r="590" customFormat="false" ht="15" hidden="false" customHeight="false" outlineLevel="0" collapsed="false">
      <c r="A590" s="49"/>
      <c r="B590" s="50"/>
      <c r="C590" s="49"/>
      <c r="D590" s="51" t="str">
        <f aca="false">IF(C590="","",IFERROR(INDEX('شجرة الحسابات'!$B$9:$B$208,MATCH(C590,'شجرة الحسابات'!$A$9:$A$208,0)),"⚠ حساب غير معرف"))</f>
        <v/>
      </c>
      <c r="E590" s="52"/>
      <c r="F590" s="52"/>
      <c r="G590" s="53"/>
      <c r="H590" s="53"/>
      <c r="I590" s="54" t="str">
        <f aca="false">IF(A590="",IF(M590="فارغ","","✖ بدون رقم قيد"),IF(COUNTIFS('قيود اليومية'!$A$11:$A$1010,A590,'قيود اليومية'!$M$11:$M$1010,"&lt;&gt;OK",'قيود اليومية'!$M$11:$M$1010,"&lt;&gt;فارغ")&gt;0,"✖ خطأ بالحساب",IF(ROUND(SUMIFS('قيود اليومية'!$G$11:$G$1010,'قيود اليومية'!$A$11:$A$1010,A590)-SUMIFS('قيود اليومية'!$H$11:$H$1010,'قيود اليومية'!$A$11:$A$1010,A590),2)&lt;&gt;0,"✖ غير متوازن","مرحل ✔")))</f>
        <v/>
      </c>
      <c r="J590" s="55" t="str">
        <f aca="false">IF(C590="","",IFERROR(INDEX('شجرة الحسابات'!$E$9:$E$208,MATCH(C590,'شجرة الحسابات'!$A$9:$A$208,0))&amp;"",""))</f>
        <v/>
      </c>
      <c r="K590" s="55" t="str">
        <f aca="false">IF(C590="","",IFERROR(INDEX('شجرة الحسابات'!$I$9:$I$208,MATCH(C590,'شجرة الحسابات'!$A$9:$A$208,0))&amp;"",""))</f>
        <v/>
      </c>
      <c r="L590" s="55" t="str">
        <f aca="false">IF(C590="","",IFERROR(INDEX('شجرة الحسابات'!$C$9:$C$208,MATCH(C590,'شجرة الحسابات'!$A$9:$A$208,0))&amp;"",""))</f>
        <v/>
      </c>
      <c r="M590" s="55" t="str">
        <f aca="false">IF(AND(C590="",G590="",H590=""),"فارغ",IF(ISNA(MATCH(C590,'شجرة الحسابات'!$A$9:$A$208,0)),"حساب غير معرف",IF(L590&lt;&gt;"تحليلي","حساب تجميعي",IF(AND(N(G590)&gt;0,N(H590)&gt;0),"مدين ودائن معاً",IF(N(G590)+N(H590)=0,"بدون قيمة","OK")))))</f>
        <v>فارغ</v>
      </c>
      <c r="N590" s="55" t="str">
        <f aca="false">IF(AND(E590&lt;&gt;"",E590='كشف حساب مشروع'!$C$6,I590="مرحل ✔"),COUNTIFS($E$11:E590,'كشف حساب مشروع'!$C$6,$I$11:I590,"مرحل ✔"),"")</f>
        <v/>
      </c>
      <c r="O590" s="55" t="str">
        <f aca="false">IF(AND(C590&lt;&gt;"",C590='دفتر الأستاذ'!$C$6,I590="مرحل ✔"),COUNTIFS($C$11:C590,'دفتر الأستاذ'!$C$6,$I$11:I590,"مرحل ✔"),"")</f>
        <v/>
      </c>
    </row>
    <row r="591" customFormat="false" ht="15" hidden="false" customHeight="false" outlineLevel="0" collapsed="false">
      <c r="A591" s="49"/>
      <c r="B591" s="50"/>
      <c r="C591" s="49"/>
      <c r="D591" s="51" t="str">
        <f aca="false">IF(C591="","",IFERROR(INDEX('شجرة الحسابات'!$B$9:$B$208,MATCH(C591,'شجرة الحسابات'!$A$9:$A$208,0)),"⚠ حساب غير معرف"))</f>
        <v/>
      </c>
      <c r="E591" s="52"/>
      <c r="F591" s="52"/>
      <c r="G591" s="53"/>
      <c r="H591" s="53"/>
      <c r="I591" s="54" t="str">
        <f aca="false">IF(A591="",IF(M591="فارغ","","✖ بدون رقم قيد"),IF(COUNTIFS('قيود اليومية'!$A$11:$A$1010,A591,'قيود اليومية'!$M$11:$M$1010,"&lt;&gt;OK",'قيود اليومية'!$M$11:$M$1010,"&lt;&gt;فارغ")&gt;0,"✖ خطأ بالحساب",IF(ROUND(SUMIFS('قيود اليومية'!$G$11:$G$1010,'قيود اليومية'!$A$11:$A$1010,A591)-SUMIFS('قيود اليومية'!$H$11:$H$1010,'قيود اليومية'!$A$11:$A$1010,A591),2)&lt;&gt;0,"✖ غير متوازن","مرحل ✔")))</f>
        <v/>
      </c>
      <c r="J591" s="55" t="str">
        <f aca="false">IF(C591="","",IFERROR(INDEX('شجرة الحسابات'!$E$9:$E$208,MATCH(C591,'شجرة الحسابات'!$A$9:$A$208,0))&amp;"",""))</f>
        <v/>
      </c>
      <c r="K591" s="55" t="str">
        <f aca="false">IF(C591="","",IFERROR(INDEX('شجرة الحسابات'!$I$9:$I$208,MATCH(C591,'شجرة الحسابات'!$A$9:$A$208,0))&amp;"",""))</f>
        <v/>
      </c>
      <c r="L591" s="55" t="str">
        <f aca="false">IF(C591="","",IFERROR(INDEX('شجرة الحسابات'!$C$9:$C$208,MATCH(C591,'شجرة الحسابات'!$A$9:$A$208,0))&amp;"",""))</f>
        <v/>
      </c>
      <c r="M591" s="55" t="str">
        <f aca="false">IF(AND(C591="",G591="",H591=""),"فارغ",IF(ISNA(MATCH(C591,'شجرة الحسابات'!$A$9:$A$208,0)),"حساب غير معرف",IF(L591&lt;&gt;"تحليلي","حساب تجميعي",IF(AND(N(G591)&gt;0,N(H591)&gt;0),"مدين ودائن معاً",IF(N(G591)+N(H591)=0,"بدون قيمة","OK")))))</f>
        <v>فارغ</v>
      </c>
      <c r="N591" s="55" t="str">
        <f aca="false">IF(AND(E591&lt;&gt;"",E591='كشف حساب مشروع'!$C$6,I591="مرحل ✔"),COUNTIFS($E$11:E591,'كشف حساب مشروع'!$C$6,$I$11:I591,"مرحل ✔"),"")</f>
        <v/>
      </c>
      <c r="O591" s="55" t="str">
        <f aca="false">IF(AND(C591&lt;&gt;"",C591='دفتر الأستاذ'!$C$6,I591="مرحل ✔"),COUNTIFS($C$11:C591,'دفتر الأستاذ'!$C$6,$I$11:I591,"مرحل ✔"),"")</f>
        <v/>
      </c>
    </row>
    <row r="592" customFormat="false" ht="15" hidden="false" customHeight="false" outlineLevel="0" collapsed="false">
      <c r="A592" s="49"/>
      <c r="B592" s="50"/>
      <c r="C592" s="49"/>
      <c r="D592" s="51" t="str">
        <f aca="false">IF(C592="","",IFERROR(INDEX('شجرة الحسابات'!$B$9:$B$208,MATCH(C592,'شجرة الحسابات'!$A$9:$A$208,0)),"⚠ حساب غير معرف"))</f>
        <v/>
      </c>
      <c r="E592" s="52"/>
      <c r="F592" s="52"/>
      <c r="G592" s="53"/>
      <c r="H592" s="53"/>
      <c r="I592" s="54" t="str">
        <f aca="false">IF(A592="",IF(M592="فارغ","","✖ بدون رقم قيد"),IF(COUNTIFS('قيود اليومية'!$A$11:$A$1010,A592,'قيود اليومية'!$M$11:$M$1010,"&lt;&gt;OK",'قيود اليومية'!$M$11:$M$1010,"&lt;&gt;فارغ")&gt;0,"✖ خطأ بالحساب",IF(ROUND(SUMIFS('قيود اليومية'!$G$11:$G$1010,'قيود اليومية'!$A$11:$A$1010,A592)-SUMIFS('قيود اليومية'!$H$11:$H$1010,'قيود اليومية'!$A$11:$A$1010,A592),2)&lt;&gt;0,"✖ غير متوازن","مرحل ✔")))</f>
        <v/>
      </c>
      <c r="J592" s="55" t="str">
        <f aca="false">IF(C592="","",IFERROR(INDEX('شجرة الحسابات'!$E$9:$E$208,MATCH(C592,'شجرة الحسابات'!$A$9:$A$208,0))&amp;"",""))</f>
        <v/>
      </c>
      <c r="K592" s="55" t="str">
        <f aca="false">IF(C592="","",IFERROR(INDEX('شجرة الحسابات'!$I$9:$I$208,MATCH(C592,'شجرة الحسابات'!$A$9:$A$208,0))&amp;"",""))</f>
        <v/>
      </c>
      <c r="L592" s="55" t="str">
        <f aca="false">IF(C592="","",IFERROR(INDEX('شجرة الحسابات'!$C$9:$C$208,MATCH(C592,'شجرة الحسابات'!$A$9:$A$208,0))&amp;"",""))</f>
        <v/>
      </c>
      <c r="M592" s="55" t="str">
        <f aca="false">IF(AND(C592="",G592="",H592=""),"فارغ",IF(ISNA(MATCH(C592,'شجرة الحسابات'!$A$9:$A$208,0)),"حساب غير معرف",IF(L592&lt;&gt;"تحليلي","حساب تجميعي",IF(AND(N(G592)&gt;0,N(H592)&gt;0),"مدين ودائن معاً",IF(N(G592)+N(H592)=0,"بدون قيمة","OK")))))</f>
        <v>فارغ</v>
      </c>
      <c r="N592" s="55" t="str">
        <f aca="false">IF(AND(E592&lt;&gt;"",E592='كشف حساب مشروع'!$C$6,I592="مرحل ✔"),COUNTIFS($E$11:E592,'كشف حساب مشروع'!$C$6,$I$11:I592,"مرحل ✔"),"")</f>
        <v/>
      </c>
      <c r="O592" s="55" t="str">
        <f aca="false">IF(AND(C592&lt;&gt;"",C592='دفتر الأستاذ'!$C$6,I592="مرحل ✔"),COUNTIFS($C$11:C592,'دفتر الأستاذ'!$C$6,$I$11:I592,"مرحل ✔"),"")</f>
        <v/>
      </c>
    </row>
    <row r="593" customFormat="false" ht="15" hidden="false" customHeight="false" outlineLevel="0" collapsed="false">
      <c r="A593" s="49"/>
      <c r="B593" s="50"/>
      <c r="C593" s="49"/>
      <c r="D593" s="51" t="str">
        <f aca="false">IF(C593="","",IFERROR(INDEX('شجرة الحسابات'!$B$9:$B$208,MATCH(C593,'شجرة الحسابات'!$A$9:$A$208,0)),"⚠ حساب غير معرف"))</f>
        <v/>
      </c>
      <c r="E593" s="52"/>
      <c r="F593" s="52"/>
      <c r="G593" s="53"/>
      <c r="H593" s="53"/>
      <c r="I593" s="54" t="str">
        <f aca="false">IF(A593="",IF(M593="فارغ","","✖ بدون رقم قيد"),IF(COUNTIFS('قيود اليومية'!$A$11:$A$1010,A593,'قيود اليومية'!$M$11:$M$1010,"&lt;&gt;OK",'قيود اليومية'!$M$11:$M$1010,"&lt;&gt;فارغ")&gt;0,"✖ خطأ بالحساب",IF(ROUND(SUMIFS('قيود اليومية'!$G$11:$G$1010,'قيود اليومية'!$A$11:$A$1010,A593)-SUMIFS('قيود اليومية'!$H$11:$H$1010,'قيود اليومية'!$A$11:$A$1010,A593),2)&lt;&gt;0,"✖ غير متوازن","مرحل ✔")))</f>
        <v/>
      </c>
      <c r="J593" s="55" t="str">
        <f aca="false">IF(C593="","",IFERROR(INDEX('شجرة الحسابات'!$E$9:$E$208,MATCH(C593,'شجرة الحسابات'!$A$9:$A$208,0))&amp;"",""))</f>
        <v/>
      </c>
      <c r="K593" s="55" t="str">
        <f aca="false">IF(C593="","",IFERROR(INDEX('شجرة الحسابات'!$I$9:$I$208,MATCH(C593,'شجرة الحسابات'!$A$9:$A$208,0))&amp;"",""))</f>
        <v/>
      </c>
      <c r="L593" s="55" t="str">
        <f aca="false">IF(C593="","",IFERROR(INDEX('شجرة الحسابات'!$C$9:$C$208,MATCH(C593,'شجرة الحسابات'!$A$9:$A$208,0))&amp;"",""))</f>
        <v/>
      </c>
      <c r="M593" s="55" t="str">
        <f aca="false">IF(AND(C593="",G593="",H593=""),"فارغ",IF(ISNA(MATCH(C593,'شجرة الحسابات'!$A$9:$A$208,0)),"حساب غير معرف",IF(L593&lt;&gt;"تحليلي","حساب تجميعي",IF(AND(N(G593)&gt;0,N(H593)&gt;0),"مدين ودائن معاً",IF(N(G593)+N(H593)=0,"بدون قيمة","OK")))))</f>
        <v>فارغ</v>
      </c>
      <c r="N593" s="55" t="str">
        <f aca="false">IF(AND(E593&lt;&gt;"",E593='كشف حساب مشروع'!$C$6,I593="مرحل ✔"),COUNTIFS($E$11:E593,'كشف حساب مشروع'!$C$6,$I$11:I593,"مرحل ✔"),"")</f>
        <v/>
      </c>
      <c r="O593" s="55" t="str">
        <f aca="false">IF(AND(C593&lt;&gt;"",C593='دفتر الأستاذ'!$C$6,I593="مرحل ✔"),COUNTIFS($C$11:C593,'دفتر الأستاذ'!$C$6,$I$11:I593,"مرحل ✔"),"")</f>
        <v/>
      </c>
    </row>
    <row r="594" customFormat="false" ht="15" hidden="false" customHeight="false" outlineLevel="0" collapsed="false">
      <c r="A594" s="49"/>
      <c r="B594" s="50"/>
      <c r="C594" s="49"/>
      <c r="D594" s="51" t="str">
        <f aca="false">IF(C594="","",IFERROR(INDEX('شجرة الحسابات'!$B$9:$B$208,MATCH(C594,'شجرة الحسابات'!$A$9:$A$208,0)),"⚠ حساب غير معرف"))</f>
        <v/>
      </c>
      <c r="E594" s="52"/>
      <c r="F594" s="52"/>
      <c r="G594" s="53"/>
      <c r="H594" s="53"/>
      <c r="I594" s="54" t="str">
        <f aca="false">IF(A594="",IF(M594="فارغ","","✖ بدون رقم قيد"),IF(COUNTIFS('قيود اليومية'!$A$11:$A$1010,A594,'قيود اليومية'!$M$11:$M$1010,"&lt;&gt;OK",'قيود اليومية'!$M$11:$M$1010,"&lt;&gt;فارغ")&gt;0,"✖ خطأ بالحساب",IF(ROUND(SUMIFS('قيود اليومية'!$G$11:$G$1010,'قيود اليومية'!$A$11:$A$1010,A594)-SUMIFS('قيود اليومية'!$H$11:$H$1010,'قيود اليومية'!$A$11:$A$1010,A594),2)&lt;&gt;0,"✖ غير متوازن","مرحل ✔")))</f>
        <v/>
      </c>
      <c r="J594" s="55" t="str">
        <f aca="false">IF(C594="","",IFERROR(INDEX('شجرة الحسابات'!$E$9:$E$208,MATCH(C594,'شجرة الحسابات'!$A$9:$A$208,0))&amp;"",""))</f>
        <v/>
      </c>
      <c r="K594" s="55" t="str">
        <f aca="false">IF(C594="","",IFERROR(INDEX('شجرة الحسابات'!$I$9:$I$208,MATCH(C594,'شجرة الحسابات'!$A$9:$A$208,0))&amp;"",""))</f>
        <v/>
      </c>
      <c r="L594" s="55" t="str">
        <f aca="false">IF(C594="","",IFERROR(INDEX('شجرة الحسابات'!$C$9:$C$208,MATCH(C594,'شجرة الحسابات'!$A$9:$A$208,0))&amp;"",""))</f>
        <v/>
      </c>
      <c r="M594" s="55" t="str">
        <f aca="false">IF(AND(C594="",G594="",H594=""),"فارغ",IF(ISNA(MATCH(C594,'شجرة الحسابات'!$A$9:$A$208,0)),"حساب غير معرف",IF(L594&lt;&gt;"تحليلي","حساب تجميعي",IF(AND(N(G594)&gt;0,N(H594)&gt;0),"مدين ودائن معاً",IF(N(G594)+N(H594)=0,"بدون قيمة","OK")))))</f>
        <v>فارغ</v>
      </c>
      <c r="N594" s="55" t="str">
        <f aca="false">IF(AND(E594&lt;&gt;"",E594='كشف حساب مشروع'!$C$6,I594="مرحل ✔"),COUNTIFS($E$11:E594,'كشف حساب مشروع'!$C$6,$I$11:I594,"مرحل ✔"),"")</f>
        <v/>
      </c>
      <c r="O594" s="55" t="str">
        <f aca="false">IF(AND(C594&lt;&gt;"",C594='دفتر الأستاذ'!$C$6,I594="مرحل ✔"),COUNTIFS($C$11:C594,'دفتر الأستاذ'!$C$6,$I$11:I594,"مرحل ✔"),"")</f>
        <v/>
      </c>
    </row>
    <row r="595" customFormat="false" ht="15" hidden="false" customHeight="false" outlineLevel="0" collapsed="false">
      <c r="A595" s="49"/>
      <c r="B595" s="50"/>
      <c r="C595" s="49"/>
      <c r="D595" s="51" t="str">
        <f aca="false">IF(C595="","",IFERROR(INDEX('شجرة الحسابات'!$B$9:$B$208,MATCH(C595,'شجرة الحسابات'!$A$9:$A$208,0)),"⚠ حساب غير معرف"))</f>
        <v/>
      </c>
      <c r="E595" s="52"/>
      <c r="F595" s="52"/>
      <c r="G595" s="53"/>
      <c r="H595" s="53"/>
      <c r="I595" s="54" t="str">
        <f aca="false">IF(A595="",IF(M595="فارغ","","✖ بدون رقم قيد"),IF(COUNTIFS('قيود اليومية'!$A$11:$A$1010,A595,'قيود اليومية'!$M$11:$M$1010,"&lt;&gt;OK",'قيود اليومية'!$M$11:$M$1010,"&lt;&gt;فارغ")&gt;0,"✖ خطأ بالحساب",IF(ROUND(SUMIFS('قيود اليومية'!$G$11:$G$1010,'قيود اليومية'!$A$11:$A$1010,A595)-SUMIFS('قيود اليومية'!$H$11:$H$1010,'قيود اليومية'!$A$11:$A$1010,A595),2)&lt;&gt;0,"✖ غير متوازن","مرحل ✔")))</f>
        <v/>
      </c>
      <c r="J595" s="55" t="str">
        <f aca="false">IF(C595="","",IFERROR(INDEX('شجرة الحسابات'!$E$9:$E$208,MATCH(C595,'شجرة الحسابات'!$A$9:$A$208,0))&amp;"",""))</f>
        <v/>
      </c>
      <c r="K595" s="55" t="str">
        <f aca="false">IF(C595="","",IFERROR(INDEX('شجرة الحسابات'!$I$9:$I$208,MATCH(C595,'شجرة الحسابات'!$A$9:$A$208,0))&amp;"",""))</f>
        <v/>
      </c>
      <c r="L595" s="55" t="str">
        <f aca="false">IF(C595="","",IFERROR(INDEX('شجرة الحسابات'!$C$9:$C$208,MATCH(C595,'شجرة الحسابات'!$A$9:$A$208,0))&amp;"",""))</f>
        <v/>
      </c>
      <c r="M595" s="55" t="str">
        <f aca="false">IF(AND(C595="",G595="",H595=""),"فارغ",IF(ISNA(MATCH(C595,'شجرة الحسابات'!$A$9:$A$208,0)),"حساب غير معرف",IF(L595&lt;&gt;"تحليلي","حساب تجميعي",IF(AND(N(G595)&gt;0,N(H595)&gt;0),"مدين ودائن معاً",IF(N(G595)+N(H595)=0,"بدون قيمة","OK")))))</f>
        <v>فارغ</v>
      </c>
      <c r="N595" s="55" t="str">
        <f aca="false">IF(AND(E595&lt;&gt;"",E595='كشف حساب مشروع'!$C$6,I595="مرحل ✔"),COUNTIFS($E$11:E595,'كشف حساب مشروع'!$C$6,$I$11:I595,"مرحل ✔"),"")</f>
        <v/>
      </c>
      <c r="O595" s="55" t="str">
        <f aca="false">IF(AND(C595&lt;&gt;"",C595='دفتر الأستاذ'!$C$6,I595="مرحل ✔"),COUNTIFS($C$11:C595,'دفتر الأستاذ'!$C$6,$I$11:I595,"مرحل ✔"),"")</f>
        <v/>
      </c>
    </row>
    <row r="596" customFormat="false" ht="15" hidden="false" customHeight="false" outlineLevel="0" collapsed="false">
      <c r="A596" s="49"/>
      <c r="B596" s="50"/>
      <c r="C596" s="49"/>
      <c r="D596" s="51" t="str">
        <f aca="false">IF(C596="","",IFERROR(INDEX('شجرة الحسابات'!$B$9:$B$208,MATCH(C596,'شجرة الحسابات'!$A$9:$A$208,0)),"⚠ حساب غير معرف"))</f>
        <v/>
      </c>
      <c r="E596" s="52"/>
      <c r="F596" s="52"/>
      <c r="G596" s="53"/>
      <c r="H596" s="53"/>
      <c r="I596" s="54" t="str">
        <f aca="false">IF(A596="",IF(M596="فارغ","","✖ بدون رقم قيد"),IF(COUNTIFS('قيود اليومية'!$A$11:$A$1010,A596,'قيود اليومية'!$M$11:$M$1010,"&lt;&gt;OK",'قيود اليومية'!$M$11:$M$1010,"&lt;&gt;فارغ")&gt;0,"✖ خطأ بالحساب",IF(ROUND(SUMIFS('قيود اليومية'!$G$11:$G$1010,'قيود اليومية'!$A$11:$A$1010,A596)-SUMIFS('قيود اليومية'!$H$11:$H$1010,'قيود اليومية'!$A$11:$A$1010,A596),2)&lt;&gt;0,"✖ غير متوازن","مرحل ✔")))</f>
        <v/>
      </c>
      <c r="J596" s="55" t="str">
        <f aca="false">IF(C596="","",IFERROR(INDEX('شجرة الحسابات'!$E$9:$E$208,MATCH(C596,'شجرة الحسابات'!$A$9:$A$208,0))&amp;"",""))</f>
        <v/>
      </c>
      <c r="K596" s="55" t="str">
        <f aca="false">IF(C596="","",IFERROR(INDEX('شجرة الحسابات'!$I$9:$I$208,MATCH(C596,'شجرة الحسابات'!$A$9:$A$208,0))&amp;"",""))</f>
        <v/>
      </c>
      <c r="L596" s="55" t="str">
        <f aca="false">IF(C596="","",IFERROR(INDEX('شجرة الحسابات'!$C$9:$C$208,MATCH(C596,'شجرة الحسابات'!$A$9:$A$208,0))&amp;"",""))</f>
        <v/>
      </c>
      <c r="M596" s="55" t="str">
        <f aca="false">IF(AND(C596="",G596="",H596=""),"فارغ",IF(ISNA(MATCH(C596,'شجرة الحسابات'!$A$9:$A$208,0)),"حساب غير معرف",IF(L596&lt;&gt;"تحليلي","حساب تجميعي",IF(AND(N(G596)&gt;0,N(H596)&gt;0),"مدين ودائن معاً",IF(N(G596)+N(H596)=0,"بدون قيمة","OK")))))</f>
        <v>فارغ</v>
      </c>
      <c r="N596" s="55" t="str">
        <f aca="false">IF(AND(E596&lt;&gt;"",E596='كشف حساب مشروع'!$C$6,I596="مرحل ✔"),COUNTIFS($E$11:E596,'كشف حساب مشروع'!$C$6,$I$11:I596,"مرحل ✔"),"")</f>
        <v/>
      </c>
      <c r="O596" s="55" t="str">
        <f aca="false">IF(AND(C596&lt;&gt;"",C596='دفتر الأستاذ'!$C$6,I596="مرحل ✔"),COUNTIFS($C$11:C596,'دفتر الأستاذ'!$C$6,$I$11:I596,"مرحل ✔"),"")</f>
        <v/>
      </c>
    </row>
    <row r="597" customFormat="false" ht="15" hidden="false" customHeight="false" outlineLevel="0" collapsed="false">
      <c r="A597" s="49"/>
      <c r="B597" s="50"/>
      <c r="C597" s="49"/>
      <c r="D597" s="51" t="str">
        <f aca="false">IF(C597="","",IFERROR(INDEX('شجرة الحسابات'!$B$9:$B$208,MATCH(C597,'شجرة الحسابات'!$A$9:$A$208,0)),"⚠ حساب غير معرف"))</f>
        <v/>
      </c>
      <c r="E597" s="52"/>
      <c r="F597" s="52"/>
      <c r="G597" s="53"/>
      <c r="H597" s="53"/>
      <c r="I597" s="54" t="str">
        <f aca="false">IF(A597="",IF(M597="فارغ","","✖ بدون رقم قيد"),IF(COUNTIFS('قيود اليومية'!$A$11:$A$1010,A597,'قيود اليومية'!$M$11:$M$1010,"&lt;&gt;OK",'قيود اليومية'!$M$11:$M$1010,"&lt;&gt;فارغ")&gt;0,"✖ خطأ بالحساب",IF(ROUND(SUMIFS('قيود اليومية'!$G$11:$G$1010,'قيود اليومية'!$A$11:$A$1010,A597)-SUMIFS('قيود اليومية'!$H$11:$H$1010,'قيود اليومية'!$A$11:$A$1010,A597),2)&lt;&gt;0,"✖ غير متوازن","مرحل ✔")))</f>
        <v/>
      </c>
      <c r="J597" s="55" t="str">
        <f aca="false">IF(C597="","",IFERROR(INDEX('شجرة الحسابات'!$E$9:$E$208,MATCH(C597,'شجرة الحسابات'!$A$9:$A$208,0))&amp;"",""))</f>
        <v/>
      </c>
      <c r="K597" s="55" t="str">
        <f aca="false">IF(C597="","",IFERROR(INDEX('شجرة الحسابات'!$I$9:$I$208,MATCH(C597,'شجرة الحسابات'!$A$9:$A$208,0))&amp;"",""))</f>
        <v/>
      </c>
      <c r="L597" s="55" t="str">
        <f aca="false">IF(C597="","",IFERROR(INDEX('شجرة الحسابات'!$C$9:$C$208,MATCH(C597,'شجرة الحسابات'!$A$9:$A$208,0))&amp;"",""))</f>
        <v/>
      </c>
      <c r="M597" s="55" t="str">
        <f aca="false">IF(AND(C597="",G597="",H597=""),"فارغ",IF(ISNA(MATCH(C597,'شجرة الحسابات'!$A$9:$A$208,0)),"حساب غير معرف",IF(L597&lt;&gt;"تحليلي","حساب تجميعي",IF(AND(N(G597)&gt;0,N(H597)&gt;0),"مدين ودائن معاً",IF(N(G597)+N(H597)=0,"بدون قيمة","OK")))))</f>
        <v>فارغ</v>
      </c>
      <c r="N597" s="55" t="str">
        <f aca="false">IF(AND(E597&lt;&gt;"",E597='كشف حساب مشروع'!$C$6,I597="مرحل ✔"),COUNTIFS($E$11:E597,'كشف حساب مشروع'!$C$6,$I$11:I597,"مرحل ✔"),"")</f>
        <v/>
      </c>
      <c r="O597" s="55" t="str">
        <f aca="false">IF(AND(C597&lt;&gt;"",C597='دفتر الأستاذ'!$C$6,I597="مرحل ✔"),COUNTIFS($C$11:C597,'دفتر الأستاذ'!$C$6,$I$11:I597,"مرحل ✔"),"")</f>
        <v/>
      </c>
    </row>
    <row r="598" customFormat="false" ht="15" hidden="false" customHeight="false" outlineLevel="0" collapsed="false">
      <c r="A598" s="49"/>
      <c r="B598" s="50"/>
      <c r="C598" s="49"/>
      <c r="D598" s="51" t="str">
        <f aca="false">IF(C598="","",IFERROR(INDEX('شجرة الحسابات'!$B$9:$B$208,MATCH(C598,'شجرة الحسابات'!$A$9:$A$208,0)),"⚠ حساب غير معرف"))</f>
        <v/>
      </c>
      <c r="E598" s="52"/>
      <c r="F598" s="52"/>
      <c r="G598" s="53"/>
      <c r="H598" s="53"/>
      <c r="I598" s="54" t="str">
        <f aca="false">IF(A598="",IF(M598="فارغ","","✖ بدون رقم قيد"),IF(COUNTIFS('قيود اليومية'!$A$11:$A$1010,A598,'قيود اليومية'!$M$11:$M$1010,"&lt;&gt;OK",'قيود اليومية'!$M$11:$M$1010,"&lt;&gt;فارغ")&gt;0,"✖ خطأ بالحساب",IF(ROUND(SUMIFS('قيود اليومية'!$G$11:$G$1010,'قيود اليومية'!$A$11:$A$1010,A598)-SUMIFS('قيود اليومية'!$H$11:$H$1010,'قيود اليومية'!$A$11:$A$1010,A598),2)&lt;&gt;0,"✖ غير متوازن","مرحل ✔")))</f>
        <v/>
      </c>
      <c r="J598" s="55" t="str">
        <f aca="false">IF(C598="","",IFERROR(INDEX('شجرة الحسابات'!$E$9:$E$208,MATCH(C598,'شجرة الحسابات'!$A$9:$A$208,0))&amp;"",""))</f>
        <v/>
      </c>
      <c r="K598" s="55" t="str">
        <f aca="false">IF(C598="","",IFERROR(INDEX('شجرة الحسابات'!$I$9:$I$208,MATCH(C598,'شجرة الحسابات'!$A$9:$A$208,0))&amp;"",""))</f>
        <v/>
      </c>
      <c r="L598" s="55" t="str">
        <f aca="false">IF(C598="","",IFERROR(INDEX('شجرة الحسابات'!$C$9:$C$208,MATCH(C598,'شجرة الحسابات'!$A$9:$A$208,0))&amp;"",""))</f>
        <v/>
      </c>
      <c r="M598" s="55" t="str">
        <f aca="false">IF(AND(C598="",G598="",H598=""),"فارغ",IF(ISNA(MATCH(C598,'شجرة الحسابات'!$A$9:$A$208,0)),"حساب غير معرف",IF(L598&lt;&gt;"تحليلي","حساب تجميعي",IF(AND(N(G598)&gt;0,N(H598)&gt;0),"مدين ودائن معاً",IF(N(G598)+N(H598)=0,"بدون قيمة","OK")))))</f>
        <v>فارغ</v>
      </c>
      <c r="N598" s="55" t="str">
        <f aca="false">IF(AND(E598&lt;&gt;"",E598='كشف حساب مشروع'!$C$6,I598="مرحل ✔"),COUNTIFS($E$11:E598,'كشف حساب مشروع'!$C$6,$I$11:I598,"مرحل ✔"),"")</f>
        <v/>
      </c>
      <c r="O598" s="55" t="str">
        <f aca="false">IF(AND(C598&lt;&gt;"",C598='دفتر الأستاذ'!$C$6,I598="مرحل ✔"),COUNTIFS($C$11:C598,'دفتر الأستاذ'!$C$6,$I$11:I598,"مرحل ✔"),"")</f>
        <v/>
      </c>
    </row>
    <row r="599" customFormat="false" ht="15" hidden="false" customHeight="false" outlineLevel="0" collapsed="false">
      <c r="A599" s="49"/>
      <c r="B599" s="50"/>
      <c r="C599" s="49"/>
      <c r="D599" s="51" t="str">
        <f aca="false">IF(C599="","",IFERROR(INDEX('شجرة الحسابات'!$B$9:$B$208,MATCH(C599,'شجرة الحسابات'!$A$9:$A$208,0)),"⚠ حساب غير معرف"))</f>
        <v/>
      </c>
      <c r="E599" s="52"/>
      <c r="F599" s="52"/>
      <c r="G599" s="53"/>
      <c r="H599" s="53"/>
      <c r="I599" s="54" t="str">
        <f aca="false">IF(A599="",IF(M599="فارغ","","✖ بدون رقم قيد"),IF(COUNTIFS('قيود اليومية'!$A$11:$A$1010,A599,'قيود اليومية'!$M$11:$M$1010,"&lt;&gt;OK",'قيود اليومية'!$M$11:$M$1010,"&lt;&gt;فارغ")&gt;0,"✖ خطأ بالحساب",IF(ROUND(SUMIFS('قيود اليومية'!$G$11:$G$1010,'قيود اليومية'!$A$11:$A$1010,A599)-SUMIFS('قيود اليومية'!$H$11:$H$1010,'قيود اليومية'!$A$11:$A$1010,A599),2)&lt;&gt;0,"✖ غير متوازن","مرحل ✔")))</f>
        <v/>
      </c>
      <c r="J599" s="55" t="str">
        <f aca="false">IF(C599="","",IFERROR(INDEX('شجرة الحسابات'!$E$9:$E$208,MATCH(C599,'شجرة الحسابات'!$A$9:$A$208,0))&amp;"",""))</f>
        <v/>
      </c>
      <c r="K599" s="55" t="str">
        <f aca="false">IF(C599="","",IFERROR(INDEX('شجرة الحسابات'!$I$9:$I$208,MATCH(C599,'شجرة الحسابات'!$A$9:$A$208,0))&amp;"",""))</f>
        <v/>
      </c>
      <c r="L599" s="55" t="str">
        <f aca="false">IF(C599="","",IFERROR(INDEX('شجرة الحسابات'!$C$9:$C$208,MATCH(C599,'شجرة الحسابات'!$A$9:$A$208,0))&amp;"",""))</f>
        <v/>
      </c>
      <c r="M599" s="55" t="str">
        <f aca="false">IF(AND(C599="",G599="",H599=""),"فارغ",IF(ISNA(MATCH(C599,'شجرة الحسابات'!$A$9:$A$208,0)),"حساب غير معرف",IF(L599&lt;&gt;"تحليلي","حساب تجميعي",IF(AND(N(G599)&gt;0,N(H599)&gt;0),"مدين ودائن معاً",IF(N(G599)+N(H599)=0,"بدون قيمة","OK")))))</f>
        <v>فارغ</v>
      </c>
      <c r="N599" s="55" t="str">
        <f aca="false">IF(AND(E599&lt;&gt;"",E599='كشف حساب مشروع'!$C$6,I599="مرحل ✔"),COUNTIFS($E$11:E599,'كشف حساب مشروع'!$C$6,$I$11:I599,"مرحل ✔"),"")</f>
        <v/>
      </c>
      <c r="O599" s="55" t="str">
        <f aca="false">IF(AND(C599&lt;&gt;"",C599='دفتر الأستاذ'!$C$6,I599="مرحل ✔"),COUNTIFS($C$11:C599,'دفتر الأستاذ'!$C$6,$I$11:I599,"مرحل ✔"),"")</f>
        <v/>
      </c>
    </row>
    <row r="600" customFormat="false" ht="15" hidden="false" customHeight="false" outlineLevel="0" collapsed="false">
      <c r="A600" s="49"/>
      <c r="B600" s="50"/>
      <c r="C600" s="49"/>
      <c r="D600" s="51" t="str">
        <f aca="false">IF(C600="","",IFERROR(INDEX('شجرة الحسابات'!$B$9:$B$208,MATCH(C600,'شجرة الحسابات'!$A$9:$A$208,0)),"⚠ حساب غير معرف"))</f>
        <v/>
      </c>
      <c r="E600" s="52"/>
      <c r="F600" s="52"/>
      <c r="G600" s="53"/>
      <c r="H600" s="53"/>
      <c r="I600" s="54" t="str">
        <f aca="false">IF(A600="",IF(M600="فارغ","","✖ بدون رقم قيد"),IF(COUNTIFS('قيود اليومية'!$A$11:$A$1010,A600,'قيود اليومية'!$M$11:$M$1010,"&lt;&gt;OK",'قيود اليومية'!$M$11:$M$1010,"&lt;&gt;فارغ")&gt;0,"✖ خطأ بالحساب",IF(ROUND(SUMIFS('قيود اليومية'!$G$11:$G$1010,'قيود اليومية'!$A$11:$A$1010,A600)-SUMIFS('قيود اليومية'!$H$11:$H$1010,'قيود اليومية'!$A$11:$A$1010,A600),2)&lt;&gt;0,"✖ غير متوازن","مرحل ✔")))</f>
        <v/>
      </c>
      <c r="J600" s="55" t="str">
        <f aca="false">IF(C600="","",IFERROR(INDEX('شجرة الحسابات'!$E$9:$E$208,MATCH(C600,'شجرة الحسابات'!$A$9:$A$208,0))&amp;"",""))</f>
        <v/>
      </c>
      <c r="K600" s="55" t="str">
        <f aca="false">IF(C600="","",IFERROR(INDEX('شجرة الحسابات'!$I$9:$I$208,MATCH(C600,'شجرة الحسابات'!$A$9:$A$208,0))&amp;"",""))</f>
        <v/>
      </c>
      <c r="L600" s="55" t="str">
        <f aca="false">IF(C600="","",IFERROR(INDEX('شجرة الحسابات'!$C$9:$C$208,MATCH(C600,'شجرة الحسابات'!$A$9:$A$208,0))&amp;"",""))</f>
        <v/>
      </c>
      <c r="M600" s="55" t="str">
        <f aca="false">IF(AND(C600="",G600="",H600=""),"فارغ",IF(ISNA(MATCH(C600,'شجرة الحسابات'!$A$9:$A$208,0)),"حساب غير معرف",IF(L600&lt;&gt;"تحليلي","حساب تجميعي",IF(AND(N(G600)&gt;0,N(H600)&gt;0),"مدين ودائن معاً",IF(N(G600)+N(H600)=0,"بدون قيمة","OK")))))</f>
        <v>فارغ</v>
      </c>
      <c r="N600" s="55" t="str">
        <f aca="false">IF(AND(E600&lt;&gt;"",E600='كشف حساب مشروع'!$C$6,I600="مرحل ✔"),COUNTIFS($E$11:E600,'كشف حساب مشروع'!$C$6,$I$11:I600,"مرحل ✔"),"")</f>
        <v/>
      </c>
      <c r="O600" s="55" t="str">
        <f aca="false">IF(AND(C600&lt;&gt;"",C600='دفتر الأستاذ'!$C$6,I600="مرحل ✔"),COUNTIFS($C$11:C600,'دفتر الأستاذ'!$C$6,$I$11:I600,"مرحل ✔"),"")</f>
        <v/>
      </c>
    </row>
    <row r="601" customFormat="false" ht="15" hidden="false" customHeight="false" outlineLevel="0" collapsed="false">
      <c r="A601" s="49"/>
      <c r="B601" s="50"/>
      <c r="C601" s="49"/>
      <c r="D601" s="51" t="str">
        <f aca="false">IF(C601="","",IFERROR(INDEX('شجرة الحسابات'!$B$9:$B$208,MATCH(C601,'شجرة الحسابات'!$A$9:$A$208,0)),"⚠ حساب غير معرف"))</f>
        <v/>
      </c>
      <c r="E601" s="52"/>
      <c r="F601" s="52"/>
      <c r="G601" s="53"/>
      <c r="H601" s="53"/>
      <c r="I601" s="54" t="str">
        <f aca="false">IF(A601="",IF(M601="فارغ","","✖ بدون رقم قيد"),IF(COUNTIFS('قيود اليومية'!$A$11:$A$1010,A601,'قيود اليومية'!$M$11:$M$1010,"&lt;&gt;OK",'قيود اليومية'!$M$11:$M$1010,"&lt;&gt;فارغ")&gt;0,"✖ خطأ بالحساب",IF(ROUND(SUMIFS('قيود اليومية'!$G$11:$G$1010,'قيود اليومية'!$A$11:$A$1010,A601)-SUMIFS('قيود اليومية'!$H$11:$H$1010,'قيود اليومية'!$A$11:$A$1010,A601),2)&lt;&gt;0,"✖ غير متوازن","مرحل ✔")))</f>
        <v/>
      </c>
      <c r="J601" s="55" t="str">
        <f aca="false">IF(C601="","",IFERROR(INDEX('شجرة الحسابات'!$E$9:$E$208,MATCH(C601,'شجرة الحسابات'!$A$9:$A$208,0))&amp;"",""))</f>
        <v/>
      </c>
      <c r="K601" s="55" t="str">
        <f aca="false">IF(C601="","",IFERROR(INDEX('شجرة الحسابات'!$I$9:$I$208,MATCH(C601,'شجرة الحسابات'!$A$9:$A$208,0))&amp;"",""))</f>
        <v/>
      </c>
      <c r="L601" s="55" t="str">
        <f aca="false">IF(C601="","",IFERROR(INDEX('شجرة الحسابات'!$C$9:$C$208,MATCH(C601,'شجرة الحسابات'!$A$9:$A$208,0))&amp;"",""))</f>
        <v/>
      </c>
      <c r="M601" s="55" t="str">
        <f aca="false">IF(AND(C601="",G601="",H601=""),"فارغ",IF(ISNA(MATCH(C601,'شجرة الحسابات'!$A$9:$A$208,0)),"حساب غير معرف",IF(L601&lt;&gt;"تحليلي","حساب تجميعي",IF(AND(N(G601)&gt;0,N(H601)&gt;0),"مدين ودائن معاً",IF(N(G601)+N(H601)=0,"بدون قيمة","OK")))))</f>
        <v>فارغ</v>
      </c>
      <c r="N601" s="55" t="str">
        <f aca="false">IF(AND(E601&lt;&gt;"",E601='كشف حساب مشروع'!$C$6,I601="مرحل ✔"),COUNTIFS($E$11:E601,'كشف حساب مشروع'!$C$6,$I$11:I601,"مرحل ✔"),"")</f>
        <v/>
      </c>
      <c r="O601" s="55" t="str">
        <f aca="false">IF(AND(C601&lt;&gt;"",C601='دفتر الأستاذ'!$C$6,I601="مرحل ✔"),COUNTIFS($C$11:C601,'دفتر الأستاذ'!$C$6,$I$11:I601,"مرحل ✔"),"")</f>
        <v/>
      </c>
    </row>
    <row r="602" customFormat="false" ht="15" hidden="false" customHeight="false" outlineLevel="0" collapsed="false">
      <c r="A602" s="49"/>
      <c r="B602" s="50"/>
      <c r="C602" s="49"/>
      <c r="D602" s="51" t="str">
        <f aca="false">IF(C602="","",IFERROR(INDEX('شجرة الحسابات'!$B$9:$B$208,MATCH(C602,'شجرة الحسابات'!$A$9:$A$208,0)),"⚠ حساب غير معرف"))</f>
        <v/>
      </c>
      <c r="E602" s="52"/>
      <c r="F602" s="52"/>
      <c r="G602" s="53"/>
      <c r="H602" s="53"/>
      <c r="I602" s="54" t="str">
        <f aca="false">IF(A602="",IF(M602="فارغ","","✖ بدون رقم قيد"),IF(COUNTIFS('قيود اليومية'!$A$11:$A$1010,A602,'قيود اليومية'!$M$11:$M$1010,"&lt;&gt;OK",'قيود اليومية'!$M$11:$M$1010,"&lt;&gt;فارغ")&gt;0,"✖ خطأ بالحساب",IF(ROUND(SUMIFS('قيود اليومية'!$G$11:$G$1010,'قيود اليومية'!$A$11:$A$1010,A602)-SUMIFS('قيود اليومية'!$H$11:$H$1010,'قيود اليومية'!$A$11:$A$1010,A602),2)&lt;&gt;0,"✖ غير متوازن","مرحل ✔")))</f>
        <v/>
      </c>
      <c r="J602" s="55" t="str">
        <f aca="false">IF(C602="","",IFERROR(INDEX('شجرة الحسابات'!$E$9:$E$208,MATCH(C602,'شجرة الحسابات'!$A$9:$A$208,0))&amp;"",""))</f>
        <v/>
      </c>
      <c r="K602" s="55" t="str">
        <f aca="false">IF(C602="","",IFERROR(INDEX('شجرة الحسابات'!$I$9:$I$208,MATCH(C602,'شجرة الحسابات'!$A$9:$A$208,0))&amp;"",""))</f>
        <v/>
      </c>
      <c r="L602" s="55" t="str">
        <f aca="false">IF(C602="","",IFERROR(INDEX('شجرة الحسابات'!$C$9:$C$208,MATCH(C602,'شجرة الحسابات'!$A$9:$A$208,0))&amp;"",""))</f>
        <v/>
      </c>
      <c r="M602" s="55" t="str">
        <f aca="false">IF(AND(C602="",G602="",H602=""),"فارغ",IF(ISNA(MATCH(C602,'شجرة الحسابات'!$A$9:$A$208,0)),"حساب غير معرف",IF(L602&lt;&gt;"تحليلي","حساب تجميعي",IF(AND(N(G602)&gt;0,N(H602)&gt;0),"مدين ودائن معاً",IF(N(G602)+N(H602)=0,"بدون قيمة","OK")))))</f>
        <v>فارغ</v>
      </c>
      <c r="N602" s="55" t="str">
        <f aca="false">IF(AND(E602&lt;&gt;"",E602='كشف حساب مشروع'!$C$6,I602="مرحل ✔"),COUNTIFS($E$11:E602,'كشف حساب مشروع'!$C$6,$I$11:I602,"مرحل ✔"),"")</f>
        <v/>
      </c>
      <c r="O602" s="55" t="str">
        <f aca="false">IF(AND(C602&lt;&gt;"",C602='دفتر الأستاذ'!$C$6,I602="مرحل ✔"),COUNTIFS($C$11:C602,'دفتر الأستاذ'!$C$6,$I$11:I602,"مرحل ✔"),"")</f>
        <v/>
      </c>
    </row>
    <row r="603" customFormat="false" ht="15" hidden="false" customHeight="false" outlineLevel="0" collapsed="false">
      <c r="A603" s="49"/>
      <c r="B603" s="50"/>
      <c r="C603" s="49"/>
      <c r="D603" s="51" t="str">
        <f aca="false">IF(C603="","",IFERROR(INDEX('شجرة الحسابات'!$B$9:$B$208,MATCH(C603,'شجرة الحسابات'!$A$9:$A$208,0)),"⚠ حساب غير معرف"))</f>
        <v/>
      </c>
      <c r="E603" s="52"/>
      <c r="F603" s="52"/>
      <c r="G603" s="53"/>
      <c r="H603" s="53"/>
      <c r="I603" s="54" t="str">
        <f aca="false">IF(A603="",IF(M603="فارغ","","✖ بدون رقم قيد"),IF(COUNTIFS('قيود اليومية'!$A$11:$A$1010,A603,'قيود اليومية'!$M$11:$M$1010,"&lt;&gt;OK",'قيود اليومية'!$M$11:$M$1010,"&lt;&gt;فارغ")&gt;0,"✖ خطأ بالحساب",IF(ROUND(SUMIFS('قيود اليومية'!$G$11:$G$1010,'قيود اليومية'!$A$11:$A$1010,A603)-SUMIFS('قيود اليومية'!$H$11:$H$1010,'قيود اليومية'!$A$11:$A$1010,A603),2)&lt;&gt;0,"✖ غير متوازن","مرحل ✔")))</f>
        <v/>
      </c>
      <c r="J603" s="55" t="str">
        <f aca="false">IF(C603="","",IFERROR(INDEX('شجرة الحسابات'!$E$9:$E$208,MATCH(C603,'شجرة الحسابات'!$A$9:$A$208,0))&amp;"",""))</f>
        <v/>
      </c>
      <c r="K603" s="55" t="str">
        <f aca="false">IF(C603="","",IFERROR(INDEX('شجرة الحسابات'!$I$9:$I$208,MATCH(C603,'شجرة الحسابات'!$A$9:$A$208,0))&amp;"",""))</f>
        <v/>
      </c>
      <c r="L603" s="55" t="str">
        <f aca="false">IF(C603="","",IFERROR(INDEX('شجرة الحسابات'!$C$9:$C$208,MATCH(C603,'شجرة الحسابات'!$A$9:$A$208,0))&amp;"",""))</f>
        <v/>
      </c>
      <c r="M603" s="55" t="str">
        <f aca="false">IF(AND(C603="",G603="",H603=""),"فارغ",IF(ISNA(MATCH(C603,'شجرة الحسابات'!$A$9:$A$208,0)),"حساب غير معرف",IF(L603&lt;&gt;"تحليلي","حساب تجميعي",IF(AND(N(G603)&gt;0,N(H603)&gt;0),"مدين ودائن معاً",IF(N(G603)+N(H603)=0,"بدون قيمة","OK")))))</f>
        <v>فارغ</v>
      </c>
      <c r="N603" s="55" t="str">
        <f aca="false">IF(AND(E603&lt;&gt;"",E603='كشف حساب مشروع'!$C$6,I603="مرحل ✔"),COUNTIFS($E$11:E603,'كشف حساب مشروع'!$C$6,$I$11:I603,"مرحل ✔"),"")</f>
        <v/>
      </c>
      <c r="O603" s="55" t="str">
        <f aca="false">IF(AND(C603&lt;&gt;"",C603='دفتر الأستاذ'!$C$6,I603="مرحل ✔"),COUNTIFS($C$11:C603,'دفتر الأستاذ'!$C$6,$I$11:I603,"مرحل ✔"),"")</f>
        <v/>
      </c>
    </row>
    <row r="604" customFormat="false" ht="15" hidden="false" customHeight="false" outlineLevel="0" collapsed="false">
      <c r="A604" s="49"/>
      <c r="B604" s="50"/>
      <c r="C604" s="49"/>
      <c r="D604" s="51" t="str">
        <f aca="false">IF(C604="","",IFERROR(INDEX('شجرة الحسابات'!$B$9:$B$208,MATCH(C604,'شجرة الحسابات'!$A$9:$A$208,0)),"⚠ حساب غير معرف"))</f>
        <v/>
      </c>
      <c r="E604" s="52"/>
      <c r="F604" s="52"/>
      <c r="G604" s="53"/>
      <c r="H604" s="53"/>
      <c r="I604" s="54" t="str">
        <f aca="false">IF(A604="",IF(M604="فارغ","","✖ بدون رقم قيد"),IF(COUNTIFS('قيود اليومية'!$A$11:$A$1010,A604,'قيود اليومية'!$M$11:$M$1010,"&lt;&gt;OK",'قيود اليومية'!$M$11:$M$1010,"&lt;&gt;فارغ")&gt;0,"✖ خطأ بالحساب",IF(ROUND(SUMIFS('قيود اليومية'!$G$11:$G$1010,'قيود اليومية'!$A$11:$A$1010,A604)-SUMIFS('قيود اليومية'!$H$11:$H$1010,'قيود اليومية'!$A$11:$A$1010,A604),2)&lt;&gt;0,"✖ غير متوازن","مرحل ✔")))</f>
        <v/>
      </c>
      <c r="J604" s="55" t="str">
        <f aca="false">IF(C604="","",IFERROR(INDEX('شجرة الحسابات'!$E$9:$E$208,MATCH(C604,'شجرة الحسابات'!$A$9:$A$208,0))&amp;"",""))</f>
        <v/>
      </c>
      <c r="K604" s="55" t="str">
        <f aca="false">IF(C604="","",IFERROR(INDEX('شجرة الحسابات'!$I$9:$I$208,MATCH(C604,'شجرة الحسابات'!$A$9:$A$208,0))&amp;"",""))</f>
        <v/>
      </c>
      <c r="L604" s="55" t="str">
        <f aca="false">IF(C604="","",IFERROR(INDEX('شجرة الحسابات'!$C$9:$C$208,MATCH(C604,'شجرة الحسابات'!$A$9:$A$208,0))&amp;"",""))</f>
        <v/>
      </c>
      <c r="M604" s="55" t="str">
        <f aca="false">IF(AND(C604="",G604="",H604=""),"فارغ",IF(ISNA(MATCH(C604,'شجرة الحسابات'!$A$9:$A$208,0)),"حساب غير معرف",IF(L604&lt;&gt;"تحليلي","حساب تجميعي",IF(AND(N(G604)&gt;0,N(H604)&gt;0),"مدين ودائن معاً",IF(N(G604)+N(H604)=0,"بدون قيمة","OK")))))</f>
        <v>فارغ</v>
      </c>
      <c r="N604" s="55" t="str">
        <f aca="false">IF(AND(E604&lt;&gt;"",E604='كشف حساب مشروع'!$C$6,I604="مرحل ✔"),COUNTIFS($E$11:E604,'كشف حساب مشروع'!$C$6,$I$11:I604,"مرحل ✔"),"")</f>
        <v/>
      </c>
      <c r="O604" s="55" t="str">
        <f aca="false">IF(AND(C604&lt;&gt;"",C604='دفتر الأستاذ'!$C$6,I604="مرحل ✔"),COUNTIFS($C$11:C604,'دفتر الأستاذ'!$C$6,$I$11:I604,"مرحل ✔"),"")</f>
        <v/>
      </c>
    </row>
    <row r="605" customFormat="false" ht="15" hidden="false" customHeight="false" outlineLevel="0" collapsed="false">
      <c r="A605" s="49"/>
      <c r="B605" s="50"/>
      <c r="C605" s="49"/>
      <c r="D605" s="51" t="str">
        <f aca="false">IF(C605="","",IFERROR(INDEX('شجرة الحسابات'!$B$9:$B$208,MATCH(C605,'شجرة الحسابات'!$A$9:$A$208,0)),"⚠ حساب غير معرف"))</f>
        <v/>
      </c>
      <c r="E605" s="52"/>
      <c r="F605" s="52"/>
      <c r="G605" s="53"/>
      <c r="H605" s="53"/>
      <c r="I605" s="54" t="str">
        <f aca="false">IF(A605="",IF(M605="فارغ","","✖ بدون رقم قيد"),IF(COUNTIFS('قيود اليومية'!$A$11:$A$1010,A605,'قيود اليومية'!$M$11:$M$1010,"&lt;&gt;OK",'قيود اليومية'!$M$11:$M$1010,"&lt;&gt;فارغ")&gt;0,"✖ خطأ بالحساب",IF(ROUND(SUMIFS('قيود اليومية'!$G$11:$G$1010,'قيود اليومية'!$A$11:$A$1010,A605)-SUMIFS('قيود اليومية'!$H$11:$H$1010,'قيود اليومية'!$A$11:$A$1010,A605),2)&lt;&gt;0,"✖ غير متوازن","مرحل ✔")))</f>
        <v/>
      </c>
      <c r="J605" s="55" t="str">
        <f aca="false">IF(C605="","",IFERROR(INDEX('شجرة الحسابات'!$E$9:$E$208,MATCH(C605,'شجرة الحسابات'!$A$9:$A$208,0))&amp;"",""))</f>
        <v/>
      </c>
      <c r="K605" s="55" t="str">
        <f aca="false">IF(C605="","",IFERROR(INDEX('شجرة الحسابات'!$I$9:$I$208,MATCH(C605,'شجرة الحسابات'!$A$9:$A$208,0))&amp;"",""))</f>
        <v/>
      </c>
      <c r="L605" s="55" t="str">
        <f aca="false">IF(C605="","",IFERROR(INDEX('شجرة الحسابات'!$C$9:$C$208,MATCH(C605,'شجرة الحسابات'!$A$9:$A$208,0))&amp;"",""))</f>
        <v/>
      </c>
      <c r="M605" s="55" t="str">
        <f aca="false">IF(AND(C605="",G605="",H605=""),"فارغ",IF(ISNA(MATCH(C605,'شجرة الحسابات'!$A$9:$A$208,0)),"حساب غير معرف",IF(L605&lt;&gt;"تحليلي","حساب تجميعي",IF(AND(N(G605)&gt;0,N(H605)&gt;0),"مدين ودائن معاً",IF(N(G605)+N(H605)=0,"بدون قيمة","OK")))))</f>
        <v>فارغ</v>
      </c>
      <c r="N605" s="55" t="str">
        <f aca="false">IF(AND(E605&lt;&gt;"",E605='كشف حساب مشروع'!$C$6,I605="مرحل ✔"),COUNTIFS($E$11:E605,'كشف حساب مشروع'!$C$6,$I$11:I605,"مرحل ✔"),"")</f>
        <v/>
      </c>
      <c r="O605" s="55" t="str">
        <f aca="false">IF(AND(C605&lt;&gt;"",C605='دفتر الأستاذ'!$C$6,I605="مرحل ✔"),COUNTIFS($C$11:C605,'دفتر الأستاذ'!$C$6,$I$11:I605,"مرحل ✔"),"")</f>
        <v/>
      </c>
    </row>
    <row r="606" customFormat="false" ht="15" hidden="false" customHeight="false" outlineLevel="0" collapsed="false">
      <c r="A606" s="49"/>
      <c r="B606" s="50"/>
      <c r="C606" s="49"/>
      <c r="D606" s="51" t="str">
        <f aca="false">IF(C606="","",IFERROR(INDEX('شجرة الحسابات'!$B$9:$B$208,MATCH(C606,'شجرة الحسابات'!$A$9:$A$208,0)),"⚠ حساب غير معرف"))</f>
        <v/>
      </c>
      <c r="E606" s="52"/>
      <c r="F606" s="52"/>
      <c r="G606" s="53"/>
      <c r="H606" s="53"/>
      <c r="I606" s="54" t="str">
        <f aca="false">IF(A606="",IF(M606="فارغ","","✖ بدون رقم قيد"),IF(COUNTIFS('قيود اليومية'!$A$11:$A$1010,A606,'قيود اليومية'!$M$11:$M$1010,"&lt;&gt;OK",'قيود اليومية'!$M$11:$M$1010,"&lt;&gt;فارغ")&gt;0,"✖ خطأ بالحساب",IF(ROUND(SUMIFS('قيود اليومية'!$G$11:$G$1010,'قيود اليومية'!$A$11:$A$1010,A606)-SUMIFS('قيود اليومية'!$H$11:$H$1010,'قيود اليومية'!$A$11:$A$1010,A606),2)&lt;&gt;0,"✖ غير متوازن","مرحل ✔")))</f>
        <v/>
      </c>
      <c r="J606" s="55" t="str">
        <f aca="false">IF(C606="","",IFERROR(INDEX('شجرة الحسابات'!$E$9:$E$208,MATCH(C606,'شجرة الحسابات'!$A$9:$A$208,0))&amp;"",""))</f>
        <v/>
      </c>
      <c r="K606" s="55" t="str">
        <f aca="false">IF(C606="","",IFERROR(INDEX('شجرة الحسابات'!$I$9:$I$208,MATCH(C606,'شجرة الحسابات'!$A$9:$A$208,0))&amp;"",""))</f>
        <v/>
      </c>
      <c r="L606" s="55" t="str">
        <f aca="false">IF(C606="","",IFERROR(INDEX('شجرة الحسابات'!$C$9:$C$208,MATCH(C606,'شجرة الحسابات'!$A$9:$A$208,0))&amp;"",""))</f>
        <v/>
      </c>
      <c r="M606" s="55" t="str">
        <f aca="false">IF(AND(C606="",G606="",H606=""),"فارغ",IF(ISNA(MATCH(C606,'شجرة الحسابات'!$A$9:$A$208,0)),"حساب غير معرف",IF(L606&lt;&gt;"تحليلي","حساب تجميعي",IF(AND(N(G606)&gt;0,N(H606)&gt;0),"مدين ودائن معاً",IF(N(G606)+N(H606)=0,"بدون قيمة","OK")))))</f>
        <v>فارغ</v>
      </c>
      <c r="N606" s="55" t="str">
        <f aca="false">IF(AND(E606&lt;&gt;"",E606='كشف حساب مشروع'!$C$6,I606="مرحل ✔"),COUNTIFS($E$11:E606,'كشف حساب مشروع'!$C$6,$I$11:I606,"مرحل ✔"),"")</f>
        <v/>
      </c>
      <c r="O606" s="55" t="str">
        <f aca="false">IF(AND(C606&lt;&gt;"",C606='دفتر الأستاذ'!$C$6,I606="مرحل ✔"),COUNTIFS($C$11:C606,'دفتر الأستاذ'!$C$6,$I$11:I606,"مرحل ✔"),"")</f>
        <v/>
      </c>
    </row>
    <row r="607" customFormat="false" ht="15" hidden="false" customHeight="false" outlineLevel="0" collapsed="false">
      <c r="A607" s="49"/>
      <c r="B607" s="50"/>
      <c r="C607" s="49"/>
      <c r="D607" s="51" t="str">
        <f aca="false">IF(C607="","",IFERROR(INDEX('شجرة الحسابات'!$B$9:$B$208,MATCH(C607,'شجرة الحسابات'!$A$9:$A$208,0)),"⚠ حساب غير معرف"))</f>
        <v/>
      </c>
      <c r="E607" s="52"/>
      <c r="F607" s="52"/>
      <c r="G607" s="53"/>
      <c r="H607" s="53"/>
      <c r="I607" s="54" t="str">
        <f aca="false">IF(A607="",IF(M607="فارغ","","✖ بدون رقم قيد"),IF(COUNTIFS('قيود اليومية'!$A$11:$A$1010,A607,'قيود اليومية'!$M$11:$M$1010,"&lt;&gt;OK",'قيود اليومية'!$M$11:$M$1010,"&lt;&gt;فارغ")&gt;0,"✖ خطأ بالحساب",IF(ROUND(SUMIFS('قيود اليومية'!$G$11:$G$1010,'قيود اليومية'!$A$11:$A$1010,A607)-SUMIFS('قيود اليومية'!$H$11:$H$1010,'قيود اليومية'!$A$11:$A$1010,A607),2)&lt;&gt;0,"✖ غير متوازن","مرحل ✔")))</f>
        <v/>
      </c>
      <c r="J607" s="55" t="str">
        <f aca="false">IF(C607="","",IFERROR(INDEX('شجرة الحسابات'!$E$9:$E$208,MATCH(C607,'شجرة الحسابات'!$A$9:$A$208,0))&amp;"",""))</f>
        <v/>
      </c>
      <c r="K607" s="55" t="str">
        <f aca="false">IF(C607="","",IFERROR(INDEX('شجرة الحسابات'!$I$9:$I$208,MATCH(C607,'شجرة الحسابات'!$A$9:$A$208,0))&amp;"",""))</f>
        <v/>
      </c>
      <c r="L607" s="55" t="str">
        <f aca="false">IF(C607="","",IFERROR(INDEX('شجرة الحسابات'!$C$9:$C$208,MATCH(C607,'شجرة الحسابات'!$A$9:$A$208,0))&amp;"",""))</f>
        <v/>
      </c>
      <c r="M607" s="55" t="str">
        <f aca="false">IF(AND(C607="",G607="",H607=""),"فارغ",IF(ISNA(MATCH(C607,'شجرة الحسابات'!$A$9:$A$208,0)),"حساب غير معرف",IF(L607&lt;&gt;"تحليلي","حساب تجميعي",IF(AND(N(G607)&gt;0,N(H607)&gt;0),"مدين ودائن معاً",IF(N(G607)+N(H607)=0,"بدون قيمة","OK")))))</f>
        <v>فارغ</v>
      </c>
      <c r="N607" s="55" t="str">
        <f aca="false">IF(AND(E607&lt;&gt;"",E607='كشف حساب مشروع'!$C$6,I607="مرحل ✔"),COUNTIFS($E$11:E607,'كشف حساب مشروع'!$C$6,$I$11:I607,"مرحل ✔"),"")</f>
        <v/>
      </c>
      <c r="O607" s="55" t="str">
        <f aca="false">IF(AND(C607&lt;&gt;"",C607='دفتر الأستاذ'!$C$6,I607="مرحل ✔"),COUNTIFS($C$11:C607,'دفتر الأستاذ'!$C$6,$I$11:I607,"مرحل ✔"),"")</f>
        <v/>
      </c>
    </row>
    <row r="608" customFormat="false" ht="15" hidden="false" customHeight="false" outlineLevel="0" collapsed="false">
      <c r="A608" s="49"/>
      <c r="B608" s="50"/>
      <c r="C608" s="49"/>
      <c r="D608" s="51" t="str">
        <f aca="false">IF(C608="","",IFERROR(INDEX('شجرة الحسابات'!$B$9:$B$208,MATCH(C608,'شجرة الحسابات'!$A$9:$A$208,0)),"⚠ حساب غير معرف"))</f>
        <v/>
      </c>
      <c r="E608" s="52"/>
      <c r="F608" s="52"/>
      <c r="G608" s="53"/>
      <c r="H608" s="53"/>
      <c r="I608" s="54" t="str">
        <f aca="false">IF(A608="",IF(M608="فارغ","","✖ بدون رقم قيد"),IF(COUNTIFS('قيود اليومية'!$A$11:$A$1010,A608,'قيود اليومية'!$M$11:$M$1010,"&lt;&gt;OK",'قيود اليومية'!$M$11:$M$1010,"&lt;&gt;فارغ")&gt;0,"✖ خطأ بالحساب",IF(ROUND(SUMIFS('قيود اليومية'!$G$11:$G$1010,'قيود اليومية'!$A$11:$A$1010,A608)-SUMIFS('قيود اليومية'!$H$11:$H$1010,'قيود اليومية'!$A$11:$A$1010,A608),2)&lt;&gt;0,"✖ غير متوازن","مرحل ✔")))</f>
        <v/>
      </c>
      <c r="J608" s="55" t="str">
        <f aca="false">IF(C608="","",IFERROR(INDEX('شجرة الحسابات'!$E$9:$E$208,MATCH(C608,'شجرة الحسابات'!$A$9:$A$208,0))&amp;"",""))</f>
        <v/>
      </c>
      <c r="K608" s="55" t="str">
        <f aca="false">IF(C608="","",IFERROR(INDEX('شجرة الحسابات'!$I$9:$I$208,MATCH(C608,'شجرة الحسابات'!$A$9:$A$208,0))&amp;"",""))</f>
        <v/>
      </c>
      <c r="L608" s="55" t="str">
        <f aca="false">IF(C608="","",IFERROR(INDEX('شجرة الحسابات'!$C$9:$C$208,MATCH(C608,'شجرة الحسابات'!$A$9:$A$208,0))&amp;"",""))</f>
        <v/>
      </c>
      <c r="M608" s="55" t="str">
        <f aca="false">IF(AND(C608="",G608="",H608=""),"فارغ",IF(ISNA(MATCH(C608,'شجرة الحسابات'!$A$9:$A$208,0)),"حساب غير معرف",IF(L608&lt;&gt;"تحليلي","حساب تجميعي",IF(AND(N(G608)&gt;0,N(H608)&gt;0),"مدين ودائن معاً",IF(N(G608)+N(H608)=0,"بدون قيمة","OK")))))</f>
        <v>فارغ</v>
      </c>
      <c r="N608" s="55" t="str">
        <f aca="false">IF(AND(E608&lt;&gt;"",E608='كشف حساب مشروع'!$C$6,I608="مرحل ✔"),COUNTIFS($E$11:E608,'كشف حساب مشروع'!$C$6,$I$11:I608,"مرحل ✔"),"")</f>
        <v/>
      </c>
      <c r="O608" s="55" t="str">
        <f aca="false">IF(AND(C608&lt;&gt;"",C608='دفتر الأستاذ'!$C$6,I608="مرحل ✔"),COUNTIFS($C$11:C608,'دفتر الأستاذ'!$C$6,$I$11:I608,"مرحل ✔"),"")</f>
        <v/>
      </c>
    </row>
    <row r="609" customFormat="false" ht="15" hidden="false" customHeight="false" outlineLevel="0" collapsed="false">
      <c r="A609" s="49"/>
      <c r="B609" s="50"/>
      <c r="C609" s="49"/>
      <c r="D609" s="51" t="str">
        <f aca="false">IF(C609="","",IFERROR(INDEX('شجرة الحسابات'!$B$9:$B$208,MATCH(C609,'شجرة الحسابات'!$A$9:$A$208,0)),"⚠ حساب غير معرف"))</f>
        <v/>
      </c>
      <c r="E609" s="52"/>
      <c r="F609" s="52"/>
      <c r="G609" s="53"/>
      <c r="H609" s="53"/>
      <c r="I609" s="54" t="str">
        <f aca="false">IF(A609="",IF(M609="فارغ","","✖ بدون رقم قيد"),IF(COUNTIFS('قيود اليومية'!$A$11:$A$1010,A609,'قيود اليومية'!$M$11:$M$1010,"&lt;&gt;OK",'قيود اليومية'!$M$11:$M$1010,"&lt;&gt;فارغ")&gt;0,"✖ خطأ بالحساب",IF(ROUND(SUMIFS('قيود اليومية'!$G$11:$G$1010,'قيود اليومية'!$A$11:$A$1010,A609)-SUMIFS('قيود اليومية'!$H$11:$H$1010,'قيود اليومية'!$A$11:$A$1010,A609),2)&lt;&gt;0,"✖ غير متوازن","مرحل ✔")))</f>
        <v/>
      </c>
      <c r="J609" s="55" t="str">
        <f aca="false">IF(C609="","",IFERROR(INDEX('شجرة الحسابات'!$E$9:$E$208,MATCH(C609,'شجرة الحسابات'!$A$9:$A$208,0))&amp;"",""))</f>
        <v/>
      </c>
      <c r="K609" s="55" t="str">
        <f aca="false">IF(C609="","",IFERROR(INDEX('شجرة الحسابات'!$I$9:$I$208,MATCH(C609,'شجرة الحسابات'!$A$9:$A$208,0))&amp;"",""))</f>
        <v/>
      </c>
      <c r="L609" s="55" t="str">
        <f aca="false">IF(C609="","",IFERROR(INDEX('شجرة الحسابات'!$C$9:$C$208,MATCH(C609,'شجرة الحسابات'!$A$9:$A$208,0))&amp;"",""))</f>
        <v/>
      </c>
      <c r="M609" s="55" t="str">
        <f aca="false">IF(AND(C609="",G609="",H609=""),"فارغ",IF(ISNA(MATCH(C609,'شجرة الحسابات'!$A$9:$A$208,0)),"حساب غير معرف",IF(L609&lt;&gt;"تحليلي","حساب تجميعي",IF(AND(N(G609)&gt;0,N(H609)&gt;0),"مدين ودائن معاً",IF(N(G609)+N(H609)=0,"بدون قيمة","OK")))))</f>
        <v>فارغ</v>
      </c>
      <c r="N609" s="55" t="str">
        <f aca="false">IF(AND(E609&lt;&gt;"",E609='كشف حساب مشروع'!$C$6,I609="مرحل ✔"),COUNTIFS($E$11:E609,'كشف حساب مشروع'!$C$6,$I$11:I609,"مرحل ✔"),"")</f>
        <v/>
      </c>
      <c r="O609" s="55" t="str">
        <f aca="false">IF(AND(C609&lt;&gt;"",C609='دفتر الأستاذ'!$C$6,I609="مرحل ✔"),COUNTIFS($C$11:C609,'دفتر الأستاذ'!$C$6,$I$11:I609,"مرحل ✔"),"")</f>
        <v/>
      </c>
    </row>
    <row r="610" customFormat="false" ht="15" hidden="false" customHeight="false" outlineLevel="0" collapsed="false">
      <c r="A610" s="49"/>
      <c r="B610" s="50"/>
      <c r="C610" s="49"/>
      <c r="D610" s="51" t="str">
        <f aca="false">IF(C610="","",IFERROR(INDEX('شجرة الحسابات'!$B$9:$B$208,MATCH(C610,'شجرة الحسابات'!$A$9:$A$208,0)),"⚠ حساب غير معرف"))</f>
        <v/>
      </c>
      <c r="E610" s="52"/>
      <c r="F610" s="52"/>
      <c r="G610" s="53"/>
      <c r="H610" s="53"/>
      <c r="I610" s="54" t="str">
        <f aca="false">IF(A610="",IF(M610="فارغ","","✖ بدون رقم قيد"),IF(COUNTIFS('قيود اليومية'!$A$11:$A$1010,A610,'قيود اليومية'!$M$11:$M$1010,"&lt;&gt;OK",'قيود اليومية'!$M$11:$M$1010,"&lt;&gt;فارغ")&gt;0,"✖ خطأ بالحساب",IF(ROUND(SUMIFS('قيود اليومية'!$G$11:$G$1010,'قيود اليومية'!$A$11:$A$1010,A610)-SUMIFS('قيود اليومية'!$H$11:$H$1010,'قيود اليومية'!$A$11:$A$1010,A610),2)&lt;&gt;0,"✖ غير متوازن","مرحل ✔")))</f>
        <v/>
      </c>
      <c r="J610" s="55" t="str">
        <f aca="false">IF(C610="","",IFERROR(INDEX('شجرة الحسابات'!$E$9:$E$208,MATCH(C610,'شجرة الحسابات'!$A$9:$A$208,0))&amp;"",""))</f>
        <v/>
      </c>
      <c r="K610" s="55" t="str">
        <f aca="false">IF(C610="","",IFERROR(INDEX('شجرة الحسابات'!$I$9:$I$208,MATCH(C610,'شجرة الحسابات'!$A$9:$A$208,0))&amp;"",""))</f>
        <v/>
      </c>
      <c r="L610" s="55" t="str">
        <f aca="false">IF(C610="","",IFERROR(INDEX('شجرة الحسابات'!$C$9:$C$208,MATCH(C610,'شجرة الحسابات'!$A$9:$A$208,0))&amp;"",""))</f>
        <v/>
      </c>
      <c r="M610" s="55" t="str">
        <f aca="false">IF(AND(C610="",G610="",H610=""),"فارغ",IF(ISNA(MATCH(C610,'شجرة الحسابات'!$A$9:$A$208,0)),"حساب غير معرف",IF(L610&lt;&gt;"تحليلي","حساب تجميعي",IF(AND(N(G610)&gt;0,N(H610)&gt;0),"مدين ودائن معاً",IF(N(G610)+N(H610)=0,"بدون قيمة","OK")))))</f>
        <v>فارغ</v>
      </c>
      <c r="N610" s="55" t="str">
        <f aca="false">IF(AND(E610&lt;&gt;"",E610='كشف حساب مشروع'!$C$6,I610="مرحل ✔"),COUNTIFS($E$11:E610,'كشف حساب مشروع'!$C$6,$I$11:I610,"مرحل ✔"),"")</f>
        <v/>
      </c>
      <c r="O610" s="55" t="str">
        <f aca="false">IF(AND(C610&lt;&gt;"",C610='دفتر الأستاذ'!$C$6,I610="مرحل ✔"),COUNTIFS($C$11:C610,'دفتر الأستاذ'!$C$6,$I$11:I610,"مرحل ✔"),"")</f>
        <v/>
      </c>
    </row>
    <row r="611" customFormat="false" ht="15" hidden="false" customHeight="false" outlineLevel="0" collapsed="false">
      <c r="A611" s="49"/>
      <c r="B611" s="50"/>
      <c r="C611" s="49"/>
      <c r="D611" s="51" t="str">
        <f aca="false">IF(C611="","",IFERROR(INDEX('شجرة الحسابات'!$B$9:$B$208,MATCH(C611,'شجرة الحسابات'!$A$9:$A$208,0)),"⚠ حساب غير معرف"))</f>
        <v/>
      </c>
      <c r="E611" s="52"/>
      <c r="F611" s="52"/>
      <c r="G611" s="53"/>
      <c r="H611" s="53"/>
      <c r="I611" s="54" t="str">
        <f aca="false">IF(A611="",IF(M611="فارغ","","✖ بدون رقم قيد"),IF(COUNTIFS('قيود اليومية'!$A$11:$A$1010,A611,'قيود اليومية'!$M$11:$M$1010,"&lt;&gt;OK",'قيود اليومية'!$M$11:$M$1010,"&lt;&gt;فارغ")&gt;0,"✖ خطأ بالحساب",IF(ROUND(SUMIFS('قيود اليومية'!$G$11:$G$1010,'قيود اليومية'!$A$11:$A$1010,A611)-SUMIFS('قيود اليومية'!$H$11:$H$1010,'قيود اليومية'!$A$11:$A$1010,A611),2)&lt;&gt;0,"✖ غير متوازن","مرحل ✔")))</f>
        <v/>
      </c>
      <c r="J611" s="55" t="str">
        <f aca="false">IF(C611="","",IFERROR(INDEX('شجرة الحسابات'!$E$9:$E$208,MATCH(C611,'شجرة الحسابات'!$A$9:$A$208,0))&amp;"",""))</f>
        <v/>
      </c>
      <c r="K611" s="55" t="str">
        <f aca="false">IF(C611="","",IFERROR(INDEX('شجرة الحسابات'!$I$9:$I$208,MATCH(C611,'شجرة الحسابات'!$A$9:$A$208,0))&amp;"",""))</f>
        <v/>
      </c>
      <c r="L611" s="55" t="str">
        <f aca="false">IF(C611="","",IFERROR(INDEX('شجرة الحسابات'!$C$9:$C$208,MATCH(C611,'شجرة الحسابات'!$A$9:$A$208,0))&amp;"",""))</f>
        <v/>
      </c>
      <c r="M611" s="55" t="str">
        <f aca="false">IF(AND(C611="",G611="",H611=""),"فارغ",IF(ISNA(MATCH(C611,'شجرة الحسابات'!$A$9:$A$208,0)),"حساب غير معرف",IF(L611&lt;&gt;"تحليلي","حساب تجميعي",IF(AND(N(G611)&gt;0,N(H611)&gt;0),"مدين ودائن معاً",IF(N(G611)+N(H611)=0,"بدون قيمة","OK")))))</f>
        <v>فارغ</v>
      </c>
      <c r="N611" s="55" t="str">
        <f aca="false">IF(AND(E611&lt;&gt;"",E611='كشف حساب مشروع'!$C$6,I611="مرحل ✔"),COUNTIFS($E$11:E611,'كشف حساب مشروع'!$C$6,$I$11:I611,"مرحل ✔"),"")</f>
        <v/>
      </c>
      <c r="O611" s="55" t="str">
        <f aca="false">IF(AND(C611&lt;&gt;"",C611='دفتر الأستاذ'!$C$6,I611="مرحل ✔"),COUNTIFS($C$11:C611,'دفتر الأستاذ'!$C$6,$I$11:I611,"مرحل ✔"),"")</f>
        <v/>
      </c>
    </row>
    <row r="612" customFormat="false" ht="15" hidden="false" customHeight="false" outlineLevel="0" collapsed="false">
      <c r="A612" s="49"/>
      <c r="B612" s="50"/>
      <c r="C612" s="49"/>
      <c r="D612" s="51" t="str">
        <f aca="false">IF(C612="","",IFERROR(INDEX('شجرة الحسابات'!$B$9:$B$208,MATCH(C612,'شجرة الحسابات'!$A$9:$A$208,0)),"⚠ حساب غير معرف"))</f>
        <v/>
      </c>
      <c r="E612" s="52"/>
      <c r="F612" s="52"/>
      <c r="G612" s="53"/>
      <c r="H612" s="53"/>
      <c r="I612" s="54" t="str">
        <f aca="false">IF(A612="",IF(M612="فارغ","","✖ بدون رقم قيد"),IF(COUNTIFS('قيود اليومية'!$A$11:$A$1010,A612,'قيود اليومية'!$M$11:$M$1010,"&lt;&gt;OK",'قيود اليومية'!$M$11:$M$1010,"&lt;&gt;فارغ")&gt;0,"✖ خطأ بالحساب",IF(ROUND(SUMIFS('قيود اليومية'!$G$11:$G$1010,'قيود اليومية'!$A$11:$A$1010,A612)-SUMIFS('قيود اليومية'!$H$11:$H$1010,'قيود اليومية'!$A$11:$A$1010,A612),2)&lt;&gt;0,"✖ غير متوازن","مرحل ✔")))</f>
        <v/>
      </c>
      <c r="J612" s="55" t="str">
        <f aca="false">IF(C612="","",IFERROR(INDEX('شجرة الحسابات'!$E$9:$E$208,MATCH(C612,'شجرة الحسابات'!$A$9:$A$208,0))&amp;"",""))</f>
        <v/>
      </c>
      <c r="K612" s="55" t="str">
        <f aca="false">IF(C612="","",IFERROR(INDEX('شجرة الحسابات'!$I$9:$I$208,MATCH(C612,'شجرة الحسابات'!$A$9:$A$208,0))&amp;"",""))</f>
        <v/>
      </c>
      <c r="L612" s="55" t="str">
        <f aca="false">IF(C612="","",IFERROR(INDEX('شجرة الحسابات'!$C$9:$C$208,MATCH(C612,'شجرة الحسابات'!$A$9:$A$208,0))&amp;"",""))</f>
        <v/>
      </c>
      <c r="M612" s="55" t="str">
        <f aca="false">IF(AND(C612="",G612="",H612=""),"فارغ",IF(ISNA(MATCH(C612,'شجرة الحسابات'!$A$9:$A$208,0)),"حساب غير معرف",IF(L612&lt;&gt;"تحليلي","حساب تجميعي",IF(AND(N(G612)&gt;0,N(H612)&gt;0),"مدين ودائن معاً",IF(N(G612)+N(H612)=0,"بدون قيمة","OK")))))</f>
        <v>فارغ</v>
      </c>
      <c r="N612" s="55" t="str">
        <f aca="false">IF(AND(E612&lt;&gt;"",E612='كشف حساب مشروع'!$C$6,I612="مرحل ✔"),COUNTIFS($E$11:E612,'كشف حساب مشروع'!$C$6,$I$11:I612,"مرحل ✔"),"")</f>
        <v/>
      </c>
      <c r="O612" s="55" t="str">
        <f aca="false">IF(AND(C612&lt;&gt;"",C612='دفتر الأستاذ'!$C$6,I612="مرحل ✔"),COUNTIFS($C$11:C612,'دفتر الأستاذ'!$C$6,$I$11:I612,"مرحل ✔"),"")</f>
        <v/>
      </c>
    </row>
    <row r="613" customFormat="false" ht="15" hidden="false" customHeight="false" outlineLevel="0" collapsed="false">
      <c r="A613" s="49"/>
      <c r="B613" s="50"/>
      <c r="C613" s="49"/>
      <c r="D613" s="51" t="str">
        <f aca="false">IF(C613="","",IFERROR(INDEX('شجرة الحسابات'!$B$9:$B$208,MATCH(C613,'شجرة الحسابات'!$A$9:$A$208,0)),"⚠ حساب غير معرف"))</f>
        <v/>
      </c>
      <c r="E613" s="52"/>
      <c r="F613" s="52"/>
      <c r="G613" s="53"/>
      <c r="H613" s="53"/>
      <c r="I613" s="54" t="str">
        <f aca="false">IF(A613="",IF(M613="فارغ","","✖ بدون رقم قيد"),IF(COUNTIFS('قيود اليومية'!$A$11:$A$1010,A613,'قيود اليومية'!$M$11:$M$1010,"&lt;&gt;OK",'قيود اليومية'!$M$11:$M$1010,"&lt;&gt;فارغ")&gt;0,"✖ خطأ بالحساب",IF(ROUND(SUMIFS('قيود اليومية'!$G$11:$G$1010,'قيود اليومية'!$A$11:$A$1010,A613)-SUMIFS('قيود اليومية'!$H$11:$H$1010,'قيود اليومية'!$A$11:$A$1010,A613),2)&lt;&gt;0,"✖ غير متوازن","مرحل ✔")))</f>
        <v/>
      </c>
      <c r="J613" s="55" t="str">
        <f aca="false">IF(C613="","",IFERROR(INDEX('شجرة الحسابات'!$E$9:$E$208,MATCH(C613,'شجرة الحسابات'!$A$9:$A$208,0))&amp;"",""))</f>
        <v/>
      </c>
      <c r="K613" s="55" t="str">
        <f aca="false">IF(C613="","",IFERROR(INDEX('شجرة الحسابات'!$I$9:$I$208,MATCH(C613,'شجرة الحسابات'!$A$9:$A$208,0))&amp;"",""))</f>
        <v/>
      </c>
      <c r="L613" s="55" t="str">
        <f aca="false">IF(C613="","",IFERROR(INDEX('شجرة الحسابات'!$C$9:$C$208,MATCH(C613,'شجرة الحسابات'!$A$9:$A$208,0))&amp;"",""))</f>
        <v/>
      </c>
      <c r="M613" s="55" t="str">
        <f aca="false">IF(AND(C613="",G613="",H613=""),"فارغ",IF(ISNA(MATCH(C613,'شجرة الحسابات'!$A$9:$A$208,0)),"حساب غير معرف",IF(L613&lt;&gt;"تحليلي","حساب تجميعي",IF(AND(N(G613)&gt;0,N(H613)&gt;0),"مدين ودائن معاً",IF(N(G613)+N(H613)=0,"بدون قيمة","OK")))))</f>
        <v>فارغ</v>
      </c>
      <c r="N613" s="55" t="str">
        <f aca="false">IF(AND(E613&lt;&gt;"",E613='كشف حساب مشروع'!$C$6,I613="مرحل ✔"),COUNTIFS($E$11:E613,'كشف حساب مشروع'!$C$6,$I$11:I613,"مرحل ✔"),"")</f>
        <v/>
      </c>
      <c r="O613" s="55" t="str">
        <f aca="false">IF(AND(C613&lt;&gt;"",C613='دفتر الأستاذ'!$C$6,I613="مرحل ✔"),COUNTIFS($C$11:C613,'دفتر الأستاذ'!$C$6,$I$11:I613,"مرحل ✔"),"")</f>
        <v/>
      </c>
    </row>
    <row r="614" customFormat="false" ht="15" hidden="false" customHeight="false" outlineLevel="0" collapsed="false">
      <c r="A614" s="49"/>
      <c r="B614" s="50"/>
      <c r="C614" s="49"/>
      <c r="D614" s="51" t="str">
        <f aca="false">IF(C614="","",IFERROR(INDEX('شجرة الحسابات'!$B$9:$B$208,MATCH(C614,'شجرة الحسابات'!$A$9:$A$208,0)),"⚠ حساب غير معرف"))</f>
        <v/>
      </c>
      <c r="E614" s="52"/>
      <c r="F614" s="52"/>
      <c r="G614" s="53"/>
      <c r="H614" s="53"/>
      <c r="I614" s="54" t="str">
        <f aca="false">IF(A614="",IF(M614="فارغ","","✖ بدون رقم قيد"),IF(COUNTIFS('قيود اليومية'!$A$11:$A$1010,A614,'قيود اليومية'!$M$11:$M$1010,"&lt;&gt;OK",'قيود اليومية'!$M$11:$M$1010,"&lt;&gt;فارغ")&gt;0,"✖ خطأ بالحساب",IF(ROUND(SUMIFS('قيود اليومية'!$G$11:$G$1010,'قيود اليومية'!$A$11:$A$1010,A614)-SUMIFS('قيود اليومية'!$H$11:$H$1010,'قيود اليومية'!$A$11:$A$1010,A614),2)&lt;&gt;0,"✖ غير متوازن","مرحل ✔")))</f>
        <v/>
      </c>
      <c r="J614" s="55" t="str">
        <f aca="false">IF(C614="","",IFERROR(INDEX('شجرة الحسابات'!$E$9:$E$208,MATCH(C614,'شجرة الحسابات'!$A$9:$A$208,0))&amp;"",""))</f>
        <v/>
      </c>
      <c r="K614" s="55" t="str">
        <f aca="false">IF(C614="","",IFERROR(INDEX('شجرة الحسابات'!$I$9:$I$208,MATCH(C614,'شجرة الحسابات'!$A$9:$A$208,0))&amp;"",""))</f>
        <v/>
      </c>
      <c r="L614" s="55" t="str">
        <f aca="false">IF(C614="","",IFERROR(INDEX('شجرة الحسابات'!$C$9:$C$208,MATCH(C614,'شجرة الحسابات'!$A$9:$A$208,0))&amp;"",""))</f>
        <v/>
      </c>
      <c r="M614" s="55" t="str">
        <f aca="false">IF(AND(C614="",G614="",H614=""),"فارغ",IF(ISNA(MATCH(C614,'شجرة الحسابات'!$A$9:$A$208,0)),"حساب غير معرف",IF(L614&lt;&gt;"تحليلي","حساب تجميعي",IF(AND(N(G614)&gt;0,N(H614)&gt;0),"مدين ودائن معاً",IF(N(G614)+N(H614)=0,"بدون قيمة","OK")))))</f>
        <v>فارغ</v>
      </c>
      <c r="N614" s="55" t="str">
        <f aca="false">IF(AND(E614&lt;&gt;"",E614='كشف حساب مشروع'!$C$6,I614="مرحل ✔"),COUNTIFS($E$11:E614,'كشف حساب مشروع'!$C$6,$I$11:I614,"مرحل ✔"),"")</f>
        <v/>
      </c>
      <c r="O614" s="55" t="str">
        <f aca="false">IF(AND(C614&lt;&gt;"",C614='دفتر الأستاذ'!$C$6,I614="مرحل ✔"),COUNTIFS($C$11:C614,'دفتر الأستاذ'!$C$6,$I$11:I614,"مرحل ✔"),"")</f>
        <v/>
      </c>
    </row>
    <row r="615" customFormat="false" ht="15" hidden="false" customHeight="false" outlineLevel="0" collapsed="false">
      <c r="A615" s="49"/>
      <c r="B615" s="50"/>
      <c r="C615" s="49"/>
      <c r="D615" s="51" t="str">
        <f aca="false">IF(C615="","",IFERROR(INDEX('شجرة الحسابات'!$B$9:$B$208,MATCH(C615,'شجرة الحسابات'!$A$9:$A$208,0)),"⚠ حساب غير معرف"))</f>
        <v/>
      </c>
      <c r="E615" s="52"/>
      <c r="F615" s="52"/>
      <c r="G615" s="53"/>
      <c r="H615" s="53"/>
      <c r="I615" s="54" t="str">
        <f aca="false">IF(A615="",IF(M615="فارغ","","✖ بدون رقم قيد"),IF(COUNTIFS('قيود اليومية'!$A$11:$A$1010,A615,'قيود اليومية'!$M$11:$M$1010,"&lt;&gt;OK",'قيود اليومية'!$M$11:$M$1010,"&lt;&gt;فارغ")&gt;0,"✖ خطأ بالحساب",IF(ROUND(SUMIFS('قيود اليومية'!$G$11:$G$1010,'قيود اليومية'!$A$11:$A$1010,A615)-SUMIFS('قيود اليومية'!$H$11:$H$1010,'قيود اليومية'!$A$11:$A$1010,A615),2)&lt;&gt;0,"✖ غير متوازن","مرحل ✔")))</f>
        <v/>
      </c>
      <c r="J615" s="55" t="str">
        <f aca="false">IF(C615="","",IFERROR(INDEX('شجرة الحسابات'!$E$9:$E$208,MATCH(C615,'شجرة الحسابات'!$A$9:$A$208,0))&amp;"",""))</f>
        <v/>
      </c>
      <c r="K615" s="55" t="str">
        <f aca="false">IF(C615="","",IFERROR(INDEX('شجرة الحسابات'!$I$9:$I$208,MATCH(C615,'شجرة الحسابات'!$A$9:$A$208,0))&amp;"",""))</f>
        <v/>
      </c>
      <c r="L615" s="55" t="str">
        <f aca="false">IF(C615="","",IFERROR(INDEX('شجرة الحسابات'!$C$9:$C$208,MATCH(C615,'شجرة الحسابات'!$A$9:$A$208,0))&amp;"",""))</f>
        <v/>
      </c>
      <c r="M615" s="55" t="str">
        <f aca="false">IF(AND(C615="",G615="",H615=""),"فارغ",IF(ISNA(MATCH(C615,'شجرة الحسابات'!$A$9:$A$208,0)),"حساب غير معرف",IF(L615&lt;&gt;"تحليلي","حساب تجميعي",IF(AND(N(G615)&gt;0,N(H615)&gt;0),"مدين ودائن معاً",IF(N(G615)+N(H615)=0,"بدون قيمة","OK")))))</f>
        <v>فارغ</v>
      </c>
      <c r="N615" s="55" t="str">
        <f aca="false">IF(AND(E615&lt;&gt;"",E615='كشف حساب مشروع'!$C$6,I615="مرحل ✔"),COUNTIFS($E$11:E615,'كشف حساب مشروع'!$C$6,$I$11:I615,"مرحل ✔"),"")</f>
        <v/>
      </c>
      <c r="O615" s="55" t="str">
        <f aca="false">IF(AND(C615&lt;&gt;"",C615='دفتر الأستاذ'!$C$6,I615="مرحل ✔"),COUNTIFS($C$11:C615,'دفتر الأستاذ'!$C$6,$I$11:I615,"مرحل ✔"),"")</f>
        <v/>
      </c>
    </row>
    <row r="616" customFormat="false" ht="15" hidden="false" customHeight="false" outlineLevel="0" collapsed="false">
      <c r="A616" s="49"/>
      <c r="B616" s="50"/>
      <c r="C616" s="49"/>
      <c r="D616" s="51" t="str">
        <f aca="false">IF(C616="","",IFERROR(INDEX('شجرة الحسابات'!$B$9:$B$208,MATCH(C616,'شجرة الحسابات'!$A$9:$A$208,0)),"⚠ حساب غير معرف"))</f>
        <v/>
      </c>
      <c r="E616" s="52"/>
      <c r="F616" s="52"/>
      <c r="G616" s="53"/>
      <c r="H616" s="53"/>
      <c r="I616" s="54" t="str">
        <f aca="false">IF(A616="",IF(M616="فارغ","","✖ بدون رقم قيد"),IF(COUNTIFS('قيود اليومية'!$A$11:$A$1010,A616,'قيود اليومية'!$M$11:$M$1010,"&lt;&gt;OK",'قيود اليومية'!$M$11:$M$1010,"&lt;&gt;فارغ")&gt;0,"✖ خطأ بالحساب",IF(ROUND(SUMIFS('قيود اليومية'!$G$11:$G$1010,'قيود اليومية'!$A$11:$A$1010,A616)-SUMIFS('قيود اليومية'!$H$11:$H$1010,'قيود اليومية'!$A$11:$A$1010,A616),2)&lt;&gt;0,"✖ غير متوازن","مرحل ✔")))</f>
        <v/>
      </c>
      <c r="J616" s="55" t="str">
        <f aca="false">IF(C616="","",IFERROR(INDEX('شجرة الحسابات'!$E$9:$E$208,MATCH(C616,'شجرة الحسابات'!$A$9:$A$208,0))&amp;"",""))</f>
        <v/>
      </c>
      <c r="K616" s="55" t="str">
        <f aca="false">IF(C616="","",IFERROR(INDEX('شجرة الحسابات'!$I$9:$I$208,MATCH(C616,'شجرة الحسابات'!$A$9:$A$208,0))&amp;"",""))</f>
        <v/>
      </c>
      <c r="L616" s="55" t="str">
        <f aca="false">IF(C616="","",IFERROR(INDEX('شجرة الحسابات'!$C$9:$C$208,MATCH(C616,'شجرة الحسابات'!$A$9:$A$208,0))&amp;"",""))</f>
        <v/>
      </c>
      <c r="M616" s="55" t="str">
        <f aca="false">IF(AND(C616="",G616="",H616=""),"فارغ",IF(ISNA(MATCH(C616,'شجرة الحسابات'!$A$9:$A$208,0)),"حساب غير معرف",IF(L616&lt;&gt;"تحليلي","حساب تجميعي",IF(AND(N(G616)&gt;0,N(H616)&gt;0),"مدين ودائن معاً",IF(N(G616)+N(H616)=0,"بدون قيمة","OK")))))</f>
        <v>فارغ</v>
      </c>
      <c r="N616" s="55" t="str">
        <f aca="false">IF(AND(E616&lt;&gt;"",E616='كشف حساب مشروع'!$C$6,I616="مرحل ✔"),COUNTIFS($E$11:E616,'كشف حساب مشروع'!$C$6,$I$11:I616,"مرحل ✔"),"")</f>
        <v/>
      </c>
      <c r="O616" s="55" t="str">
        <f aca="false">IF(AND(C616&lt;&gt;"",C616='دفتر الأستاذ'!$C$6,I616="مرحل ✔"),COUNTIFS($C$11:C616,'دفتر الأستاذ'!$C$6,$I$11:I616,"مرحل ✔"),"")</f>
        <v/>
      </c>
    </row>
    <row r="617" customFormat="false" ht="15" hidden="false" customHeight="false" outlineLevel="0" collapsed="false">
      <c r="A617" s="49"/>
      <c r="B617" s="50"/>
      <c r="C617" s="49"/>
      <c r="D617" s="51" t="str">
        <f aca="false">IF(C617="","",IFERROR(INDEX('شجرة الحسابات'!$B$9:$B$208,MATCH(C617,'شجرة الحسابات'!$A$9:$A$208,0)),"⚠ حساب غير معرف"))</f>
        <v/>
      </c>
      <c r="E617" s="52"/>
      <c r="F617" s="52"/>
      <c r="G617" s="53"/>
      <c r="H617" s="53"/>
      <c r="I617" s="54" t="str">
        <f aca="false">IF(A617="",IF(M617="فارغ","","✖ بدون رقم قيد"),IF(COUNTIFS('قيود اليومية'!$A$11:$A$1010,A617,'قيود اليومية'!$M$11:$M$1010,"&lt;&gt;OK",'قيود اليومية'!$M$11:$M$1010,"&lt;&gt;فارغ")&gt;0,"✖ خطأ بالحساب",IF(ROUND(SUMIFS('قيود اليومية'!$G$11:$G$1010,'قيود اليومية'!$A$11:$A$1010,A617)-SUMIFS('قيود اليومية'!$H$11:$H$1010,'قيود اليومية'!$A$11:$A$1010,A617),2)&lt;&gt;0,"✖ غير متوازن","مرحل ✔")))</f>
        <v/>
      </c>
      <c r="J617" s="55" t="str">
        <f aca="false">IF(C617="","",IFERROR(INDEX('شجرة الحسابات'!$E$9:$E$208,MATCH(C617,'شجرة الحسابات'!$A$9:$A$208,0))&amp;"",""))</f>
        <v/>
      </c>
      <c r="K617" s="55" t="str">
        <f aca="false">IF(C617="","",IFERROR(INDEX('شجرة الحسابات'!$I$9:$I$208,MATCH(C617,'شجرة الحسابات'!$A$9:$A$208,0))&amp;"",""))</f>
        <v/>
      </c>
      <c r="L617" s="55" t="str">
        <f aca="false">IF(C617="","",IFERROR(INDEX('شجرة الحسابات'!$C$9:$C$208,MATCH(C617,'شجرة الحسابات'!$A$9:$A$208,0))&amp;"",""))</f>
        <v/>
      </c>
      <c r="M617" s="55" t="str">
        <f aca="false">IF(AND(C617="",G617="",H617=""),"فارغ",IF(ISNA(MATCH(C617,'شجرة الحسابات'!$A$9:$A$208,0)),"حساب غير معرف",IF(L617&lt;&gt;"تحليلي","حساب تجميعي",IF(AND(N(G617)&gt;0,N(H617)&gt;0),"مدين ودائن معاً",IF(N(G617)+N(H617)=0,"بدون قيمة","OK")))))</f>
        <v>فارغ</v>
      </c>
      <c r="N617" s="55" t="str">
        <f aca="false">IF(AND(E617&lt;&gt;"",E617='كشف حساب مشروع'!$C$6,I617="مرحل ✔"),COUNTIFS($E$11:E617,'كشف حساب مشروع'!$C$6,$I$11:I617,"مرحل ✔"),"")</f>
        <v/>
      </c>
      <c r="O617" s="55" t="str">
        <f aca="false">IF(AND(C617&lt;&gt;"",C617='دفتر الأستاذ'!$C$6,I617="مرحل ✔"),COUNTIFS($C$11:C617,'دفتر الأستاذ'!$C$6,$I$11:I617,"مرحل ✔"),"")</f>
        <v/>
      </c>
    </row>
    <row r="618" customFormat="false" ht="15" hidden="false" customHeight="false" outlineLevel="0" collapsed="false">
      <c r="A618" s="49"/>
      <c r="B618" s="50"/>
      <c r="C618" s="49"/>
      <c r="D618" s="51" t="str">
        <f aca="false">IF(C618="","",IFERROR(INDEX('شجرة الحسابات'!$B$9:$B$208,MATCH(C618,'شجرة الحسابات'!$A$9:$A$208,0)),"⚠ حساب غير معرف"))</f>
        <v/>
      </c>
      <c r="E618" s="52"/>
      <c r="F618" s="52"/>
      <c r="G618" s="53"/>
      <c r="H618" s="53"/>
      <c r="I618" s="54" t="str">
        <f aca="false">IF(A618="",IF(M618="فارغ","","✖ بدون رقم قيد"),IF(COUNTIFS('قيود اليومية'!$A$11:$A$1010,A618,'قيود اليومية'!$M$11:$M$1010,"&lt;&gt;OK",'قيود اليومية'!$M$11:$M$1010,"&lt;&gt;فارغ")&gt;0,"✖ خطأ بالحساب",IF(ROUND(SUMIFS('قيود اليومية'!$G$11:$G$1010,'قيود اليومية'!$A$11:$A$1010,A618)-SUMIFS('قيود اليومية'!$H$11:$H$1010,'قيود اليومية'!$A$11:$A$1010,A618),2)&lt;&gt;0,"✖ غير متوازن","مرحل ✔")))</f>
        <v/>
      </c>
      <c r="J618" s="55" t="str">
        <f aca="false">IF(C618="","",IFERROR(INDEX('شجرة الحسابات'!$E$9:$E$208,MATCH(C618,'شجرة الحسابات'!$A$9:$A$208,0))&amp;"",""))</f>
        <v/>
      </c>
      <c r="K618" s="55" t="str">
        <f aca="false">IF(C618="","",IFERROR(INDEX('شجرة الحسابات'!$I$9:$I$208,MATCH(C618,'شجرة الحسابات'!$A$9:$A$208,0))&amp;"",""))</f>
        <v/>
      </c>
      <c r="L618" s="55" t="str">
        <f aca="false">IF(C618="","",IFERROR(INDEX('شجرة الحسابات'!$C$9:$C$208,MATCH(C618,'شجرة الحسابات'!$A$9:$A$208,0))&amp;"",""))</f>
        <v/>
      </c>
      <c r="M618" s="55" t="str">
        <f aca="false">IF(AND(C618="",G618="",H618=""),"فارغ",IF(ISNA(MATCH(C618,'شجرة الحسابات'!$A$9:$A$208,0)),"حساب غير معرف",IF(L618&lt;&gt;"تحليلي","حساب تجميعي",IF(AND(N(G618)&gt;0,N(H618)&gt;0),"مدين ودائن معاً",IF(N(G618)+N(H618)=0,"بدون قيمة","OK")))))</f>
        <v>فارغ</v>
      </c>
      <c r="N618" s="55" t="str">
        <f aca="false">IF(AND(E618&lt;&gt;"",E618='كشف حساب مشروع'!$C$6,I618="مرحل ✔"),COUNTIFS($E$11:E618,'كشف حساب مشروع'!$C$6,$I$11:I618,"مرحل ✔"),"")</f>
        <v/>
      </c>
      <c r="O618" s="55" t="str">
        <f aca="false">IF(AND(C618&lt;&gt;"",C618='دفتر الأستاذ'!$C$6,I618="مرحل ✔"),COUNTIFS($C$11:C618,'دفتر الأستاذ'!$C$6,$I$11:I618,"مرحل ✔"),"")</f>
        <v/>
      </c>
    </row>
    <row r="619" customFormat="false" ht="15" hidden="false" customHeight="false" outlineLevel="0" collapsed="false">
      <c r="A619" s="49"/>
      <c r="B619" s="50"/>
      <c r="C619" s="49"/>
      <c r="D619" s="51" t="str">
        <f aca="false">IF(C619="","",IFERROR(INDEX('شجرة الحسابات'!$B$9:$B$208,MATCH(C619,'شجرة الحسابات'!$A$9:$A$208,0)),"⚠ حساب غير معرف"))</f>
        <v/>
      </c>
      <c r="E619" s="52"/>
      <c r="F619" s="52"/>
      <c r="G619" s="53"/>
      <c r="H619" s="53"/>
      <c r="I619" s="54" t="str">
        <f aca="false">IF(A619="",IF(M619="فارغ","","✖ بدون رقم قيد"),IF(COUNTIFS('قيود اليومية'!$A$11:$A$1010,A619,'قيود اليومية'!$M$11:$M$1010,"&lt;&gt;OK",'قيود اليومية'!$M$11:$M$1010,"&lt;&gt;فارغ")&gt;0,"✖ خطأ بالحساب",IF(ROUND(SUMIFS('قيود اليومية'!$G$11:$G$1010,'قيود اليومية'!$A$11:$A$1010,A619)-SUMIFS('قيود اليومية'!$H$11:$H$1010,'قيود اليومية'!$A$11:$A$1010,A619),2)&lt;&gt;0,"✖ غير متوازن","مرحل ✔")))</f>
        <v/>
      </c>
      <c r="J619" s="55" t="str">
        <f aca="false">IF(C619="","",IFERROR(INDEX('شجرة الحسابات'!$E$9:$E$208,MATCH(C619,'شجرة الحسابات'!$A$9:$A$208,0))&amp;"",""))</f>
        <v/>
      </c>
      <c r="K619" s="55" t="str">
        <f aca="false">IF(C619="","",IFERROR(INDEX('شجرة الحسابات'!$I$9:$I$208,MATCH(C619,'شجرة الحسابات'!$A$9:$A$208,0))&amp;"",""))</f>
        <v/>
      </c>
      <c r="L619" s="55" t="str">
        <f aca="false">IF(C619="","",IFERROR(INDEX('شجرة الحسابات'!$C$9:$C$208,MATCH(C619,'شجرة الحسابات'!$A$9:$A$208,0))&amp;"",""))</f>
        <v/>
      </c>
      <c r="M619" s="55" t="str">
        <f aca="false">IF(AND(C619="",G619="",H619=""),"فارغ",IF(ISNA(MATCH(C619,'شجرة الحسابات'!$A$9:$A$208,0)),"حساب غير معرف",IF(L619&lt;&gt;"تحليلي","حساب تجميعي",IF(AND(N(G619)&gt;0,N(H619)&gt;0),"مدين ودائن معاً",IF(N(G619)+N(H619)=0,"بدون قيمة","OK")))))</f>
        <v>فارغ</v>
      </c>
      <c r="N619" s="55" t="str">
        <f aca="false">IF(AND(E619&lt;&gt;"",E619='كشف حساب مشروع'!$C$6,I619="مرحل ✔"),COUNTIFS($E$11:E619,'كشف حساب مشروع'!$C$6,$I$11:I619,"مرحل ✔"),"")</f>
        <v/>
      </c>
      <c r="O619" s="55" t="str">
        <f aca="false">IF(AND(C619&lt;&gt;"",C619='دفتر الأستاذ'!$C$6,I619="مرحل ✔"),COUNTIFS($C$11:C619,'دفتر الأستاذ'!$C$6,$I$11:I619,"مرحل ✔"),"")</f>
        <v/>
      </c>
    </row>
    <row r="620" customFormat="false" ht="15" hidden="false" customHeight="false" outlineLevel="0" collapsed="false">
      <c r="A620" s="49"/>
      <c r="B620" s="50"/>
      <c r="C620" s="49"/>
      <c r="D620" s="51" t="str">
        <f aca="false">IF(C620="","",IFERROR(INDEX('شجرة الحسابات'!$B$9:$B$208,MATCH(C620,'شجرة الحسابات'!$A$9:$A$208,0)),"⚠ حساب غير معرف"))</f>
        <v/>
      </c>
      <c r="E620" s="52"/>
      <c r="F620" s="52"/>
      <c r="G620" s="53"/>
      <c r="H620" s="53"/>
      <c r="I620" s="54" t="str">
        <f aca="false">IF(A620="",IF(M620="فارغ","","✖ بدون رقم قيد"),IF(COUNTIFS('قيود اليومية'!$A$11:$A$1010,A620,'قيود اليومية'!$M$11:$M$1010,"&lt;&gt;OK",'قيود اليومية'!$M$11:$M$1010,"&lt;&gt;فارغ")&gt;0,"✖ خطأ بالحساب",IF(ROUND(SUMIFS('قيود اليومية'!$G$11:$G$1010,'قيود اليومية'!$A$11:$A$1010,A620)-SUMIFS('قيود اليومية'!$H$11:$H$1010,'قيود اليومية'!$A$11:$A$1010,A620),2)&lt;&gt;0,"✖ غير متوازن","مرحل ✔")))</f>
        <v/>
      </c>
      <c r="J620" s="55" t="str">
        <f aca="false">IF(C620="","",IFERROR(INDEX('شجرة الحسابات'!$E$9:$E$208,MATCH(C620,'شجرة الحسابات'!$A$9:$A$208,0))&amp;"",""))</f>
        <v/>
      </c>
      <c r="K620" s="55" t="str">
        <f aca="false">IF(C620="","",IFERROR(INDEX('شجرة الحسابات'!$I$9:$I$208,MATCH(C620,'شجرة الحسابات'!$A$9:$A$208,0))&amp;"",""))</f>
        <v/>
      </c>
      <c r="L620" s="55" t="str">
        <f aca="false">IF(C620="","",IFERROR(INDEX('شجرة الحسابات'!$C$9:$C$208,MATCH(C620,'شجرة الحسابات'!$A$9:$A$208,0))&amp;"",""))</f>
        <v/>
      </c>
      <c r="M620" s="55" t="str">
        <f aca="false">IF(AND(C620="",G620="",H620=""),"فارغ",IF(ISNA(MATCH(C620,'شجرة الحسابات'!$A$9:$A$208,0)),"حساب غير معرف",IF(L620&lt;&gt;"تحليلي","حساب تجميعي",IF(AND(N(G620)&gt;0,N(H620)&gt;0),"مدين ودائن معاً",IF(N(G620)+N(H620)=0,"بدون قيمة","OK")))))</f>
        <v>فارغ</v>
      </c>
      <c r="N620" s="55" t="str">
        <f aca="false">IF(AND(E620&lt;&gt;"",E620='كشف حساب مشروع'!$C$6,I620="مرحل ✔"),COUNTIFS($E$11:E620,'كشف حساب مشروع'!$C$6,$I$11:I620,"مرحل ✔"),"")</f>
        <v/>
      </c>
      <c r="O620" s="55" t="str">
        <f aca="false">IF(AND(C620&lt;&gt;"",C620='دفتر الأستاذ'!$C$6,I620="مرحل ✔"),COUNTIFS($C$11:C620,'دفتر الأستاذ'!$C$6,$I$11:I620,"مرحل ✔"),"")</f>
        <v/>
      </c>
    </row>
    <row r="621" customFormat="false" ht="15" hidden="false" customHeight="false" outlineLevel="0" collapsed="false">
      <c r="A621" s="49"/>
      <c r="B621" s="50"/>
      <c r="C621" s="49"/>
      <c r="D621" s="51" t="str">
        <f aca="false">IF(C621="","",IFERROR(INDEX('شجرة الحسابات'!$B$9:$B$208,MATCH(C621,'شجرة الحسابات'!$A$9:$A$208,0)),"⚠ حساب غير معرف"))</f>
        <v/>
      </c>
      <c r="E621" s="52"/>
      <c r="F621" s="52"/>
      <c r="G621" s="53"/>
      <c r="H621" s="53"/>
      <c r="I621" s="54" t="str">
        <f aca="false">IF(A621="",IF(M621="فارغ","","✖ بدون رقم قيد"),IF(COUNTIFS('قيود اليومية'!$A$11:$A$1010,A621,'قيود اليومية'!$M$11:$M$1010,"&lt;&gt;OK",'قيود اليومية'!$M$11:$M$1010,"&lt;&gt;فارغ")&gt;0,"✖ خطأ بالحساب",IF(ROUND(SUMIFS('قيود اليومية'!$G$11:$G$1010,'قيود اليومية'!$A$11:$A$1010,A621)-SUMIFS('قيود اليومية'!$H$11:$H$1010,'قيود اليومية'!$A$11:$A$1010,A621),2)&lt;&gt;0,"✖ غير متوازن","مرحل ✔")))</f>
        <v/>
      </c>
      <c r="J621" s="55" t="str">
        <f aca="false">IF(C621="","",IFERROR(INDEX('شجرة الحسابات'!$E$9:$E$208,MATCH(C621,'شجرة الحسابات'!$A$9:$A$208,0))&amp;"",""))</f>
        <v/>
      </c>
      <c r="K621" s="55" t="str">
        <f aca="false">IF(C621="","",IFERROR(INDEX('شجرة الحسابات'!$I$9:$I$208,MATCH(C621,'شجرة الحسابات'!$A$9:$A$208,0))&amp;"",""))</f>
        <v/>
      </c>
      <c r="L621" s="55" t="str">
        <f aca="false">IF(C621="","",IFERROR(INDEX('شجرة الحسابات'!$C$9:$C$208,MATCH(C621,'شجرة الحسابات'!$A$9:$A$208,0))&amp;"",""))</f>
        <v/>
      </c>
      <c r="M621" s="55" t="str">
        <f aca="false">IF(AND(C621="",G621="",H621=""),"فارغ",IF(ISNA(MATCH(C621,'شجرة الحسابات'!$A$9:$A$208,0)),"حساب غير معرف",IF(L621&lt;&gt;"تحليلي","حساب تجميعي",IF(AND(N(G621)&gt;0,N(H621)&gt;0),"مدين ودائن معاً",IF(N(G621)+N(H621)=0,"بدون قيمة","OK")))))</f>
        <v>فارغ</v>
      </c>
      <c r="N621" s="55" t="str">
        <f aca="false">IF(AND(E621&lt;&gt;"",E621='كشف حساب مشروع'!$C$6,I621="مرحل ✔"),COUNTIFS($E$11:E621,'كشف حساب مشروع'!$C$6,$I$11:I621,"مرحل ✔"),"")</f>
        <v/>
      </c>
      <c r="O621" s="55" t="str">
        <f aca="false">IF(AND(C621&lt;&gt;"",C621='دفتر الأستاذ'!$C$6,I621="مرحل ✔"),COUNTIFS($C$11:C621,'دفتر الأستاذ'!$C$6,$I$11:I621,"مرحل ✔"),"")</f>
        <v/>
      </c>
    </row>
    <row r="622" customFormat="false" ht="15" hidden="false" customHeight="false" outlineLevel="0" collapsed="false">
      <c r="A622" s="49"/>
      <c r="B622" s="50"/>
      <c r="C622" s="49"/>
      <c r="D622" s="51" t="str">
        <f aca="false">IF(C622="","",IFERROR(INDEX('شجرة الحسابات'!$B$9:$B$208,MATCH(C622,'شجرة الحسابات'!$A$9:$A$208,0)),"⚠ حساب غير معرف"))</f>
        <v/>
      </c>
      <c r="E622" s="52"/>
      <c r="F622" s="52"/>
      <c r="G622" s="53"/>
      <c r="H622" s="53"/>
      <c r="I622" s="54" t="str">
        <f aca="false">IF(A622="",IF(M622="فارغ","","✖ بدون رقم قيد"),IF(COUNTIFS('قيود اليومية'!$A$11:$A$1010,A622,'قيود اليومية'!$M$11:$M$1010,"&lt;&gt;OK",'قيود اليومية'!$M$11:$M$1010,"&lt;&gt;فارغ")&gt;0,"✖ خطأ بالحساب",IF(ROUND(SUMIFS('قيود اليومية'!$G$11:$G$1010,'قيود اليومية'!$A$11:$A$1010,A622)-SUMIFS('قيود اليومية'!$H$11:$H$1010,'قيود اليومية'!$A$11:$A$1010,A622),2)&lt;&gt;0,"✖ غير متوازن","مرحل ✔")))</f>
        <v/>
      </c>
      <c r="J622" s="55" t="str">
        <f aca="false">IF(C622="","",IFERROR(INDEX('شجرة الحسابات'!$E$9:$E$208,MATCH(C622,'شجرة الحسابات'!$A$9:$A$208,0))&amp;"",""))</f>
        <v/>
      </c>
      <c r="K622" s="55" t="str">
        <f aca="false">IF(C622="","",IFERROR(INDEX('شجرة الحسابات'!$I$9:$I$208,MATCH(C622,'شجرة الحسابات'!$A$9:$A$208,0))&amp;"",""))</f>
        <v/>
      </c>
      <c r="L622" s="55" t="str">
        <f aca="false">IF(C622="","",IFERROR(INDEX('شجرة الحسابات'!$C$9:$C$208,MATCH(C622,'شجرة الحسابات'!$A$9:$A$208,0))&amp;"",""))</f>
        <v/>
      </c>
      <c r="M622" s="55" t="str">
        <f aca="false">IF(AND(C622="",G622="",H622=""),"فارغ",IF(ISNA(MATCH(C622,'شجرة الحسابات'!$A$9:$A$208,0)),"حساب غير معرف",IF(L622&lt;&gt;"تحليلي","حساب تجميعي",IF(AND(N(G622)&gt;0,N(H622)&gt;0),"مدين ودائن معاً",IF(N(G622)+N(H622)=0,"بدون قيمة","OK")))))</f>
        <v>فارغ</v>
      </c>
      <c r="N622" s="55" t="str">
        <f aca="false">IF(AND(E622&lt;&gt;"",E622='كشف حساب مشروع'!$C$6,I622="مرحل ✔"),COUNTIFS($E$11:E622,'كشف حساب مشروع'!$C$6,$I$11:I622,"مرحل ✔"),"")</f>
        <v/>
      </c>
      <c r="O622" s="55" t="str">
        <f aca="false">IF(AND(C622&lt;&gt;"",C622='دفتر الأستاذ'!$C$6,I622="مرحل ✔"),COUNTIFS($C$11:C622,'دفتر الأستاذ'!$C$6,$I$11:I622,"مرحل ✔"),"")</f>
        <v/>
      </c>
    </row>
    <row r="623" customFormat="false" ht="15" hidden="false" customHeight="false" outlineLevel="0" collapsed="false">
      <c r="A623" s="49"/>
      <c r="B623" s="50"/>
      <c r="C623" s="49"/>
      <c r="D623" s="51" t="str">
        <f aca="false">IF(C623="","",IFERROR(INDEX('شجرة الحسابات'!$B$9:$B$208,MATCH(C623,'شجرة الحسابات'!$A$9:$A$208,0)),"⚠ حساب غير معرف"))</f>
        <v/>
      </c>
      <c r="E623" s="52"/>
      <c r="F623" s="52"/>
      <c r="G623" s="53"/>
      <c r="H623" s="53"/>
      <c r="I623" s="54" t="str">
        <f aca="false">IF(A623="",IF(M623="فارغ","","✖ بدون رقم قيد"),IF(COUNTIFS('قيود اليومية'!$A$11:$A$1010,A623,'قيود اليومية'!$M$11:$M$1010,"&lt;&gt;OK",'قيود اليومية'!$M$11:$M$1010,"&lt;&gt;فارغ")&gt;0,"✖ خطأ بالحساب",IF(ROUND(SUMIFS('قيود اليومية'!$G$11:$G$1010,'قيود اليومية'!$A$11:$A$1010,A623)-SUMIFS('قيود اليومية'!$H$11:$H$1010,'قيود اليومية'!$A$11:$A$1010,A623),2)&lt;&gt;0,"✖ غير متوازن","مرحل ✔")))</f>
        <v/>
      </c>
      <c r="J623" s="55" t="str">
        <f aca="false">IF(C623="","",IFERROR(INDEX('شجرة الحسابات'!$E$9:$E$208,MATCH(C623,'شجرة الحسابات'!$A$9:$A$208,0))&amp;"",""))</f>
        <v/>
      </c>
      <c r="K623" s="55" t="str">
        <f aca="false">IF(C623="","",IFERROR(INDEX('شجرة الحسابات'!$I$9:$I$208,MATCH(C623,'شجرة الحسابات'!$A$9:$A$208,0))&amp;"",""))</f>
        <v/>
      </c>
      <c r="L623" s="55" t="str">
        <f aca="false">IF(C623="","",IFERROR(INDEX('شجرة الحسابات'!$C$9:$C$208,MATCH(C623,'شجرة الحسابات'!$A$9:$A$208,0))&amp;"",""))</f>
        <v/>
      </c>
      <c r="M623" s="55" t="str">
        <f aca="false">IF(AND(C623="",G623="",H623=""),"فارغ",IF(ISNA(MATCH(C623,'شجرة الحسابات'!$A$9:$A$208,0)),"حساب غير معرف",IF(L623&lt;&gt;"تحليلي","حساب تجميعي",IF(AND(N(G623)&gt;0,N(H623)&gt;0),"مدين ودائن معاً",IF(N(G623)+N(H623)=0,"بدون قيمة","OK")))))</f>
        <v>فارغ</v>
      </c>
      <c r="N623" s="55" t="str">
        <f aca="false">IF(AND(E623&lt;&gt;"",E623='كشف حساب مشروع'!$C$6,I623="مرحل ✔"),COUNTIFS($E$11:E623,'كشف حساب مشروع'!$C$6,$I$11:I623,"مرحل ✔"),"")</f>
        <v/>
      </c>
      <c r="O623" s="55" t="str">
        <f aca="false">IF(AND(C623&lt;&gt;"",C623='دفتر الأستاذ'!$C$6,I623="مرحل ✔"),COUNTIFS($C$11:C623,'دفتر الأستاذ'!$C$6,$I$11:I623,"مرحل ✔"),"")</f>
        <v/>
      </c>
    </row>
    <row r="624" customFormat="false" ht="15" hidden="false" customHeight="false" outlineLevel="0" collapsed="false">
      <c r="A624" s="49"/>
      <c r="B624" s="50"/>
      <c r="C624" s="49"/>
      <c r="D624" s="51" t="str">
        <f aca="false">IF(C624="","",IFERROR(INDEX('شجرة الحسابات'!$B$9:$B$208,MATCH(C624,'شجرة الحسابات'!$A$9:$A$208,0)),"⚠ حساب غير معرف"))</f>
        <v/>
      </c>
      <c r="E624" s="52"/>
      <c r="F624" s="52"/>
      <c r="G624" s="53"/>
      <c r="H624" s="53"/>
      <c r="I624" s="54" t="str">
        <f aca="false">IF(A624="",IF(M624="فارغ","","✖ بدون رقم قيد"),IF(COUNTIFS('قيود اليومية'!$A$11:$A$1010,A624,'قيود اليومية'!$M$11:$M$1010,"&lt;&gt;OK",'قيود اليومية'!$M$11:$M$1010,"&lt;&gt;فارغ")&gt;0,"✖ خطأ بالحساب",IF(ROUND(SUMIFS('قيود اليومية'!$G$11:$G$1010,'قيود اليومية'!$A$11:$A$1010,A624)-SUMIFS('قيود اليومية'!$H$11:$H$1010,'قيود اليومية'!$A$11:$A$1010,A624),2)&lt;&gt;0,"✖ غير متوازن","مرحل ✔")))</f>
        <v/>
      </c>
      <c r="J624" s="55" t="str">
        <f aca="false">IF(C624="","",IFERROR(INDEX('شجرة الحسابات'!$E$9:$E$208,MATCH(C624,'شجرة الحسابات'!$A$9:$A$208,0))&amp;"",""))</f>
        <v/>
      </c>
      <c r="K624" s="55" t="str">
        <f aca="false">IF(C624="","",IFERROR(INDEX('شجرة الحسابات'!$I$9:$I$208,MATCH(C624,'شجرة الحسابات'!$A$9:$A$208,0))&amp;"",""))</f>
        <v/>
      </c>
      <c r="L624" s="55" t="str">
        <f aca="false">IF(C624="","",IFERROR(INDEX('شجرة الحسابات'!$C$9:$C$208,MATCH(C624,'شجرة الحسابات'!$A$9:$A$208,0))&amp;"",""))</f>
        <v/>
      </c>
      <c r="M624" s="55" t="str">
        <f aca="false">IF(AND(C624="",G624="",H624=""),"فارغ",IF(ISNA(MATCH(C624,'شجرة الحسابات'!$A$9:$A$208,0)),"حساب غير معرف",IF(L624&lt;&gt;"تحليلي","حساب تجميعي",IF(AND(N(G624)&gt;0,N(H624)&gt;0),"مدين ودائن معاً",IF(N(G624)+N(H624)=0,"بدون قيمة","OK")))))</f>
        <v>فارغ</v>
      </c>
      <c r="N624" s="55" t="str">
        <f aca="false">IF(AND(E624&lt;&gt;"",E624='كشف حساب مشروع'!$C$6,I624="مرحل ✔"),COUNTIFS($E$11:E624,'كشف حساب مشروع'!$C$6,$I$11:I624,"مرحل ✔"),"")</f>
        <v/>
      </c>
      <c r="O624" s="55" t="str">
        <f aca="false">IF(AND(C624&lt;&gt;"",C624='دفتر الأستاذ'!$C$6,I624="مرحل ✔"),COUNTIFS($C$11:C624,'دفتر الأستاذ'!$C$6,$I$11:I624,"مرحل ✔"),"")</f>
        <v/>
      </c>
    </row>
    <row r="625" customFormat="false" ht="15" hidden="false" customHeight="false" outlineLevel="0" collapsed="false">
      <c r="A625" s="49"/>
      <c r="B625" s="50"/>
      <c r="C625" s="49"/>
      <c r="D625" s="51" t="str">
        <f aca="false">IF(C625="","",IFERROR(INDEX('شجرة الحسابات'!$B$9:$B$208,MATCH(C625,'شجرة الحسابات'!$A$9:$A$208,0)),"⚠ حساب غير معرف"))</f>
        <v/>
      </c>
      <c r="E625" s="52"/>
      <c r="F625" s="52"/>
      <c r="G625" s="53"/>
      <c r="H625" s="53"/>
      <c r="I625" s="54" t="str">
        <f aca="false">IF(A625="",IF(M625="فارغ","","✖ بدون رقم قيد"),IF(COUNTIFS('قيود اليومية'!$A$11:$A$1010,A625,'قيود اليومية'!$M$11:$M$1010,"&lt;&gt;OK",'قيود اليومية'!$M$11:$M$1010,"&lt;&gt;فارغ")&gt;0,"✖ خطأ بالحساب",IF(ROUND(SUMIFS('قيود اليومية'!$G$11:$G$1010,'قيود اليومية'!$A$11:$A$1010,A625)-SUMIFS('قيود اليومية'!$H$11:$H$1010,'قيود اليومية'!$A$11:$A$1010,A625),2)&lt;&gt;0,"✖ غير متوازن","مرحل ✔")))</f>
        <v/>
      </c>
      <c r="J625" s="55" t="str">
        <f aca="false">IF(C625="","",IFERROR(INDEX('شجرة الحسابات'!$E$9:$E$208,MATCH(C625,'شجرة الحسابات'!$A$9:$A$208,0))&amp;"",""))</f>
        <v/>
      </c>
      <c r="K625" s="55" t="str">
        <f aca="false">IF(C625="","",IFERROR(INDEX('شجرة الحسابات'!$I$9:$I$208,MATCH(C625,'شجرة الحسابات'!$A$9:$A$208,0))&amp;"",""))</f>
        <v/>
      </c>
      <c r="L625" s="55" t="str">
        <f aca="false">IF(C625="","",IFERROR(INDEX('شجرة الحسابات'!$C$9:$C$208,MATCH(C625,'شجرة الحسابات'!$A$9:$A$208,0))&amp;"",""))</f>
        <v/>
      </c>
      <c r="M625" s="55" t="str">
        <f aca="false">IF(AND(C625="",G625="",H625=""),"فارغ",IF(ISNA(MATCH(C625,'شجرة الحسابات'!$A$9:$A$208,0)),"حساب غير معرف",IF(L625&lt;&gt;"تحليلي","حساب تجميعي",IF(AND(N(G625)&gt;0,N(H625)&gt;0),"مدين ودائن معاً",IF(N(G625)+N(H625)=0,"بدون قيمة","OK")))))</f>
        <v>فارغ</v>
      </c>
      <c r="N625" s="55" t="str">
        <f aca="false">IF(AND(E625&lt;&gt;"",E625='كشف حساب مشروع'!$C$6,I625="مرحل ✔"),COUNTIFS($E$11:E625,'كشف حساب مشروع'!$C$6,$I$11:I625,"مرحل ✔"),"")</f>
        <v/>
      </c>
      <c r="O625" s="55" t="str">
        <f aca="false">IF(AND(C625&lt;&gt;"",C625='دفتر الأستاذ'!$C$6,I625="مرحل ✔"),COUNTIFS($C$11:C625,'دفتر الأستاذ'!$C$6,$I$11:I625,"مرحل ✔"),"")</f>
        <v/>
      </c>
    </row>
    <row r="626" customFormat="false" ht="15" hidden="false" customHeight="false" outlineLevel="0" collapsed="false">
      <c r="A626" s="49"/>
      <c r="B626" s="50"/>
      <c r="C626" s="49"/>
      <c r="D626" s="51" t="str">
        <f aca="false">IF(C626="","",IFERROR(INDEX('شجرة الحسابات'!$B$9:$B$208,MATCH(C626,'شجرة الحسابات'!$A$9:$A$208,0)),"⚠ حساب غير معرف"))</f>
        <v/>
      </c>
      <c r="E626" s="52"/>
      <c r="F626" s="52"/>
      <c r="G626" s="53"/>
      <c r="H626" s="53"/>
      <c r="I626" s="54" t="str">
        <f aca="false">IF(A626="",IF(M626="فارغ","","✖ بدون رقم قيد"),IF(COUNTIFS('قيود اليومية'!$A$11:$A$1010,A626,'قيود اليومية'!$M$11:$M$1010,"&lt;&gt;OK",'قيود اليومية'!$M$11:$M$1010,"&lt;&gt;فارغ")&gt;0,"✖ خطأ بالحساب",IF(ROUND(SUMIFS('قيود اليومية'!$G$11:$G$1010,'قيود اليومية'!$A$11:$A$1010,A626)-SUMIFS('قيود اليومية'!$H$11:$H$1010,'قيود اليومية'!$A$11:$A$1010,A626),2)&lt;&gt;0,"✖ غير متوازن","مرحل ✔")))</f>
        <v/>
      </c>
      <c r="J626" s="55" t="str">
        <f aca="false">IF(C626="","",IFERROR(INDEX('شجرة الحسابات'!$E$9:$E$208,MATCH(C626,'شجرة الحسابات'!$A$9:$A$208,0))&amp;"",""))</f>
        <v/>
      </c>
      <c r="K626" s="55" t="str">
        <f aca="false">IF(C626="","",IFERROR(INDEX('شجرة الحسابات'!$I$9:$I$208,MATCH(C626,'شجرة الحسابات'!$A$9:$A$208,0))&amp;"",""))</f>
        <v/>
      </c>
      <c r="L626" s="55" t="str">
        <f aca="false">IF(C626="","",IFERROR(INDEX('شجرة الحسابات'!$C$9:$C$208,MATCH(C626,'شجرة الحسابات'!$A$9:$A$208,0))&amp;"",""))</f>
        <v/>
      </c>
      <c r="M626" s="55" t="str">
        <f aca="false">IF(AND(C626="",G626="",H626=""),"فارغ",IF(ISNA(MATCH(C626,'شجرة الحسابات'!$A$9:$A$208,0)),"حساب غير معرف",IF(L626&lt;&gt;"تحليلي","حساب تجميعي",IF(AND(N(G626)&gt;0,N(H626)&gt;0),"مدين ودائن معاً",IF(N(G626)+N(H626)=0,"بدون قيمة","OK")))))</f>
        <v>فارغ</v>
      </c>
      <c r="N626" s="55" t="str">
        <f aca="false">IF(AND(E626&lt;&gt;"",E626='كشف حساب مشروع'!$C$6,I626="مرحل ✔"),COUNTIFS($E$11:E626,'كشف حساب مشروع'!$C$6,$I$11:I626,"مرحل ✔"),"")</f>
        <v/>
      </c>
      <c r="O626" s="55" t="str">
        <f aca="false">IF(AND(C626&lt;&gt;"",C626='دفتر الأستاذ'!$C$6,I626="مرحل ✔"),COUNTIFS($C$11:C626,'دفتر الأستاذ'!$C$6,$I$11:I626,"مرحل ✔"),"")</f>
        <v/>
      </c>
    </row>
    <row r="627" customFormat="false" ht="15" hidden="false" customHeight="false" outlineLevel="0" collapsed="false">
      <c r="A627" s="49"/>
      <c r="B627" s="50"/>
      <c r="C627" s="49"/>
      <c r="D627" s="51" t="str">
        <f aca="false">IF(C627="","",IFERROR(INDEX('شجرة الحسابات'!$B$9:$B$208,MATCH(C627,'شجرة الحسابات'!$A$9:$A$208,0)),"⚠ حساب غير معرف"))</f>
        <v/>
      </c>
      <c r="E627" s="52"/>
      <c r="F627" s="52"/>
      <c r="G627" s="53"/>
      <c r="H627" s="53"/>
      <c r="I627" s="54" t="str">
        <f aca="false">IF(A627="",IF(M627="فارغ","","✖ بدون رقم قيد"),IF(COUNTIFS('قيود اليومية'!$A$11:$A$1010,A627,'قيود اليومية'!$M$11:$M$1010,"&lt;&gt;OK",'قيود اليومية'!$M$11:$M$1010,"&lt;&gt;فارغ")&gt;0,"✖ خطأ بالحساب",IF(ROUND(SUMIFS('قيود اليومية'!$G$11:$G$1010,'قيود اليومية'!$A$11:$A$1010,A627)-SUMIFS('قيود اليومية'!$H$11:$H$1010,'قيود اليومية'!$A$11:$A$1010,A627),2)&lt;&gt;0,"✖ غير متوازن","مرحل ✔")))</f>
        <v/>
      </c>
      <c r="J627" s="55" t="str">
        <f aca="false">IF(C627="","",IFERROR(INDEX('شجرة الحسابات'!$E$9:$E$208,MATCH(C627,'شجرة الحسابات'!$A$9:$A$208,0))&amp;"",""))</f>
        <v/>
      </c>
      <c r="K627" s="55" t="str">
        <f aca="false">IF(C627="","",IFERROR(INDEX('شجرة الحسابات'!$I$9:$I$208,MATCH(C627,'شجرة الحسابات'!$A$9:$A$208,0))&amp;"",""))</f>
        <v/>
      </c>
      <c r="L627" s="55" t="str">
        <f aca="false">IF(C627="","",IFERROR(INDEX('شجرة الحسابات'!$C$9:$C$208,MATCH(C627,'شجرة الحسابات'!$A$9:$A$208,0))&amp;"",""))</f>
        <v/>
      </c>
      <c r="M627" s="55" t="str">
        <f aca="false">IF(AND(C627="",G627="",H627=""),"فارغ",IF(ISNA(MATCH(C627,'شجرة الحسابات'!$A$9:$A$208,0)),"حساب غير معرف",IF(L627&lt;&gt;"تحليلي","حساب تجميعي",IF(AND(N(G627)&gt;0,N(H627)&gt;0),"مدين ودائن معاً",IF(N(G627)+N(H627)=0,"بدون قيمة","OK")))))</f>
        <v>فارغ</v>
      </c>
      <c r="N627" s="55" t="str">
        <f aca="false">IF(AND(E627&lt;&gt;"",E627='كشف حساب مشروع'!$C$6,I627="مرحل ✔"),COUNTIFS($E$11:E627,'كشف حساب مشروع'!$C$6,$I$11:I627,"مرحل ✔"),"")</f>
        <v/>
      </c>
      <c r="O627" s="55" t="str">
        <f aca="false">IF(AND(C627&lt;&gt;"",C627='دفتر الأستاذ'!$C$6,I627="مرحل ✔"),COUNTIFS($C$11:C627,'دفتر الأستاذ'!$C$6,$I$11:I627,"مرحل ✔"),"")</f>
        <v/>
      </c>
    </row>
    <row r="628" customFormat="false" ht="15" hidden="false" customHeight="false" outlineLevel="0" collapsed="false">
      <c r="A628" s="49"/>
      <c r="B628" s="50"/>
      <c r="C628" s="49"/>
      <c r="D628" s="51" t="str">
        <f aca="false">IF(C628="","",IFERROR(INDEX('شجرة الحسابات'!$B$9:$B$208,MATCH(C628,'شجرة الحسابات'!$A$9:$A$208,0)),"⚠ حساب غير معرف"))</f>
        <v/>
      </c>
      <c r="E628" s="52"/>
      <c r="F628" s="52"/>
      <c r="G628" s="53"/>
      <c r="H628" s="53"/>
      <c r="I628" s="54" t="str">
        <f aca="false">IF(A628="",IF(M628="فارغ","","✖ بدون رقم قيد"),IF(COUNTIFS('قيود اليومية'!$A$11:$A$1010,A628,'قيود اليومية'!$M$11:$M$1010,"&lt;&gt;OK",'قيود اليومية'!$M$11:$M$1010,"&lt;&gt;فارغ")&gt;0,"✖ خطأ بالحساب",IF(ROUND(SUMIFS('قيود اليومية'!$G$11:$G$1010,'قيود اليومية'!$A$11:$A$1010,A628)-SUMIFS('قيود اليومية'!$H$11:$H$1010,'قيود اليومية'!$A$11:$A$1010,A628),2)&lt;&gt;0,"✖ غير متوازن","مرحل ✔")))</f>
        <v/>
      </c>
      <c r="J628" s="55" t="str">
        <f aca="false">IF(C628="","",IFERROR(INDEX('شجرة الحسابات'!$E$9:$E$208,MATCH(C628,'شجرة الحسابات'!$A$9:$A$208,0))&amp;"",""))</f>
        <v/>
      </c>
      <c r="K628" s="55" t="str">
        <f aca="false">IF(C628="","",IFERROR(INDEX('شجرة الحسابات'!$I$9:$I$208,MATCH(C628,'شجرة الحسابات'!$A$9:$A$208,0))&amp;"",""))</f>
        <v/>
      </c>
      <c r="L628" s="55" t="str">
        <f aca="false">IF(C628="","",IFERROR(INDEX('شجرة الحسابات'!$C$9:$C$208,MATCH(C628,'شجرة الحسابات'!$A$9:$A$208,0))&amp;"",""))</f>
        <v/>
      </c>
      <c r="M628" s="55" t="str">
        <f aca="false">IF(AND(C628="",G628="",H628=""),"فارغ",IF(ISNA(MATCH(C628,'شجرة الحسابات'!$A$9:$A$208,0)),"حساب غير معرف",IF(L628&lt;&gt;"تحليلي","حساب تجميعي",IF(AND(N(G628)&gt;0,N(H628)&gt;0),"مدين ودائن معاً",IF(N(G628)+N(H628)=0,"بدون قيمة","OK")))))</f>
        <v>فارغ</v>
      </c>
      <c r="N628" s="55" t="str">
        <f aca="false">IF(AND(E628&lt;&gt;"",E628='كشف حساب مشروع'!$C$6,I628="مرحل ✔"),COUNTIFS($E$11:E628,'كشف حساب مشروع'!$C$6,$I$11:I628,"مرحل ✔"),"")</f>
        <v/>
      </c>
      <c r="O628" s="55" t="str">
        <f aca="false">IF(AND(C628&lt;&gt;"",C628='دفتر الأستاذ'!$C$6,I628="مرحل ✔"),COUNTIFS($C$11:C628,'دفتر الأستاذ'!$C$6,$I$11:I628,"مرحل ✔"),"")</f>
        <v/>
      </c>
    </row>
    <row r="629" customFormat="false" ht="15" hidden="false" customHeight="false" outlineLevel="0" collapsed="false">
      <c r="A629" s="49"/>
      <c r="B629" s="50"/>
      <c r="C629" s="49"/>
      <c r="D629" s="51" t="str">
        <f aca="false">IF(C629="","",IFERROR(INDEX('شجرة الحسابات'!$B$9:$B$208,MATCH(C629,'شجرة الحسابات'!$A$9:$A$208,0)),"⚠ حساب غير معرف"))</f>
        <v/>
      </c>
      <c r="E629" s="52"/>
      <c r="F629" s="52"/>
      <c r="G629" s="53"/>
      <c r="H629" s="53"/>
      <c r="I629" s="54" t="str">
        <f aca="false">IF(A629="",IF(M629="فارغ","","✖ بدون رقم قيد"),IF(COUNTIFS('قيود اليومية'!$A$11:$A$1010,A629,'قيود اليومية'!$M$11:$M$1010,"&lt;&gt;OK",'قيود اليومية'!$M$11:$M$1010,"&lt;&gt;فارغ")&gt;0,"✖ خطأ بالحساب",IF(ROUND(SUMIFS('قيود اليومية'!$G$11:$G$1010,'قيود اليومية'!$A$11:$A$1010,A629)-SUMIFS('قيود اليومية'!$H$11:$H$1010,'قيود اليومية'!$A$11:$A$1010,A629),2)&lt;&gt;0,"✖ غير متوازن","مرحل ✔")))</f>
        <v/>
      </c>
      <c r="J629" s="55" t="str">
        <f aca="false">IF(C629="","",IFERROR(INDEX('شجرة الحسابات'!$E$9:$E$208,MATCH(C629,'شجرة الحسابات'!$A$9:$A$208,0))&amp;"",""))</f>
        <v/>
      </c>
      <c r="K629" s="55" t="str">
        <f aca="false">IF(C629="","",IFERROR(INDEX('شجرة الحسابات'!$I$9:$I$208,MATCH(C629,'شجرة الحسابات'!$A$9:$A$208,0))&amp;"",""))</f>
        <v/>
      </c>
      <c r="L629" s="55" t="str">
        <f aca="false">IF(C629="","",IFERROR(INDEX('شجرة الحسابات'!$C$9:$C$208,MATCH(C629,'شجرة الحسابات'!$A$9:$A$208,0))&amp;"",""))</f>
        <v/>
      </c>
      <c r="M629" s="55" t="str">
        <f aca="false">IF(AND(C629="",G629="",H629=""),"فارغ",IF(ISNA(MATCH(C629,'شجرة الحسابات'!$A$9:$A$208,0)),"حساب غير معرف",IF(L629&lt;&gt;"تحليلي","حساب تجميعي",IF(AND(N(G629)&gt;0,N(H629)&gt;0),"مدين ودائن معاً",IF(N(G629)+N(H629)=0,"بدون قيمة","OK")))))</f>
        <v>فارغ</v>
      </c>
      <c r="N629" s="55" t="str">
        <f aca="false">IF(AND(E629&lt;&gt;"",E629='كشف حساب مشروع'!$C$6,I629="مرحل ✔"),COUNTIFS($E$11:E629,'كشف حساب مشروع'!$C$6,$I$11:I629,"مرحل ✔"),"")</f>
        <v/>
      </c>
      <c r="O629" s="55" t="str">
        <f aca="false">IF(AND(C629&lt;&gt;"",C629='دفتر الأستاذ'!$C$6,I629="مرحل ✔"),COUNTIFS($C$11:C629,'دفتر الأستاذ'!$C$6,$I$11:I629,"مرحل ✔"),"")</f>
        <v/>
      </c>
    </row>
    <row r="630" customFormat="false" ht="15" hidden="false" customHeight="false" outlineLevel="0" collapsed="false">
      <c r="A630" s="49"/>
      <c r="B630" s="50"/>
      <c r="C630" s="49"/>
      <c r="D630" s="51" t="str">
        <f aca="false">IF(C630="","",IFERROR(INDEX('شجرة الحسابات'!$B$9:$B$208,MATCH(C630,'شجرة الحسابات'!$A$9:$A$208,0)),"⚠ حساب غير معرف"))</f>
        <v/>
      </c>
      <c r="E630" s="52"/>
      <c r="F630" s="52"/>
      <c r="G630" s="53"/>
      <c r="H630" s="53"/>
      <c r="I630" s="54" t="str">
        <f aca="false">IF(A630="",IF(M630="فارغ","","✖ بدون رقم قيد"),IF(COUNTIFS('قيود اليومية'!$A$11:$A$1010,A630,'قيود اليومية'!$M$11:$M$1010,"&lt;&gt;OK",'قيود اليومية'!$M$11:$M$1010,"&lt;&gt;فارغ")&gt;0,"✖ خطأ بالحساب",IF(ROUND(SUMIFS('قيود اليومية'!$G$11:$G$1010,'قيود اليومية'!$A$11:$A$1010,A630)-SUMIFS('قيود اليومية'!$H$11:$H$1010,'قيود اليومية'!$A$11:$A$1010,A630),2)&lt;&gt;0,"✖ غير متوازن","مرحل ✔")))</f>
        <v/>
      </c>
      <c r="J630" s="55" t="str">
        <f aca="false">IF(C630="","",IFERROR(INDEX('شجرة الحسابات'!$E$9:$E$208,MATCH(C630,'شجرة الحسابات'!$A$9:$A$208,0))&amp;"",""))</f>
        <v/>
      </c>
      <c r="K630" s="55" t="str">
        <f aca="false">IF(C630="","",IFERROR(INDEX('شجرة الحسابات'!$I$9:$I$208,MATCH(C630,'شجرة الحسابات'!$A$9:$A$208,0))&amp;"",""))</f>
        <v/>
      </c>
      <c r="L630" s="55" t="str">
        <f aca="false">IF(C630="","",IFERROR(INDEX('شجرة الحسابات'!$C$9:$C$208,MATCH(C630,'شجرة الحسابات'!$A$9:$A$208,0))&amp;"",""))</f>
        <v/>
      </c>
      <c r="M630" s="55" t="str">
        <f aca="false">IF(AND(C630="",G630="",H630=""),"فارغ",IF(ISNA(MATCH(C630,'شجرة الحسابات'!$A$9:$A$208,0)),"حساب غير معرف",IF(L630&lt;&gt;"تحليلي","حساب تجميعي",IF(AND(N(G630)&gt;0,N(H630)&gt;0),"مدين ودائن معاً",IF(N(G630)+N(H630)=0,"بدون قيمة","OK")))))</f>
        <v>فارغ</v>
      </c>
      <c r="N630" s="55" t="str">
        <f aca="false">IF(AND(E630&lt;&gt;"",E630='كشف حساب مشروع'!$C$6,I630="مرحل ✔"),COUNTIFS($E$11:E630,'كشف حساب مشروع'!$C$6,$I$11:I630,"مرحل ✔"),"")</f>
        <v/>
      </c>
      <c r="O630" s="55" t="str">
        <f aca="false">IF(AND(C630&lt;&gt;"",C630='دفتر الأستاذ'!$C$6,I630="مرحل ✔"),COUNTIFS($C$11:C630,'دفتر الأستاذ'!$C$6,$I$11:I630,"مرحل ✔"),"")</f>
        <v/>
      </c>
    </row>
    <row r="631" customFormat="false" ht="15" hidden="false" customHeight="false" outlineLevel="0" collapsed="false">
      <c r="A631" s="49"/>
      <c r="B631" s="50"/>
      <c r="C631" s="49"/>
      <c r="D631" s="51" t="str">
        <f aca="false">IF(C631="","",IFERROR(INDEX('شجرة الحسابات'!$B$9:$B$208,MATCH(C631,'شجرة الحسابات'!$A$9:$A$208,0)),"⚠ حساب غير معرف"))</f>
        <v/>
      </c>
      <c r="E631" s="52"/>
      <c r="F631" s="52"/>
      <c r="G631" s="53"/>
      <c r="H631" s="53"/>
      <c r="I631" s="54" t="str">
        <f aca="false">IF(A631="",IF(M631="فارغ","","✖ بدون رقم قيد"),IF(COUNTIFS('قيود اليومية'!$A$11:$A$1010,A631,'قيود اليومية'!$M$11:$M$1010,"&lt;&gt;OK",'قيود اليومية'!$M$11:$M$1010,"&lt;&gt;فارغ")&gt;0,"✖ خطأ بالحساب",IF(ROUND(SUMIFS('قيود اليومية'!$G$11:$G$1010,'قيود اليومية'!$A$11:$A$1010,A631)-SUMIFS('قيود اليومية'!$H$11:$H$1010,'قيود اليومية'!$A$11:$A$1010,A631),2)&lt;&gt;0,"✖ غير متوازن","مرحل ✔")))</f>
        <v/>
      </c>
      <c r="J631" s="55" t="str">
        <f aca="false">IF(C631="","",IFERROR(INDEX('شجرة الحسابات'!$E$9:$E$208,MATCH(C631,'شجرة الحسابات'!$A$9:$A$208,0))&amp;"",""))</f>
        <v/>
      </c>
      <c r="K631" s="55" t="str">
        <f aca="false">IF(C631="","",IFERROR(INDEX('شجرة الحسابات'!$I$9:$I$208,MATCH(C631,'شجرة الحسابات'!$A$9:$A$208,0))&amp;"",""))</f>
        <v/>
      </c>
      <c r="L631" s="55" t="str">
        <f aca="false">IF(C631="","",IFERROR(INDEX('شجرة الحسابات'!$C$9:$C$208,MATCH(C631,'شجرة الحسابات'!$A$9:$A$208,0))&amp;"",""))</f>
        <v/>
      </c>
      <c r="M631" s="55" t="str">
        <f aca="false">IF(AND(C631="",G631="",H631=""),"فارغ",IF(ISNA(MATCH(C631,'شجرة الحسابات'!$A$9:$A$208,0)),"حساب غير معرف",IF(L631&lt;&gt;"تحليلي","حساب تجميعي",IF(AND(N(G631)&gt;0,N(H631)&gt;0),"مدين ودائن معاً",IF(N(G631)+N(H631)=0,"بدون قيمة","OK")))))</f>
        <v>فارغ</v>
      </c>
      <c r="N631" s="55" t="str">
        <f aca="false">IF(AND(E631&lt;&gt;"",E631='كشف حساب مشروع'!$C$6,I631="مرحل ✔"),COUNTIFS($E$11:E631,'كشف حساب مشروع'!$C$6,$I$11:I631,"مرحل ✔"),"")</f>
        <v/>
      </c>
      <c r="O631" s="55" t="str">
        <f aca="false">IF(AND(C631&lt;&gt;"",C631='دفتر الأستاذ'!$C$6,I631="مرحل ✔"),COUNTIFS($C$11:C631,'دفتر الأستاذ'!$C$6,$I$11:I631,"مرحل ✔"),"")</f>
        <v/>
      </c>
    </row>
    <row r="632" customFormat="false" ht="15" hidden="false" customHeight="false" outlineLevel="0" collapsed="false">
      <c r="A632" s="49"/>
      <c r="B632" s="50"/>
      <c r="C632" s="49"/>
      <c r="D632" s="51" t="str">
        <f aca="false">IF(C632="","",IFERROR(INDEX('شجرة الحسابات'!$B$9:$B$208,MATCH(C632,'شجرة الحسابات'!$A$9:$A$208,0)),"⚠ حساب غير معرف"))</f>
        <v/>
      </c>
      <c r="E632" s="52"/>
      <c r="F632" s="52"/>
      <c r="G632" s="53"/>
      <c r="H632" s="53"/>
      <c r="I632" s="54" t="str">
        <f aca="false">IF(A632="",IF(M632="فارغ","","✖ بدون رقم قيد"),IF(COUNTIFS('قيود اليومية'!$A$11:$A$1010,A632,'قيود اليومية'!$M$11:$M$1010,"&lt;&gt;OK",'قيود اليومية'!$M$11:$M$1010,"&lt;&gt;فارغ")&gt;0,"✖ خطأ بالحساب",IF(ROUND(SUMIFS('قيود اليومية'!$G$11:$G$1010,'قيود اليومية'!$A$11:$A$1010,A632)-SUMIFS('قيود اليومية'!$H$11:$H$1010,'قيود اليومية'!$A$11:$A$1010,A632),2)&lt;&gt;0,"✖ غير متوازن","مرحل ✔")))</f>
        <v/>
      </c>
      <c r="J632" s="55" t="str">
        <f aca="false">IF(C632="","",IFERROR(INDEX('شجرة الحسابات'!$E$9:$E$208,MATCH(C632,'شجرة الحسابات'!$A$9:$A$208,0))&amp;"",""))</f>
        <v/>
      </c>
      <c r="K632" s="55" t="str">
        <f aca="false">IF(C632="","",IFERROR(INDEX('شجرة الحسابات'!$I$9:$I$208,MATCH(C632,'شجرة الحسابات'!$A$9:$A$208,0))&amp;"",""))</f>
        <v/>
      </c>
      <c r="L632" s="55" t="str">
        <f aca="false">IF(C632="","",IFERROR(INDEX('شجرة الحسابات'!$C$9:$C$208,MATCH(C632,'شجرة الحسابات'!$A$9:$A$208,0))&amp;"",""))</f>
        <v/>
      </c>
      <c r="M632" s="55" t="str">
        <f aca="false">IF(AND(C632="",G632="",H632=""),"فارغ",IF(ISNA(MATCH(C632,'شجرة الحسابات'!$A$9:$A$208,0)),"حساب غير معرف",IF(L632&lt;&gt;"تحليلي","حساب تجميعي",IF(AND(N(G632)&gt;0,N(H632)&gt;0),"مدين ودائن معاً",IF(N(G632)+N(H632)=0,"بدون قيمة","OK")))))</f>
        <v>فارغ</v>
      </c>
      <c r="N632" s="55" t="str">
        <f aca="false">IF(AND(E632&lt;&gt;"",E632='كشف حساب مشروع'!$C$6,I632="مرحل ✔"),COUNTIFS($E$11:E632,'كشف حساب مشروع'!$C$6,$I$11:I632,"مرحل ✔"),"")</f>
        <v/>
      </c>
      <c r="O632" s="55" t="str">
        <f aca="false">IF(AND(C632&lt;&gt;"",C632='دفتر الأستاذ'!$C$6,I632="مرحل ✔"),COUNTIFS($C$11:C632,'دفتر الأستاذ'!$C$6,$I$11:I632,"مرحل ✔"),"")</f>
        <v/>
      </c>
    </row>
    <row r="633" customFormat="false" ht="15" hidden="false" customHeight="false" outlineLevel="0" collapsed="false">
      <c r="A633" s="49"/>
      <c r="B633" s="50"/>
      <c r="C633" s="49"/>
      <c r="D633" s="51" t="str">
        <f aca="false">IF(C633="","",IFERROR(INDEX('شجرة الحسابات'!$B$9:$B$208,MATCH(C633,'شجرة الحسابات'!$A$9:$A$208,0)),"⚠ حساب غير معرف"))</f>
        <v/>
      </c>
      <c r="E633" s="52"/>
      <c r="F633" s="52"/>
      <c r="G633" s="53"/>
      <c r="H633" s="53"/>
      <c r="I633" s="54" t="str">
        <f aca="false">IF(A633="",IF(M633="فارغ","","✖ بدون رقم قيد"),IF(COUNTIFS('قيود اليومية'!$A$11:$A$1010,A633,'قيود اليومية'!$M$11:$M$1010,"&lt;&gt;OK",'قيود اليومية'!$M$11:$M$1010,"&lt;&gt;فارغ")&gt;0,"✖ خطأ بالحساب",IF(ROUND(SUMIFS('قيود اليومية'!$G$11:$G$1010,'قيود اليومية'!$A$11:$A$1010,A633)-SUMIFS('قيود اليومية'!$H$11:$H$1010,'قيود اليومية'!$A$11:$A$1010,A633),2)&lt;&gt;0,"✖ غير متوازن","مرحل ✔")))</f>
        <v/>
      </c>
      <c r="J633" s="55" t="str">
        <f aca="false">IF(C633="","",IFERROR(INDEX('شجرة الحسابات'!$E$9:$E$208,MATCH(C633,'شجرة الحسابات'!$A$9:$A$208,0))&amp;"",""))</f>
        <v/>
      </c>
      <c r="K633" s="55" t="str">
        <f aca="false">IF(C633="","",IFERROR(INDEX('شجرة الحسابات'!$I$9:$I$208,MATCH(C633,'شجرة الحسابات'!$A$9:$A$208,0))&amp;"",""))</f>
        <v/>
      </c>
      <c r="L633" s="55" t="str">
        <f aca="false">IF(C633="","",IFERROR(INDEX('شجرة الحسابات'!$C$9:$C$208,MATCH(C633,'شجرة الحسابات'!$A$9:$A$208,0))&amp;"",""))</f>
        <v/>
      </c>
      <c r="M633" s="55" t="str">
        <f aca="false">IF(AND(C633="",G633="",H633=""),"فارغ",IF(ISNA(MATCH(C633,'شجرة الحسابات'!$A$9:$A$208,0)),"حساب غير معرف",IF(L633&lt;&gt;"تحليلي","حساب تجميعي",IF(AND(N(G633)&gt;0,N(H633)&gt;0),"مدين ودائن معاً",IF(N(G633)+N(H633)=0,"بدون قيمة","OK")))))</f>
        <v>فارغ</v>
      </c>
      <c r="N633" s="55" t="str">
        <f aca="false">IF(AND(E633&lt;&gt;"",E633='كشف حساب مشروع'!$C$6,I633="مرحل ✔"),COUNTIFS($E$11:E633,'كشف حساب مشروع'!$C$6,$I$11:I633,"مرحل ✔"),"")</f>
        <v/>
      </c>
      <c r="O633" s="55" t="str">
        <f aca="false">IF(AND(C633&lt;&gt;"",C633='دفتر الأستاذ'!$C$6,I633="مرحل ✔"),COUNTIFS($C$11:C633,'دفتر الأستاذ'!$C$6,$I$11:I633,"مرحل ✔"),"")</f>
        <v/>
      </c>
    </row>
    <row r="634" customFormat="false" ht="15" hidden="false" customHeight="false" outlineLevel="0" collapsed="false">
      <c r="A634" s="49"/>
      <c r="B634" s="50"/>
      <c r="C634" s="49"/>
      <c r="D634" s="51" t="str">
        <f aca="false">IF(C634="","",IFERROR(INDEX('شجرة الحسابات'!$B$9:$B$208,MATCH(C634,'شجرة الحسابات'!$A$9:$A$208,0)),"⚠ حساب غير معرف"))</f>
        <v/>
      </c>
      <c r="E634" s="52"/>
      <c r="F634" s="52"/>
      <c r="G634" s="53"/>
      <c r="H634" s="53"/>
      <c r="I634" s="54" t="str">
        <f aca="false">IF(A634="",IF(M634="فارغ","","✖ بدون رقم قيد"),IF(COUNTIFS('قيود اليومية'!$A$11:$A$1010,A634,'قيود اليومية'!$M$11:$M$1010,"&lt;&gt;OK",'قيود اليومية'!$M$11:$M$1010,"&lt;&gt;فارغ")&gt;0,"✖ خطأ بالحساب",IF(ROUND(SUMIFS('قيود اليومية'!$G$11:$G$1010,'قيود اليومية'!$A$11:$A$1010,A634)-SUMIFS('قيود اليومية'!$H$11:$H$1010,'قيود اليومية'!$A$11:$A$1010,A634),2)&lt;&gt;0,"✖ غير متوازن","مرحل ✔")))</f>
        <v/>
      </c>
      <c r="J634" s="55" t="str">
        <f aca="false">IF(C634="","",IFERROR(INDEX('شجرة الحسابات'!$E$9:$E$208,MATCH(C634,'شجرة الحسابات'!$A$9:$A$208,0))&amp;"",""))</f>
        <v/>
      </c>
      <c r="K634" s="55" t="str">
        <f aca="false">IF(C634="","",IFERROR(INDEX('شجرة الحسابات'!$I$9:$I$208,MATCH(C634,'شجرة الحسابات'!$A$9:$A$208,0))&amp;"",""))</f>
        <v/>
      </c>
      <c r="L634" s="55" t="str">
        <f aca="false">IF(C634="","",IFERROR(INDEX('شجرة الحسابات'!$C$9:$C$208,MATCH(C634,'شجرة الحسابات'!$A$9:$A$208,0))&amp;"",""))</f>
        <v/>
      </c>
      <c r="M634" s="55" t="str">
        <f aca="false">IF(AND(C634="",G634="",H634=""),"فارغ",IF(ISNA(MATCH(C634,'شجرة الحسابات'!$A$9:$A$208,0)),"حساب غير معرف",IF(L634&lt;&gt;"تحليلي","حساب تجميعي",IF(AND(N(G634)&gt;0,N(H634)&gt;0),"مدين ودائن معاً",IF(N(G634)+N(H634)=0,"بدون قيمة","OK")))))</f>
        <v>فارغ</v>
      </c>
      <c r="N634" s="55" t="str">
        <f aca="false">IF(AND(E634&lt;&gt;"",E634='كشف حساب مشروع'!$C$6,I634="مرحل ✔"),COUNTIFS($E$11:E634,'كشف حساب مشروع'!$C$6,$I$11:I634,"مرحل ✔"),"")</f>
        <v/>
      </c>
      <c r="O634" s="55" t="str">
        <f aca="false">IF(AND(C634&lt;&gt;"",C634='دفتر الأستاذ'!$C$6,I634="مرحل ✔"),COUNTIFS($C$11:C634,'دفتر الأستاذ'!$C$6,$I$11:I634,"مرحل ✔"),"")</f>
        <v/>
      </c>
    </row>
    <row r="635" customFormat="false" ht="15" hidden="false" customHeight="false" outlineLevel="0" collapsed="false">
      <c r="A635" s="49"/>
      <c r="B635" s="50"/>
      <c r="C635" s="49"/>
      <c r="D635" s="51" t="str">
        <f aca="false">IF(C635="","",IFERROR(INDEX('شجرة الحسابات'!$B$9:$B$208,MATCH(C635,'شجرة الحسابات'!$A$9:$A$208,0)),"⚠ حساب غير معرف"))</f>
        <v/>
      </c>
      <c r="E635" s="52"/>
      <c r="F635" s="52"/>
      <c r="G635" s="53"/>
      <c r="H635" s="53"/>
      <c r="I635" s="54" t="str">
        <f aca="false">IF(A635="",IF(M635="فارغ","","✖ بدون رقم قيد"),IF(COUNTIFS('قيود اليومية'!$A$11:$A$1010,A635,'قيود اليومية'!$M$11:$M$1010,"&lt;&gt;OK",'قيود اليومية'!$M$11:$M$1010,"&lt;&gt;فارغ")&gt;0,"✖ خطأ بالحساب",IF(ROUND(SUMIFS('قيود اليومية'!$G$11:$G$1010,'قيود اليومية'!$A$11:$A$1010,A635)-SUMIFS('قيود اليومية'!$H$11:$H$1010,'قيود اليومية'!$A$11:$A$1010,A635),2)&lt;&gt;0,"✖ غير متوازن","مرحل ✔")))</f>
        <v/>
      </c>
      <c r="J635" s="55" t="str">
        <f aca="false">IF(C635="","",IFERROR(INDEX('شجرة الحسابات'!$E$9:$E$208,MATCH(C635,'شجرة الحسابات'!$A$9:$A$208,0))&amp;"",""))</f>
        <v/>
      </c>
      <c r="K635" s="55" t="str">
        <f aca="false">IF(C635="","",IFERROR(INDEX('شجرة الحسابات'!$I$9:$I$208,MATCH(C635,'شجرة الحسابات'!$A$9:$A$208,0))&amp;"",""))</f>
        <v/>
      </c>
      <c r="L635" s="55" t="str">
        <f aca="false">IF(C635="","",IFERROR(INDEX('شجرة الحسابات'!$C$9:$C$208,MATCH(C635,'شجرة الحسابات'!$A$9:$A$208,0))&amp;"",""))</f>
        <v/>
      </c>
      <c r="M635" s="55" t="str">
        <f aca="false">IF(AND(C635="",G635="",H635=""),"فارغ",IF(ISNA(MATCH(C635,'شجرة الحسابات'!$A$9:$A$208,0)),"حساب غير معرف",IF(L635&lt;&gt;"تحليلي","حساب تجميعي",IF(AND(N(G635)&gt;0,N(H635)&gt;0),"مدين ودائن معاً",IF(N(G635)+N(H635)=0,"بدون قيمة","OK")))))</f>
        <v>فارغ</v>
      </c>
      <c r="N635" s="55" t="str">
        <f aca="false">IF(AND(E635&lt;&gt;"",E635='كشف حساب مشروع'!$C$6,I635="مرحل ✔"),COUNTIFS($E$11:E635,'كشف حساب مشروع'!$C$6,$I$11:I635,"مرحل ✔"),"")</f>
        <v/>
      </c>
      <c r="O635" s="55" t="str">
        <f aca="false">IF(AND(C635&lt;&gt;"",C635='دفتر الأستاذ'!$C$6,I635="مرحل ✔"),COUNTIFS($C$11:C635,'دفتر الأستاذ'!$C$6,$I$11:I635,"مرحل ✔"),"")</f>
        <v/>
      </c>
    </row>
    <row r="636" customFormat="false" ht="15" hidden="false" customHeight="false" outlineLevel="0" collapsed="false">
      <c r="A636" s="49"/>
      <c r="B636" s="50"/>
      <c r="C636" s="49"/>
      <c r="D636" s="51" t="str">
        <f aca="false">IF(C636="","",IFERROR(INDEX('شجرة الحسابات'!$B$9:$B$208,MATCH(C636,'شجرة الحسابات'!$A$9:$A$208,0)),"⚠ حساب غير معرف"))</f>
        <v/>
      </c>
      <c r="E636" s="52"/>
      <c r="F636" s="52"/>
      <c r="G636" s="53"/>
      <c r="H636" s="53"/>
      <c r="I636" s="54" t="str">
        <f aca="false">IF(A636="",IF(M636="فارغ","","✖ بدون رقم قيد"),IF(COUNTIFS('قيود اليومية'!$A$11:$A$1010,A636,'قيود اليومية'!$M$11:$M$1010,"&lt;&gt;OK",'قيود اليومية'!$M$11:$M$1010,"&lt;&gt;فارغ")&gt;0,"✖ خطأ بالحساب",IF(ROUND(SUMIFS('قيود اليومية'!$G$11:$G$1010,'قيود اليومية'!$A$11:$A$1010,A636)-SUMIFS('قيود اليومية'!$H$11:$H$1010,'قيود اليومية'!$A$11:$A$1010,A636),2)&lt;&gt;0,"✖ غير متوازن","مرحل ✔")))</f>
        <v/>
      </c>
      <c r="J636" s="55" t="str">
        <f aca="false">IF(C636="","",IFERROR(INDEX('شجرة الحسابات'!$E$9:$E$208,MATCH(C636,'شجرة الحسابات'!$A$9:$A$208,0))&amp;"",""))</f>
        <v/>
      </c>
      <c r="K636" s="55" t="str">
        <f aca="false">IF(C636="","",IFERROR(INDEX('شجرة الحسابات'!$I$9:$I$208,MATCH(C636,'شجرة الحسابات'!$A$9:$A$208,0))&amp;"",""))</f>
        <v/>
      </c>
      <c r="L636" s="55" t="str">
        <f aca="false">IF(C636="","",IFERROR(INDEX('شجرة الحسابات'!$C$9:$C$208,MATCH(C636,'شجرة الحسابات'!$A$9:$A$208,0))&amp;"",""))</f>
        <v/>
      </c>
      <c r="M636" s="55" t="str">
        <f aca="false">IF(AND(C636="",G636="",H636=""),"فارغ",IF(ISNA(MATCH(C636,'شجرة الحسابات'!$A$9:$A$208,0)),"حساب غير معرف",IF(L636&lt;&gt;"تحليلي","حساب تجميعي",IF(AND(N(G636)&gt;0,N(H636)&gt;0),"مدين ودائن معاً",IF(N(G636)+N(H636)=0,"بدون قيمة","OK")))))</f>
        <v>فارغ</v>
      </c>
      <c r="N636" s="55" t="str">
        <f aca="false">IF(AND(E636&lt;&gt;"",E636='كشف حساب مشروع'!$C$6,I636="مرحل ✔"),COUNTIFS($E$11:E636,'كشف حساب مشروع'!$C$6,$I$11:I636,"مرحل ✔"),"")</f>
        <v/>
      </c>
      <c r="O636" s="55" t="str">
        <f aca="false">IF(AND(C636&lt;&gt;"",C636='دفتر الأستاذ'!$C$6,I636="مرحل ✔"),COUNTIFS($C$11:C636,'دفتر الأستاذ'!$C$6,$I$11:I636,"مرحل ✔"),"")</f>
        <v/>
      </c>
    </row>
    <row r="637" customFormat="false" ht="15" hidden="false" customHeight="false" outlineLevel="0" collapsed="false">
      <c r="A637" s="49"/>
      <c r="B637" s="50"/>
      <c r="C637" s="49"/>
      <c r="D637" s="51" t="str">
        <f aca="false">IF(C637="","",IFERROR(INDEX('شجرة الحسابات'!$B$9:$B$208,MATCH(C637,'شجرة الحسابات'!$A$9:$A$208,0)),"⚠ حساب غير معرف"))</f>
        <v/>
      </c>
      <c r="E637" s="52"/>
      <c r="F637" s="52"/>
      <c r="G637" s="53"/>
      <c r="H637" s="53"/>
      <c r="I637" s="54" t="str">
        <f aca="false">IF(A637="",IF(M637="فارغ","","✖ بدون رقم قيد"),IF(COUNTIFS('قيود اليومية'!$A$11:$A$1010,A637,'قيود اليومية'!$M$11:$M$1010,"&lt;&gt;OK",'قيود اليومية'!$M$11:$M$1010,"&lt;&gt;فارغ")&gt;0,"✖ خطأ بالحساب",IF(ROUND(SUMIFS('قيود اليومية'!$G$11:$G$1010,'قيود اليومية'!$A$11:$A$1010,A637)-SUMIFS('قيود اليومية'!$H$11:$H$1010,'قيود اليومية'!$A$11:$A$1010,A637),2)&lt;&gt;0,"✖ غير متوازن","مرحل ✔")))</f>
        <v/>
      </c>
      <c r="J637" s="55" t="str">
        <f aca="false">IF(C637="","",IFERROR(INDEX('شجرة الحسابات'!$E$9:$E$208,MATCH(C637,'شجرة الحسابات'!$A$9:$A$208,0))&amp;"",""))</f>
        <v/>
      </c>
      <c r="K637" s="55" t="str">
        <f aca="false">IF(C637="","",IFERROR(INDEX('شجرة الحسابات'!$I$9:$I$208,MATCH(C637,'شجرة الحسابات'!$A$9:$A$208,0))&amp;"",""))</f>
        <v/>
      </c>
      <c r="L637" s="55" t="str">
        <f aca="false">IF(C637="","",IFERROR(INDEX('شجرة الحسابات'!$C$9:$C$208,MATCH(C637,'شجرة الحسابات'!$A$9:$A$208,0))&amp;"",""))</f>
        <v/>
      </c>
      <c r="M637" s="55" t="str">
        <f aca="false">IF(AND(C637="",G637="",H637=""),"فارغ",IF(ISNA(MATCH(C637,'شجرة الحسابات'!$A$9:$A$208,0)),"حساب غير معرف",IF(L637&lt;&gt;"تحليلي","حساب تجميعي",IF(AND(N(G637)&gt;0,N(H637)&gt;0),"مدين ودائن معاً",IF(N(G637)+N(H637)=0,"بدون قيمة","OK")))))</f>
        <v>فارغ</v>
      </c>
      <c r="N637" s="55" t="str">
        <f aca="false">IF(AND(E637&lt;&gt;"",E637='كشف حساب مشروع'!$C$6,I637="مرحل ✔"),COUNTIFS($E$11:E637,'كشف حساب مشروع'!$C$6,$I$11:I637,"مرحل ✔"),"")</f>
        <v/>
      </c>
      <c r="O637" s="55" t="str">
        <f aca="false">IF(AND(C637&lt;&gt;"",C637='دفتر الأستاذ'!$C$6,I637="مرحل ✔"),COUNTIFS($C$11:C637,'دفتر الأستاذ'!$C$6,$I$11:I637,"مرحل ✔"),"")</f>
        <v/>
      </c>
    </row>
    <row r="638" customFormat="false" ht="15" hidden="false" customHeight="false" outlineLevel="0" collapsed="false">
      <c r="A638" s="49"/>
      <c r="B638" s="50"/>
      <c r="C638" s="49"/>
      <c r="D638" s="51" t="str">
        <f aca="false">IF(C638="","",IFERROR(INDEX('شجرة الحسابات'!$B$9:$B$208,MATCH(C638,'شجرة الحسابات'!$A$9:$A$208,0)),"⚠ حساب غير معرف"))</f>
        <v/>
      </c>
      <c r="E638" s="52"/>
      <c r="F638" s="52"/>
      <c r="G638" s="53"/>
      <c r="H638" s="53"/>
      <c r="I638" s="54" t="str">
        <f aca="false">IF(A638="",IF(M638="فارغ","","✖ بدون رقم قيد"),IF(COUNTIFS('قيود اليومية'!$A$11:$A$1010,A638,'قيود اليومية'!$M$11:$M$1010,"&lt;&gt;OK",'قيود اليومية'!$M$11:$M$1010,"&lt;&gt;فارغ")&gt;0,"✖ خطأ بالحساب",IF(ROUND(SUMIFS('قيود اليومية'!$G$11:$G$1010,'قيود اليومية'!$A$11:$A$1010,A638)-SUMIFS('قيود اليومية'!$H$11:$H$1010,'قيود اليومية'!$A$11:$A$1010,A638),2)&lt;&gt;0,"✖ غير متوازن","مرحل ✔")))</f>
        <v/>
      </c>
      <c r="J638" s="55" t="str">
        <f aca="false">IF(C638="","",IFERROR(INDEX('شجرة الحسابات'!$E$9:$E$208,MATCH(C638,'شجرة الحسابات'!$A$9:$A$208,0))&amp;"",""))</f>
        <v/>
      </c>
      <c r="K638" s="55" t="str">
        <f aca="false">IF(C638="","",IFERROR(INDEX('شجرة الحسابات'!$I$9:$I$208,MATCH(C638,'شجرة الحسابات'!$A$9:$A$208,0))&amp;"",""))</f>
        <v/>
      </c>
      <c r="L638" s="55" t="str">
        <f aca="false">IF(C638="","",IFERROR(INDEX('شجرة الحسابات'!$C$9:$C$208,MATCH(C638,'شجرة الحسابات'!$A$9:$A$208,0))&amp;"",""))</f>
        <v/>
      </c>
      <c r="M638" s="55" t="str">
        <f aca="false">IF(AND(C638="",G638="",H638=""),"فارغ",IF(ISNA(MATCH(C638,'شجرة الحسابات'!$A$9:$A$208,0)),"حساب غير معرف",IF(L638&lt;&gt;"تحليلي","حساب تجميعي",IF(AND(N(G638)&gt;0,N(H638)&gt;0),"مدين ودائن معاً",IF(N(G638)+N(H638)=0,"بدون قيمة","OK")))))</f>
        <v>فارغ</v>
      </c>
      <c r="N638" s="55" t="str">
        <f aca="false">IF(AND(E638&lt;&gt;"",E638='كشف حساب مشروع'!$C$6,I638="مرحل ✔"),COUNTIFS($E$11:E638,'كشف حساب مشروع'!$C$6,$I$11:I638,"مرحل ✔"),"")</f>
        <v/>
      </c>
      <c r="O638" s="55" t="str">
        <f aca="false">IF(AND(C638&lt;&gt;"",C638='دفتر الأستاذ'!$C$6,I638="مرحل ✔"),COUNTIFS($C$11:C638,'دفتر الأستاذ'!$C$6,$I$11:I638,"مرحل ✔"),"")</f>
        <v/>
      </c>
    </row>
    <row r="639" customFormat="false" ht="15" hidden="false" customHeight="false" outlineLevel="0" collapsed="false">
      <c r="A639" s="49"/>
      <c r="B639" s="50"/>
      <c r="C639" s="49"/>
      <c r="D639" s="51" t="str">
        <f aca="false">IF(C639="","",IFERROR(INDEX('شجرة الحسابات'!$B$9:$B$208,MATCH(C639,'شجرة الحسابات'!$A$9:$A$208,0)),"⚠ حساب غير معرف"))</f>
        <v/>
      </c>
      <c r="E639" s="52"/>
      <c r="F639" s="52"/>
      <c r="G639" s="53"/>
      <c r="H639" s="53"/>
      <c r="I639" s="54" t="str">
        <f aca="false">IF(A639="",IF(M639="فارغ","","✖ بدون رقم قيد"),IF(COUNTIFS('قيود اليومية'!$A$11:$A$1010,A639,'قيود اليومية'!$M$11:$M$1010,"&lt;&gt;OK",'قيود اليومية'!$M$11:$M$1010,"&lt;&gt;فارغ")&gt;0,"✖ خطأ بالحساب",IF(ROUND(SUMIFS('قيود اليومية'!$G$11:$G$1010,'قيود اليومية'!$A$11:$A$1010,A639)-SUMIFS('قيود اليومية'!$H$11:$H$1010,'قيود اليومية'!$A$11:$A$1010,A639),2)&lt;&gt;0,"✖ غير متوازن","مرحل ✔")))</f>
        <v/>
      </c>
      <c r="J639" s="55" t="str">
        <f aca="false">IF(C639="","",IFERROR(INDEX('شجرة الحسابات'!$E$9:$E$208,MATCH(C639,'شجرة الحسابات'!$A$9:$A$208,0))&amp;"",""))</f>
        <v/>
      </c>
      <c r="K639" s="55" t="str">
        <f aca="false">IF(C639="","",IFERROR(INDEX('شجرة الحسابات'!$I$9:$I$208,MATCH(C639,'شجرة الحسابات'!$A$9:$A$208,0))&amp;"",""))</f>
        <v/>
      </c>
      <c r="L639" s="55" t="str">
        <f aca="false">IF(C639="","",IFERROR(INDEX('شجرة الحسابات'!$C$9:$C$208,MATCH(C639,'شجرة الحسابات'!$A$9:$A$208,0))&amp;"",""))</f>
        <v/>
      </c>
      <c r="M639" s="55" t="str">
        <f aca="false">IF(AND(C639="",G639="",H639=""),"فارغ",IF(ISNA(MATCH(C639,'شجرة الحسابات'!$A$9:$A$208,0)),"حساب غير معرف",IF(L639&lt;&gt;"تحليلي","حساب تجميعي",IF(AND(N(G639)&gt;0,N(H639)&gt;0),"مدين ودائن معاً",IF(N(G639)+N(H639)=0,"بدون قيمة","OK")))))</f>
        <v>فارغ</v>
      </c>
      <c r="N639" s="55" t="str">
        <f aca="false">IF(AND(E639&lt;&gt;"",E639='كشف حساب مشروع'!$C$6,I639="مرحل ✔"),COUNTIFS($E$11:E639,'كشف حساب مشروع'!$C$6,$I$11:I639,"مرحل ✔"),"")</f>
        <v/>
      </c>
      <c r="O639" s="55" t="str">
        <f aca="false">IF(AND(C639&lt;&gt;"",C639='دفتر الأستاذ'!$C$6,I639="مرحل ✔"),COUNTIFS($C$11:C639,'دفتر الأستاذ'!$C$6,$I$11:I639,"مرحل ✔"),"")</f>
        <v/>
      </c>
    </row>
    <row r="640" customFormat="false" ht="15" hidden="false" customHeight="false" outlineLevel="0" collapsed="false">
      <c r="A640" s="49"/>
      <c r="B640" s="50"/>
      <c r="C640" s="49"/>
      <c r="D640" s="51" t="str">
        <f aca="false">IF(C640="","",IFERROR(INDEX('شجرة الحسابات'!$B$9:$B$208,MATCH(C640,'شجرة الحسابات'!$A$9:$A$208,0)),"⚠ حساب غير معرف"))</f>
        <v/>
      </c>
      <c r="E640" s="52"/>
      <c r="F640" s="52"/>
      <c r="G640" s="53"/>
      <c r="H640" s="53"/>
      <c r="I640" s="54" t="str">
        <f aca="false">IF(A640="",IF(M640="فارغ","","✖ بدون رقم قيد"),IF(COUNTIFS('قيود اليومية'!$A$11:$A$1010,A640,'قيود اليومية'!$M$11:$M$1010,"&lt;&gt;OK",'قيود اليومية'!$M$11:$M$1010,"&lt;&gt;فارغ")&gt;0,"✖ خطأ بالحساب",IF(ROUND(SUMIFS('قيود اليومية'!$G$11:$G$1010,'قيود اليومية'!$A$11:$A$1010,A640)-SUMIFS('قيود اليومية'!$H$11:$H$1010,'قيود اليومية'!$A$11:$A$1010,A640),2)&lt;&gt;0,"✖ غير متوازن","مرحل ✔")))</f>
        <v/>
      </c>
      <c r="J640" s="55" t="str">
        <f aca="false">IF(C640="","",IFERROR(INDEX('شجرة الحسابات'!$E$9:$E$208,MATCH(C640,'شجرة الحسابات'!$A$9:$A$208,0))&amp;"",""))</f>
        <v/>
      </c>
      <c r="K640" s="55" t="str">
        <f aca="false">IF(C640="","",IFERROR(INDEX('شجرة الحسابات'!$I$9:$I$208,MATCH(C640,'شجرة الحسابات'!$A$9:$A$208,0))&amp;"",""))</f>
        <v/>
      </c>
      <c r="L640" s="55" t="str">
        <f aca="false">IF(C640="","",IFERROR(INDEX('شجرة الحسابات'!$C$9:$C$208,MATCH(C640,'شجرة الحسابات'!$A$9:$A$208,0))&amp;"",""))</f>
        <v/>
      </c>
      <c r="M640" s="55" t="str">
        <f aca="false">IF(AND(C640="",G640="",H640=""),"فارغ",IF(ISNA(MATCH(C640,'شجرة الحسابات'!$A$9:$A$208,0)),"حساب غير معرف",IF(L640&lt;&gt;"تحليلي","حساب تجميعي",IF(AND(N(G640)&gt;0,N(H640)&gt;0),"مدين ودائن معاً",IF(N(G640)+N(H640)=0,"بدون قيمة","OK")))))</f>
        <v>فارغ</v>
      </c>
      <c r="N640" s="55" t="str">
        <f aca="false">IF(AND(E640&lt;&gt;"",E640='كشف حساب مشروع'!$C$6,I640="مرحل ✔"),COUNTIFS($E$11:E640,'كشف حساب مشروع'!$C$6,$I$11:I640,"مرحل ✔"),"")</f>
        <v/>
      </c>
      <c r="O640" s="55" t="str">
        <f aca="false">IF(AND(C640&lt;&gt;"",C640='دفتر الأستاذ'!$C$6,I640="مرحل ✔"),COUNTIFS($C$11:C640,'دفتر الأستاذ'!$C$6,$I$11:I640,"مرحل ✔"),"")</f>
        <v/>
      </c>
    </row>
    <row r="641" customFormat="false" ht="15" hidden="false" customHeight="false" outlineLevel="0" collapsed="false">
      <c r="A641" s="49"/>
      <c r="B641" s="50"/>
      <c r="C641" s="49"/>
      <c r="D641" s="51" t="str">
        <f aca="false">IF(C641="","",IFERROR(INDEX('شجرة الحسابات'!$B$9:$B$208,MATCH(C641,'شجرة الحسابات'!$A$9:$A$208,0)),"⚠ حساب غير معرف"))</f>
        <v/>
      </c>
      <c r="E641" s="52"/>
      <c r="F641" s="52"/>
      <c r="G641" s="53"/>
      <c r="H641" s="53"/>
      <c r="I641" s="54" t="str">
        <f aca="false">IF(A641="",IF(M641="فارغ","","✖ بدون رقم قيد"),IF(COUNTIFS('قيود اليومية'!$A$11:$A$1010,A641,'قيود اليومية'!$M$11:$M$1010,"&lt;&gt;OK",'قيود اليومية'!$M$11:$M$1010,"&lt;&gt;فارغ")&gt;0,"✖ خطأ بالحساب",IF(ROUND(SUMIFS('قيود اليومية'!$G$11:$G$1010,'قيود اليومية'!$A$11:$A$1010,A641)-SUMIFS('قيود اليومية'!$H$11:$H$1010,'قيود اليومية'!$A$11:$A$1010,A641),2)&lt;&gt;0,"✖ غير متوازن","مرحل ✔")))</f>
        <v/>
      </c>
      <c r="J641" s="55" t="str">
        <f aca="false">IF(C641="","",IFERROR(INDEX('شجرة الحسابات'!$E$9:$E$208,MATCH(C641,'شجرة الحسابات'!$A$9:$A$208,0))&amp;"",""))</f>
        <v/>
      </c>
      <c r="K641" s="55" t="str">
        <f aca="false">IF(C641="","",IFERROR(INDEX('شجرة الحسابات'!$I$9:$I$208,MATCH(C641,'شجرة الحسابات'!$A$9:$A$208,0))&amp;"",""))</f>
        <v/>
      </c>
      <c r="L641" s="55" t="str">
        <f aca="false">IF(C641="","",IFERROR(INDEX('شجرة الحسابات'!$C$9:$C$208,MATCH(C641,'شجرة الحسابات'!$A$9:$A$208,0))&amp;"",""))</f>
        <v/>
      </c>
      <c r="M641" s="55" t="str">
        <f aca="false">IF(AND(C641="",G641="",H641=""),"فارغ",IF(ISNA(MATCH(C641,'شجرة الحسابات'!$A$9:$A$208,0)),"حساب غير معرف",IF(L641&lt;&gt;"تحليلي","حساب تجميعي",IF(AND(N(G641)&gt;0,N(H641)&gt;0),"مدين ودائن معاً",IF(N(G641)+N(H641)=0,"بدون قيمة","OK")))))</f>
        <v>فارغ</v>
      </c>
      <c r="N641" s="55" t="str">
        <f aca="false">IF(AND(E641&lt;&gt;"",E641='كشف حساب مشروع'!$C$6,I641="مرحل ✔"),COUNTIFS($E$11:E641,'كشف حساب مشروع'!$C$6,$I$11:I641,"مرحل ✔"),"")</f>
        <v/>
      </c>
      <c r="O641" s="55" t="str">
        <f aca="false">IF(AND(C641&lt;&gt;"",C641='دفتر الأستاذ'!$C$6,I641="مرحل ✔"),COUNTIFS($C$11:C641,'دفتر الأستاذ'!$C$6,$I$11:I641,"مرحل ✔"),"")</f>
        <v/>
      </c>
    </row>
    <row r="642" customFormat="false" ht="15" hidden="false" customHeight="false" outlineLevel="0" collapsed="false">
      <c r="A642" s="49"/>
      <c r="B642" s="50"/>
      <c r="C642" s="49"/>
      <c r="D642" s="51" t="str">
        <f aca="false">IF(C642="","",IFERROR(INDEX('شجرة الحسابات'!$B$9:$B$208,MATCH(C642,'شجرة الحسابات'!$A$9:$A$208,0)),"⚠ حساب غير معرف"))</f>
        <v/>
      </c>
      <c r="E642" s="52"/>
      <c r="F642" s="52"/>
      <c r="G642" s="53"/>
      <c r="H642" s="53"/>
      <c r="I642" s="54" t="str">
        <f aca="false">IF(A642="",IF(M642="فارغ","","✖ بدون رقم قيد"),IF(COUNTIFS('قيود اليومية'!$A$11:$A$1010,A642,'قيود اليومية'!$M$11:$M$1010,"&lt;&gt;OK",'قيود اليومية'!$M$11:$M$1010,"&lt;&gt;فارغ")&gt;0,"✖ خطأ بالحساب",IF(ROUND(SUMIFS('قيود اليومية'!$G$11:$G$1010,'قيود اليومية'!$A$11:$A$1010,A642)-SUMIFS('قيود اليومية'!$H$11:$H$1010,'قيود اليومية'!$A$11:$A$1010,A642),2)&lt;&gt;0,"✖ غير متوازن","مرحل ✔")))</f>
        <v/>
      </c>
      <c r="J642" s="55" t="str">
        <f aca="false">IF(C642="","",IFERROR(INDEX('شجرة الحسابات'!$E$9:$E$208,MATCH(C642,'شجرة الحسابات'!$A$9:$A$208,0))&amp;"",""))</f>
        <v/>
      </c>
      <c r="K642" s="55" t="str">
        <f aca="false">IF(C642="","",IFERROR(INDEX('شجرة الحسابات'!$I$9:$I$208,MATCH(C642,'شجرة الحسابات'!$A$9:$A$208,0))&amp;"",""))</f>
        <v/>
      </c>
      <c r="L642" s="55" t="str">
        <f aca="false">IF(C642="","",IFERROR(INDEX('شجرة الحسابات'!$C$9:$C$208,MATCH(C642,'شجرة الحسابات'!$A$9:$A$208,0))&amp;"",""))</f>
        <v/>
      </c>
      <c r="M642" s="55" t="str">
        <f aca="false">IF(AND(C642="",G642="",H642=""),"فارغ",IF(ISNA(MATCH(C642,'شجرة الحسابات'!$A$9:$A$208,0)),"حساب غير معرف",IF(L642&lt;&gt;"تحليلي","حساب تجميعي",IF(AND(N(G642)&gt;0,N(H642)&gt;0),"مدين ودائن معاً",IF(N(G642)+N(H642)=0,"بدون قيمة","OK")))))</f>
        <v>فارغ</v>
      </c>
      <c r="N642" s="55" t="str">
        <f aca="false">IF(AND(E642&lt;&gt;"",E642='كشف حساب مشروع'!$C$6,I642="مرحل ✔"),COUNTIFS($E$11:E642,'كشف حساب مشروع'!$C$6,$I$11:I642,"مرحل ✔"),"")</f>
        <v/>
      </c>
      <c r="O642" s="55" t="str">
        <f aca="false">IF(AND(C642&lt;&gt;"",C642='دفتر الأستاذ'!$C$6,I642="مرحل ✔"),COUNTIFS($C$11:C642,'دفتر الأستاذ'!$C$6,$I$11:I642,"مرحل ✔"),"")</f>
        <v/>
      </c>
    </row>
    <row r="643" customFormat="false" ht="15" hidden="false" customHeight="false" outlineLevel="0" collapsed="false">
      <c r="A643" s="49"/>
      <c r="B643" s="50"/>
      <c r="C643" s="49"/>
      <c r="D643" s="51" t="str">
        <f aca="false">IF(C643="","",IFERROR(INDEX('شجرة الحسابات'!$B$9:$B$208,MATCH(C643,'شجرة الحسابات'!$A$9:$A$208,0)),"⚠ حساب غير معرف"))</f>
        <v/>
      </c>
      <c r="E643" s="52"/>
      <c r="F643" s="52"/>
      <c r="G643" s="53"/>
      <c r="H643" s="53"/>
      <c r="I643" s="54" t="str">
        <f aca="false">IF(A643="",IF(M643="فارغ","","✖ بدون رقم قيد"),IF(COUNTIFS('قيود اليومية'!$A$11:$A$1010,A643,'قيود اليومية'!$M$11:$M$1010,"&lt;&gt;OK",'قيود اليومية'!$M$11:$M$1010,"&lt;&gt;فارغ")&gt;0,"✖ خطأ بالحساب",IF(ROUND(SUMIFS('قيود اليومية'!$G$11:$G$1010,'قيود اليومية'!$A$11:$A$1010,A643)-SUMIFS('قيود اليومية'!$H$11:$H$1010,'قيود اليومية'!$A$11:$A$1010,A643),2)&lt;&gt;0,"✖ غير متوازن","مرحل ✔")))</f>
        <v/>
      </c>
      <c r="J643" s="55" t="str">
        <f aca="false">IF(C643="","",IFERROR(INDEX('شجرة الحسابات'!$E$9:$E$208,MATCH(C643,'شجرة الحسابات'!$A$9:$A$208,0))&amp;"",""))</f>
        <v/>
      </c>
      <c r="K643" s="55" t="str">
        <f aca="false">IF(C643="","",IFERROR(INDEX('شجرة الحسابات'!$I$9:$I$208,MATCH(C643,'شجرة الحسابات'!$A$9:$A$208,0))&amp;"",""))</f>
        <v/>
      </c>
      <c r="L643" s="55" t="str">
        <f aca="false">IF(C643="","",IFERROR(INDEX('شجرة الحسابات'!$C$9:$C$208,MATCH(C643,'شجرة الحسابات'!$A$9:$A$208,0))&amp;"",""))</f>
        <v/>
      </c>
      <c r="M643" s="55" t="str">
        <f aca="false">IF(AND(C643="",G643="",H643=""),"فارغ",IF(ISNA(MATCH(C643,'شجرة الحسابات'!$A$9:$A$208,0)),"حساب غير معرف",IF(L643&lt;&gt;"تحليلي","حساب تجميعي",IF(AND(N(G643)&gt;0,N(H643)&gt;0),"مدين ودائن معاً",IF(N(G643)+N(H643)=0,"بدون قيمة","OK")))))</f>
        <v>فارغ</v>
      </c>
      <c r="N643" s="55" t="str">
        <f aca="false">IF(AND(E643&lt;&gt;"",E643='كشف حساب مشروع'!$C$6,I643="مرحل ✔"),COUNTIFS($E$11:E643,'كشف حساب مشروع'!$C$6,$I$11:I643,"مرحل ✔"),"")</f>
        <v/>
      </c>
      <c r="O643" s="55" t="str">
        <f aca="false">IF(AND(C643&lt;&gt;"",C643='دفتر الأستاذ'!$C$6,I643="مرحل ✔"),COUNTIFS($C$11:C643,'دفتر الأستاذ'!$C$6,$I$11:I643,"مرحل ✔"),"")</f>
        <v/>
      </c>
    </row>
    <row r="644" customFormat="false" ht="15" hidden="false" customHeight="false" outlineLevel="0" collapsed="false">
      <c r="A644" s="49"/>
      <c r="B644" s="50"/>
      <c r="C644" s="49"/>
      <c r="D644" s="51" t="str">
        <f aca="false">IF(C644="","",IFERROR(INDEX('شجرة الحسابات'!$B$9:$B$208,MATCH(C644,'شجرة الحسابات'!$A$9:$A$208,0)),"⚠ حساب غير معرف"))</f>
        <v/>
      </c>
      <c r="E644" s="52"/>
      <c r="F644" s="52"/>
      <c r="G644" s="53"/>
      <c r="H644" s="53"/>
      <c r="I644" s="54" t="str">
        <f aca="false">IF(A644="",IF(M644="فارغ","","✖ بدون رقم قيد"),IF(COUNTIFS('قيود اليومية'!$A$11:$A$1010,A644,'قيود اليومية'!$M$11:$M$1010,"&lt;&gt;OK",'قيود اليومية'!$M$11:$M$1010,"&lt;&gt;فارغ")&gt;0,"✖ خطأ بالحساب",IF(ROUND(SUMIFS('قيود اليومية'!$G$11:$G$1010,'قيود اليومية'!$A$11:$A$1010,A644)-SUMIFS('قيود اليومية'!$H$11:$H$1010,'قيود اليومية'!$A$11:$A$1010,A644),2)&lt;&gt;0,"✖ غير متوازن","مرحل ✔")))</f>
        <v/>
      </c>
      <c r="J644" s="55" t="str">
        <f aca="false">IF(C644="","",IFERROR(INDEX('شجرة الحسابات'!$E$9:$E$208,MATCH(C644,'شجرة الحسابات'!$A$9:$A$208,0))&amp;"",""))</f>
        <v/>
      </c>
      <c r="K644" s="55" t="str">
        <f aca="false">IF(C644="","",IFERROR(INDEX('شجرة الحسابات'!$I$9:$I$208,MATCH(C644,'شجرة الحسابات'!$A$9:$A$208,0))&amp;"",""))</f>
        <v/>
      </c>
      <c r="L644" s="55" t="str">
        <f aca="false">IF(C644="","",IFERROR(INDEX('شجرة الحسابات'!$C$9:$C$208,MATCH(C644,'شجرة الحسابات'!$A$9:$A$208,0))&amp;"",""))</f>
        <v/>
      </c>
      <c r="M644" s="55" t="str">
        <f aca="false">IF(AND(C644="",G644="",H644=""),"فارغ",IF(ISNA(MATCH(C644,'شجرة الحسابات'!$A$9:$A$208,0)),"حساب غير معرف",IF(L644&lt;&gt;"تحليلي","حساب تجميعي",IF(AND(N(G644)&gt;0,N(H644)&gt;0),"مدين ودائن معاً",IF(N(G644)+N(H644)=0,"بدون قيمة","OK")))))</f>
        <v>فارغ</v>
      </c>
      <c r="N644" s="55" t="str">
        <f aca="false">IF(AND(E644&lt;&gt;"",E644='كشف حساب مشروع'!$C$6,I644="مرحل ✔"),COUNTIFS($E$11:E644,'كشف حساب مشروع'!$C$6,$I$11:I644,"مرحل ✔"),"")</f>
        <v/>
      </c>
      <c r="O644" s="55" t="str">
        <f aca="false">IF(AND(C644&lt;&gt;"",C644='دفتر الأستاذ'!$C$6,I644="مرحل ✔"),COUNTIFS($C$11:C644,'دفتر الأستاذ'!$C$6,$I$11:I644,"مرحل ✔"),"")</f>
        <v/>
      </c>
    </row>
    <row r="645" customFormat="false" ht="15" hidden="false" customHeight="false" outlineLevel="0" collapsed="false">
      <c r="A645" s="49"/>
      <c r="B645" s="50"/>
      <c r="C645" s="49"/>
      <c r="D645" s="51" t="str">
        <f aca="false">IF(C645="","",IFERROR(INDEX('شجرة الحسابات'!$B$9:$B$208,MATCH(C645,'شجرة الحسابات'!$A$9:$A$208,0)),"⚠ حساب غير معرف"))</f>
        <v/>
      </c>
      <c r="E645" s="52"/>
      <c r="F645" s="52"/>
      <c r="G645" s="53"/>
      <c r="H645" s="53"/>
      <c r="I645" s="54" t="str">
        <f aca="false">IF(A645="",IF(M645="فارغ","","✖ بدون رقم قيد"),IF(COUNTIFS('قيود اليومية'!$A$11:$A$1010,A645,'قيود اليومية'!$M$11:$M$1010,"&lt;&gt;OK",'قيود اليومية'!$M$11:$M$1010,"&lt;&gt;فارغ")&gt;0,"✖ خطأ بالحساب",IF(ROUND(SUMIFS('قيود اليومية'!$G$11:$G$1010,'قيود اليومية'!$A$11:$A$1010,A645)-SUMIFS('قيود اليومية'!$H$11:$H$1010,'قيود اليومية'!$A$11:$A$1010,A645),2)&lt;&gt;0,"✖ غير متوازن","مرحل ✔")))</f>
        <v/>
      </c>
      <c r="J645" s="55" t="str">
        <f aca="false">IF(C645="","",IFERROR(INDEX('شجرة الحسابات'!$E$9:$E$208,MATCH(C645,'شجرة الحسابات'!$A$9:$A$208,0))&amp;"",""))</f>
        <v/>
      </c>
      <c r="K645" s="55" t="str">
        <f aca="false">IF(C645="","",IFERROR(INDEX('شجرة الحسابات'!$I$9:$I$208,MATCH(C645,'شجرة الحسابات'!$A$9:$A$208,0))&amp;"",""))</f>
        <v/>
      </c>
      <c r="L645" s="55" t="str">
        <f aca="false">IF(C645="","",IFERROR(INDEX('شجرة الحسابات'!$C$9:$C$208,MATCH(C645,'شجرة الحسابات'!$A$9:$A$208,0))&amp;"",""))</f>
        <v/>
      </c>
      <c r="M645" s="55" t="str">
        <f aca="false">IF(AND(C645="",G645="",H645=""),"فارغ",IF(ISNA(MATCH(C645,'شجرة الحسابات'!$A$9:$A$208,0)),"حساب غير معرف",IF(L645&lt;&gt;"تحليلي","حساب تجميعي",IF(AND(N(G645)&gt;0,N(H645)&gt;0),"مدين ودائن معاً",IF(N(G645)+N(H645)=0,"بدون قيمة","OK")))))</f>
        <v>فارغ</v>
      </c>
      <c r="N645" s="55" t="str">
        <f aca="false">IF(AND(E645&lt;&gt;"",E645='كشف حساب مشروع'!$C$6,I645="مرحل ✔"),COUNTIFS($E$11:E645,'كشف حساب مشروع'!$C$6,$I$11:I645,"مرحل ✔"),"")</f>
        <v/>
      </c>
      <c r="O645" s="55" t="str">
        <f aca="false">IF(AND(C645&lt;&gt;"",C645='دفتر الأستاذ'!$C$6,I645="مرحل ✔"),COUNTIFS($C$11:C645,'دفتر الأستاذ'!$C$6,$I$11:I645,"مرحل ✔"),"")</f>
        <v/>
      </c>
    </row>
    <row r="646" customFormat="false" ht="15" hidden="false" customHeight="false" outlineLevel="0" collapsed="false">
      <c r="A646" s="49"/>
      <c r="B646" s="50"/>
      <c r="C646" s="49"/>
      <c r="D646" s="51" t="str">
        <f aca="false">IF(C646="","",IFERROR(INDEX('شجرة الحسابات'!$B$9:$B$208,MATCH(C646,'شجرة الحسابات'!$A$9:$A$208,0)),"⚠ حساب غير معرف"))</f>
        <v/>
      </c>
      <c r="E646" s="52"/>
      <c r="F646" s="52"/>
      <c r="G646" s="53"/>
      <c r="H646" s="53"/>
      <c r="I646" s="54" t="str">
        <f aca="false">IF(A646="",IF(M646="فارغ","","✖ بدون رقم قيد"),IF(COUNTIFS('قيود اليومية'!$A$11:$A$1010,A646,'قيود اليومية'!$M$11:$M$1010,"&lt;&gt;OK",'قيود اليومية'!$M$11:$M$1010,"&lt;&gt;فارغ")&gt;0,"✖ خطأ بالحساب",IF(ROUND(SUMIFS('قيود اليومية'!$G$11:$G$1010,'قيود اليومية'!$A$11:$A$1010,A646)-SUMIFS('قيود اليومية'!$H$11:$H$1010,'قيود اليومية'!$A$11:$A$1010,A646),2)&lt;&gt;0,"✖ غير متوازن","مرحل ✔")))</f>
        <v/>
      </c>
      <c r="J646" s="55" t="str">
        <f aca="false">IF(C646="","",IFERROR(INDEX('شجرة الحسابات'!$E$9:$E$208,MATCH(C646,'شجرة الحسابات'!$A$9:$A$208,0))&amp;"",""))</f>
        <v/>
      </c>
      <c r="K646" s="55" t="str">
        <f aca="false">IF(C646="","",IFERROR(INDEX('شجرة الحسابات'!$I$9:$I$208,MATCH(C646,'شجرة الحسابات'!$A$9:$A$208,0))&amp;"",""))</f>
        <v/>
      </c>
      <c r="L646" s="55" t="str">
        <f aca="false">IF(C646="","",IFERROR(INDEX('شجرة الحسابات'!$C$9:$C$208,MATCH(C646,'شجرة الحسابات'!$A$9:$A$208,0))&amp;"",""))</f>
        <v/>
      </c>
      <c r="M646" s="55" t="str">
        <f aca="false">IF(AND(C646="",G646="",H646=""),"فارغ",IF(ISNA(MATCH(C646,'شجرة الحسابات'!$A$9:$A$208,0)),"حساب غير معرف",IF(L646&lt;&gt;"تحليلي","حساب تجميعي",IF(AND(N(G646)&gt;0,N(H646)&gt;0),"مدين ودائن معاً",IF(N(G646)+N(H646)=0,"بدون قيمة","OK")))))</f>
        <v>فارغ</v>
      </c>
      <c r="N646" s="55" t="str">
        <f aca="false">IF(AND(E646&lt;&gt;"",E646='كشف حساب مشروع'!$C$6,I646="مرحل ✔"),COUNTIFS($E$11:E646,'كشف حساب مشروع'!$C$6,$I$11:I646,"مرحل ✔"),"")</f>
        <v/>
      </c>
      <c r="O646" s="55" t="str">
        <f aca="false">IF(AND(C646&lt;&gt;"",C646='دفتر الأستاذ'!$C$6,I646="مرحل ✔"),COUNTIFS($C$11:C646,'دفتر الأستاذ'!$C$6,$I$11:I646,"مرحل ✔"),"")</f>
        <v/>
      </c>
    </row>
    <row r="647" customFormat="false" ht="15" hidden="false" customHeight="false" outlineLevel="0" collapsed="false">
      <c r="A647" s="49"/>
      <c r="B647" s="50"/>
      <c r="C647" s="49"/>
      <c r="D647" s="51" t="str">
        <f aca="false">IF(C647="","",IFERROR(INDEX('شجرة الحسابات'!$B$9:$B$208,MATCH(C647,'شجرة الحسابات'!$A$9:$A$208,0)),"⚠ حساب غير معرف"))</f>
        <v/>
      </c>
      <c r="E647" s="52"/>
      <c r="F647" s="52"/>
      <c r="G647" s="53"/>
      <c r="H647" s="53"/>
      <c r="I647" s="54" t="str">
        <f aca="false">IF(A647="",IF(M647="فارغ","","✖ بدون رقم قيد"),IF(COUNTIFS('قيود اليومية'!$A$11:$A$1010,A647,'قيود اليومية'!$M$11:$M$1010,"&lt;&gt;OK",'قيود اليومية'!$M$11:$M$1010,"&lt;&gt;فارغ")&gt;0,"✖ خطأ بالحساب",IF(ROUND(SUMIFS('قيود اليومية'!$G$11:$G$1010,'قيود اليومية'!$A$11:$A$1010,A647)-SUMIFS('قيود اليومية'!$H$11:$H$1010,'قيود اليومية'!$A$11:$A$1010,A647),2)&lt;&gt;0,"✖ غير متوازن","مرحل ✔")))</f>
        <v/>
      </c>
      <c r="J647" s="55" t="str">
        <f aca="false">IF(C647="","",IFERROR(INDEX('شجرة الحسابات'!$E$9:$E$208,MATCH(C647,'شجرة الحسابات'!$A$9:$A$208,0))&amp;"",""))</f>
        <v/>
      </c>
      <c r="K647" s="55" t="str">
        <f aca="false">IF(C647="","",IFERROR(INDEX('شجرة الحسابات'!$I$9:$I$208,MATCH(C647,'شجرة الحسابات'!$A$9:$A$208,0))&amp;"",""))</f>
        <v/>
      </c>
      <c r="L647" s="55" t="str">
        <f aca="false">IF(C647="","",IFERROR(INDEX('شجرة الحسابات'!$C$9:$C$208,MATCH(C647,'شجرة الحسابات'!$A$9:$A$208,0))&amp;"",""))</f>
        <v/>
      </c>
      <c r="M647" s="55" t="str">
        <f aca="false">IF(AND(C647="",G647="",H647=""),"فارغ",IF(ISNA(MATCH(C647,'شجرة الحسابات'!$A$9:$A$208,0)),"حساب غير معرف",IF(L647&lt;&gt;"تحليلي","حساب تجميعي",IF(AND(N(G647)&gt;0,N(H647)&gt;0),"مدين ودائن معاً",IF(N(G647)+N(H647)=0,"بدون قيمة","OK")))))</f>
        <v>فارغ</v>
      </c>
      <c r="N647" s="55" t="str">
        <f aca="false">IF(AND(E647&lt;&gt;"",E647='كشف حساب مشروع'!$C$6,I647="مرحل ✔"),COUNTIFS($E$11:E647,'كشف حساب مشروع'!$C$6,$I$11:I647,"مرحل ✔"),"")</f>
        <v/>
      </c>
      <c r="O647" s="55" t="str">
        <f aca="false">IF(AND(C647&lt;&gt;"",C647='دفتر الأستاذ'!$C$6,I647="مرحل ✔"),COUNTIFS($C$11:C647,'دفتر الأستاذ'!$C$6,$I$11:I647,"مرحل ✔"),"")</f>
        <v/>
      </c>
    </row>
    <row r="648" customFormat="false" ht="15" hidden="false" customHeight="false" outlineLevel="0" collapsed="false">
      <c r="A648" s="49"/>
      <c r="B648" s="50"/>
      <c r="C648" s="49"/>
      <c r="D648" s="51" t="str">
        <f aca="false">IF(C648="","",IFERROR(INDEX('شجرة الحسابات'!$B$9:$B$208,MATCH(C648,'شجرة الحسابات'!$A$9:$A$208,0)),"⚠ حساب غير معرف"))</f>
        <v/>
      </c>
      <c r="E648" s="52"/>
      <c r="F648" s="52"/>
      <c r="G648" s="53"/>
      <c r="H648" s="53"/>
      <c r="I648" s="54" t="str">
        <f aca="false">IF(A648="",IF(M648="فارغ","","✖ بدون رقم قيد"),IF(COUNTIFS('قيود اليومية'!$A$11:$A$1010,A648,'قيود اليومية'!$M$11:$M$1010,"&lt;&gt;OK",'قيود اليومية'!$M$11:$M$1010,"&lt;&gt;فارغ")&gt;0,"✖ خطأ بالحساب",IF(ROUND(SUMIFS('قيود اليومية'!$G$11:$G$1010,'قيود اليومية'!$A$11:$A$1010,A648)-SUMIFS('قيود اليومية'!$H$11:$H$1010,'قيود اليومية'!$A$11:$A$1010,A648),2)&lt;&gt;0,"✖ غير متوازن","مرحل ✔")))</f>
        <v/>
      </c>
      <c r="J648" s="55" t="str">
        <f aca="false">IF(C648="","",IFERROR(INDEX('شجرة الحسابات'!$E$9:$E$208,MATCH(C648,'شجرة الحسابات'!$A$9:$A$208,0))&amp;"",""))</f>
        <v/>
      </c>
      <c r="K648" s="55" t="str">
        <f aca="false">IF(C648="","",IFERROR(INDEX('شجرة الحسابات'!$I$9:$I$208,MATCH(C648,'شجرة الحسابات'!$A$9:$A$208,0))&amp;"",""))</f>
        <v/>
      </c>
      <c r="L648" s="55" t="str">
        <f aca="false">IF(C648="","",IFERROR(INDEX('شجرة الحسابات'!$C$9:$C$208,MATCH(C648,'شجرة الحسابات'!$A$9:$A$208,0))&amp;"",""))</f>
        <v/>
      </c>
      <c r="M648" s="55" t="str">
        <f aca="false">IF(AND(C648="",G648="",H648=""),"فارغ",IF(ISNA(MATCH(C648,'شجرة الحسابات'!$A$9:$A$208,0)),"حساب غير معرف",IF(L648&lt;&gt;"تحليلي","حساب تجميعي",IF(AND(N(G648)&gt;0,N(H648)&gt;0),"مدين ودائن معاً",IF(N(G648)+N(H648)=0,"بدون قيمة","OK")))))</f>
        <v>فارغ</v>
      </c>
      <c r="N648" s="55" t="str">
        <f aca="false">IF(AND(E648&lt;&gt;"",E648='كشف حساب مشروع'!$C$6,I648="مرحل ✔"),COUNTIFS($E$11:E648,'كشف حساب مشروع'!$C$6,$I$11:I648,"مرحل ✔"),"")</f>
        <v/>
      </c>
      <c r="O648" s="55" t="str">
        <f aca="false">IF(AND(C648&lt;&gt;"",C648='دفتر الأستاذ'!$C$6,I648="مرحل ✔"),COUNTIFS($C$11:C648,'دفتر الأستاذ'!$C$6,$I$11:I648,"مرحل ✔"),"")</f>
        <v/>
      </c>
    </row>
    <row r="649" customFormat="false" ht="15" hidden="false" customHeight="false" outlineLevel="0" collapsed="false">
      <c r="A649" s="49"/>
      <c r="B649" s="50"/>
      <c r="C649" s="49"/>
      <c r="D649" s="51" t="str">
        <f aca="false">IF(C649="","",IFERROR(INDEX('شجرة الحسابات'!$B$9:$B$208,MATCH(C649,'شجرة الحسابات'!$A$9:$A$208,0)),"⚠ حساب غير معرف"))</f>
        <v/>
      </c>
      <c r="E649" s="52"/>
      <c r="F649" s="52"/>
      <c r="G649" s="53"/>
      <c r="H649" s="53"/>
      <c r="I649" s="54" t="str">
        <f aca="false">IF(A649="",IF(M649="فارغ","","✖ بدون رقم قيد"),IF(COUNTIFS('قيود اليومية'!$A$11:$A$1010,A649,'قيود اليومية'!$M$11:$M$1010,"&lt;&gt;OK",'قيود اليومية'!$M$11:$M$1010,"&lt;&gt;فارغ")&gt;0,"✖ خطأ بالحساب",IF(ROUND(SUMIFS('قيود اليومية'!$G$11:$G$1010,'قيود اليومية'!$A$11:$A$1010,A649)-SUMIFS('قيود اليومية'!$H$11:$H$1010,'قيود اليومية'!$A$11:$A$1010,A649),2)&lt;&gt;0,"✖ غير متوازن","مرحل ✔")))</f>
        <v/>
      </c>
      <c r="J649" s="55" t="str">
        <f aca="false">IF(C649="","",IFERROR(INDEX('شجرة الحسابات'!$E$9:$E$208,MATCH(C649,'شجرة الحسابات'!$A$9:$A$208,0))&amp;"",""))</f>
        <v/>
      </c>
      <c r="K649" s="55" t="str">
        <f aca="false">IF(C649="","",IFERROR(INDEX('شجرة الحسابات'!$I$9:$I$208,MATCH(C649,'شجرة الحسابات'!$A$9:$A$208,0))&amp;"",""))</f>
        <v/>
      </c>
      <c r="L649" s="55" t="str">
        <f aca="false">IF(C649="","",IFERROR(INDEX('شجرة الحسابات'!$C$9:$C$208,MATCH(C649,'شجرة الحسابات'!$A$9:$A$208,0))&amp;"",""))</f>
        <v/>
      </c>
      <c r="M649" s="55" t="str">
        <f aca="false">IF(AND(C649="",G649="",H649=""),"فارغ",IF(ISNA(MATCH(C649,'شجرة الحسابات'!$A$9:$A$208,0)),"حساب غير معرف",IF(L649&lt;&gt;"تحليلي","حساب تجميعي",IF(AND(N(G649)&gt;0,N(H649)&gt;0),"مدين ودائن معاً",IF(N(G649)+N(H649)=0,"بدون قيمة","OK")))))</f>
        <v>فارغ</v>
      </c>
      <c r="N649" s="55" t="str">
        <f aca="false">IF(AND(E649&lt;&gt;"",E649='كشف حساب مشروع'!$C$6,I649="مرحل ✔"),COUNTIFS($E$11:E649,'كشف حساب مشروع'!$C$6,$I$11:I649,"مرحل ✔"),"")</f>
        <v/>
      </c>
      <c r="O649" s="55" t="str">
        <f aca="false">IF(AND(C649&lt;&gt;"",C649='دفتر الأستاذ'!$C$6,I649="مرحل ✔"),COUNTIFS($C$11:C649,'دفتر الأستاذ'!$C$6,$I$11:I649,"مرحل ✔"),"")</f>
        <v/>
      </c>
    </row>
    <row r="650" customFormat="false" ht="15" hidden="false" customHeight="false" outlineLevel="0" collapsed="false">
      <c r="A650" s="49"/>
      <c r="B650" s="50"/>
      <c r="C650" s="49"/>
      <c r="D650" s="51" t="str">
        <f aca="false">IF(C650="","",IFERROR(INDEX('شجرة الحسابات'!$B$9:$B$208,MATCH(C650,'شجرة الحسابات'!$A$9:$A$208,0)),"⚠ حساب غير معرف"))</f>
        <v/>
      </c>
      <c r="E650" s="52"/>
      <c r="F650" s="52"/>
      <c r="G650" s="53"/>
      <c r="H650" s="53"/>
      <c r="I650" s="54" t="str">
        <f aca="false">IF(A650="",IF(M650="فارغ","","✖ بدون رقم قيد"),IF(COUNTIFS('قيود اليومية'!$A$11:$A$1010,A650,'قيود اليومية'!$M$11:$M$1010,"&lt;&gt;OK",'قيود اليومية'!$M$11:$M$1010,"&lt;&gt;فارغ")&gt;0,"✖ خطأ بالحساب",IF(ROUND(SUMIFS('قيود اليومية'!$G$11:$G$1010,'قيود اليومية'!$A$11:$A$1010,A650)-SUMIFS('قيود اليومية'!$H$11:$H$1010,'قيود اليومية'!$A$11:$A$1010,A650),2)&lt;&gt;0,"✖ غير متوازن","مرحل ✔")))</f>
        <v/>
      </c>
      <c r="J650" s="55" t="str">
        <f aca="false">IF(C650="","",IFERROR(INDEX('شجرة الحسابات'!$E$9:$E$208,MATCH(C650,'شجرة الحسابات'!$A$9:$A$208,0))&amp;"",""))</f>
        <v/>
      </c>
      <c r="K650" s="55" t="str">
        <f aca="false">IF(C650="","",IFERROR(INDEX('شجرة الحسابات'!$I$9:$I$208,MATCH(C650,'شجرة الحسابات'!$A$9:$A$208,0))&amp;"",""))</f>
        <v/>
      </c>
      <c r="L650" s="55" t="str">
        <f aca="false">IF(C650="","",IFERROR(INDEX('شجرة الحسابات'!$C$9:$C$208,MATCH(C650,'شجرة الحسابات'!$A$9:$A$208,0))&amp;"",""))</f>
        <v/>
      </c>
      <c r="M650" s="55" t="str">
        <f aca="false">IF(AND(C650="",G650="",H650=""),"فارغ",IF(ISNA(MATCH(C650,'شجرة الحسابات'!$A$9:$A$208,0)),"حساب غير معرف",IF(L650&lt;&gt;"تحليلي","حساب تجميعي",IF(AND(N(G650)&gt;0,N(H650)&gt;0),"مدين ودائن معاً",IF(N(G650)+N(H650)=0,"بدون قيمة","OK")))))</f>
        <v>فارغ</v>
      </c>
      <c r="N650" s="55" t="str">
        <f aca="false">IF(AND(E650&lt;&gt;"",E650='كشف حساب مشروع'!$C$6,I650="مرحل ✔"),COUNTIFS($E$11:E650,'كشف حساب مشروع'!$C$6,$I$11:I650,"مرحل ✔"),"")</f>
        <v/>
      </c>
      <c r="O650" s="55" t="str">
        <f aca="false">IF(AND(C650&lt;&gt;"",C650='دفتر الأستاذ'!$C$6,I650="مرحل ✔"),COUNTIFS($C$11:C650,'دفتر الأستاذ'!$C$6,$I$11:I650,"مرحل ✔"),"")</f>
        <v/>
      </c>
    </row>
    <row r="651" customFormat="false" ht="15" hidden="false" customHeight="false" outlineLevel="0" collapsed="false">
      <c r="A651" s="49"/>
      <c r="B651" s="50"/>
      <c r="C651" s="49"/>
      <c r="D651" s="51" t="str">
        <f aca="false">IF(C651="","",IFERROR(INDEX('شجرة الحسابات'!$B$9:$B$208,MATCH(C651,'شجرة الحسابات'!$A$9:$A$208,0)),"⚠ حساب غير معرف"))</f>
        <v/>
      </c>
      <c r="E651" s="52"/>
      <c r="F651" s="52"/>
      <c r="G651" s="53"/>
      <c r="H651" s="53"/>
      <c r="I651" s="54" t="str">
        <f aca="false">IF(A651="",IF(M651="فارغ","","✖ بدون رقم قيد"),IF(COUNTIFS('قيود اليومية'!$A$11:$A$1010,A651,'قيود اليومية'!$M$11:$M$1010,"&lt;&gt;OK",'قيود اليومية'!$M$11:$M$1010,"&lt;&gt;فارغ")&gt;0,"✖ خطأ بالحساب",IF(ROUND(SUMIFS('قيود اليومية'!$G$11:$G$1010,'قيود اليومية'!$A$11:$A$1010,A651)-SUMIFS('قيود اليومية'!$H$11:$H$1010,'قيود اليومية'!$A$11:$A$1010,A651),2)&lt;&gt;0,"✖ غير متوازن","مرحل ✔")))</f>
        <v/>
      </c>
      <c r="J651" s="55" t="str">
        <f aca="false">IF(C651="","",IFERROR(INDEX('شجرة الحسابات'!$E$9:$E$208,MATCH(C651,'شجرة الحسابات'!$A$9:$A$208,0))&amp;"",""))</f>
        <v/>
      </c>
      <c r="K651" s="55" t="str">
        <f aca="false">IF(C651="","",IFERROR(INDEX('شجرة الحسابات'!$I$9:$I$208,MATCH(C651,'شجرة الحسابات'!$A$9:$A$208,0))&amp;"",""))</f>
        <v/>
      </c>
      <c r="L651" s="55" t="str">
        <f aca="false">IF(C651="","",IFERROR(INDEX('شجرة الحسابات'!$C$9:$C$208,MATCH(C651,'شجرة الحسابات'!$A$9:$A$208,0))&amp;"",""))</f>
        <v/>
      </c>
      <c r="M651" s="55" t="str">
        <f aca="false">IF(AND(C651="",G651="",H651=""),"فارغ",IF(ISNA(MATCH(C651,'شجرة الحسابات'!$A$9:$A$208,0)),"حساب غير معرف",IF(L651&lt;&gt;"تحليلي","حساب تجميعي",IF(AND(N(G651)&gt;0,N(H651)&gt;0),"مدين ودائن معاً",IF(N(G651)+N(H651)=0,"بدون قيمة","OK")))))</f>
        <v>فارغ</v>
      </c>
      <c r="N651" s="55" t="str">
        <f aca="false">IF(AND(E651&lt;&gt;"",E651='كشف حساب مشروع'!$C$6,I651="مرحل ✔"),COUNTIFS($E$11:E651,'كشف حساب مشروع'!$C$6,$I$11:I651,"مرحل ✔"),"")</f>
        <v/>
      </c>
      <c r="O651" s="55" t="str">
        <f aca="false">IF(AND(C651&lt;&gt;"",C651='دفتر الأستاذ'!$C$6,I651="مرحل ✔"),COUNTIFS($C$11:C651,'دفتر الأستاذ'!$C$6,$I$11:I651,"مرحل ✔"),"")</f>
        <v/>
      </c>
    </row>
    <row r="652" customFormat="false" ht="15" hidden="false" customHeight="false" outlineLevel="0" collapsed="false">
      <c r="A652" s="49"/>
      <c r="B652" s="50"/>
      <c r="C652" s="49"/>
      <c r="D652" s="51" t="str">
        <f aca="false">IF(C652="","",IFERROR(INDEX('شجرة الحسابات'!$B$9:$B$208,MATCH(C652,'شجرة الحسابات'!$A$9:$A$208,0)),"⚠ حساب غير معرف"))</f>
        <v/>
      </c>
      <c r="E652" s="52"/>
      <c r="F652" s="52"/>
      <c r="G652" s="53"/>
      <c r="H652" s="53"/>
      <c r="I652" s="54" t="str">
        <f aca="false">IF(A652="",IF(M652="فارغ","","✖ بدون رقم قيد"),IF(COUNTIFS('قيود اليومية'!$A$11:$A$1010,A652,'قيود اليومية'!$M$11:$M$1010,"&lt;&gt;OK",'قيود اليومية'!$M$11:$M$1010,"&lt;&gt;فارغ")&gt;0,"✖ خطأ بالحساب",IF(ROUND(SUMIFS('قيود اليومية'!$G$11:$G$1010,'قيود اليومية'!$A$11:$A$1010,A652)-SUMIFS('قيود اليومية'!$H$11:$H$1010,'قيود اليومية'!$A$11:$A$1010,A652),2)&lt;&gt;0,"✖ غير متوازن","مرحل ✔")))</f>
        <v/>
      </c>
      <c r="J652" s="55" t="str">
        <f aca="false">IF(C652="","",IFERROR(INDEX('شجرة الحسابات'!$E$9:$E$208,MATCH(C652,'شجرة الحسابات'!$A$9:$A$208,0))&amp;"",""))</f>
        <v/>
      </c>
      <c r="K652" s="55" t="str">
        <f aca="false">IF(C652="","",IFERROR(INDEX('شجرة الحسابات'!$I$9:$I$208,MATCH(C652,'شجرة الحسابات'!$A$9:$A$208,0))&amp;"",""))</f>
        <v/>
      </c>
      <c r="L652" s="55" t="str">
        <f aca="false">IF(C652="","",IFERROR(INDEX('شجرة الحسابات'!$C$9:$C$208,MATCH(C652,'شجرة الحسابات'!$A$9:$A$208,0))&amp;"",""))</f>
        <v/>
      </c>
      <c r="M652" s="55" t="str">
        <f aca="false">IF(AND(C652="",G652="",H652=""),"فارغ",IF(ISNA(MATCH(C652,'شجرة الحسابات'!$A$9:$A$208,0)),"حساب غير معرف",IF(L652&lt;&gt;"تحليلي","حساب تجميعي",IF(AND(N(G652)&gt;0,N(H652)&gt;0),"مدين ودائن معاً",IF(N(G652)+N(H652)=0,"بدون قيمة","OK")))))</f>
        <v>فارغ</v>
      </c>
      <c r="N652" s="55" t="str">
        <f aca="false">IF(AND(E652&lt;&gt;"",E652='كشف حساب مشروع'!$C$6,I652="مرحل ✔"),COUNTIFS($E$11:E652,'كشف حساب مشروع'!$C$6,$I$11:I652,"مرحل ✔"),"")</f>
        <v/>
      </c>
      <c r="O652" s="55" t="str">
        <f aca="false">IF(AND(C652&lt;&gt;"",C652='دفتر الأستاذ'!$C$6,I652="مرحل ✔"),COUNTIFS($C$11:C652,'دفتر الأستاذ'!$C$6,$I$11:I652,"مرحل ✔"),"")</f>
        <v/>
      </c>
    </row>
    <row r="653" customFormat="false" ht="15" hidden="false" customHeight="false" outlineLevel="0" collapsed="false">
      <c r="A653" s="49"/>
      <c r="B653" s="50"/>
      <c r="C653" s="49"/>
      <c r="D653" s="51" t="str">
        <f aca="false">IF(C653="","",IFERROR(INDEX('شجرة الحسابات'!$B$9:$B$208,MATCH(C653,'شجرة الحسابات'!$A$9:$A$208,0)),"⚠ حساب غير معرف"))</f>
        <v/>
      </c>
      <c r="E653" s="52"/>
      <c r="F653" s="52"/>
      <c r="G653" s="53"/>
      <c r="H653" s="53"/>
      <c r="I653" s="54" t="str">
        <f aca="false">IF(A653="",IF(M653="فارغ","","✖ بدون رقم قيد"),IF(COUNTIFS('قيود اليومية'!$A$11:$A$1010,A653,'قيود اليومية'!$M$11:$M$1010,"&lt;&gt;OK",'قيود اليومية'!$M$11:$M$1010,"&lt;&gt;فارغ")&gt;0,"✖ خطأ بالحساب",IF(ROUND(SUMIFS('قيود اليومية'!$G$11:$G$1010,'قيود اليومية'!$A$11:$A$1010,A653)-SUMIFS('قيود اليومية'!$H$11:$H$1010,'قيود اليومية'!$A$11:$A$1010,A653),2)&lt;&gt;0,"✖ غير متوازن","مرحل ✔")))</f>
        <v/>
      </c>
      <c r="J653" s="55" t="str">
        <f aca="false">IF(C653="","",IFERROR(INDEX('شجرة الحسابات'!$E$9:$E$208,MATCH(C653,'شجرة الحسابات'!$A$9:$A$208,0))&amp;"",""))</f>
        <v/>
      </c>
      <c r="K653" s="55" t="str">
        <f aca="false">IF(C653="","",IFERROR(INDEX('شجرة الحسابات'!$I$9:$I$208,MATCH(C653,'شجرة الحسابات'!$A$9:$A$208,0))&amp;"",""))</f>
        <v/>
      </c>
      <c r="L653" s="55" t="str">
        <f aca="false">IF(C653="","",IFERROR(INDEX('شجرة الحسابات'!$C$9:$C$208,MATCH(C653,'شجرة الحسابات'!$A$9:$A$208,0))&amp;"",""))</f>
        <v/>
      </c>
      <c r="M653" s="55" t="str">
        <f aca="false">IF(AND(C653="",G653="",H653=""),"فارغ",IF(ISNA(MATCH(C653,'شجرة الحسابات'!$A$9:$A$208,0)),"حساب غير معرف",IF(L653&lt;&gt;"تحليلي","حساب تجميعي",IF(AND(N(G653)&gt;0,N(H653)&gt;0),"مدين ودائن معاً",IF(N(G653)+N(H653)=0,"بدون قيمة","OK")))))</f>
        <v>فارغ</v>
      </c>
      <c r="N653" s="55" t="str">
        <f aca="false">IF(AND(E653&lt;&gt;"",E653='كشف حساب مشروع'!$C$6,I653="مرحل ✔"),COUNTIFS($E$11:E653,'كشف حساب مشروع'!$C$6,$I$11:I653,"مرحل ✔"),"")</f>
        <v/>
      </c>
      <c r="O653" s="55" t="str">
        <f aca="false">IF(AND(C653&lt;&gt;"",C653='دفتر الأستاذ'!$C$6,I653="مرحل ✔"),COUNTIFS($C$11:C653,'دفتر الأستاذ'!$C$6,$I$11:I653,"مرحل ✔"),"")</f>
        <v/>
      </c>
    </row>
    <row r="654" customFormat="false" ht="15" hidden="false" customHeight="false" outlineLevel="0" collapsed="false">
      <c r="A654" s="49"/>
      <c r="B654" s="50"/>
      <c r="C654" s="49"/>
      <c r="D654" s="51" t="str">
        <f aca="false">IF(C654="","",IFERROR(INDEX('شجرة الحسابات'!$B$9:$B$208,MATCH(C654,'شجرة الحسابات'!$A$9:$A$208,0)),"⚠ حساب غير معرف"))</f>
        <v/>
      </c>
      <c r="E654" s="52"/>
      <c r="F654" s="52"/>
      <c r="G654" s="53"/>
      <c r="H654" s="53"/>
      <c r="I654" s="54" t="str">
        <f aca="false">IF(A654="",IF(M654="فارغ","","✖ بدون رقم قيد"),IF(COUNTIFS('قيود اليومية'!$A$11:$A$1010,A654,'قيود اليومية'!$M$11:$M$1010,"&lt;&gt;OK",'قيود اليومية'!$M$11:$M$1010,"&lt;&gt;فارغ")&gt;0,"✖ خطأ بالحساب",IF(ROUND(SUMIFS('قيود اليومية'!$G$11:$G$1010,'قيود اليومية'!$A$11:$A$1010,A654)-SUMIFS('قيود اليومية'!$H$11:$H$1010,'قيود اليومية'!$A$11:$A$1010,A654),2)&lt;&gt;0,"✖ غير متوازن","مرحل ✔")))</f>
        <v/>
      </c>
      <c r="J654" s="55" t="str">
        <f aca="false">IF(C654="","",IFERROR(INDEX('شجرة الحسابات'!$E$9:$E$208,MATCH(C654,'شجرة الحسابات'!$A$9:$A$208,0))&amp;"",""))</f>
        <v/>
      </c>
      <c r="K654" s="55" t="str">
        <f aca="false">IF(C654="","",IFERROR(INDEX('شجرة الحسابات'!$I$9:$I$208,MATCH(C654,'شجرة الحسابات'!$A$9:$A$208,0))&amp;"",""))</f>
        <v/>
      </c>
      <c r="L654" s="55" t="str">
        <f aca="false">IF(C654="","",IFERROR(INDEX('شجرة الحسابات'!$C$9:$C$208,MATCH(C654,'شجرة الحسابات'!$A$9:$A$208,0))&amp;"",""))</f>
        <v/>
      </c>
      <c r="M654" s="55" t="str">
        <f aca="false">IF(AND(C654="",G654="",H654=""),"فارغ",IF(ISNA(MATCH(C654,'شجرة الحسابات'!$A$9:$A$208,0)),"حساب غير معرف",IF(L654&lt;&gt;"تحليلي","حساب تجميعي",IF(AND(N(G654)&gt;0,N(H654)&gt;0),"مدين ودائن معاً",IF(N(G654)+N(H654)=0,"بدون قيمة","OK")))))</f>
        <v>فارغ</v>
      </c>
      <c r="N654" s="55" t="str">
        <f aca="false">IF(AND(E654&lt;&gt;"",E654='كشف حساب مشروع'!$C$6,I654="مرحل ✔"),COUNTIFS($E$11:E654,'كشف حساب مشروع'!$C$6,$I$11:I654,"مرحل ✔"),"")</f>
        <v/>
      </c>
      <c r="O654" s="55" t="str">
        <f aca="false">IF(AND(C654&lt;&gt;"",C654='دفتر الأستاذ'!$C$6,I654="مرحل ✔"),COUNTIFS($C$11:C654,'دفتر الأستاذ'!$C$6,$I$11:I654,"مرحل ✔"),"")</f>
        <v/>
      </c>
    </row>
    <row r="655" customFormat="false" ht="15" hidden="false" customHeight="false" outlineLevel="0" collapsed="false">
      <c r="A655" s="49"/>
      <c r="B655" s="50"/>
      <c r="C655" s="49"/>
      <c r="D655" s="51" t="str">
        <f aca="false">IF(C655="","",IFERROR(INDEX('شجرة الحسابات'!$B$9:$B$208,MATCH(C655,'شجرة الحسابات'!$A$9:$A$208,0)),"⚠ حساب غير معرف"))</f>
        <v/>
      </c>
      <c r="E655" s="52"/>
      <c r="F655" s="52"/>
      <c r="G655" s="53"/>
      <c r="H655" s="53"/>
      <c r="I655" s="54" t="str">
        <f aca="false">IF(A655="",IF(M655="فارغ","","✖ بدون رقم قيد"),IF(COUNTIFS('قيود اليومية'!$A$11:$A$1010,A655,'قيود اليومية'!$M$11:$M$1010,"&lt;&gt;OK",'قيود اليومية'!$M$11:$M$1010,"&lt;&gt;فارغ")&gt;0,"✖ خطأ بالحساب",IF(ROUND(SUMIFS('قيود اليومية'!$G$11:$G$1010,'قيود اليومية'!$A$11:$A$1010,A655)-SUMIFS('قيود اليومية'!$H$11:$H$1010,'قيود اليومية'!$A$11:$A$1010,A655),2)&lt;&gt;0,"✖ غير متوازن","مرحل ✔")))</f>
        <v/>
      </c>
      <c r="J655" s="55" t="str">
        <f aca="false">IF(C655="","",IFERROR(INDEX('شجرة الحسابات'!$E$9:$E$208,MATCH(C655,'شجرة الحسابات'!$A$9:$A$208,0))&amp;"",""))</f>
        <v/>
      </c>
      <c r="K655" s="55" t="str">
        <f aca="false">IF(C655="","",IFERROR(INDEX('شجرة الحسابات'!$I$9:$I$208,MATCH(C655,'شجرة الحسابات'!$A$9:$A$208,0))&amp;"",""))</f>
        <v/>
      </c>
      <c r="L655" s="55" t="str">
        <f aca="false">IF(C655="","",IFERROR(INDEX('شجرة الحسابات'!$C$9:$C$208,MATCH(C655,'شجرة الحسابات'!$A$9:$A$208,0))&amp;"",""))</f>
        <v/>
      </c>
      <c r="M655" s="55" t="str">
        <f aca="false">IF(AND(C655="",G655="",H655=""),"فارغ",IF(ISNA(MATCH(C655,'شجرة الحسابات'!$A$9:$A$208,0)),"حساب غير معرف",IF(L655&lt;&gt;"تحليلي","حساب تجميعي",IF(AND(N(G655)&gt;0,N(H655)&gt;0),"مدين ودائن معاً",IF(N(G655)+N(H655)=0,"بدون قيمة","OK")))))</f>
        <v>فارغ</v>
      </c>
      <c r="N655" s="55" t="str">
        <f aca="false">IF(AND(E655&lt;&gt;"",E655='كشف حساب مشروع'!$C$6,I655="مرحل ✔"),COUNTIFS($E$11:E655,'كشف حساب مشروع'!$C$6,$I$11:I655,"مرحل ✔"),"")</f>
        <v/>
      </c>
      <c r="O655" s="55" t="str">
        <f aca="false">IF(AND(C655&lt;&gt;"",C655='دفتر الأستاذ'!$C$6,I655="مرحل ✔"),COUNTIFS($C$11:C655,'دفتر الأستاذ'!$C$6,$I$11:I655,"مرحل ✔"),"")</f>
        <v/>
      </c>
    </row>
    <row r="656" customFormat="false" ht="15" hidden="false" customHeight="false" outlineLevel="0" collapsed="false">
      <c r="A656" s="49"/>
      <c r="B656" s="50"/>
      <c r="C656" s="49"/>
      <c r="D656" s="51" t="str">
        <f aca="false">IF(C656="","",IFERROR(INDEX('شجرة الحسابات'!$B$9:$B$208,MATCH(C656,'شجرة الحسابات'!$A$9:$A$208,0)),"⚠ حساب غير معرف"))</f>
        <v/>
      </c>
      <c r="E656" s="52"/>
      <c r="F656" s="52"/>
      <c r="G656" s="53"/>
      <c r="H656" s="53"/>
      <c r="I656" s="54" t="str">
        <f aca="false">IF(A656="",IF(M656="فارغ","","✖ بدون رقم قيد"),IF(COUNTIFS('قيود اليومية'!$A$11:$A$1010,A656,'قيود اليومية'!$M$11:$M$1010,"&lt;&gt;OK",'قيود اليومية'!$M$11:$M$1010,"&lt;&gt;فارغ")&gt;0,"✖ خطأ بالحساب",IF(ROUND(SUMIFS('قيود اليومية'!$G$11:$G$1010,'قيود اليومية'!$A$11:$A$1010,A656)-SUMIFS('قيود اليومية'!$H$11:$H$1010,'قيود اليومية'!$A$11:$A$1010,A656),2)&lt;&gt;0,"✖ غير متوازن","مرحل ✔")))</f>
        <v/>
      </c>
      <c r="J656" s="55" t="str">
        <f aca="false">IF(C656="","",IFERROR(INDEX('شجرة الحسابات'!$E$9:$E$208,MATCH(C656,'شجرة الحسابات'!$A$9:$A$208,0))&amp;"",""))</f>
        <v/>
      </c>
      <c r="K656" s="55" t="str">
        <f aca="false">IF(C656="","",IFERROR(INDEX('شجرة الحسابات'!$I$9:$I$208,MATCH(C656,'شجرة الحسابات'!$A$9:$A$208,0))&amp;"",""))</f>
        <v/>
      </c>
      <c r="L656" s="55" t="str">
        <f aca="false">IF(C656="","",IFERROR(INDEX('شجرة الحسابات'!$C$9:$C$208,MATCH(C656,'شجرة الحسابات'!$A$9:$A$208,0))&amp;"",""))</f>
        <v/>
      </c>
      <c r="M656" s="55" t="str">
        <f aca="false">IF(AND(C656="",G656="",H656=""),"فارغ",IF(ISNA(MATCH(C656,'شجرة الحسابات'!$A$9:$A$208,0)),"حساب غير معرف",IF(L656&lt;&gt;"تحليلي","حساب تجميعي",IF(AND(N(G656)&gt;0,N(H656)&gt;0),"مدين ودائن معاً",IF(N(G656)+N(H656)=0,"بدون قيمة","OK")))))</f>
        <v>فارغ</v>
      </c>
      <c r="N656" s="55" t="str">
        <f aca="false">IF(AND(E656&lt;&gt;"",E656='كشف حساب مشروع'!$C$6,I656="مرحل ✔"),COUNTIFS($E$11:E656,'كشف حساب مشروع'!$C$6,$I$11:I656,"مرحل ✔"),"")</f>
        <v/>
      </c>
      <c r="O656" s="55" t="str">
        <f aca="false">IF(AND(C656&lt;&gt;"",C656='دفتر الأستاذ'!$C$6,I656="مرحل ✔"),COUNTIFS($C$11:C656,'دفتر الأستاذ'!$C$6,$I$11:I656,"مرحل ✔"),"")</f>
        <v/>
      </c>
    </row>
    <row r="657" customFormat="false" ht="15" hidden="false" customHeight="false" outlineLevel="0" collapsed="false">
      <c r="A657" s="49"/>
      <c r="B657" s="50"/>
      <c r="C657" s="49"/>
      <c r="D657" s="51" t="str">
        <f aca="false">IF(C657="","",IFERROR(INDEX('شجرة الحسابات'!$B$9:$B$208,MATCH(C657,'شجرة الحسابات'!$A$9:$A$208,0)),"⚠ حساب غير معرف"))</f>
        <v/>
      </c>
      <c r="E657" s="52"/>
      <c r="F657" s="52"/>
      <c r="G657" s="53"/>
      <c r="H657" s="53"/>
      <c r="I657" s="54" t="str">
        <f aca="false">IF(A657="",IF(M657="فارغ","","✖ بدون رقم قيد"),IF(COUNTIFS('قيود اليومية'!$A$11:$A$1010,A657,'قيود اليومية'!$M$11:$M$1010,"&lt;&gt;OK",'قيود اليومية'!$M$11:$M$1010,"&lt;&gt;فارغ")&gt;0,"✖ خطأ بالحساب",IF(ROUND(SUMIFS('قيود اليومية'!$G$11:$G$1010,'قيود اليومية'!$A$11:$A$1010,A657)-SUMIFS('قيود اليومية'!$H$11:$H$1010,'قيود اليومية'!$A$11:$A$1010,A657),2)&lt;&gt;0,"✖ غير متوازن","مرحل ✔")))</f>
        <v/>
      </c>
      <c r="J657" s="55" t="str">
        <f aca="false">IF(C657="","",IFERROR(INDEX('شجرة الحسابات'!$E$9:$E$208,MATCH(C657,'شجرة الحسابات'!$A$9:$A$208,0))&amp;"",""))</f>
        <v/>
      </c>
      <c r="K657" s="55" t="str">
        <f aca="false">IF(C657="","",IFERROR(INDEX('شجرة الحسابات'!$I$9:$I$208,MATCH(C657,'شجرة الحسابات'!$A$9:$A$208,0))&amp;"",""))</f>
        <v/>
      </c>
      <c r="L657" s="55" t="str">
        <f aca="false">IF(C657="","",IFERROR(INDEX('شجرة الحسابات'!$C$9:$C$208,MATCH(C657,'شجرة الحسابات'!$A$9:$A$208,0))&amp;"",""))</f>
        <v/>
      </c>
      <c r="M657" s="55" t="str">
        <f aca="false">IF(AND(C657="",G657="",H657=""),"فارغ",IF(ISNA(MATCH(C657,'شجرة الحسابات'!$A$9:$A$208,0)),"حساب غير معرف",IF(L657&lt;&gt;"تحليلي","حساب تجميعي",IF(AND(N(G657)&gt;0,N(H657)&gt;0),"مدين ودائن معاً",IF(N(G657)+N(H657)=0,"بدون قيمة","OK")))))</f>
        <v>فارغ</v>
      </c>
      <c r="N657" s="55" t="str">
        <f aca="false">IF(AND(E657&lt;&gt;"",E657='كشف حساب مشروع'!$C$6,I657="مرحل ✔"),COUNTIFS($E$11:E657,'كشف حساب مشروع'!$C$6,$I$11:I657,"مرحل ✔"),"")</f>
        <v/>
      </c>
      <c r="O657" s="55" t="str">
        <f aca="false">IF(AND(C657&lt;&gt;"",C657='دفتر الأستاذ'!$C$6,I657="مرحل ✔"),COUNTIFS($C$11:C657,'دفتر الأستاذ'!$C$6,$I$11:I657,"مرحل ✔"),"")</f>
        <v/>
      </c>
    </row>
    <row r="658" customFormat="false" ht="15" hidden="false" customHeight="false" outlineLevel="0" collapsed="false">
      <c r="A658" s="49"/>
      <c r="B658" s="50"/>
      <c r="C658" s="49"/>
      <c r="D658" s="51" t="str">
        <f aca="false">IF(C658="","",IFERROR(INDEX('شجرة الحسابات'!$B$9:$B$208,MATCH(C658,'شجرة الحسابات'!$A$9:$A$208,0)),"⚠ حساب غير معرف"))</f>
        <v/>
      </c>
      <c r="E658" s="52"/>
      <c r="F658" s="52"/>
      <c r="G658" s="53"/>
      <c r="H658" s="53"/>
      <c r="I658" s="54" t="str">
        <f aca="false">IF(A658="",IF(M658="فارغ","","✖ بدون رقم قيد"),IF(COUNTIFS('قيود اليومية'!$A$11:$A$1010,A658,'قيود اليومية'!$M$11:$M$1010,"&lt;&gt;OK",'قيود اليومية'!$M$11:$M$1010,"&lt;&gt;فارغ")&gt;0,"✖ خطأ بالحساب",IF(ROUND(SUMIFS('قيود اليومية'!$G$11:$G$1010,'قيود اليومية'!$A$11:$A$1010,A658)-SUMIFS('قيود اليومية'!$H$11:$H$1010,'قيود اليومية'!$A$11:$A$1010,A658),2)&lt;&gt;0,"✖ غير متوازن","مرحل ✔")))</f>
        <v/>
      </c>
      <c r="J658" s="55" t="str">
        <f aca="false">IF(C658="","",IFERROR(INDEX('شجرة الحسابات'!$E$9:$E$208,MATCH(C658,'شجرة الحسابات'!$A$9:$A$208,0))&amp;"",""))</f>
        <v/>
      </c>
      <c r="K658" s="55" t="str">
        <f aca="false">IF(C658="","",IFERROR(INDEX('شجرة الحسابات'!$I$9:$I$208,MATCH(C658,'شجرة الحسابات'!$A$9:$A$208,0))&amp;"",""))</f>
        <v/>
      </c>
      <c r="L658" s="55" t="str">
        <f aca="false">IF(C658="","",IFERROR(INDEX('شجرة الحسابات'!$C$9:$C$208,MATCH(C658,'شجرة الحسابات'!$A$9:$A$208,0))&amp;"",""))</f>
        <v/>
      </c>
      <c r="M658" s="55" t="str">
        <f aca="false">IF(AND(C658="",G658="",H658=""),"فارغ",IF(ISNA(MATCH(C658,'شجرة الحسابات'!$A$9:$A$208,0)),"حساب غير معرف",IF(L658&lt;&gt;"تحليلي","حساب تجميعي",IF(AND(N(G658)&gt;0,N(H658)&gt;0),"مدين ودائن معاً",IF(N(G658)+N(H658)=0,"بدون قيمة","OK")))))</f>
        <v>فارغ</v>
      </c>
      <c r="N658" s="55" t="str">
        <f aca="false">IF(AND(E658&lt;&gt;"",E658='كشف حساب مشروع'!$C$6,I658="مرحل ✔"),COUNTIFS($E$11:E658,'كشف حساب مشروع'!$C$6,$I$11:I658,"مرحل ✔"),"")</f>
        <v/>
      </c>
      <c r="O658" s="55" t="str">
        <f aca="false">IF(AND(C658&lt;&gt;"",C658='دفتر الأستاذ'!$C$6,I658="مرحل ✔"),COUNTIFS($C$11:C658,'دفتر الأستاذ'!$C$6,$I$11:I658,"مرحل ✔"),"")</f>
        <v/>
      </c>
    </row>
    <row r="659" customFormat="false" ht="15" hidden="false" customHeight="false" outlineLevel="0" collapsed="false">
      <c r="A659" s="49"/>
      <c r="B659" s="50"/>
      <c r="C659" s="49"/>
      <c r="D659" s="51" t="str">
        <f aca="false">IF(C659="","",IFERROR(INDEX('شجرة الحسابات'!$B$9:$B$208,MATCH(C659,'شجرة الحسابات'!$A$9:$A$208,0)),"⚠ حساب غير معرف"))</f>
        <v/>
      </c>
      <c r="E659" s="52"/>
      <c r="F659" s="52"/>
      <c r="G659" s="53"/>
      <c r="H659" s="53"/>
      <c r="I659" s="54" t="str">
        <f aca="false">IF(A659="",IF(M659="فارغ","","✖ بدون رقم قيد"),IF(COUNTIFS('قيود اليومية'!$A$11:$A$1010,A659,'قيود اليومية'!$M$11:$M$1010,"&lt;&gt;OK",'قيود اليومية'!$M$11:$M$1010,"&lt;&gt;فارغ")&gt;0,"✖ خطأ بالحساب",IF(ROUND(SUMIFS('قيود اليومية'!$G$11:$G$1010,'قيود اليومية'!$A$11:$A$1010,A659)-SUMIFS('قيود اليومية'!$H$11:$H$1010,'قيود اليومية'!$A$11:$A$1010,A659),2)&lt;&gt;0,"✖ غير متوازن","مرحل ✔")))</f>
        <v/>
      </c>
      <c r="J659" s="55" t="str">
        <f aca="false">IF(C659="","",IFERROR(INDEX('شجرة الحسابات'!$E$9:$E$208,MATCH(C659,'شجرة الحسابات'!$A$9:$A$208,0))&amp;"",""))</f>
        <v/>
      </c>
      <c r="K659" s="55" t="str">
        <f aca="false">IF(C659="","",IFERROR(INDEX('شجرة الحسابات'!$I$9:$I$208,MATCH(C659,'شجرة الحسابات'!$A$9:$A$208,0))&amp;"",""))</f>
        <v/>
      </c>
      <c r="L659" s="55" t="str">
        <f aca="false">IF(C659="","",IFERROR(INDEX('شجرة الحسابات'!$C$9:$C$208,MATCH(C659,'شجرة الحسابات'!$A$9:$A$208,0))&amp;"",""))</f>
        <v/>
      </c>
      <c r="M659" s="55" t="str">
        <f aca="false">IF(AND(C659="",G659="",H659=""),"فارغ",IF(ISNA(MATCH(C659,'شجرة الحسابات'!$A$9:$A$208,0)),"حساب غير معرف",IF(L659&lt;&gt;"تحليلي","حساب تجميعي",IF(AND(N(G659)&gt;0,N(H659)&gt;0),"مدين ودائن معاً",IF(N(G659)+N(H659)=0,"بدون قيمة","OK")))))</f>
        <v>فارغ</v>
      </c>
      <c r="N659" s="55" t="str">
        <f aca="false">IF(AND(E659&lt;&gt;"",E659='كشف حساب مشروع'!$C$6,I659="مرحل ✔"),COUNTIFS($E$11:E659,'كشف حساب مشروع'!$C$6,$I$11:I659,"مرحل ✔"),"")</f>
        <v/>
      </c>
      <c r="O659" s="55" t="str">
        <f aca="false">IF(AND(C659&lt;&gt;"",C659='دفتر الأستاذ'!$C$6,I659="مرحل ✔"),COUNTIFS($C$11:C659,'دفتر الأستاذ'!$C$6,$I$11:I659,"مرحل ✔"),"")</f>
        <v/>
      </c>
    </row>
    <row r="660" customFormat="false" ht="15" hidden="false" customHeight="false" outlineLevel="0" collapsed="false">
      <c r="A660" s="49"/>
      <c r="B660" s="50"/>
      <c r="C660" s="49"/>
      <c r="D660" s="51" t="str">
        <f aca="false">IF(C660="","",IFERROR(INDEX('شجرة الحسابات'!$B$9:$B$208,MATCH(C660,'شجرة الحسابات'!$A$9:$A$208,0)),"⚠ حساب غير معرف"))</f>
        <v/>
      </c>
      <c r="E660" s="52"/>
      <c r="F660" s="52"/>
      <c r="G660" s="53"/>
      <c r="H660" s="53"/>
      <c r="I660" s="54" t="str">
        <f aca="false">IF(A660="",IF(M660="فارغ","","✖ بدون رقم قيد"),IF(COUNTIFS('قيود اليومية'!$A$11:$A$1010,A660,'قيود اليومية'!$M$11:$M$1010,"&lt;&gt;OK",'قيود اليومية'!$M$11:$M$1010,"&lt;&gt;فارغ")&gt;0,"✖ خطأ بالحساب",IF(ROUND(SUMIFS('قيود اليومية'!$G$11:$G$1010,'قيود اليومية'!$A$11:$A$1010,A660)-SUMIFS('قيود اليومية'!$H$11:$H$1010,'قيود اليومية'!$A$11:$A$1010,A660),2)&lt;&gt;0,"✖ غير متوازن","مرحل ✔")))</f>
        <v/>
      </c>
      <c r="J660" s="55" t="str">
        <f aca="false">IF(C660="","",IFERROR(INDEX('شجرة الحسابات'!$E$9:$E$208,MATCH(C660,'شجرة الحسابات'!$A$9:$A$208,0))&amp;"",""))</f>
        <v/>
      </c>
      <c r="K660" s="55" t="str">
        <f aca="false">IF(C660="","",IFERROR(INDEX('شجرة الحسابات'!$I$9:$I$208,MATCH(C660,'شجرة الحسابات'!$A$9:$A$208,0))&amp;"",""))</f>
        <v/>
      </c>
      <c r="L660" s="55" t="str">
        <f aca="false">IF(C660="","",IFERROR(INDEX('شجرة الحسابات'!$C$9:$C$208,MATCH(C660,'شجرة الحسابات'!$A$9:$A$208,0))&amp;"",""))</f>
        <v/>
      </c>
      <c r="M660" s="55" t="str">
        <f aca="false">IF(AND(C660="",G660="",H660=""),"فارغ",IF(ISNA(MATCH(C660,'شجرة الحسابات'!$A$9:$A$208,0)),"حساب غير معرف",IF(L660&lt;&gt;"تحليلي","حساب تجميعي",IF(AND(N(G660)&gt;0,N(H660)&gt;0),"مدين ودائن معاً",IF(N(G660)+N(H660)=0,"بدون قيمة","OK")))))</f>
        <v>فارغ</v>
      </c>
      <c r="N660" s="55" t="str">
        <f aca="false">IF(AND(E660&lt;&gt;"",E660='كشف حساب مشروع'!$C$6,I660="مرحل ✔"),COUNTIFS($E$11:E660,'كشف حساب مشروع'!$C$6,$I$11:I660,"مرحل ✔"),"")</f>
        <v/>
      </c>
      <c r="O660" s="55" t="str">
        <f aca="false">IF(AND(C660&lt;&gt;"",C660='دفتر الأستاذ'!$C$6,I660="مرحل ✔"),COUNTIFS($C$11:C660,'دفتر الأستاذ'!$C$6,$I$11:I660,"مرحل ✔"),"")</f>
        <v/>
      </c>
    </row>
    <row r="661" customFormat="false" ht="15" hidden="false" customHeight="false" outlineLevel="0" collapsed="false">
      <c r="A661" s="49"/>
      <c r="B661" s="50"/>
      <c r="C661" s="49"/>
      <c r="D661" s="51" t="str">
        <f aca="false">IF(C661="","",IFERROR(INDEX('شجرة الحسابات'!$B$9:$B$208,MATCH(C661,'شجرة الحسابات'!$A$9:$A$208,0)),"⚠ حساب غير معرف"))</f>
        <v/>
      </c>
      <c r="E661" s="52"/>
      <c r="F661" s="52"/>
      <c r="G661" s="53"/>
      <c r="H661" s="53"/>
      <c r="I661" s="54" t="str">
        <f aca="false">IF(A661="",IF(M661="فارغ","","✖ بدون رقم قيد"),IF(COUNTIFS('قيود اليومية'!$A$11:$A$1010,A661,'قيود اليومية'!$M$11:$M$1010,"&lt;&gt;OK",'قيود اليومية'!$M$11:$M$1010,"&lt;&gt;فارغ")&gt;0,"✖ خطأ بالحساب",IF(ROUND(SUMIFS('قيود اليومية'!$G$11:$G$1010,'قيود اليومية'!$A$11:$A$1010,A661)-SUMIFS('قيود اليومية'!$H$11:$H$1010,'قيود اليومية'!$A$11:$A$1010,A661),2)&lt;&gt;0,"✖ غير متوازن","مرحل ✔")))</f>
        <v/>
      </c>
      <c r="J661" s="55" t="str">
        <f aca="false">IF(C661="","",IFERROR(INDEX('شجرة الحسابات'!$E$9:$E$208,MATCH(C661,'شجرة الحسابات'!$A$9:$A$208,0))&amp;"",""))</f>
        <v/>
      </c>
      <c r="K661" s="55" t="str">
        <f aca="false">IF(C661="","",IFERROR(INDEX('شجرة الحسابات'!$I$9:$I$208,MATCH(C661,'شجرة الحسابات'!$A$9:$A$208,0))&amp;"",""))</f>
        <v/>
      </c>
      <c r="L661" s="55" t="str">
        <f aca="false">IF(C661="","",IFERROR(INDEX('شجرة الحسابات'!$C$9:$C$208,MATCH(C661,'شجرة الحسابات'!$A$9:$A$208,0))&amp;"",""))</f>
        <v/>
      </c>
      <c r="M661" s="55" t="str">
        <f aca="false">IF(AND(C661="",G661="",H661=""),"فارغ",IF(ISNA(MATCH(C661,'شجرة الحسابات'!$A$9:$A$208,0)),"حساب غير معرف",IF(L661&lt;&gt;"تحليلي","حساب تجميعي",IF(AND(N(G661)&gt;0,N(H661)&gt;0),"مدين ودائن معاً",IF(N(G661)+N(H661)=0,"بدون قيمة","OK")))))</f>
        <v>فارغ</v>
      </c>
      <c r="N661" s="55" t="str">
        <f aca="false">IF(AND(E661&lt;&gt;"",E661='كشف حساب مشروع'!$C$6,I661="مرحل ✔"),COUNTIFS($E$11:E661,'كشف حساب مشروع'!$C$6,$I$11:I661,"مرحل ✔"),"")</f>
        <v/>
      </c>
      <c r="O661" s="55" t="str">
        <f aca="false">IF(AND(C661&lt;&gt;"",C661='دفتر الأستاذ'!$C$6,I661="مرحل ✔"),COUNTIFS($C$11:C661,'دفتر الأستاذ'!$C$6,$I$11:I661,"مرحل ✔"),"")</f>
        <v/>
      </c>
    </row>
    <row r="662" customFormat="false" ht="15" hidden="false" customHeight="false" outlineLevel="0" collapsed="false">
      <c r="A662" s="49"/>
      <c r="B662" s="50"/>
      <c r="C662" s="49"/>
      <c r="D662" s="51" t="str">
        <f aca="false">IF(C662="","",IFERROR(INDEX('شجرة الحسابات'!$B$9:$B$208,MATCH(C662,'شجرة الحسابات'!$A$9:$A$208,0)),"⚠ حساب غير معرف"))</f>
        <v/>
      </c>
      <c r="E662" s="52"/>
      <c r="F662" s="52"/>
      <c r="G662" s="53"/>
      <c r="H662" s="53"/>
      <c r="I662" s="54" t="str">
        <f aca="false">IF(A662="",IF(M662="فارغ","","✖ بدون رقم قيد"),IF(COUNTIFS('قيود اليومية'!$A$11:$A$1010,A662,'قيود اليومية'!$M$11:$M$1010,"&lt;&gt;OK",'قيود اليومية'!$M$11:$M$1010,"&lt;&gt;فارغ")&gt;0,"✖ خطأ بالحساب",IF(ROUND(SUMIFS('قيود اليومية'!$G$11:$G$1010,'قيود اليومية'!$A$11:$A$1010,A662)-SUMIFS('قيود اليومية'!$H$11:$H$1010,'قيود اليومية'!$A$11:$A$1010,A662),2)&lt;&gt;0,"✖ غير متوازن","مرحل ✔")))</f>
        <v/>
      </c>
      <c r="J662" s="55" t="str">
        <f aca="false">IF(C662="","",IFERROR(INDEX('شجرة الحسابات'!$E$9:$E$208,MATCH(C662,'شجرة الحسابات'!$A$9:$A$208,0))&amp;"",""))</f>
        <v/>
      </c>
      <c r="K662" s="55" t="str">
        <f aca="false">IF(C662="","",IFERROR(INDEX('شجرة الحسابات'!$I$9:$I$208,MATCH(C662,'شجرة الحسابات'!$A$9:$A$208,0))&amp;"",""))</f>
        <v/>
      </c>
      <c r="L662" s="55" t="str">
        <f aca="false">IF(C662="","",IFERROR(INDEX('شجرة الحسابات'!$C$9:$C$208,MATCH(C662,'شجرة الحسابات'!$A$9:$A$208,0))&amp;"",""))</f>
        <v/>
      </c>
      <c r="M662" s="55" t="str">
        <f aca="false">IF(AND(C662="",G662="",H662=""),"فارغ",IF(ISNA(MATCH(C662,'شجرة الحسابات'!$A$9:$A$208,0)),"حساب غير معرف",IF(L662&lt;&gt;"تحليلي","حساب تجميعي",IF(AND(N(G662)&gt;0,N(H662)&gt;0),"مدين ودائن معاً",IF(N(G662)+N(H662)=0,"بدون قيمة","OK")))))</f>
        <v>فارغ</v>
      </c>
      <c r="N662" s="55" t="str">
        <f aca="false">IF(AND(E662&lt;&gt;"",E662='كشف حساب مشروع'!$C$6,I662="مرحل ✔"),COUNTIFS($E$11:E662,'كشف حساب مشروع'!$C$6,$I$11:I662,"مرحل ✔"),"")</f>
        <v/>
      </c>
      <c r="O662" s="55" t="str">
        <f aca="false">IF(AND(C662&lt;&gt;"",C662='دفتر الأستاذ'!$C$6,I662="مرحل ✔"),COUNTIFS($C$11:C662,'دفتر الأستاذ'!$C$6,$I$11:I662,"مرحل ✔"),"")</f>
        <v/>
      </c>
    </row>
    <row r="663" customFormat="false" ht="15" hidden="false" customHeight="false" outlineLevel="0" collapsed="false">
      <c r="A663" s="49"/>
      <c r="B663" s="50"/>
      <c r="C663" s="49"/>
      <c r="D663" s="51" t="str">
        <f aca="false">IF(C663="","",IFERROR(INDEX('شجرة الحسابات'!$B$9:$B$208,MATCH(C663,'شجرة الحسابات'!$A$9:$A$208,0)),"⚠ حساب غير معرف"))</f>
        <v/>
      </c>
      <c r="E663" s="52"/>
      <c r="F663" s="52"/>
      <c r="G663" s="53"/>
      <c r="H663" s="53"/>
      <c r="I663" s="54" t="str">
        <f aca="false">IF(A663="",IF(M663="فارغ","","✖ بدون رقم قيد"),IF(COUNTIFS('قيود اليومية'!$A$11:$A$1010,A663,'قيود اليومية'!$M$11:$M$1010,"&lt;&gt;OK",'قيود اليومية'!$M$11:$M$1010,"&lt;&gt;فارغ")&gt;0,"✖ خطأ بالحساب",IF(ROUND(SUMIFS('قيود اليومية'!$G$11:$G$1010,'قيود اليومية'!$A$11:$A$1010,A663)-SUMIFS('قيود اليومية'!$H$11:$H$1010,'قيود اليومية'!$A$11:$A$1010,A663),2)&lt;&gt;0,"✖ غير متوازن","مرحل ✔")))</f>
        <v/>
      </c>
      <c r="J663" s="55" t="str">
        <f aca="false">IF(C663="","",IFERROR(INDEX('شجرة الحسابات'!$E$9:$E$208,MATCH(C663,'شجرة الحسابات'!$A$9:$A$208,0))&amp;"",""))</f>
        <v/>
      </c>
      <c r="K663" s="55" t="str">
        <f aca="false">IF(C663="","",IFERROR(INDEX('شجرة الحسابات'!$I$9:$I$208,MATCH(C663,'شجرة الحسابات'!$A$9:$A$208,0))&amp;"",""))</f>
        <v/>
      </c>
      <c r="L663" s="55" t="str">
        <f aca="false">IF(C663="","",IFERROR(INDEX('شجرة الحسابات'!$C$9:$C$208,MATCH(C663,'شجرة الحسابات'!$A$9:$A$208,0))&amp;"",""))</f>
        <v/>
      </c>
      <c r="M663" s="55" t="str">
        <f aca="false">IF(AND(C663="",G663="",H663=""),"فارغ",IF(ISNA(MATCH(C663,'شجرة الحسابات'!$A$9:$A$208,0)),"حساب غير معرف",IF(L663&lt;&gt;"تحليلي","حساب تجميعي",IF(AND(N(G663)&gt;0,N(H663)&gt;0),"مدين ودائن معاً",IF(N(G663)+N(H663)=0,"بدون قيمة","OK")))))</f>
        <v>فارغ</v>
      </c>
      <c r="N663" s="55" t="str">
        <f aca="false">IF(AND(E663&lt;&gt;"",E663='كشف حساب مشروع'!$C$6,I663="مرحل ✔"),COUNTIFS($E$11:E663,'كشف حساب مشروع'!$C$6,$I$11:I663,"مرحل ✔"),"")</f>
        <v/>
      </c>
      <c r="O663" s="55" t="str">
        <f aca="false">IF(AND(C663&lt;&gt;"",C663='دفتر الأستاذ'!$C$6,I663="مرحل ✔"),COUNTIFS($C$11:C663,'دفتر الأستاذ'!$C$6,$I$11:I663,"مرحل ✔"),"")</f>
        <v/>
      </c>
    </row>
    <row r="664" customFormat="false" ht="15" hidden="false" customHeight="false" outlineLevel="0" collapsed="false">
      <c r="A664" s="49"/>
      <c r="B664" s="50"/>
      <c r="C664" s="49"/>
      <c r="D664" s="51" t="str">
        <f aca="false">IF(C664="","",IFERROR(INDEX('شجرة الحسابات'!$B$9:$B$208,MATCH(C664,'شجرة الحسابات'!$A$9:$A$208,0)),"⚠ حساب غير معرف"))</f>
        <v/>
      </c>
      <c r="E664" s="52"/>
      <c r="F664" s="52"/>
      <c r="G664" s="53"/>
      <c r="H664" s="53"/>
      <c r="I664" s="54" t="str">
        <f aca="false">IF(A664="",IF(M664="فارغ","","✖ بدون رقم قيد"),IF(COUNTIFS('قيود اليومية'!$A$11:$A$1010,A664,'قيود اليومية'!$M$11:$M$1010,"&lt;&gt;OK",'قيود اليومية'!$M$11:$M$1010,"&lt;&gt;فارغ")&gt;0,"✖ خطأ بالحساب",IF(ROUND(SUMIFS('قيود اليومية'!$G$11:$G$1010,'قيود اليومية'!$A$11:$A$1010,A664)-SUMIFS('قيود اليومية'!$H$11:$H$1010,'قيود اليومية'!$A$11:$A$1010,A664),2)&lt;&gt;0,"✖ غير متوازن","مرحل ✔")))</f>
        <v/>
      </c>
      <c r="J664" s="55" t="str">
        <f aca="false">IF(C664="","",IFERROR(INDEX('شجرة الحسابات'!$E$9:$E$208,MATCH(C664,'شجرة الحسابات'!$A$9:$A$208,0))&amp;"",""))</f>
        <v/>
      </c>
      <c r="K664" s="55" t="str">
        <f aca="false">IF(C664="","",IFERROR(INDEX('شجرة الحسابات'!$I$9:$I$208,MATCH(C664,'شجرة الحسابات'!$A$9:$A$208,0))&amp;"",""))</f>
        <v/>
      </c>
      <c r="L664" s="55" t="str">
        <f aca="false">IF(C664="","",IFERROR(INDEX('شجرة الحسابات'!$C$9:$C$208,MATCH(C664,'شجرة الحسابات'!$A$9:$A$208,0))&amp;"",""))</f>
        <v/>
      </c>
      <c r="M664" s="55" t="str">
        <f aca="false">IF(AND(C664="",G664="",H664=""),"فارغ",IF(ISNA(MATCH(C664,'شجرة الحسابات'!$A$9:$A$208,0)),"حساب غير معرف",IF(L664&lt;&gt;"تحليلي","حساب تجميعي",IF(AND(N(G664)&gt;0,N(H664)&gt;0),"مدين ودائن معاً",IF(N(G664)+N(H664)=0,"بدون قيمة","OK")))))</f>
        <v>فارغ</v>
      </c>
      <c r="N664" s="55" t="str">
        <f aca="false">IF(AND(E664&lt;&gt;"",E664='كشف حساب مشروع'!$C$6,I664="مرحل ✔"),COUNTIFS($E$11:E664,'كشف حساب مشروع'!$C$6,$I$11:I664,"مرحل ✔"),"")</f>
        <v/>
      </c>
      <c r="O664" s="55" t="str">
        <f aca="false">IF(AND(C664&lt;&gt;"",C664='دفتر الأستاذ'!$C$6,I664="مرحل ✔"),COUNTIFS($C$11:C664,'دفتر الأستاذ'!$C$6,$I$11:I664,"مرحل ✔"),"")</f>
        <v/>
      </c>
    </row>
    <row r="665" customFormat="false" ht="15" hidden="false" customHeight="false" outlineLevel="0" collapsed="false">
      <c r="A665" s="49"/>
      <c r="B665" s="50"/>
      <c r="C665" s="49"/>
      <c r="D665" s="51" t="str">
        <f aca="false">IF(C665="","",IFERROR(INDEX('شجرة الحسابات'!$B$9:$B$208,MATCH(C665,'شجرة الحسابات'!$A$9:$A$208,0)),"⚠ حساب غير معرف"))</f>
        <v/>
      </c>
      <c r="E665" s="52"/>
      <c r="F665" s="52"/>
      <c r="G665" s="53"/>
      <c r="H665" s="53"/>
      <c r="I665" s="54" t="str">
        <f aca="false">IF(A665="",IF(M665="فارغ","","✖ بدون رقم قيد"),IF(COUNTIFS('قيود اليومية'!$A$11:$A$1010,A665,'قيود اليومية'!$M$11:$M$1010,"&lt;&gt;OK",'قيود اليومية'!$M$11:$M$1010,"&lt;&gt;فارغ")&gt;0,"✖ خطأ بالحساب",IF(ROUND(SUMIFS('قيود اليومية'!$G$11:$G$1010,'قيود اليومية'!$A$11:$A$1010,A665)-SUMIFS('قيود اليومية'!$H$11:$H$1010,'قيود اليومية'!$A$11:$A$1010,A665),2)&lt;&gt;0,"✖ غير متوازن","مرحل ✔")))</f>
        <v/>
      </c>
      <c r="J665" s="55" t="str">
        <f aca="false">IF(C665="","",IFERROR(INDEX('شجرة الحسابات'!$E$9:$E$208,MATCH(C665,'شجرة الحسابات'!$A$9:$A$208,0))&amp;"",""))</f>
        <v/>
      </c>
      <c r="K665" s="55" t="str">
        <f aca="false">IF(C665="","",IFERROR(INDEX('شجرة الحسابات'!$I$9:$I$208,MATCH(C665,'شجرة الحسابات'!$A$9:$A$208,0))&amp;"",""))</f>
        <v/>
      </c>
      <c r="L665" s="55" t="str">
        <f aca="false">IF(C665="","",IFERROR(INDEX('شجرة الحسابات'!$C$9:$C$208,MATCH(C665,'شجرة الحسابات'!$A$9:$A$208,0))&amp;"",""))</f>
        <v/>
      </c>
      <c r="M665" s="55" t="str">
        <f aca="false">IF(AND(C665="",G665="",H665=""),"فارغ",IF(ISNA(MATCH(C665,'شجرة الحسابات'!$A$9:$A$208,0)),"حساب غير معرف",IF(L665&lt;&gt;"تحليلي","حساب تجميعي",IF(AND(N(G665)&gt;0,N(H665)&gt;0),"مدين ودائن معاً",IF(N(G665)+N(H665)=0,"بدون قيمة","OK")))))</f>
        <v>فارغ</v>
      </c>
      <c r="N665" s="55" t="str">
        <f aca="false">IF(AND(E665&lt;&gt;"",E665='كشف حساب مشروع'!$C$6,I665="مرحل ✔"),COUNTIFS($E$11:E665,'كشف حساب مشروع'!$C$6,$I$11:I665,"مرحل ✔"),"")</f>
        <v/>
      </c>
      <c r="O665" s="55" t="str">
        <f aca="false">IF(AND(C665&lt;&gt;"",C665='دفتر الأستاذ'!$C$6,I665="مرحل ✔"),COUNTIFS($C$11:C665,'دفتر الأستاذ'!$C$6,$I$11:I665,"مرحل ✔"),"")</f>
        <v/>
      </c>
    </row>
    <row r="666" customFormat="false" ht="15" hidden="false" customHeight="false" outlineLevel="0" collapsed="false">
      <c r="A666" s="49"/>
      <c r="B666" s="50"/>
      <c r="C666" s="49"/>
      <c r="D666" s="51" t="str">
        <f aca="false">IF(C666="","",IFERROR(INDEX('شجرة الحسابات'!$B$9:$B$208,MATCH(C666,'شجرة الحسابات'!$A$9:$A$208,0)),"⚠ حساب غير معرف"))</f>
        <v/>
      </c>
      <c r="E666" s="52"/>
      <c r="F666" s="52"/>
      <c r="G666" s="53"/>
      <c r="H666" s="53"/>
      <c r="I666" s="54" t="str">
        <f aca="false">IF(A666="",IF(M666="فارغ","","✖ بدون رقم قيد"),IF(COUNTIFS('قيود اليومية'!$A$11:$A$1010,A666,'قيود اليومية'!$M$11:$M$1010,"&lt;&gt;OK",'قيود اليومية'!$M$11:$M$1010,"&lt;&gt;فارغ")&gt;0,"✖ خطأ بالحساب",IF(ROUND(SUMIFS('قيود اليومية'!$G$11:$G$1010,'قيود اليومية'!$A$11:$A$1010,A666)-SUMIFS('قيود اليومية'!$H$11:$H$1010,'قيود اليومية'!$A$11:$A$1010,A666),2)&lt;&gt;0,"✖ غير متوازن","مرحل ✔")))</f>
        <v/>
      </c>
      <c r="J666" s="55" t="str">
        <f aca="false">IF(C666="","",IFERROR(INDEX('شجرة الحسابات'!$E$9:$E$208,MATCH(C666,'شجرة الحسابات'!$A$9:$A$208,0))&amp;"",""))</f>
        <v/>
      </c>
      <c r="K666" s="55" t="str">
        <f aca="false">IF(C666="","",IFERROR(INDEX('شجرة الحسابات'!$I$9:$I$208,MATCH(C666,'شجرة الحسابات'!$A$9:$A$208,0))&amp;"",""))</f>
        <v/>
      </c>
      <c r="L666" s="55" t="str">
        <f aca="false">IF(C666="","",IFERROR(INDEX('شجرة الحسابات'!$C$9:$C$208,MATCH(C666,'شجرة الحسابات'!$A$9:$A$208,0))&amp;"",""))</f>
        <v/>
      </c>
      <c r="M666" s="55" t="str">
        <f aca="false">IF(AND(C666="",G666="",H666=""),"فارغ",IF(ISNA(MATCH(C666,'شجرة الحسابات'!$A$9:$A$208,0)),"حساب غير معرف",IF(L666&lt;&gt;"تحليلي","حساب تجميعي",IF(AND(N(G666)&gt;0,N(H666)&gt;0),"مدين ودائن معاً",IF(N(G666)+N(H666)=0,"بدون قيمة","OK")))))</f>
        <v>فارغ</v>
      </c>
      <c r="N666" s="55" t="str">
        <f aca="false">IF(AND(E666&lt;&gt;"",E666='كشف حساب مشروع'!$C$6,I666="مرحل ✔"),COUNTIFS($E$11:E666,'كشف حساب مشروع'!$C$6,$I$11:I666,"مرحل ✔"),"")</f>
        <v/>
      </c>
      <c r="O666" s="55" t="str">
        <f aca="false">IF(AND(C666&lt;&gt;"",C666='دفتر الأستاذ'!$C$6,I666="مرحل ✔"),COUNTIFS($C$11:C666,'دفتر الأستاذ'!$C$6,$I$11:I666,"مرحل ✔"),"")</f>
        <v/>
      </c>
    </row>
    <row r="667" customFormat="false" ht="15" hidden="false" customHeight="false" outlineLevel="0" collapsed="false">
      <c r="A667" s="49"/>
      <c r="B667" s="50"/>
      <c r="C667" s="49"/>
      <c r="D667" s="51" t="str">
        <f aca="false">IF(C667="","",IFERROR(INDEX('شجرة الحسابات'!$B$9:$B$208,MATCH(C667,'شجرة الحسابات'!$A$9:$A$208,0)),"⚠ حساب غير معرف"))</f>
        <v/>
      </c>
      <c r="E667" s="52"/>
      <c r="F667" s="52"/>
      <c r="G667" s="53"/>
      <c r="H667" s="53"/>
      <c r="I667" s="54" t="str">
        <f aca="false">IF(A667="",IF(M667="فارغ","","✖ بدون رقم قيد"),IF(COUNTIFS('قيود اليومية'!$A$11:$A$1010,A667,'قيود اليومية'!$M$11:$M$1010,"&lt;&gt;OK",'قيود اليومية'!$M$11:$M$1010,"&lt;&gt;فارغ")&gt;0,"✖ خطأ بالحساب",IF(ROUND(SUMIFS('قيود اليومية'!$G$11:$G$1010,'قيود اليومية'!$A$11:$A$1010,A667)-SUMIFS('قيود اليومية'!$H$11:$H$1010,'قيود اليومية'!$A$11:$A$1010,A667),2)&lt;&gt;0,"✖ غير متوازن","مرحل ✔")))</f>
        <v/>
      </c>
      <c r="J667" s="55" t="str">
        <f aca="false">IF(C667="","",IFERROR(INDEX('شجرة الحسابات'!$E$9:$E$208,MATCH(C667,'شجرة الحسابات'!$A$9:$A$208,0))&amp;"",""))</f>
        <v/>
      </c>
      <c r="K667" s="55" t="str">
        <f aca="false">IF(C667="","",IFERROR(INDEX('شجرة الحسابات'!$I$9:$I$208,MATCH(C667,'شجرة الحسابات'!$A$9:$A$208,0))&amp;"",""))</f>
        <v/>
      </c>
      <c r="L667" s="55" t="str">
        <f aca="false">IF(C667="","",IFERROR(INDEX('شجرة الحسابات'!$C$9:$C$208,MATCH(C667,'شجرة الحسابات'!$A$9:$A$208,0))&amp;"",""))</f>
        <v/>
      </c>
      <c r="M667" s="55" t="str">
        <f aca="false">IF(AND(C667="",G667="",H667=""),"فارغ",IF(ISNA(MATCH(C667,'شجرة الحسابات'!$A$9:$A$208,0)),"حساب غير معرف",IF(L667&lt;&gt;"تحليلي","حساب تجميعي",IF(AND(N(G667)&gt;0,N(H667)&gt;0),"مدين ودائن معاً",IF(N(G667)+N(H667)=0,"بدون قيمة","OK")))))</f>
        <v>فارغ</v>
      </c>
      <c r="N667" s="55" t="str">
        <f aca="false">IF(AND(E667&lt;&gt;"",E667='كشف حساب مشروع'!$C$6,I667="مرحل ✔"),COUNTIFS($E$11:E667,'كشف حساب مشروع'!$C$6,$I$11:I667,"مرحل ✔"),"")</f>
        <v/>
      </c>
      <c r="O667" s="55" t="str">
        <f aca="false">IF(AND(C667&lt;&gt;"",C667='دفتر الأستاذ'!$C$6,I667="مرحل ✔"),COUNTIFS($C$11:C667,'دفتر الأستاذ'!$C$6,$I$11:I667,"مرحل ✔"),"")</f>
        <v/>
      </c>
    </row>
    <row r="668" customFormat="false" ht="15" hidden="false" customHeight="false" outlineLevel="0" collapsed="false">
      <c r="A668" s="49"/>
      <c r="B668" s="50"/>
      <c r="C668" s="49"/>
      <c r="D668" s="51" t="str">
        <f aca="false">IF(C668="","",IFERROR(INDEX('شجرة الحسابات'!$B$9:$B$208,MATCH(C668,'شجرة الحسابات'!$A$9:$A$208,0)),"⚠ حساب غير معرف"))</f>
        <v/>
      </c>
      <c r="E668" s="52"/>
      <c r="F668" s="52"/>
      <c r="G668" s="53"/>
      <c r="H668" s="53"/>
      <c r="I668" s="54" t="str">
        <f aca="false">IF(A668="",IF(M668="فارغ","","✖ بدون رقم قيد"),IF(COUNTIFS('قيود اليومية'!$A$11:$A$1010,A668,'قيود اليومية'!$M$11:$M$1010,"&lt;&gt;OK",'قيود اليومية'!$M$11:$M$1010,"&lt;&gt;فارغ")&gt;0,"✖ خطأ بالحساب",IF(ROUND(SUMIFS('قيود اليومية'!$G$11:$G$1010,'قيود اليومية'!$A$11:$A$1010,A668)-SUMIFS('قيود اليومية'!$H$11:$H$1010,'قيود اليومية'!$A$11:$A$1010,A668),2)&lt;&gt;0,"✖ غير متوازن","مرحل ✔")))</f>
        <v/>
      </c>
      <c r="J668" s="55" t="str">
        <f aca="false">IF(C668="","",IFERROR(INDEX('شجرة الحسابات'!$E$9:$E$208,MATCH(C668,'شجرة الحسابات'!$A$9:$A$208,0))&amp;"",""))</f>
        <v/>
      </c>
      <c r="K668" s="55" t="str">
        <f aca="false">IF(C668="","",IFERROR(INDEX('شجرة الحسابات'!$I$9:$I$208,MATCH(C668,'شجرة الحسابات'!$A$9:$A$208,0))&amp;"",""))</f>
        <v/>
      </c>
      <c r="L668" s="55" t="str">
        <f aca="false">IF(C668="","",IFERROR(INDEX('شجرة الحسابات'!$C$9:$C$208,MATCH(C668,'شجرة الحسابات'!$A$9:$A$208,0))&amp;"",""))</f>
        <v/>
      </c>
      <c r="M668" s="55" t="str">
        <f aca="false">IF(AND(C668="",G668="",H668=""),"فارغ",IF(ISNA(MATCH(C668,'شجرة الحسابات'!$A$9:$A$208,0)),"حساب غير معرف",IF(L668&lt;&gt;"تحليلي","حساب تجميعي",IF(AND(N(G668)&gt;0,N(H668)&gt;0),"مدين ودائن معاً",IF(N(G668)+N(H668)=0,"بدون قيمة","OK")))))</f>
        <v>فارغ</v>
      </c>
      <c r="N668" s="55" t="str">
        <f aca="false">IF(AND(E668&lt;&gt;"",E668='كشف حساب مشروع'!$C$6,I668="مرحل ✔"),COUNTIFS($E$11:E668,'كشف حساب مشروع'!$C$6,$I$11:I668,"مرحل ✔"),"")</f>
        <v/>
      </c>
      <c r="O668" s="55" t="str">
        <f aca="false">IF(AND(C668&lt;&gt;"",C668='دفتر الأستاذ'!$C$6,I668="مرحل ✔"),COUNTIFS($C$11:C668,'دفتر الأستاذ'!$C$6,$I$11:I668,"مرحل ✔"),"")</f>
        <v/>
      </c>
    </row>
    <row r="669" customFormat="false" ht="15" hidden="false" customHeight="false" outlineLevel="0" collapsed="false">
      <c r="A669" s="49"/>
      <c r="B669" s="50"/>
      <c r="C669" s="49"/>
      <c r="D669" s="51" t="str">
        <f aca="false">IF(C669="","",IFERROR(INDEX('شجرة الحسابات'!$B$9:$B$208,MATCH(C669,'شجرة الحسابات'!$A$9:$A$208,0)),"⚠ حساب غير معرف"))</f>
        <v/>
      </c>
      <c r="E669" s="52"/>
      <c r="F669" s="52"/>
      <c r="G669" s="53"/>
      <c r="H669" s="53"/>
      <c r="I669" s="54" t="str">
        <f aca="false">IF(A669="",IF(M669="فارغ","","✖ بدون رقم قيد"),IF(COUNTIFS('قيود اليومية'!$A$11:$A$1010,A669,'قيود اليومية'!$M$11:$M$1010,"&lt;&gt;OK",'قيود اليومية'!$M$11:$M$1010,"&lt;&gt;فارغ")&gt;0,"✖ خطأ بالحساب",IF(ROUND(SUMIFS('قيود اليومية'!$G$11:$G$1010,'قيود اليومية'!$A$11:$A$1010,A669)-SUMIFS('قيود اليومية'!$H$11:$H$1010,'قيود اليومية'!$A$11:$A$1010,A669),2)&lt;&gt;0,"✖ غير متوازن","مرحل ✔")))</f>
        <v/>
      </c>
      <c r="J669" s="55" t="str">
        <f aca="false">IF(C669="","",IFERROR(INDEX('شجرة الحسابات'!$E$9:$E$208,MATCH(C669,'شجرة الحسابات'!$A$9:$A$208,0))&amp;"",""))</f>
        <v/>
      </c>
      <c r="K669" s="55" t="str">
        <f aca="false">IF(C669="","",IFERROR(INDEX('شجرة الحسابات'!$I$9:$I$208,MATCH(C669,'شجرة الحسابات'!$A$9:$A$208,0))&amp;"",""))</f>
        <v/>
      </c>
      <c r="L669" s="55" t="str">
        <f aca="false">IF(C669="","",IFERROR(INDEX('شجرة الحسابات'!$C$9:$C$208,MATCH(C669,'شجرة الحسابات'!$A$9:$A$208,0))&amp;"",""))</f>
        <v/>
      </c>
      <c r="M669" s="55" t="str">
        <f aca="false">IF(AND(C669="",G669="",H669=""),"فارغ",IF(ISNA(MATCH(C669,'شجرة الحسابات'!$A$9:$A$208,0)),"حساب غير معرف",IF(L669&lt;&gt;"تحليلي","حساب تجميعي",IF(AND(N(G669)&gt;0,N(H669)&gt;0),"مدين ودائن معاً",IF(N(G669)+N(H669)=0,"بدون قيمة","OK")))))</f>
        <v>فارغ</v>
      </c>
      <c r="N669" s="55" t="str">
        <f aca="false">IF(AND(E669&lt;&gt;"",E669='كشف حساب مشروع'!$C$6,I669="مرحل ✔"),COUNTIFS($E$11:E669,'كشف حساب مشروع'!$C$6,$I$11:I669,"مرحل ✔"),"")</f>
        <v/>
      </c>
      <c r="O669" s="55" t="str">
        <f aca="false">IF(AND(C669&lt;&gt;"",C669='دفتر الأستاذ'!$C$6,I669="مرحل ✔"),COUNTIFS($C$11:C669,'دفتر الأستاذ'!$C$6,$I$11:I669,"مرحل ✔"),"")</f>
        <v/>
      </c>
    </row>
    <row r="670" customFormat="false" ht="15" hidden="false" customHeight="false" outlineLevel="0" collapsed="false">
      <c r="A670" s="49"/>
      <c r="B670" s="50"/>
      <c r="C670" s="49"/>
      <c r="D670" s="51" t="str">
        <f aca="false">IF(C670="","",IFERROR(INDEX('شجرة الحسابات'!$B$9:$B$208,MATCH(C670,'شجرة الحسابات'!$A$9:$A$208,0)),"⚠ حساب غير معرف"))</f>
        <v/>
      </c>
      <c r="E670" s="52"/>
      <c r="F670" s="52"/>
      <c r="G670" s="53"/>
      <c r="H670" s="53"/>
      <c r="I670" s="54" t="str">
        <f aca="false">IF(A670="",IF(M670="فارغ","","✖ بدون رقم قيد"),IF(COUNTIFS('قيود اليومية'!$A$11:$A$1010,A670,'قيود اليومية'!$M$11:$M$1010,"&lt;&gt;OK",'قيود اليومية'!$M$11:$M$1010,"&lt;&gt;فارغ")&gt;0,"✖ خطأ بالحساب",IF(ROUND(SUMIFS('قيود اليومية'!$G$11:$G$1010,'قيود اليومية'!$A$11:$A$1010,A670)-SUMIFS('قيود اليومية'!$H$11:$H$1010,'قيود اليومية'!$A$11:$A$1010,A670),2)&lt;&gt;0,"✖ غير متوازن","مرحل ✔")))</f>
        <v/>
      </c>
      <c r="J670" s="55" t="str">
        <f aca="false">IF(C670="","",IFERROR(INDEX('شجرة الحسابات'!$E$9:$E$208,MATCH(C670,'شجرة الحسابات'!$A$9:$A$208,0))&amp;"",""))</f>
        <v/>
      </c>
      <c r="K670" s="55" t="str">
        <f aca="false">IF(C670="","",IFERROR(INDEX('شجرة الحسابات'!$I$9:$I$208,MATCH(C670,'شجرة الحسابات'!$A$9:$A$208,0))&amp;"",""))</f>
        <v/>
      </c>
      <c r="L670" s="55" t="str">
        <f aca="false">IF(C670="","",IFERROR(INDEX('شجرة الحسابات'!$C$9:$C$208,MATCH(C670,'شجرة الحسابات'!$A$9:$A$208,0))&amp;"",""))</f>
        <v/>
      </c>
      <c r="M670" s="55" t="str">
        <f aca="false">IF(AND(C670="",G670="",H670=""),"فارغ",IF(ISNA(MATCH(C670,'شجرة الحسابات'!$A$9:$A$208,0)),"حساب غير معرف",IF(L670&lt;&gt;"تحليلي","حساب تجميعي",IF(AND(N(G670)&gt;0,N(H670)&gt;0),"مدين ودائن معاً",IF(N(G670)+N(H670)=0,"بدون قيمة","OK")))))</f>
        <v>فارغ</v>
      </c>
      <c r="N670" s="55" t="str">
        <f aca="false">IF(AND(E670&lt;&gt;"",E670='كشف حساب مشروع'!$C$6,I670="مرحل ✔"),COUNTIFS($E$11:E670,'كشف حساب مشروع'!$C$6,$I$11:I670,"مرحل ✔"),"")</f>
        <v/>
      </c>
      <c r="O670" s="55" t="str">
        <f aca="false">IF(AND(C670&lt;&gt;"",C670='دفتر الأستاذ'!$C$6,I670="مرحل ✔"),COUNTIFS($C$11:C670,'دفتر الأستاذ'!$C$6,$I$11:I670,"مرحل ✔"),"")</f>
        <v/>
      </c>
    </row>
    <row r="671" customFormat="false" ht="15" hidden="false" customHeight="false" outlineLevel="0" collapsed="false">
      <c r="A671" s="49"/>
      <c r="B671" s="50"/>
      <c r="C671" s="49"/>
      <c r="D671" s="51" t="str">
        <f aca="false">IF(C671="","",IFERROR(INDEX('شجرة الحسابات'!$B$9:$B$208,MATCH(C671,'شجرة الحسابات'!$A$9:$A$208,0)),"⚠ حساب غير معرف"))</f>
        <v/>
      </c>
      <c r="E671" s="52"/>
      <c r="F671" s="52"/>
      <c r="G671" s="53"/>
      <c r="H671" s="53"/>
      <c r="I671" s="54" t="str">
        <f aca="false">IF(A671="",IF(M671="فارغ","","✖ بدون رقم قيد"),IF(COUNTIFS('قيود اليومية'!$A$11:$A$1010,A671,'قيود اليومية'!$M$11:$M$1010,"&lt;&gt;OK",'قيود اليومية'!$M$11:$M$1010,"&lt;&gt;فارغ")&gt;0,"✖ خطأ بالحساب",IF(ROUND(SUMIFS('قيود اليومية'!$G$11:$G$1010,'قيود اليومية'!$A$11:$A$1010,A671)-SUMIFS('قيود اليومية'!$H$11:$H$1010,'قيود اليومية'!$A$11:$A$1010,A671),2)&lt;&gt;0,"✖ غير متوازن","مرحل ✔")))</f>
        <v/>
      </c>
      <c r="J671" s="55" t="str">
        <f aca="false">IF(C671="","",IFERROR(INDEX('شجرة الحسابات'!$E$9:$E$208,MATCH(C671,'شجرة الحسابات'!$A$9:$A$208,0))&amp;"",""))</f>
        <v/>
      </c>
      <c r="K671" s="55" t="str">
        <f aca="false">IF(C671="","",IFERROR(INDEX('شجرة الحسابات'!$I$9:$I$208,MATCH(C671,'شجرة الحسابات'!$A$9:$A$208,0))&amp;"",""))</f>
        <v/>
      </c>
      <c r="L671" s="55" t="str">
        <f aca="false">IF(C671="","",IFERROR(INDEX('شجرة الحسابات'!$C$9:$C$208,MATCH(C671,'شجرة الحسابات'!$A$9:$A$208,0))&amp;"",""))</f>
        <v/>
      </c>
      <c r="M671" s="55" t="str">
        <f aca="false">IF(AND(C671="",G671="",H671=""),"فارغ",IF(ISNA(MATCH(C671,'شجرة الحسابات'!$A$9:$A$208,0)),"حساب غير معرف",IF(L671&lt;&gt;"تحليلي","حساب تجميعي",IF(AND(N(G671)&gt;0,N(H671)&gt;0),"مدين ودائن معاً",IF(N(G671)+N(H671)=0,"بدون قيمة","OK")))))</f>
        <v>فارغ</v>
      </c>
      <c r="N671" s="55" t="str">
        <f aca="false">IF(AND(E671&lt;&gt;"",E671='كشف حساب مشروع'!$C$6,I671="مرحل ✔"),COUNTIFS($E$11:E671,'كشف حساب مشروع'!$C$6,$I$11:I671,"مرحل ✔"),"")</f>
        <v/>
      </c>
      <c r="O671" s="55" t="str">
        <f aca="false">IF(AND(C671&lt;&gt;"",C671='دفتر الأستاذ'!$C$6,I671="مرحل ✔"),COUNTIFS($C$11:C671,'دفتر الأستاذ'!$C$6,$I$11:I671,"مرحل ✔"),"")</f>
        <v/>
      </c>
    </row>
    <row r="672" customFormat="false" ht="15" hidden="false" customHeight="false" outlineLevel="0" collapsed="false">
      <c r="A672" s="49"/>
      <c r="B672" s="50"/>
      <c r="C672" s="49"/>
      <c r="D672" s="51" t="str">
        <f aca="false">IF(C672="","",IFERROR(INDEX('شجرة الحسابات'!$B$9:$B$208,MATCH(C672,'شجرة الحسابات'!$A$9:$A$208,0)),"⚠ حساب غير معرف"))</f>
        <v/>
      </c>
      <c r="E672" s="52"/>
      <c r="F672" s="52"/>
      <c r="G672" s="53"/>
      <c r="H672" s="53"/>
      <c r="I672" s="54" t="str">
        <f aca="false">IF(A672="",IF(M672="فارغ","","✖ بدون رقم قيد"),IF(COUNTIFS('قيود اليومية'!$A$11:$A$1010,A672,'قيود اليومية'!$M$11:$M$1010,"&lt;&gt;OK",'قيود اليومية'!$M$11:$M$1010,"&lt;&gt;فارغ")&gt;0,"✖ خطأ بالحساب",IF(ROUND(SUMIFS('قيود اليومية'!$G$11:$G$1010,'قيود اليومية'!$A$11:$A$1010,A672)-SUMIFS('قيود اليومية'!$H$11:$H$1010,'قيود اليومية'!$A$11:$A$1010,A672),2)&lt;&gt;0,"✖ غير متوازن","مرحل ✔")))</f>
        <v/>
      </c>
      <c r="J672" s="55" t="str">
        <f aca="false">IF(C672="","",IFERROR(INDEX('شجرة الحسابات'!$E$9:$E$208,MATCH(C672,'شجرة الحسابات'!$A$9:$A$208,0))&amp;"",""))</f>
        <v/>
      </c>
      <c r="K672" s="55" t="str">
        <f aca="false">IF(C672="","",IFERROR(INDEX('شجرة الحسابات'!$I$9:$I$208,MATCH(C672,'شجرة الحسابات'!$A$9:$A$208,0))&amp;"",""))</f>
        <v/>
      </c>
      <c r="L672" s="55" t="str">
        <f aca="false">IF(C672="","",IFERROR(INDEX('شجرة الحسابات'!$C$9:$C$208,MATCH(C672,'شجرة الحسابات'!$A$9:$A$208,0))&amp;"",""))</f>
        <v/>
      </c>
      <c r="M672" s="55" t="str">
        <f aca="false">IF(AND(C672="",G672="",H672=""),"فارغ",IF(ISNA(MATCH(C672,'شجرة الحسابات'!$A$9:$A$208,0)),"حساب غير معرف",IF(L672&lt;&gt;"تحليلي","حساب تجميعي",IF(AND(N(G672)&gt;0,N(H672)&gt;0),"مدين ودائن معاً",IF(N(G672)+N(H672)=0,"بدون قيمة","OK")))))</f>
        <v>فارغ</v>
      </c>
      <c r="N672" s="55" t="str">
        <f aca="false">IF(AND(E672&lt;&gt;"",E672='كشف حساب مشروع'!$C$6,I672="مرحل ✔"),COUNTIFS($E$11:E672,'كشف حساب مشروع'!$C$6,$I$11:I672,"مرحل ✔"),"")</f>
        <v/>
      </c>
      <c r="O672" s="55" t="str">
        <f aca="false">IF(AND(C672&lt;&gt;"",C672='دفتر الأستاذ'!$C$6,I672="مرحل ✔"),COUNTIFS($C$11:C672,'دفتر الأستاذ'!$C$6,$I$11:I672,"مرحل ✔"),"")</f>
        <v/>
      </c>
    </row>
    <row r="673" customFormat="false" ht="15" hidden="false" customHeight="false" outlineLevel="0" collapsed="false">
      <c r="A673" s="49"/>
      <c r="B673" s="50"/>
      <c r="C673" s="49"/>
      <c r="D673" s="51" t="str">
        <f aca="false">IF(C673="","",IFERROR(INDEX('شجرة الحسابات'!$B$9:$B$208,MATCH(C673,'شجرة الحسابات'!$A$9:$A$208,0)),"⚠ حساب غير معرف"))</f>
        <v/>
      </c>
      <c r="E673" s="52"/>
      <c r="F673" s="52"/>
      <c r="G673" s="53"/>
      <c r="H673" s="53"/>
      <c r="I673" s="54" t="str">
        <f aca="false">IF(A673="",IF(M673="فارغ","","✖ بدون رقم قيد"),IF(COUNTIFS('قيود اليومية'!$A$11:$A$1010,A673,'قيود اليومية'!$M$11:$M$1010,"&lt;&gt;OK",'قيود اليومية'!$M$11:$M$1010,"&lt;&gt;فارغ")&gt;0,"✖ خطأ بالحساب",IF(ROUND(SUMIFS('قيود اليومية'!$G$11:$G$1010,'قيود اليومية'!$A$11:$A$1010,A673)-SUMIFS('قيود اليومية'!$H$11:$H$1010,'قيود اليومية'!$A$11:$A$1010,A673),2)&lt;&gt;0,"✖ غير متوازن","مرحل ✔")))</f>
        <v/>
      </c>
      <c r="J673" s="55" t="str">
        <f aca="false">IF(C673="","",IFERROR(INDEX('شجرة الحسابات'!$E$9:$E$208,MATCH(C673,'شجرة الحسابات'!$A$9:$A$208,0))&amp;"",""))</f>
        <v/>
      </c>
      <c r="K673" s="55" t="str">
        <f aca="false">IF(C673="","",IFERROR(INDEX('شجرة الحسابات'!$I$9:$I$208,MATCH(C673,'شجرة الحسابات'!$A$9:$A$208,0))&amp;"",""))</f>
        <v/>
      </c>
      <c r="L673" s="55" t="str">
        <f aca="false">IF(C673="","",IFERROR(INDEX('شجرة الحسابات'!$C$9:$C$208,MATCH(C673,'شجرة الحسابات'!$A$9:$A$208,0))&amp;"",""))</f>
        <v/>
      </c>
      <c r="M673" s="55" t="str">
        <f aca="false">IF(AND(C673="",G673="",H673=""),"فارغ",IF(ISNA(MATCH(C673,'شجرة الحسابات'!$A$9:$A$208,0)),"حساب غير معرف",IF(L673&lt;&gt;"تحليلي","حساب تجميعي",IF(AND(N(G673)&gt;0,N(H673)&gt;0),"مدين ودائن معاً",IF(N(G673)+N(H673)=0,"بدون قيمة","OK")))))</f>
        <v>فارغ</v>
      </c>
      <c r="N673" s="55" t="str">
        <f aca="false">IF(AND(E673&lt;&gt;"",E673='كشف حساب مشروع'!$C$6,I673="مرحل ✔"),COUNTIFS($E$11:E673,'كشف حساب مشروع'!$C$6,$I$11:I673,"مرحل ✔"),"")</f>
        <v/>
      </c>
      <c r="O673" s="55" t="str">
        <f aca="false">IF(AND(C673&lt;&gt;"",C673='دفتر الأستاذ'!$C$6,I673="مرحل ✔"),COUNTIFS($C$11:C673,'دفتر الأستاذ'!$C$6,$I$11:I673,"مرحل ✔"),"")</f>
        <v/>
      </c>
    </row>
    <row r="674" customFormat="false" ht="15" hidden="false" customHeight="false" outlineLevel="0" collapsed="false">
      <c r="A674" s="49"/>
      <c r="B674" s="50"/>
      <c r="C674" s="49"/>
      <c r="D674" s="51" t="str">
        <f aca="false">IF(C674="","",IFERROR(INDEX('شجرة الحسابات'!$B$9:$B$208,MATCH(C674,'شجرة الحسابات'!$A$9:$A$208,0)),"⚠ حساب غير معرف"))</f>
        <v/>
      </c>
      <c r="E674" s="52"/>
      <c r="F674" s="52"/>
      <c r="G674" s="53"/>
      <c r="H674" s="53"/>
      <c r="I674" s="54" t="str">
        <f aca="false">IF(A674="",IF(M674="فارغ","","✖ بدون رقم قيد"),IF(COUNTIFS('قيود اليومية'!$A$11:$A$1010,A674,'قيود اليومية'!$M$11:$M$1010,"&lt;&gt;OK",'قيود اليومية'!$M$11:$M$1010,"&lt;&gt;فارغ")&gt;0,"✖ خطأ بالحساب",IF(ROUND(SUMIFS('قيود اليومية'!$G$11:$G$1010,'قيود اليومية'!$A$11:$A$1010,A674)-SUMIFS('قيود اليومية'!$H$11:$H$1010,'قيود اليومية'!$A$11:$A$1010,A674),2)&lt;&gt;0,"✖ غير متوازن","مرحل ✔")))</f>
        <v/>
      </c>
      <c r="J674" s="55" t="str">
        <f aca="false">IF(C674="","",IFERROR(INDEX('شجرة الحسابات'!$E$9:$E$208,MATCH(C674,'شجرة الحسابات'!$A$9:$A$208,0))&amp;"",""))</f>
        <v/>
      </c>
      <c r="K674" s="55" t="str">
        <f aca="false">IF(C674="","",IFERROR(INDEX('شجرة الحسابات'!$I$9:$I$208,MATCH(C674,'شجرة الحسابات'!$A$9:$A$208,0))&amp;"",""))</f>
        <v/>
      </c>
      <c r="L674" s="55" t="str">
        <f aca="false">IF(C674="","",IFERROR(INDEX('شجرة الحسابات'!$C$9:$C$208,MATCH(C674,'شجرة الحسابات'!$A$9:$A$208,0))&amp;"",""))</f>
        <v/>
      </c>
      <c r="M674" s="55" t="str">
        <f aca="false">IF(AND(C674="",G674="",H674=""),"فارغ",IF(ISNA(MATCH(C674,'شجرة الحسابات'!$A$9:$A$208,0)),"حساب غير معرف",IF(L674&lt;&gt;"تحليلي","حساب تجميعي",IF(AND(N(G674)&gt;0,N(H674)&gt;0),"مدين ودائن معاً",IF(N(G674)+N(H674)=0,"بدون قيمة","OK")))))</f>
        <v>فارغ</v>
      </c>
      <c r="N674" s="55" t="str">
        <f aca="false">IF(AND(E674&lt;&gt;"",E674='كشف حساب مشروع'!$C$6,I674="مرحل ✔"),COUNTIFS($E$11:E674,'كشف حساب مشروع'!$C$6,$I$11:I674,"مرحل ✔"),"")</f>
        <v/>
      </c>
      <c r="O674" s="55" t="str">
        <f aca="false">IF(AND(C674&lt;&gt;"",C674='دفتر الأستاذ'!$C$6,I674="مرحل ✔"),COUNTIFS($C$11:C674,'دفتر الأستاذ'!$C$6,$I$11:I674,"مرحل ✔"),"")</f>
        <v/>
      </c>
    </row>
    <row r="675" customFormat="false" ht="15" hidden="false" customHeight="false" outlineLevel="0" collapsed="false">
      <c r="A675" s="49"/>
      <c r="B675" s="50"/>
      <c r="C675" s="49"/>
      <c r="D675" s="51" t="str">
        <f aca="false">IF(C675="","",IFERROR(INDEX('شجرة الحسابات'!$B$9:$B$208,MATCH(C675,'شجرة الحسابات'!$A$9:$A$208,0)),"⚠ حساب غير معرف"))</f>
        <v/>
      </c>
      <c r="E675" s="52"/>
      <c r="F675" s="52"/>
      <c r="G675" s="53"/>
      <c r="H675" s="53"/>
      <c r="I675" s="54" t="str">
        <f aca="false">IF(A675="",IF(M675="فارغ","","✖ بدون رقم قيد"),IF(COUNTIFS('قيود اليومية'!$A$11:$A$1010,A675,'قيود اليومية'!$M$11:$M$1010,"&lt;&gt;OK",'قيود اليومية'!$M$11:$M$1010,"&lt;&gt;فارغ")&gt;0,"✖ خطأ بالحساب",IF(ROUND(SUMIFS('قيود اليومية'!$G$11:$G$1010,'قيود اليومية'!$A$11:$A$1010,A675)-SUMIFS('قيود اليومية'!$H$11:$H$1010,'قيود اليومية'!$A$11:$A$1010,A675),2)&lt;&gt;0,"✖ غير متوازن","مرحل ✔")))</f>
        <v/>
      </c>
      <c r="J675" s="55" t="str">
        <f aca="false">IF(C675="","",IFERROR(INDEX('شجرة الحسابات'!$E$9:$E$208,MATCH(C675,'شجرة الحسابات'!$A$9:$A$208,0))&amp;"",""))</f>
        <v/>
      </c>
      <c r="K675" s="55" t="str">
        <f aca="false">IF(C675="","",IFERROR(INDEX('شجرة الحسابات'!$I$9:$I$208,MATCH(C675,'شجرة الحسابات'!$A$9:$A$208,0))&amp;"",""))</f>
        <v/>
      </c>
      <c r="L675" s="55" t="str">
        <f aca="false">IF(C675="","",IFERROR(INDEX('شجرة الحسابات'!$C$9:$C$208,MATCH(C675,'شجرة الحسابات'!$A$9:$A$208,0))&amp;"",""))</f>
        <v/>
      </c>
      <c r="M675" s="55" t="str">
        <f aca="false">IF(AND(C675="",G675="",H675=""),"فارغ",IF(ISNA(MATCH(C675,'شجرة الحسابات'!$A$9:$A$208,0)),"حساب غير معرف",IF(L675&lt;&gt;"تحليلي","حساب تجميعي",IF(AND(N(G675)&gt;0,N(H675)&gt;0),"مدين ودائن معاً",IF(N(G675)+N(H675)=0,"بدون قيمة","OK")))))</f>
        <v>فارغ</v>
      </c>
      <c r="N675" s="55" t="str">
        <f aca="false">IF(AND(E675&lt;&gt;"",E675='كشف حساب مشروع'!$C$6,I675="مرحل ✔"),COUNTIFS($E$11:E675,'كشف حساب مشروع'!$C$6,$I$11:I675,"مرحل ✔"),"")</f>
        <v/>
      </c>
      <c r="O675" s="55" t="str">
        <f aca="false">IF(AND(C675&lt;&gt;"",C675='دفتر الأستاذ'!$C$6,I675="مرحل ✔"),COUNTIFS($C$11:C675,'دفتر الأستاذ'!$C$6,$I$11:I675,"مرحل ✔"),"")</f>
        <v/>
      </c>
    </row>
    <row r="676" customFormat="false" ht="15" hidden="false" customHeight="false" outlineLevel="0" collapsed="false">
      <c r="A676" s="49"/>
      <c r="B676" s="50"/>
      <c r="C676" s="49"/>
      <c r="D676" s="51" t="str">
        <f aca="false">IF(C676="","",IFERROR(INDEX('شجرة الحسابات'!$B$9:$B$208,MATCH(C676,'شجرة الحسابات'!$A$9:$A$208,0)),"⚠ حساب غير معرف"))</f>
        <v/>
      </c>
      <c r="E676" s="52"/>
      <c r="F676" s="52"/>
      <c r="G676" s="53"/>
      <c r="H676" s="53"/>
      <c r="I676" s="54" t="str">
        <f aca="false">IF(A676="",IF(M676="فارغ","","✖ بدون رقم قيد"),IF(COUNTIFS('قيود اليومية'!$A$11:$A$1010,A676,'قيود اليومية'!$M$11:$M$1010,"&lt;&gt;OK",'قيود اليومية'!$M$11:$M$1010,"&lt;&gt;فارغ")&gt;0,"✖ خطأ بالحساب",IF(ROUND(SUMIFS('قيود اليومية'!$G$11:$G$1010,'قيود اليومية'!$A$11:$A$1010,A676)-SUMIFS('قيود اليومية'!$H$11:$H$1010,'قيود اليومية'!$A$11:$A$1010,A676),2)&lt;&gt;0,"✖ غير متوازن","مرحل ✔")))</f>
        <v/>
      </c>
      <c r="J676" s="55" t="str">
        <f aca="false">IF(C676="","",IFERROR(INDEX('شجرة الحسابات'!$E$9:$E$208,MATCH(C676,'شجرة الحسابات'!$A$9:$A$208,0))&amp;"",""))</f>
        <v/>
      </c>
      <c r="K676" s="55" t="str">
        <f aca="false">IF(C676="","",IFERROR(INDEX('شجرة الحسابات'!$I$9:$I$208,MATCH(C676,'شجرة الحسابات'!$A$9:$A$208,0))&amp;"",""))</f>
        <v/>
      </c>
      <c r="L676" s="55" t="str">
        <f aca="false">IF(C676="","",IFERROR(INDEX('شجرة الحسابات'!$C$9:$C$208,MATCH(C676,'شجرة الحسابات'!$A$9:$A$208,0))&amp;"",""))</f>
        <v/>
      </c>
      <c r="M676" s="55" t="str">
        <f aca="false">IF(AND(C676="",G676="",H676=""),"فارغ",IF(ISNA(MATCH(C676,'شجرة الحسابات'!$A$9:$A$208,0)),"حساب غير معرف",IF(L676&lt;&gt;"تحليلي","حساب تجميعي",IF(AND(N(G676)&gt;0,N(H676)&gt;0),"مدين ودائن معاً",IF(N(G676)+N(H676)=0,"بدون قيمة","OK")))))</f>
        <v>فارغ</v>
      </c>
      <c r="N676" s="55" t="str">
        <f aca="false">IF(AND(E676&lt;&gt;"",E676='كشف حساب مشروع'!$C$6,I676="مرحل ✔"),COUNTIFS($E$11:E676,'كشف حساب مشروع'!$C$6,$I$11:I676,"مرحل ✔"),"")</f>
        <v/>
      </c>
      <c r="O676" s="55" t="str">
        <f aca="false">IF(AND(C676&lt;&gt;"",C676='دفتر الأستاذ'!$C$6,I676="مرحل ✔"),COUNTIFS($C$11:C676,'دفتر الأستاذ'!$C$6,$I$11:I676,"مرحل ✔"),"")</f>
        <v/>
      </c>
    </row>
    <row r="677" customFormat="false" ht="15" hidden="false" customHeight="false" outlineLevel="0" collapsed="false">
      <c r="A677" s="49"/>
      <c r="B677" s="50"/>
      <c r="C677" s="49"/>
      <c r="D677" s="51" t="str">
        <f aca="false">IF(C677="","",IFERROR(INDEX('شجرة الحسابات'!$B$9:$B$208,MATCH(C677,'شجرة الحسابات'!$A$9:$A$208,0)),"⚠ حساب غير معرف"))</f>
        <v/>
      </c>
      <c r="E677" s="52"/>
      <c r="F677" s="52"/>
      <c r="G677" s="53"/>
      <c r="H677" s="53"/>
      <c r="I677" s="54" t="str">
        <f aca="false">IF(A677="",IF(M677="فارغ","","✖ بدون رقم قيد"),IF(COUNTIFS('قيود اليومية'!$A$11:$A$1010,A677,'قيود اليومية'!$M$11:$M$1010,"&lt;&gt;OK",'قيود اليومية'!$M$11:$M$1010,"&lt;&gt;فارغ")&gt;0,"✖ خطأ بالحساب",IF(ROUND(SUMIFS('قيود اليومية'!$G$11:$G$1010,'قيود اليومية'!$A$11:$A$1010,A677)-SUMIFS('قيود اليومية'!$H$11:$H$1010,'قيود اليومية'!$A$11:$A$1010,A677),2)&lt;&gt;0,"✖ غير متوازن","مرحل ✔")))</f>
        <v/>
      </c>
      <c r="J677" s="55" t="str">
        <f aca="false">IF(C677="","",IFERROR(INDEX('شجرة الحسابات'!$E$9:$E$208,MATCH(C677,'شجرة الحسابات'!$A$9:$A$208,0))&amp;"",""))</f>
        <v/>
      </c>
      <c r="K677" s="55" t="str">
        <f aca="false">IF(C677="","",IFERROR(INDEX('شجرة الحسابات'!$I$9:$I$208,MATCH(C677,'شجرة الحسابات'!$A$9:$A$208,0))&amp;"",""))</f>
        <v/>
      </c>
      <c r="L677" s="55" t="str">
        <f aca="false">IF(C677="","",IFERROR(INDEX('شجرة الحسابات'!$C$9:$C$208,MATCH(C677,'شجرة الحسابات'!$A$9:$A$208,0))&amp;"",""))</f>
        <v/>
      </c>
      <c r="M677" s="55" t="str">
        <f aca="false">IF(AND(C677="",G677="",H677=""),"فارغ",IF(ISNA(MATCH(C677,'شجرة الحسابات'!$A$9:$A$208,0)),"حساب غير معرف",IF(L677&lt;&gt;"تحليلي","حساب تجميعي",IF(AND(N(G677)&gt;0,N(H677)&gt;0),"مدين ودائن معاً",IF(N(G677)+N(H677)=0,"بدون قيمة","OK")))))</f>
        <v>فارغ</v>
      </c>
      <c r="N677" s="55" t="str">
        <f aca="false">IF(AND(E677&lt;&gt;"",E677='كشف حساب مشروع'!$C$6,I677="مرحل ✔"),COUNTIFS($E$11:E677,'كشف حساب مشروع'!$C$6,$I$11:I677,"مرحل ✔"),"")</f>
        <v/>
      </c>
      <c r="O677" s="55" t="str">
        <f aca="false">IF(AND(C677&lt;&gt;"",C677='دفتر الأستاذ'!$C$6,I677="مرحل ✔"),COUNTIFS($C$11:C677,'دفتر الأستاذ'!$C$6,$I$11:I677,"مرحل ✔"),"")</f>
        <v/>
      </c>
    </row>
    <row r="678" customFormat="false" ht="15" hidden="false" customHeight="false" outlineLevel="0" collapsed="false">
      <c r="A678" s="49"/>
      <c r="B678" s="50"/>
      <c r="C678" s="49"/>
      <c r="D678" s="51" t="str">
        <f aca="false">IF(C678="","",IFERROR(INDEX('شجرة الحسابات'!$B$9:$B$208,MATCH(C678,'شجرة الحسابات'!$A$9:$A$208,0)),"⚠ حساب غير معرف"))</f>
        <v/>
      </c>
      <c r="E678" s="52"/>
      <c r="F678" s="52"/>
      <c r="G678" s="53"/>
      <c r="H678" s="53"/>
      <c r="I678" s="54" t="str">
        <f aca="false">IF(A678="",IF(M678="فارغ","","✖ بدون رقم قيد"),IF(COUNTIFS('قيود اليومية'!$A$11:$A$1010,A678,'قيود اليومية'!$M$11:$M$1010,"&lt;&gt;OK",'قيود اليومية'!$M$11:$M$1010,"&lt;&gt;فارغ")&gt;0,"✖ خطأ بالحساب",IF(ROUND(SUMIFS('قيود اليومية'!$G$11:$G$1010,'قيود اليومية'!$A$11:$A$1010,A678)-SUMIFS('قيود اليومية'!$H$11:$H$1010,'قيود اليومية'!$A$11:$A$1010,A678),2)&lt;&gt;0,"✖ غير متوازن","مرحل ✔")))</f>
        <v/>
      </c>
      <c r="J678" s="55" t="str">
        <f aca="false">IF(C678="","",IFERROR(INDEX('شجرة الحسابات'!$E$9:$E$208,MATCH(C678,'شجرة الحسابات'!$A$9:$A$208,0))&amp;"",""))</f>
        <v/>
      </c>
      <c r="K678" s="55" t="str">
        <f aca="false">IF(C678="","",IFERROR(INDEX('شجرة الحسابات'!$I$9:$I$208,MATCH(C678,'شجرة الحسابات'!$A$9:$A$208,0))&amp;"",""))</f>
        <v/>
      </c>
      <c r="L678" s="55" t="str">
        <f aca="false">IF(C678="","",IFERROR(INDEX('شجرة الحسابات'!$C$9:$C$208,MATCH(C678,'شجرة الحسابات'!$A$9:$A$208,0))&amp;"",""))</f>
        <v/>
      </c>
      <c r="M678" s="55" t="str">
        <f aca="false">IF(AND(C678="",G678="",H678=""),"فارغ",IF(ISNA(MATCH(C678,'شجرة الحسابات'!$A$9:$A$208,0)),"حساب غير معرف",IF(L678&lt;&gt;"تحليلي","حساب تجميعي",IF(AND(N(G678)&gt;0,N(H678)&gt;0),"مدين ودائن معاً",IF(N(G678)+N(H678)=0,"بدون قيمة","OK")))))</f>
        <v>فارغ</v>
      </c>
      <c r="N678" s="55" t="str">
        <f aca="false">IF(AND(E678&lt;&gt;"",E678='كشف حساب مشروع'!$C$6,I678="مرحل ✔"),COUNTIFS($E$11:E678,'كشف حساب مشروع'!$C$6,$I$11:I678,"مرحل ✔"),"")</f>
        <v/>
      </c>
      <c r="O678" s="55" t="str">
        <f aca="false">IF(AND(C678&lt;&gt;"",C678='دفتر الأستاذ'!$C$6,I678="مرحل ✔"),COUNTIFS($C$11:C678,'دفتر الأستاذ'!$C$6,$I$11:I678,"مرحل ✔"),"")</f>
        <v/>
      </c>
    </row>
    <row r="679" customFormat="false" ht="15" hidden="false" customHeight="false" outlineLevel="0" collapsed="false">
      <c r="A679" s="49"/>
      <c r="B679" s="50"/>
      <c r="C679" s="49"/>
      <c r="D679" s="51" t="str">
        <f aca="false">IF(C679="","",IFERROR(INDEX('شجرة الحسابات'!$B$9:$B$208,MATCH(C679,'شجرة الحسابات'!$A$9:$A$208,0)),"⚠ حساب غير معرف"))</f>
        <v/>
      </c>
      <c r="E679" s="52"/>
      <c r="F679" s="52"/>
      <c r="G679" s="53"/>
      <c r="H679" s="53"/>
      <c r="I679" s="54" t="str">
        <f aca="false">IF(A679="",IF(M679="فارغ","","✖ بدون رقم قيد"),IF(COUNTIFS('قيود اليومية'!$A$11:$A$1010,A679,'قيود اليومية'!$M$11:$M$1010,"&lt;&gt;OK",'قيود اليومية'!$M$11:$M$1010,"&lt;&gt;فارغ")&gt;0,"✖ خطأ بالحساب",IF(ROUND(SUMIFS('قيود اليومية'!$G$11:$G$1010,'قيود اليومية'!$A$11:$A$1010,A679)-SUMIFS('قيود اليومية'!$H$11:$H$1010,'قيود اليومية'!$A$11:$A$1010,A679),2)&lt;&gt;0,"✖ غير متوازن","مرحل ✔")))</f>
        <v/>
      </c>
      <c r="J679" s="55" t="str">
        <f aca="false">IF(C679="","",IFERROR(INDEX('شجرة الحسابات'!$E$9:$E$208,MATCH(C679,'شجرة الحسابات'!$A$9:$A$208,0))&amp;"",""))</f>
        <v/>
      </c>
      <c r="K679" s="55" t="str">
        <f aca="false">IF(C679="","",IFERROR(INDEX('شجرة الحسابات'!$I$9:$I$208,MATCH(C679,'شجرة الحسابات'!$A$9:$A$208,0))&amp;"",""))</f>
        <v/>
      </c>
      <c r="L679" s="55" t="str">
        <f aca="false">IF(C679="","",IFERROR(INDEX('شجرة الحسابات'!$C$9:$C$208,MATCH(C679,'شجرة الحسابات'!$A$9:$A$208,0))&amp;"",""))</f>
        <v/>
      </c>
      <c r="M679" s="55" t="str">
        <f aca="false">IF(AND(C679="",G679="",H679=""),"فارغ",IF(ISNA(MATCH(C679,'شجرة الحسابات'!$A$9:$A$208,0)),"حساب غير معرف",IF(L679&lt;&gt;"تحليلي","حساب تجميعي",IF(AND(N(G679)&gt;0,N(H679)&gt;0),"مدين ودائن معاً",IF(N(G679)+N(H679)=0,"بدون قيمة","OK")))))</f>
        <v>فارغ</v>
      </c>
      <c r="N679" s="55" t="str">
        <f aca="false">IF(AND(E679&lt;&gt;"",E679='كشف حساب مشروع'!$C$6,I679="مرحل ✔"),COUNTIFS($E$11:E679,'كشف حساب مشروع'!$C$6,$I$11:I679,"مرحل ✔"),"")</f>
        <v/>
      </c>
      <c r="O679" s="55" t="str">
        <f aca="false">IF(AND(C679&lt;&gt;"",C679='دفتر الأستاذ'!$C$6,I679="مرحل ✔"),COUNTIFS($C$11:C679,'دفتر الأستاذ'!$C$6,$I$11:I679,"مرحل ✔"),"")</f>
        <v/>
      </c>
    </row>
    <row r="680" customFormat="false" ht="15" hidden="false" customHeight="false" outlineLevel="0" collapsed="false">
      <c r="A680" s="49"/>
      <c r="B680" s="50"/>
      <c r="C680" s="49"/>
      <c r="D680" s="51" t="str">
        <f aca="false">IF(C680="","",IFERROR(INDEX('شجرة الحسابات'!$B$9:$B$208,MATCH(C680,'شجرة الحسابات'!$A$9:$A$208,0)),"⚠ حساب غير معرف"))</f>
        <v/>
      </c>
      <c r="E680" s="52"/>
      <c r="F680" s="52"/>
      <c r="G680" s="53"/>
      <c r="H680" s="53"/>
      <c r="I680" s="54" t="str">
        <f aca="false">IF(A680="",IF(M680="فارغ","","✖ بدون رقم قيد"),IF(COUNTIFS('قيود اليومية'!$A$11:$A$1010,A680,'قيود اليومية'!$M$11:$M$1010,"&lt;&gt;OK",'قيود اليومية'!$M$11:$M$1010,"&lt;&gt;فارغ")&gt;0,"✖ خطأ بالحساب",IF(ROUND(SUMIFS('قيود اليومية'!$G$11:$G$1010,'قيود اليومية'!$A$11:$A$1010,A680)-SUMIFS('قيود اليومية'!$H$11:$H$1010,'قيود اليومية'!$A$11:$A$1010,A680),2)&lt;&gt;0,"✖ غير متوازن","مرحل ✔")))</f>
        <v/>
      </c>
      <c r="J680" s="55" t="str">
        <f aca="false">IF(C680="","",IFERROR(INDEX('شجرة الحسابات'!$E$9:$E$208,MATCH(C680,'شجرة الحسابات'!$A$9:$A$208,0))&amp;"",""))</f>
        <v/>
      </c>
      <c r="K680" s="55" t="str">
        <f aca="false">IF(C680="","",IFERROR(INDEX('شجرة الحسابات'!$I$9:$I$208,MATCH(C680,'شجرة الحسابات'!$A$9:$A$208,0))&amp;"",""))</f>
        <v/>
      </c>
      <c r="L680" s="55" t="str">
        <f aca="false">IF(C680="","",IFERROR(INDEX('شجرة الحسابات'!$C$9:$C$208,MATCH(C680,'شجرة الحسابات'!$A$9:$A$208,0))&amp;"",""))</f>
        <v/>
      </c>
      <c r="M680" s="55" t="str">
        <f aca="false">IF(AND(C680="",G680="",H680=""),"فارغ",IF(ISNA(MATCH(C680,'شجرة الحسابات'!$A$9:$A$208,0)),"حساب غير معرف",IF(L680&lt;&gt;"تحليلي","حساب تجميعي",IF(AND(N(G680)&gt;0,N(H680)&gt;0),"مدين ودائن معاً",IF(N(G680)+N(H680)=0,"بدون قيمة","OK")))))</f>
        <v>فارغ</v>
      </c>
      <c r="N680" s="55" t="str">
        <f aca="false">IF(AND(E680&lt;&gt;"",E680='كشف حساب مشروع'!$C$6,I680="مرحل ✔"),COUNTIFS($E$11:E680,'كشف حساب مشروع'!$C$6,$I$11:I680,"مرحل ✔"),"")</f>
        <v/>
      </c>
      <c r="O680" s="55" t="str">
        <f aca="false">IF(AND(C680&lt;&gt;"",C680='دفتر الأستاذ'!$C$6,I680="مرحل ✔"),COUNTIFS($C$11:C680,'دفتر الأستاذ'!$C$6,$I$11:I680,"مرحل ✔"),"")</f>
        <v/>
      </c>
    </row>
    <row r="681" customFormat="false" ht="15" hidden="false" customHeight="false" outlineLevel="0" collapsed="false">
      <c r="A681" s="49"/>
      <c r="B681" s="50"/>
      <c r="C681" s="49"/>
      <c r="D681" s="51" t="str">
        <f aca="false">IF(C681="","",IFERROR(INDEX('شجرة الحسابات'!$B$9:$B$208,MATCH(C681,'شجرة الحسابات'!$A$9:$A$208,0)),"⚠ حساب غير معرف"))</f>
        <v/>
      </c>
      <c r="E681" s="52"/>
      <c r="F681" s="52"/>
      <c r="G681" s="53"/>
      <c r="H681" s="53"/>
      <c r="I681" s="54" t="str">
        <f aca="false">IF(A681="",IF(M681="فارغ","","✖ بدون رقم قيد"),IF(COUNTIFS('قيود اليومية'!$A$11:$A$1010,A681,'قيود اليومية'!$M$11:$M$1010,"&lt;&gt;OK",'قيود اليومية'!$M$11:$M$1010,"&lt;&gt;فارغ")&gt;0,"✖ خطأ بالحساب",IF(ROUND(SUMIFS('قيود اليومية'!$G$11:$G$1010,'قيود اليومية'!$A$11:$A$1010,A681)-SUMIFS('قيود اليومية'!$H$11:$H$1010,'قيود اليومية'!$A$11:$A$1010,A681),2)&lt;&gt;0,"✖ غير متوازن","مرحل ✔")))</f>
        <v/>
      </c>
      <c r="J681" s="55" t="str">
        <f aca="false">IF(C681="","",IFERROR(INDEX('شجرة الحسابات'!$E$9:$E$208,MATCH(C681,'شجرة الحسابات'!$A$9:$A$208,0))&amp;"",""))</f>
        <v/>
      </c>
      <c r="K681" s="55" t="str">
        <f aca="false">IF(C681="","",IFERROR(INDEX('شجرة الحسابات'!$I$9:$I$208,MATCH(C681,'شجرة الحسابات'!$A$9:$A$208,0))&amp;"",""))</f>
        <v/>
      </c>
      <c r="L681" s="55" t="str">
        <f aca="false">IF(C681="","",IFERROR(INDEX('شجرة الحسابات'!$C$9:$C$208,MATCH(C681,'شجرة الحسابات'!$A$9:$A$208,0))&amp;"",""))</f>
        <v/>
      </c>
      <c r="M681" s="55" t="str">
        <f aca="false">IF(AND(C681="",G681="",H681=""),"فارغ",IF(ISNA(MATCH(C681,'شجرة الحسابات'!$A$9:$A$208,0)),"حساب غير معرف",IF(L681&lt;&gt;"تحليلي","حساب تجميعي",IF(AND(N(G681)&gt;0,N(H681)&gt;0),"مدين ودائن معاً",IF(N(G681)+N(H681)=0,"بدون قيمة","OK")))))</f>
        <v>فارغ</v>
      </c>
      <c r="N681" s="55" t="str">
        <f aca="false">IF(AND(E681&lt;&gt;"",E681='كشف حساب مشروع'!$C$6,I681="مرحل ✔"),COUNTIFS($E$11:E681,'كشف حساب مشروع'!$C$6,$I$11:I681,"مرحل ✔"),"")</f>
        <v/>
      </c>
      <c r="O681" s="55" t="str">
        <f aca="false">IF(AND(C681&lt;&gt;"",C681='دفتر الأستاذ'!$C$6,I681="مرحل ✔"),COUNTIFS($C$11:C681,'دفتر الأستاذ'!$C$6,$I$11:I681,"مرحل ✔"),"")</f>
        <v/>
      </c>
    </row>
    <row r="682" customFormat="false" ht="15" hidden="false" customHeight="false" outlineLevel="0" collapsed="false">
      <c r="A682" s="49"/>
      <c r="B682" s="50"/>
      <c r="C682" s="49"/>
      <c r="D682" s="51" t="str">
        <f aca="false">IF(C682="","",IFERROR(INDEX('شجرة الحسابات'!$B$9:$B$208,MATCH(C682,'شجرة الحسابات'!$A$9:$A$208,0)),"⚠ حساب غير معرف"))</f>
        <v/>
      </c>
      <c r="E682" s="52"/>
      <c r="F682" s="52"/>
      <c r="G682" s="53"/>
      <c r="H682" s="53"/>
      <c r="I682" s="54" t="str">
        <f aca="false">IF(A682="",IF(M682="فارغ","","✖ بدون رقم قيد"),IF(COUNTIFS('قيود اليومية'!$A$11:$A$1010,A682,'قيود اليومية'!$M$11:$M$1010,"&lt;&gt;OK",'قيود اليومية'!$M$11:$M$1010,"&lt;&gt;فارغ")&gt;0,"✖ خطأ بالحساب",IF(ROUND(SUMIFS('قيود اليومية'!$G$11:$G$1010,'قيود اليومية'!$A$11:$A$1010,A682)-SUMIFS('قيود اليومية'!$H$11:$H$1010,'قيود اليومية'!$A$11:$A$1010,A682),2)&lt;&gt;0,"✖ غير متوازن","مرحل ✔")))</f>
        <v/>
      </c>
      <c r="J682" s="55" t="str">
        <f aca="false">IF(C682="","",IFERROR(INDEX('شجرة الحسابات'!$E$9:$E$208,MATCH(C682,'شجرة الحسابات'!$A$9:$A$208,0))&amp;"",""))</f>
        <v/>
      </c>
      <c r="K682" s="55" t="str">
        <f aca="false">IF(C682="","",IFERROR(INDEX('شجرة الحسابات'!$I$9:$I$208,MATCH(C682,'شجرة الحسابات'!$A$9:$A$208,0))&amp;"",""))</f>
        <v/>
      </c>
      <c r="L682" s="55" t="str">
        <f aca="false">IF(C682="","",IFERROR(INDEX('شجرة الحسابات'!$C$9:$C$208,MATCH(C682,'شجرة الحسابات'!$A$9:$A$208,0))&amp;"",""))</f>
        <v/>
      </c>
      <c r="M682" s="55" t="str">
        <f aca="false">IF(AND(C682="",G682="",H682=""),"فارغ",IF(ISNA(MATCH(C682,'شجرة الحسابات'!$A$9:$A$208,0)),"حساب غير معرف",IF(L682&lt;&gt;"تحليلي","حساب تجميعي",IF(AND(N(G682)&gt;0,N(H682)&gt;0),"مدين ودائن معاً",IF(N(G682)+N(H682)=0,"بدون قيمة","OK")))))</f>
        <v>فارغ</v>
      </c>
      <c r="N682" s="55" t="str">
        <f aca="false">IF(AND(E682&lt;&gt;"",E682='كشف حساب مشروع'!$C$6,I682="مرحل ✔"),COUNTIFS($E$11:E682,'كشف حساب مشروع'!$C$6,$I$11:I682,"مرحل ✔"),"")</f>
        <v/>
      </c>
      <c r="O682" s="55" t="str">
        <f aca="false">IF(AND(C682&lt;&gt;"",C682='دفتر الأستاذ'!$C$6,I682="مرحل ✔"),COUNTIFS($C$11:C682,'دفتر الأستاذ'!$C$6,$I$11:I682,"مرحل ✔"),"")</f>
        <v/>
      </c>
    </row>
    <row r="683" customFormat="false" ht="15" hidden="false" customHeight="false" outlineLevel="0" collapsed="false">
      <c r="A683" s="49"/>
      <c r="B683" s="50"/>
      <c r="C683" s="49"/>
      <c r="D683" s="51" t="str">
        <f aca="false">IF(C683="","",IFERROR(INDEX('شجرة الحسابات'!$B$9:$B$208,MATCH(C683,'شجرة الحسابات'!$A$9:$A$208,0)),"⚠ حساب غير معرف"))</f>
        <v/>
      </c>
      <c r="E683" s="52"/>
      <c r="F683" s="52"/>
      <c r="G683" s="53"/>
      <c r="H683" s="53"/>
      <c r="I683" s="54" t="str">
        <f aca="false">IF(A683="",IF(M683="فارغ","","✖ بدون رقم قيد"),IF(COUNTIFS('قيود اليومية'!$A$11:$A$1010,A683,'قيود اليومية'!$M$11:$M$1010,"&lt;&gt;OK",'قيود اليومية'!$M$11:$M$1010,"&lt;&gt;فارغ")&gt;0,"✖ خطأ بالحساب",IF(ROUND(SUMIFS('قيود اليومية'!$G$11:$G$1010,'قيود اليومية'!$A$11:$A$1010,A683)-SUMIFS('قيود اليومية'!$H$11:$H$1010,'قيود اليومية'!$A$11:$A$1010,A683),2)&lt;&gt;0,"✖ غير متوازن","مرحل ✔")))</f>
        <v/>
      </c>
      <c r="J683" s="55" t="str">
        <f aca="false">IF(C683="","",IFERROR(INDEX('شجرة الحسابات'!$E$9:$E$208,MATCH(C683,'شجرة الحسابات'!$A$9:$A$208,0))&amp;"",""))</f>
        <v/>
      </c>
      <c r="K683" s="55" t="str">
        <f aca="false">IF(C683="","",IFERROR(INDEX('شجرة الحسابات'!$I$9:$I$208,MATCH(C683,'شجرة الحسابات'!$A$9:$A$208,0))&amp;"",""))</f>
        <v/>
      </c>
      <c r="L683" s="55" t="str">
        <f aca="false">IF(C683="","",IFERROR(INDEX('شجرة الحسابات'!$C$9:$C$208,MATCH(C683,'شجرة الحسابات'!$A$9:$A$208,0))&amp;"",""))</f>
        <v/>
      </c>
      <c r="M683" s="55" t="str">
        <f aca="false">IF(AND(C683="",G683="",H683=""),"فارغ",IF(ISNA(MATCH(C683,'شجرة الحسابات'!$A$9:$A$208,0)),"حساب غير معرف",IF(L683&lt;&gt;"تحليلي","حساب تجميعي",IF(AND(N(G683)&gt;0,N(H683)&gt;0),"مدين ودائن معاً",IF(N(G683)+N(H683)=0,"بدون قيمة","OK")))))</f>
        <v>فارغ</v>
      </c>
      <c r="N683" s="55" t="str">
        <f aca="false">IF(AND(E683&lt;&gt;"",E683='كشف حساب مشروع'!$C$6,I683="مرحل ✔"),COUNTIFS($E$11:E683,'كشف حساب مشروع'!$C$6,$I$11:I683,"مرحل ✔"),"")</f>
        <v/>
      </c>
      <c r="O683" s="55" t="str">
        <f aca="false">IF(AND(C683&lt;&gt;"",C683='دفتر الأستاذ'!$C$6,I683="مرحل ✔"),COUNTIFS($C$11:C683,'دفتر الأستاذ'!$C$6,$I$11:I683,"مرحل ✔"),"")</f>
        <v/>
      </c>
    </row>
    <row r="684" customFormat="false" ht="15" hidden="false" customHeight="false" outlineLevel="0" collapsed="false">
      <c r="A684" s="49"/>
      <c r="B684" s="50"/>
      <c r="C684" s="49"/>
      <c r="D684" s="51" t="str">
        <f aca="false">IF(C684="","",IFERROR(INDEX('شجرة الحسابات'!$B$9:$B$208,MATCH(C684,'شجرة الحسابات'!$A$9:$A$208,0)),"⚠ حساب غير معرف"))</f>
        <v/>
      </c>
      <c r="E684" s="52"/>
      <c r="F684" s="52"/>
      <c r="G684" s="53"/>
      <c r="H684" s="53"/>
      <c r="I684" s="54" t="str">
        <f aca="false">IF(A684="",IF(M684="فارغ","","✖ بدون رقم قيد"),IF(COUNTIFS('قيود اليومية'!$A$11:$A$1010,A684,'قيود اليومية'!$M$11:$M$1010,"&lt;&gt;OK",'قيود اليومية'!$M$11:$M$1010,"&lt;&gt;فارغ")&gt;0,"✖ خطأ بالحساب",IF(ROUND(SUMIFS('قيود اليومية'!$G$11:$G$1010,'قيود اليومية'!$A$11:$A$1010,A684)-SUMIFS('قيود اليومية'!$H$11:$H$1010,'قيود اليومية'!$A$11:$A$1010,A684),2)&lt;&gt;0,"✖ غير متوازن","مرحل ✔")))</f>
        <v/>
      </c>
      <c r="J684" s="55" t="str">
        <f aca="false">IF(C684="","",IFERROR(INDEX('شجرة الحسابات'!$E$9:$E$208,MATCH(C684,'شجرة الحسابات'!$A$9:$A$208,0))&amp;"",""))</f>
        <v/>
      </c>
      <c r="K684" s="55" t="str">
        <f aca="false">IF(C684="","",IFERROR(INDEX('شجرة الحسابات'!$I$9:$I$208,MATCH(C684,'شجرة الحسابات'!$A$9:$A$208,0))&amp;"",""))</f>
        <v/>
      </c>
      <c r="L684" s="55" t="str">
        <f aca="false">IF(C684="","",IFERROR(INDEX('شجرة الحسابات'!$C$9:$C$208,MATCH(C684,'شجرة الحسابات'!$A$9:$A$208,0))&amp;"",""))</f>
        <v/>
      </c>
      <c r="M684" s="55" t="str">
        <f aca="false">IF(AND(C684="",G684="",H684=""),"فارغ",IF(ISNA(MATCH(C684,'شجرة الحسابات'!$A$9:$A$208,0)),"حساب غير معرف",IF(L684&lt;&gt;"تحليلي","حساب تجميعي",IF(AND(N(G684)&gt;0,N(H684)&gt;0),"مدين ودائن معاً",IF(N(G684)+N(H684)=0,"بدون قيمة","OK")))))</f>
        <v>فارغ</v>
      </c>
      <c r="N684" s="55" t="str">
        <f aca="false">IF(AND(E684&lt;&gt;"",E684='كشف حساب مشروع'!$C$6,I684="مرحل ✔"),COUNTIFS($E$11:E684,'كشف حساب مشروع'!$C$6,$I$11:I684,"مرحل ✔"),"")</f>
        <v/>
      </c>
      <c r="O684" s="55" t="str">
        <f aca="false">IF(AND(C684&lt;&gt;"",C684='دفتر الأستاذ'!$C$6,I684="مرحل ✔"),COUNTIFS($C$11:C684,'دفتر الأستاذ'!$C$6,$I$11:I684,"مرحل ✔"),"")</f>
        <v/>
      </c>
    </row>
    <row r="685" customFormat="false" ht="15" hidden="false" customHeight="false" outlineLevel="0" collapsed="false">
      <c r="A685" s="49"/>
      <c r="B685" s="50"/>
      <c r="C685" s="49"/>
      <c r="D685" s="51" t="str">
        <f aca="false">IF(C685="","",IFERROR(INDEX('شجرة الحسابات'!$B$9:$B$208,MATCH(C685,'شجرة الحسابات'!$A$9:$A$208,0)),"⚠ حساب غير معرف"))</f>
        <v/>
      </c>
      <c r="E685" s="52"/>
      <c r="F685" s="52"/>
      <c r="G685" s="53"/>
      <c r="H685" s="53"/>
      <c r="I685" s="54" t="str">
        <f aca="false">IF(A685="",IF(M685="فارغ","","✖ بدون رقم قيد"),IF(COUNTIFS('قيود اليومية'!$A$11:$A$1010,A685,'قيود اليومية'!$M$11:$M$1010,"&lt;&gt;OK",'قيود اليومية'!$M$11:$M$1010,"&lt;&gt;فارغ")&gt;0,"✖ خطأ بالحساب",IF(ROUND(SUMIFS('قيود اليومية'!$G$11:$G$1010,'قيود اليومية'!$A$11:$A$1010,A685)-SUMIFS('قيود اليومية'!$H$11:$H$1010,'قيود اليومية'!$A$11:$A$1010,A685),2)&lt;&gt;0,"✖ غير متوازن","مرحل ✔")))</f>
        <v/>
      </c>
      <c r="J685" s="55" t="str">
        <f aca="false">IF(C685="","",IFERROR(INDEX('شجرة الحسابات'!$E$9:$E$208,MATCH(C685,'شجرة الحسابات'!$A$9:$A$208,0))&amp;"",""))</f>
        <v/>
      </c>
      <c r="K685" s="55" t="str">
        <f aca="false">IF(C685="","",IFERROR(INDEX('شجرة الحسابات'!$I$9:$I$208,MATCH(C685,'شجرة الحسابات'!$A$9:$A$208,0))&amp;"",""))</f>
        <v/>
      </c>
      <c r="L685" s="55" t="str">
        <f aca="false">IF(C685="","",IFERROR(INDEX('شجرة الحسابات'!$C$9:$C$208,MATCH(C685,'شجرة الحسابات'!$A$9:$A$208,0))&amp;"",""))</f>
        <v/>
      </c>
      <c r="M685" s="55" t="str">
        <f aca="false">IF(AND(C685="",G685="",H685=""),"فارغ",IF(ISNA(MATCH(C685,'شجرة الحسابات'!$A$9:$A$208,0)),"حساب غير معرف",IF(L685&lt;&gt;"تحليلي","حساب تجميعي",IF(AND(N(G685)&gt;0,N(H685)&gt;0),"مدين ودائن معاً",IF(N(G685)+N(H685)=0,"بدون قيمة","OK")))))</f>
        <v>فارغ</v>
      </c>
      <c r="N685" s="55" t="str">
        <f aca="false">IF(AND(E685&lt;&gt;"",E685='كشف حساب مشروع'!$C$6,I685="مرحل ✔"),COUNTIFS($E$11:E685,'كشف حساب مشروع'!$C$6,$I$11:I685,"مرحل ✔"),"")</f>
        <v/>
      </c>
      <c r="O685" s="55" t="str">
        <f aca="false">IF(AND(C685&lt;&gt;"",C685='دفتر الأستاذ'!$C$6,I685="مرحل ✔"),COUNTIFS($C$11:C685,'دفتر الأستاذ'!$C$6,$I$11:I685,"مرحل ✔"),"")</f>
        <v/>
      </c>
    </row>
    <row r="686" customFormat="false" ht="15" hidden="false" customHeight="false" outlineLevel="0" collapsed="false">
      <c r="A686" s="49"/>
      <c r="B686" s="50"/>
      <c r="C686" s="49"/>
      <c r="D686" s="51" t="str">
        <f aca="false">IF(C686="","",IFERROR(INDEX('شجرة الحسابات'!$B$9:$B$208,MATCH(C686,'شجرة الحسابات'!$A$9:$A$208,0)),"⚠ حساب غير معرف"))</f>
        <v/>
      </c>
      <c r="E686" s="52"/>
      <c r="F686" s="52"/>
      <c r="G686" s="53"/>
      <c r="H686" s="53"/>
      <c r="I686" s="54" t="str">
        <f aca="false">IF(A686="",IF(M686="فارغ","","✖ بدون رقم قيد"),IF(COUNTIFS('قيود اليومية'!$A$11:$A$1010,A686,'قيود اليومية'!$M$11:$M$1010,"&lt;&gt;OK",'قيود اليومية'!$M$11:$M$1010,"&lt;&gt;فارغ")&gt;0,"✖ خطأ بالحساب",IF(ROUND(SUMIFS('قيود اليومية'!$G$11:$G$1010,'قيود اليومية'!$A$11:$A$1010,A686)-SUMIFS('قيود اليومية'!$H$11:$H$1010,'قيود اليومية'!$A$11:$A$1010,A686),2)&lt;&gt;0,"✖ غير متوازن","مرحل ✔")))</f>
        <v/>
      </c>
      <c r="J686" s="55" t="str">
        <f aca="false">IF(C686="","",IFERROR(INDEX('شجرة الحسابات'!$E$9:$E$208,MATCH(C686,'شجرة الحسابات'!$A$9:$A$208,0))&amp;"",""))</f>
        <v/>
      </c>
      <c r="K686" s="55" t="str">
        <f aca="false">IF(C686="","",IFERROR(INDEX('شجرة الحسابات'!$I$9:$I$208,MATCH(C686,'شجرة الحسابات'!$A$9:$A$208,0))&amp;"",""))</f>
        <v/>
      </c>
      <c r="L686" s="55" t="str">
        <f aca="false">IF(C686="","",IFERROR(INDEX('شجرة الحسابات'!$C$9:$C$208,MATCH(C686,'شجرة الحسابات'!$A$9:$A$208,0))&amp;"",""))</f>
        <v/>
      </c>
      <c r="M686" s="55" t="str">
        <f aca="false">IF(AND(C686="",G686="",H686=""),"فارغ",IF(ISNA(MATCH(C686,'شجرة الحسابات'!$A$9:$A$208,0)),"حساب غير معرف",IF(L686&lt;&gt;"تحليلي","حساب تجميعي",IF(AND(N(G686)&gt;0,N(H686)&gt;0),"مدين ودائن معاً",IF(N(G686)+N(H686)=0,"بدون قيمة","OK")))))</f>
        <v>فارغ</v>
      </c>
      <c r="N686" s="55" t="str">
        <f aca="false">IF(AND(E686&lt;&gt;"",E686='كشف حساب مشروع'!$C$6,I686="مرحل ✔"),COUNTIFS($E$11:E686,'كشف حساب مشروع'!$C$6,$I$11:I686,"مرحل ✔"),"")</f>
        <v/>
      </c>
      <c r="O686" s="55" t="str">
        <f aca="false">IF(AND(C686&lt;&gt;"",C686='دفتر الأستاذ'!$C$6,I686="مرحل ✔"),COUNTIFS($C$11:C686,'دفتر الأستاذ'!$C$6,$I$11:I686,"مرحل ✔"),"")</f>
        <v/>
      </c>
    </row>
    <row r="687" customFormat="false" ht="15" hidden="false" customHeight="false" outlineLevel="0" collapsed="false">
      <c r="A687" s="49"/>
      <c r="B687" s="50"/>
      <c r="C687" s="49"/>
      <c r="D687" s="51" t="str">
        <f aca="false">IF(C687="","",IFERROR(INDEX('شجرة الحسابات'!$B$9:$B$208,MATCH(C687,'شجرة الحسابات'!$A$9:$A$208,0)),"⚠ حساب غير معرف"))</f>
        <v/>
      </c>
      <c r="E687" s="52"/>
      <c r="F687" s="52"/>
      <c r="G687" s="53"/>
      <c r="H687" s="53"/>
      <c r="I687" s="54" t="str">
        <f aca="false">IF(A687="",IF(M687="فارغ","","✖ بدون رقم قيد"),IF(COUNTIFS('قيود اليومية'!$A$11:$A$1010,A687,'قيود اليومية'!$M$11:$M$1010,"&lt;&gt;OK",'قيود اليومية'!$M$11:$M$1010,"&lt;&gt;فارغ")&gt;0,"✖ خطأ بالحساب",IF(ROUND(SUMIFS('قيود اليومية'!$G$11:$G$1010,'قيود اليومية'!$A$11:$A$1010,A687)-SUMIFS('قيود اليومية'!$H$11:$H$1010,'قيود اليومية'!$A$11:$A$1010,A687),2)&lt;&gt;0,"✖ غير متوازن","مرحل ✔")))</f>
        <v/>
      </c>
      <c r="J687" s="55" t="str">
        <f aca="false">IF(C687="","",IFERROR(INDEX('شجرة الحسابات'!$E$9:$E$208,MATCH(C687,'شجرة الحسابات'!$A$9:$A$208,0))&amp;"",""))</f>
        <v/>
      </c>
      <c r="K687" s="55" t="str">
        <f aca="false">IF(C687="","",IFERROR(INDEX('شجرة الحسابات'!$I$9:$I$208,MATCH(C687,'شجرة الحسابات'!$A$9:$A$208,0))&amp;"",""))</f>
        <v/>
      </c>
      <c r="L687" s="55" t="str">
        <f aca="false">IF(C687="","",IFERROR(INDEX('شجرة الحسابات'!$C$9:$C$208,MATCH(C687,'شجرة الحسابات'!$A$9:$A$208,0))&amp;"",""))</f>
        <v/>
      </c>
      <c r="M687" s="55" t="str">
        <f aca="false">IF(AND(C687="",G687="",H687=""),"فارغ",IF(ISNA(MATCH(C687,'شجرة الحسابات'!$A$9:$A$208,0)),"حساب غير معرف",IF(L687&lt;&gt;"تحليلي","حساب تجميعي",IF(AND(N(G687)&gt;0,N(H687)&gt;0),"مدين ودائن معاً",IF(N(G687)+N(H687)=0,"بدون قيمة","OK")))))</f>
        <v>فارغ</v>
      </c>
      <c r="N687" s="55" t="str">
        <f aca="false">IF(AND(E687&lt;&gt;"",E687='كشف حساب مشروع'!$C$6,I687="مرحل ✔"),COUNTIFS($E$11:E687,'كشف حساب مشروع'!$C$6,$I$11:I687,"مرحل ✔"),"")</f>
        <v/>
      </c>
      <c r="O687" s="55" t="str">
        <f aca="false">IF(AND(C687&lt;&gt;"",C687='دفتر الأستاذ'!$C$6,I687="مرحل ✔"),COUNTIFS($C$11:C687,'دفتر الأستاذ'!$C$6,$I$11:I687,"مرحل ✔"),"")</f>
        <v/>
      </c>
    </row>
    <row r="688" customFormat="false" ht="15" hidden="false" customHeight="false" outlineLevel="0" collapsed="false">
      <c r="A688" s="49"/>
      <c r="B688" s="50"/>
      <c r="C688" s="49"/>
      <c r="D688" s="51" t="str">
        <f aca="false">IF(C688="","",IFERROR(INDEX('شجرة الحسابات'!$B$9:$B$208,MATCH(C688,'شجرة الحسابات'!$A$9:$A$208,0)),"⚠ حساب غير معرف"))</f>
        <v/>
      </c>
      <c r="E688" s="52"/>
      <c r="F688" s="52"/>
      <c r="G688" s="53"/>
      <c r="H688" s="53"/>
      <c r="I688" s="54" t="str">
        <f aca="false">IF(A688="",IF(M688="فارغ","","✖ بدون رقم قيد"),IF(COUNTIFS('قيود اليومية'!$A$11:$A$1010,A688,'قيود اليومية'!$M$11:$M$1010,"&lt;&gt;OK",'قيود اليومية'!$M$11:$M$1010,"&lt;&gt;فارغ")&gt;0,"✖ خطأ بالحساب",IF(ROUND(SUMIFS('قيود اليومية'!$G$11:$G$1010,'قيود اليومية'!$A$11:$A$1010,A688)-SUMIFS('قيود اليومية'!$H$11:$H$1010,'قيود اليومية'!$A$11:$A$1010,A688),2)&lt;&gt;0,"✖ غير متوازن","مرحل ✔")))</f>
        <v/>
      </c>
      <c r="J688" s="55" t="str">
        <f aca="false">IF(C688="","",IFERROR(INDEX('شجرة الحسابات'!$E$9:$E$208,MATCH(C688,'شجرة الحسابات'!$A$9:$A$208,0))&amp;"",""))</f>
        <v/>
      </c>
      <c r="K688" s="55" t="str">
        <f aca="false">IF(C688="","",IFERROR(INDEX('شجرة الحسابات'!$I$9:$I$208,MATCH(C688,'شجرة الحسابات'!$A$9:$A$208,0))&amp;"",""))</f>
        <v/>
      </c>
      <c r="L688" s="55" t="str">
        <f aca="false">IF(C688="","",IFERROR(INDEX('شجرة الحسابات'!$C$9:$C$208,MATCH(C688,'شجرة الحسابات'!$A$9:$A$208,0))&amp;"",""))</f>
        <v/>
      </c>
      <c r="M688" s="55" t="str">
        <f aca="false">IF(AND(C688="",G688="",H688=""),"فارغ",IF(ISNA(MATCH(C688,'شجرة الحسابات'!$A$9:$A$208,0)),"حساب غير معرف",IF(L688&lt;&gt;"تحليلي","حساب تجميعي",IF(AND(N(G688)&gt;0,N(H688)&gt;0),"مدين ودائن معاً",IF(N(G688)+N(H688)=0,"بدون قيمة","OK")))))</f>
        <v>فارغ</v>
      </c>
      <c r="N688" s="55" t="str">
        <f aca="false">IF(AND(E688&lt;&gt;"",E688='كشف حساب مشروع'!$C$6,I688="مرحل ✔"),COUNTIFS($E$11:E688,'كشف حساب مشروع'!$C$6,$I$11:I688,"مرحل ✔"),"")</f>
        <v/>
      </c>
      <c r="O688" s="55" t="str">
        <f aca="false">IF(AND(C688&lt;&gt;"",C688='دفتر الأستاذ'!$C$6,I688="مرحل ✔"),COUNTIFS($C$11:C688,'دفتر الأستاذ'!$C$6,$I$11:I688,"مرحل ✔"),"")</f>
        <v/>
      </c>
    </row>
    <row r="689" customFormat="false" ht="15" hidden="false" customHeight="false" outlineLevel="0" collapsed="false">
      <c r="A689" s="49"/>
      <c r="B689" s="50"/>
      <c r="C689" s="49"/>
      <c r="D689" s="51" t="str">
        <f aca="false">IF(C689="","",IFERROR(INDEX('شجرة الحسابات'!$B$9:$B$208,MATCH(C689,'شجرة الحسابات'!$A$9:$A$208,0)),"⚠ حساب غير معرف"))</f>
        <v/>
      </c>
      <c r="E689" s="52"/>
      <c r="F689" s="52"/>
      <c r="G689" s="53"/>
      <c r="H689" s="53"/>
      <c r="I689" s="54" t="str">
        <f aca="false">IF(A689="",IF(M689="فارغ","","✖ بدون رقم قيد"),IF(COUNTIFS('قيود اليومية'!$A$11:$A$1010,A689,'قيود اليومية'!$M$11:$M$1010,"&lt;&gt;OK",'قيود اليومية'!$M$11:$M$1010,"&lt;&gt;فارغ")&gt;0,"✖ خطأ بالحساب",IF(ROUND(SUMIFS('قيود اليومية'!$G$11:$G$1010,'قيود اليومية'!$A$11:$A$1010,A689)-SUMIFS('قيود اليومية'!$H$11:$H$1010,'قيود اليومية'!$A$11:$A$1010,A689),2)&lt;&gt;0,"✖ غير متوازن","مرحل ✔")))</f>
        <v/>
      </c>
      <c r="J689" s="55" t="str">
        <f aca="false">IF(C689="","",IFERROR(INDEX('شجرة الحسابات'!$E$9:$E$208,MATCH(C689,'شجرة الحسابات'!$A$9:$A$208,0))&amp;"",""))</f>
        <v/>
      </c>
      <c r="K689" s="55" t="str">
        <f aca="false">IF(C689="","",IFERROR(INDEX('شجرة الحسابات'!$I$9:$I$208,MATCH(C689,'شجرة الحسابات'!$A$9:$A$208,0))&amp;"",""))</f>
        <v/>
      </c>
      <c r="L689" s="55" t="str">
        <f aca="false">IF(C689="","",IFERROR(INDEX('شجرة الحسابات'!$C$9:$C$208,MATCH(C689,'شجرة الحسابات'!$A$9:$A$208,0))&amp;"",""))</f>
        <v/>
      </c>
      <c r="M689" s="55" t="str">
        <f aca="false">IF(AND(C689="",G689="",H689=""),"فارغ",IF(ISNA(MATCH(C689,'شجرة الحسابات'!$A$9:$A$208,0)),"حساب غير معرف",IF(L689&lt;&gt;"تحليلي","حساب تجميعي",IF(AND(N(G689)&gt;0,N(H689)&gt;0),"مدين ودائن معاً",IF(N(G689)+N(H689)=0,"بدون قيمة","OK")))))</f>
        <v>فارغ</v>
      </c>
      <c r="N689" s="55" t="str">
        <f aca="false">IF(AND(E689&lt;&gt;"",E689='كشف حساب مشروع'!$C$6,I689="مرحل ✔"),COUNTIFS($E$11:E689,'كشف حساب مشروع'!$C$6,$I$11:I689,"مرحل ✔"),"")</f>
        <v/>
      </c>
      <c r="O689" s="55" t="str">
        <f aca="false">IF(AND(C689&lt;&gt;"",C689='دفتر الأستاذ'!$C$6,I689="مرحل ✔"),COUNTIFS($C$11:C689,'دفتر الأستاذ'!$C$6,$I$11:I689,"مرحل ✔"),"")</f>
        <v/>
      </c>
    </row>
    <row r="690" customFormat="false" ht="15" hidden="false" customHeight="false" outlineLevel="0" collapsed="false">
      <c r="A690" s="49"/>
      <c r="B690" s="50"/>
      <c r="C690" s="49"/>
      <c r="D690" s="51" t="str">
        <f aca="false">IF(C690="","",IFERROR(INDEX('شجرة الحسابات'!$B$9:$B$208,MATCH(C690,'شجرة الحسابات'!$A$9:$A$208,0)),"⚠ حساب غير معرف"))</f>
        <v/>
      </c>
      <c r="E690" s="52"/>
      <c r="F690" s="52"/>
      <c r="G690" s="53"/>
      <c r="H690" s="53"/>
      <c r="I690" s="54" t="str">
        <f aca="false">IF(A690="",IF(M690="فارغ","","✖ بدون رقم قيد"),IF(COUNTIFS('قيود اليومية'!$A$11:$A$1010,A690,'قيود اليومية'!$M$11:$M$1010,"&lt;&gt;OK",'قيود اليومية'!$M$11:$M$1010,"&lt;&gt;فارغ")&gt;0,"✖ خطأ بالحساب",IF(ROUND(SUMIFS('قيود اليومية'!$G$11:$G$1010,'قيود اليومية'!$A$11:$A$1010,A690)-SUMIFS('قيود اليومية'!$H$11:$H$1010,'قيود اليومية'!$A$11:$A$1010,A690),2)&lt;&gt;0,"✖ غير متوازن","مرحل ✔")))</f>
        <v/>
      </c>
      <c r="J690" s="55" t="str">
        <f aca="false">IF(C690="","",IFERROR(INDEX('شجرة الحسابات'!$E$9:$E$208,MATCH(C690,'شجرة الحسابات'!$A$9:$A$208,0))&amp;"",""))</f>
        <v/>
      </c>
      <c r="K690" s="55" t="str">
        <f aca="false">IF(C690="","",IFERROR(INDEX('شجرة الحسابات'!$I$9:$I$208,MATCH(C690,'شجرة الحسابات'!$A$9:$A$208,0))&amp;"",""))</f>
        <v/>
      </c>
      <c r="L690" s="55" t="str">
        <f aca="false">IF(C690="","",IFERROR(INDEX('شجرة الحسابات'!$C$9:$C$208,MATCH(C690,'شجرة الحسابات'!$A$9:$A$208,0))&amp;"",""))</f>
        <v/>
      </c>
      <c r="M690" s="55" t="str">
        <f aca="false">IF(AND(C690="",G690="",H690=""),"فارغ",IF(ISNA(MATCH(C690,'شجرة الحسابات'!$A$9:$A$208,0)),"حساب غير معرف",IF(L690&lt;&gt;"تحليلي","حساب تجميعي",IF(AND(N(G690)&gt;0,N(H690)&gt;0),"مدين ودائن معاً",IF(N(G690)+N(H690)=0,"بدون قيمة","OK")))))</f>
        <v>فارغ</v>
      </c>
      <c r="N690" s="55" t="str">
        <f aca="false">IF(AND(E690&lt;&gt;"",E690='كشف حساب مشروع'!$C$6,I690="مرحل ✔"),COUNTIFS($E$11:E690,'كشف حساب مشروع'!$C$6,$I$11:I690,"مرحل ✔"),"")</f>
        <v/>
      </c>
      <c r="O690" s="55" t="str">
        <f aca="false">IF(AND(C690&lt;&gt;"",C690='دفتر الأستاذ'!$C$6,I690="مرحل ✔"),COUNTIFS($C$11:C690,'دفتر الأستاذ'!$C$6,$I$11:I690,"مرحل ✔"),"")</f>
        <v/>
      </c>
    </row>
    <row r="691" customFormat="false" ht="15" hidden="false" customHeight="false" outlineLevel="0" collapsed="false">
      <c r="A691" s="49"/>
      <c r="B691" s="50"/>
      <c r="C691" s="49"/>
      <c r="D691" s="51" t="str">
        <f aca="false">IF(C691="","",IFERROR(INDEX('شجرة الحسابات'!$B$9:$B$208,MATCH(C691,'شجرة الحسابات'!$A$9:$A$208,0)),"⚠ حساب غير معرف"))</f>
        <v/>
      </c>
      <c r="E691" s="52"/>
      <c r="F691" s="52"/>
      <c r="G691" s="53"/>
      <c r="H691" s="53"/>
      <c r="I691" s="54" t="str">
        <f aca="false">IF(A691="",IF(M691="فارغ","","✖ بدون رقم قيد"),IF(COUNTIFS('قيود اليومية'!$A$11:$A$1010,A691,'قيود اليومية'!$M$11:$M$1010,"&lt;&gt;OK",'قيود اليومية'!$M$11:$M$1010,"&lt;&gt;فارغ")&gt;0,"✖ خطأ بالحساب",IF(ROUND(SUMIFS('قيود اليومية'!$G$11:$G$1010,'قيود اليومية'!$A$11:$A$1010,A691)-SUMIFS('قيود اليومية'!$H$11:$H$1010,'قيود اليومية'!$A$11:$A$1010,A691),2)&lt;&gt;0,"✖ غير متوازن","مرحل ✔")))</f>
        <v/>
      </c>
      <c r="J691" s="55" t="str">
        <f aca="false">IF(C691="","",IFERROR(INDEX('شجرة الحسابات'!$E$9:$E$208,MATCH(C691,'شجرة الحسابات'!$A$9:$A$208,0))&amp;"",""))</f>
        <v/>
      </c>
      <c r="K691" s="55" t="str">
        <f aca="false">IF(C691="","",IFERROR(INDEX('شجرة الحسابات'!$I$9:$I$208,MATCH(C691,'شجرة الحسابات'!$A$9:$A$208,0))&amp;"",""))</f>
        <v/>
      </c>
      <c r="L691" s="55" t="str">
        <f aca="false">IF(C691="","",IFERROR(INDEX('شجرة الحسابات'!$C$9:$C$208,MATCH(C691,'شجرة الحسابات'!$A$9:$A$208,0))&amp;"",""))</f>
        <v/>
      </c>
      <c r="M691" s="55" t="str">
        <f aca="false">IF(AND(C691="",G691="",H691=""),"فارغ",IF(ISNA(MATCH(C691,'شجرة الحسابات'!$A$9:$A$208,0)),"حساب غير معرف",IF(L691&lt;&gt;"تحليلي","حساب تجميعي",IF(AND(N(G691)&gt;0,N(H691)&gt;0),"مدين ودائن معاً",IF(N(G691)+N(H691)=0,"بدون قيمة","OK")))))</f>
        <v>فارغ</v>
      </c>
      <c r="N691" s="55" t="str">
        <f aca="false">IF(AND(E691&lt;&gt;"",E691='كشف حساب مشروع'!$C$6,I691="مرحل ✔"),COUNTIFS($E$11:E691,'كشف حساب مشروع'!$C$6,$I$11:I691,"مرحل ✔"),"")</f>
        <v/>
      </c>
      <c r="O691" s="55" t="str">
        <f aca="false">IF(AND(C691&lt;&gt;"",C691='دفتر الأستاذ'!$C$6,I691="مرحل ✔"),COUNTIFS($C$11:C691,'دفتر الأستاذ'!$C$6,$I$11:I691,"مرحل ✔"),"")</f>
        <v/>
      </c>
    </row>
    <row r="692" customFormat="false" ht="15" hidden="false" customHeight="false" outlineLevel="0" collapsed="false">
      <c r="A692" s="49"/>
      <c r="B692" s="50"/>
      <c r="C692" s="49"/>
      <c r="D692" s="51" t="str">
        <f aca="false">IF(C692="","",IFERROR(INDEX('شجرة الحسابات'!$B$9:$B$208,MATCH(C692,'شجرة الحسابات'!$A$9:$A$208,0)),"⚠ حساب غير معرف"))</f>
        <v/>
      </c>
      <c r="E692" s="52"/>
      <c r="F692" s="52"/>
      <c r="G692" s="53"/>
      <c r="H692" s="53"/>
      <c r="I692" s="54" t="str">
        <f aca="false">IF(A692="",IF(M692="فارغ","","✖ بدون رقم قيد"),IF(COUNTIFS('قيود اليومية'!$A$11:$A$1010,A692,'قيود اليومية'!$M$11:$M$1010,"&lt;&gt;OK",'قيود اليومية'!$M$11:$M$1010,"&lt;&gt;فارغ")&gt;0,"✖ خطأ بالحساب",IF(ROUND(SUMIFS('قيود اليومية'!$G$11:$G$1010,'قيود اليومية'!$A$11:$A$1010,A692)-SUMIFS('قيود اليومية'!$H$11:$H$1010,'قيود اليومية'!$A$11:$A$1010,A692),2)&lt;&gt;0,"✖ غير متوازن","مرحل ✔")))</f>
        <v/>
      </c>
      <c r="J692" s="55" t="str">
        <f aca="false">IF(C692="","",IFERROR(INDEX('شجرة الحسابات'!$E$9:$E$208,MATCH(C692,'شجرة الحسابات'!$A$9:$A$208,0))&amp;"",""))</f>
        <v/>
      </c>
      <c r="K692" s="55" t="str">
        <f aca="false">IF(C692="","",IFERROR(INDEX('شجرة الحسابات'!$I$9:$I$208,MATCH(C692,'شجرة الحسابات'!$A$9:$A$208,0))&amp;"",""))</f>
        <v/>
      </c>
      <c r="L692" s="55" t="str">
        <f aca="false">IF(C692="","",IFERROR(INDEX('شجرة الحسابات'!$C$9:$C$208,MATCH(C692,'شجرة الحسابات'!$A$9:$A$208,0))&amp;"",""))</f>
        <v/>
      </c>
      <c r="M692" s="55" t="str">
        <f aca="false">IF(AND(C692="",G692="",H692=""),"فارغ",IF(ISNA(MATCH(C692,'شجرة الحسابات'!$A$9:$A$208,0)),"حساب غير معرف",IF(L692&lt;&gt;"تحليلي","حساب تجميعي",IF(AND(N(G692)&gt;0,N(H692)&gt;0),"مدين ودائن معاً",IF(N(G692)+N(H692)=0,"بدون قيمة","OK")))))</f>
        <v>فارغ</v>
      </c>
      <c r="N692" s="55" t="str">
        <f aca="false">IF(AND(E692&lt;&gt;"",E692='كشف حساب مشروع'!$C$6,I692="مرحل ✔"),COUNTIFS($E$11:E692,'كشف حساب مشروع'!$C$6,$I$11:I692,"مرحل ✔"),"")</f>
        <v/>
      </c>
      <c r="O692" s="55" t="str">
        <f aca="false">IF(AND(C692&lt;&gt;"",C692='دفتر الأستاذ'!$C$6,I692="مرحل ✔"),COUNTIFS($C$11:C692,'دفتر الأستاذ'!$C$6,$I$11:I692,"مرحل ✔"),"")</f>
        <v/>
      </c>
    </row>
    <row r="693" customFormat="false" ht="15" hidden="false" customHeight="false" outlineLevel="0" collapsed="false">
      <c r="A693" s="49"/>
      <c r="B693" s="50"/>
      <c r="C693" s="49"/>
      <c r="D693" s="51" t="str">
        <f aca="false">IF(C693="","",IFERROR(INDEX('شجرة الحسابات'!$B$9:$B$208,MATCH(C693,'شجرة الحسابات'!$A$9:$A$208,0)),"⚠ حساب غير معرف"))</f>
        <v/>
      </c>
      <c r="E693" s="52"/>
      <c r="F693" s="52"/>
      <c r="G693" s="53"/>
      <c r="H693" s="53"/>
      <c r="I693" s="54" t="str">
        <f aca="false">IF(A693="",IF(M693="فارغ","","✖ بدون رقم قيد"),IF(COUNTIFS('قيود اليومية'!$A$11:$A$1010,A693,'قيود اليومية'!$M$11:$M$1010,"&lt;&gt;OK",'قيود اليومية'!$M$11:$M$1010,"&lt;&gt;فارغ")&gt;0,"✖ خطأ بالحساب",IF(ROUND(SUMIFS('قيود اليومية'!$G$11:$G$1010,'قيود اليومية'!$A$11:$A$1010,A693)-SUMIFS('قيود اليومية'!$H$11:$H$1010,'قيود اليومية'!$A$11:$A$1010,A693),2)&lt;&gt;0,"✖ غير متوازن","مرحل ✔")))</f>
        <v/>
      </c>
      <c r="J693" s="55" t="str">
        <f aca="false">IF(C693="","",IFERROR(INDEX('شجرة الحسابات'!$E$9:$E$208,MATCH(C693,'شجرة الحسابات'!$A$9:$A$208,0))&amp;"",""))</f>
        <v/>
      </c>
      <c r="K693" s="55" t="str">
        <f aca="false">IF(C693="","",IFERROR(INDEX('شجرة الحسابات'!$I$9:$I$208,MATCH(C693,'شجرة الحسابات'!$A$9:$A$208,0))&amp;"",""))</f>
        <v/>
      </c>
      <c r="L693" s="55" t="str">
        <f aca="false">IF(C693="","",IFERROR(INDEX('شجرة الحسابات'!$C$9:$C$208,MATCH(C693,'شجرة الحسابات'!$A$9:$A$208,0))&amp;"",""))</f>
        <v/>
      </c>
      <c r="M693" s="55" t="str">
        <f aca="false">IF(AND(C693="",G693="",H693=""),"فارغ",IF(ISNA(MATCH(C693,'شجرة الحسابات'!$A$9:$A$208,0)),"حساب غير معرف",IF(L693&lt;&gt;"تحليلي","حساب تجميعي",IF(AND(N(G693)&gt;0,N(H693)&gt;0),"مدين ودائن معاً",IF(N(G693)+N(H693)=0,"بدون قيمة","OK")))))</f>
        <v>فارغ</v>
      </c>
      <c r="N693" s="55" t="str">
        <f aca="false">IF(AND(E693&lt;&gt;"",E693='كشف حساب مشروع'!$C$6,I693="مرحل ✔"),COUNTIFS($E$11:E693,'كشف حساب مشروع'!$C$6,$I$11:I693,"مرحل ✔"),"")</f>
        <v/>
      </c>
      <c r="O693" s="55" t="str">
        <f aca="false">IF(AND(C693&lt;&gt;"",C693='دفتر الأستاذ'!$C$6,I693="مرحل ✔"),COUNTIFS($C$11:C693,'دفتر الأستاذ'!$C$6,$I$11:I693,"مرحل ✔"),"")</f>
        <v/>
      </c>
    </row>
    <row r="694" customFormat="false" ht="15" hidden="false" customHeight="false" outlineLevel="0" collapsed="false">
      <c r="A694" s="49"/>
      <c r="B694" s="50"/>
      <c r="C694" s="49"/>
      <c r="D694" s="51" t="str">
        <f aca="false">IF(C694="","",IFERROR(INDEX('شجرة الحسابات'!$B$9:$B$208,MATCH(C694,'شجرة الحسابات'!$A$9:$A$208,0)),"⚠ حساب غير معرف"))</f>
        <v/>
      </c>
      <c r="E694" s="52"/>
      <c r="F694" s="52"/>
      <c r="G694" s="53"/>
      <c r="H694" s="53"/>
      <c r="I694" s="54" t="str">
        <f aca="false">IF(A694="",IF(M694="فارغ","","✖ بدون رقم قيد"),IF(COUNTIFS('قيود اليومية'!$A$11:$A$1010,A694,'قيود اليومية'!$M$11:$M$1010,"&lt;&gt;OK",'قيود اليومية'!$M$11:$M$1010,"&lt;&gt;فارغ")&gt;0,"✖ خطأ بالحساب",IF(ROUND(SUMIFS('قيود اليومية'!$G$11:$G$1010,'قيود اليومية'!$A$11:$A$1010,A694)-SUMIFS('قيود اليومية'!$H$11:$H$1010,'قيود اليومية'!$A$11:$A$1010,A694),2)&lt;&gt;0,"✖ غير متوازن","مرحل ✔")))</f>
        <v/>
      </c>
      <c r="J694" s="55" t="str">
        <f aca="false">IF(C694="","",IFERROR(INDEX('شجرة الحسابات'!$E$9:$E$208,MATCH(C694,'شجرة الحسابات'!$A$9:$A$208,0))&amp;"",""))</f>
        <v/>
      </c>
      <c r="K694" s="55" t="str">
        <f aca="false">IF(C694="","",IFERROR(INDEX('شجرة الحسابات'!$I$9:$I$208,MATCH(C694,'شجرة الحسابات'!$A$9:$A$208,0))&amp;"",""))</f>
        <v/>
      </c>
      <c r="L694" s="55" t="str">
        <f aca="false">IF(C694="","",IFERROR(INDEX('شجرة الحسابات'!$C$9:$C$208,MATCH(C694,'شجرة الحسابات'!$A$9:$A$208,0))&amp;"",""))</f>
        <v/>
      </c>
      <c r="M694" s="55" t="str">
        <f aca="false">IF(AND(C694="",G694="",H694=""),"فارغ",IF(ISNA(MATCH(C694,'شجرة الحسابات'!$A$9:$A$208,0)),"حساب غير معرف",IF(L694&lt;&gt;"تحليلي","حساب تجميعي",IF(AND(N(G694)&gt;0,N(H694)&gt;0),"مدين ودائن معاً",IF(N(G694)+N(H694)=0,"بدون قيمة","OK")))))</f>
        <v>فارغ</v>
      </c>
      <c r="N694" s="55" t="str">
        <f aca="false">IF(AND(E694&lt;&gt;"",E694='كشف حساب مشروع'!$C$6,I694="مرحل ✔"),COUNTIFS($E$11:E694,'كشف حساب مشروع'!$C$6,$I$11:I694,"مرحل ✔"),"")</f>
        <v/>
      </c>
      <c r="O694" s="55" t="str">
        <f aca="false">IF(AND(C694&lt;&gt;"",C694='دفتر الأستاذ'!$C$6,I694="مرحل ✔"),COUNTIFS($C$11:C694,'دفتر الأستاذ'!$C$6,$I$11:I694,"مرحل ✔"),"")</f>
        <v/>
      </c>
    </row>
    <row r="695" customFormat="false" ht="15" hidden="false" customHeight="false" outlineLevel="0" collapsed="false">
      <c r="A695" s="49"/>
      <c r="B695" s="50"/>
      <c r="C695" s="49"/>
      <c r="D695" s="51" t="str">
        <f aca="false">IF(C695="","",IFERROR(INDEX('شجرة الحسابات'!$B$9:$B$208,MATCH(C695,'شجرة الحسابات'!$A$9:$A$208,0)),"⚠ حساب غير معرف"))</f>
        <v/>
      </c>
      <c r="E695" s="52"/>
      <c r="F695" s="52"/>
      <c r="G695" s="53"/>
      <c r="H695" s="53"/>
      <c r="I695" s="54" t="str">
        <f aca="false">IF(A695="",IF(M695="فارغ","","✖ بدون رقم قيد"),IF(COUNTIFS('قيود اليومية'!$A$11:$A$1010,A695,'قيود اليومية'!$M$11:$M$1010,"&lt;&gt;OK",'قيود اليومية'!$M$11:$M$1010,"&lt;&gt;فارغ")&gt;0,"✖ خطأ بالحساب",IF(ROUND(SUMIFS('قيود اليومية'!$G$11:$G$1010,'قيود اليومية'!$A$11:$A$1010,A695)-SUMIFS('قيود اليومية'!$H$11:$H$1010,'قيود اليومية'!$A$11:$A$1010,A695),2)&lt;&gt;0,"✖ غير متوازن","مرحل ✔")))</f>
        <v/>
      </c>
      <c r="J695" s="55" t="str">
        <f aca="false">IF(C695="","",IFERROR(INDEX('شجرة الحسابات'!$E$9:$E$208,MATCH(C695,'شجرة الحسابات'!$A$9:$A$208,0))&amp;"",""))</f>
        <v/>
      </c>
      <c r="K695" s="55" t="str">
        <f aca="false">IF(C695="","",IFERROR(INDEX('شجرة الحسابات'!$I$9:$I$208,MATCH(C695,'شجرة الحسابات'!$A$9:$A$208,0))&amp;"",""))</f>
        <v/>
      </c>
      <c r="L695" s="55" t="str">
        <f aca="false">IF(C695="","",IFERROR(INDEX('شجرة الحسابات'!$C$9:$C$208,MATCH(C695,'شجرة الحسابات'!$A$9:$A$208,0))&amp;"",""))</f>
        <v/>
      </c>
      <c r="M695" s="55" t="str">
        <f aca="false">IF(AND(C695="",G695="",H695=""),"فارغ",IF(ISNA(MATCH(C695,'شجرة الحسابات'!$A$9:$A$208,0)),"حساب غير معرف",IF(L695&lt;&gt;"تحليلي","حساب تجميعي",IF(AND(N(G695)&gt;0,N(H695)&gt;0),"مدين ودائن معاً",IF(N(G695)+N(H695)=0,"بدون قيمة","OK")))))</f>
        <v>فارغ</v>
      </c>
      <c r="N695" s="55" t="str">
        <f aca="false">IF(AND(E695&lt;&gt;"",E695='كشف حساب مشروع'!$C$6,I695="مرحل ✔"),COUNTIFS($E$11:E695,'كشف حساب مشروع'!$C$6,$I$11:I695,"مرحل ✔"),"")</f>
        <v/>
      </c>
      <c r="O695" s="55" t="str">
        <f aca="false">IF(AND(C695&lt;&gt;"",C695='دفتر الأستاذ'!$C$6,I695="مرحل ✔"),COUNTIFS($C$11:C695,'دفتر الأستاذ'!$C$6,$I$11:I695,"مرحل ✔"),"")</f>
        <v/>
      </c>
    </row>
    <row r="696" customFormat="false" ht="15" hidden="false" customHeight="false" outlineLevel="0" collapsed="false">
      <c r="A696" s="49"/>
      <c r="B696" s="50"/>
      <c r="C696" s="49"/>
      <c r="D696" s="51" t="str">
        <f aca="false">IF(C696="","",IFERROR(INDEX('شجرة الحسابات'!$B$9:$B$208,MATCH(C696,'شجرة الحسابات'!$A$9:$A$208,0)),"⚠ حساب غير معرف"))</f>
        <v/>
      </c>
      <c r="E696" s="52"/>
      <c r="F696" s="52"/>
      <c r="G696" s="53"/>
      <c r="H696" s="53"/>
      <c r="I696" s="54" t="str">
        <f aca="false">IF(A696="",IF(M696="فارغ","","✖ بدون رقم قيد"),IF(COUNTIFS('قيود اليومية'!$A$11:$A$1010,A696,'قيود اليومية'!$M$11:$M$1010,"&lt;&gt;OK",'قيود اليومية'!$M$11:$M$1010,"&lt;&gt;فارغ")&gt;0,"✖ خطأ بالحساب",IF(ROUND(SUMIFS('قيود اليومية'!$G$11:$G$1010,'قيود اليومية'!$A$11:$A$1010,A696)-SUMIFS('قيود اليومية'!$H$11:$H$1010,'قيود اليومية'!$A$11:$A$1010,A696),2)&lt;&gt;0,"✖ غير متوازن","مرحل ✔")))</f>
        <v/>
      </c>
      <c r="J696" s="55" t="str">
        <f aca="false">IF(C696="","",IFERROR(INDEX('شجرة الحسابات'!$E$9:$E$208,MATCH(C696,'شجرة الحسابات'!$A$9:$A$208,0))&amp;"",""))</f>
        <v/>
      </c>
      <c r="K696" s="55" t="str">
        <f aca="false">IF(C696="","",IFERROR(INDEX('شجرة الحسابات'!$I$9:$I$208,MATCH(C696,'شجرة الحسابات'!$A$9:$A$208,0))&amp;"",""))</f>
        <v/>
      </c>
      <c r="L696" s="55" t="str">
        <f aca="false">IF(C696="","",IFERROR(INDEX('شجرة الحسابات'!$C$9:$C$208,MATCH(C696,'شجرة الحسابات'!$A$9:$A$208,0))&amp;"",""))</f>
        <v/>
      </c>
      <c r="M696" s="55" t="str">
        <f aca="false">IF(AND(C696="",G696="",H696=""),"فارغ",IF(ISNA(MATCH(C696,'شجرة الحسابات'!$A$9:$A$208,0)),"حساب غير معرف",IF(L696&lt;&gt;"تحليلي","حساب تجميعي",IF(AND(N(G696)&gt;0,N(H696)&gt;0),"مدين ودائن معاً",IF(N(G696)+N(H696)=0,"بدون قيمة","OK")))))</f>
        <v>فارغ</v>
      </c>
      <c r="N696" s="55" t="str">
        <f aca="false">IF(AND(E696&lt;&gt;"",E696='كشف حساب مشروع'!$C$6,I696="مرحل ✔"),COUNTIFS($E$11:E696,'كشف حساب مشروع'!$C$6,$I$11:I696,"مرحل ✔"),"")</f>
        <v/>
      </c>
      <c r="O696" s="55" t="str">
        <f aca="false">IF(AND(C696&lt;&gt;"",C696='دفتر الأستاذ'!$C$6,I696="مرحل ✔"),COUNTIFS($C$11:C696,'دفتر الأستاذ'!$C$6,$I$11:I696,"مرحل ✔"),"")</f>
        <v/>
      </c>
    </row>
    <row r="697" customFormat="false" ht="15" hidden="false" customHeight="false" outlineLevel="0" collapsed="false">
      <c r="A697" s="49"/>
      <c r="B697" s="50"/>
      <c r="C697" s="49"/>
      <c r="D697" s="51" t="str">
        <f aca="false">IF(C697="","",IFERROR(INDEX('شجرة الحسابات'!$B$9:$B$208,MATCH(C697,'شجرة الحسابات'!$A$9:$A$208,0)),"⚠ حساب غير معرف"))</f>
        <v/>
      </c>
      <c r="E697" s="52"/>
      <c r="F697" s="52"/>
      <c r="G697" s="53"/>
      <c r="H697" s="53"/>
      <c r="I697" s="54" t="str">
        <f aca="false">IF(A697="",IF(M697="فارغ","","✖ بدون رقم قيد"),IF(COUNTIFS('قيود اليومية'!$A$11:$A$1010,A697,'قيود اليومية'!$M$11:$M$1010,"&lt;&gt;OK",'قيود اليومية'!$M$11:$M$1010,"&lt;&gt;فارغ")&gt;0,"✖ خطأ بالحساب",IF(ROUND(SUMIFS('قيود اليومية'!$G$11:$G$1010,'قيود اليومية'!$A$11:$A$1010,A697)-SUMIFS('قيود اليومية'!$H$11:$H$1010,'قيود اليومية'!$A$11:$A$1010,A697),2)&lt;&gt;0,"✖ غير متوازن","مرحل ✔")))</f>
        <v/>
      </c>
      <c r="J697" s="55" t="str">
        <f aca="false">IF(C697="","",IFERROR(INDEX('شجرة الحسابات'!$E$9:$E$208,MATCH(C697,'شجرة الحسابات'!$A$9:$A$208,0))&amp;"",""))</f>
        <v/>
      </c>
      <c r="K697" s="55" t="str">
        <f aca="false">IF(C697="","",IFERROR(INDEX('شجرة الحسابات'!$I$9:$I$208,MATCH(C697,'شجرة الحسابات'!$A$9:$A$208,0))&amp;"",""))</f>
        <v/>
      </c>
      <c r="L697" s="55" t="str">
        <f aca="false">IF(C697="","",IFERROR(INDEX('شجرة الحسابات'!$C$9:$C$208,MATCH(C697,'شجرة الحسابات'!$A$9:$A$208,0))&amp;"",""))</f>
        <v/>
      </c>
      <c r="M697" s="55" t="str">
        <f aca="false">IF(AND(C697="",G697="",H697=""),"فارغ",IF(ISNA(MATCH(C697,'شجرة الحسابات'!$A$9:$A$208,0)),"حساب غير معرف",IF(L697&lt;&gt;"تحليلي","حساب تجميعي",IF(AND(N(G697)&gt;0,N(H697)&gt;0),"مدين ودائن معاً",IF(N(G697)+N(H697)=0,"بدون قيمة","OK")))))</f>
        <v>فارغ</v>
      </c>
      <c r="N697" s="55" t="str">
        <f aca="false">IF(AND(E697&lt;&gt;"",E697='كشف حساب مشروع'!$C$6,I697="مرحل ✔"),COUNTIFS($E$11:E697,'كشف حساب مشروع'!$C$6,$I$11:I697,"مرحل ✔"),"")</f>
        <v/>
      </c>
      <c r="O697" s="55" t="str">
        <f aca="false">IF(AND(C697&lt;&gt;"",C697='دفتر الأستاذ'!$C$6,I697="مرحل ✔"),COUNTIFS($C$11:C697,'دفتر الأستاذ'!$C$6,$I$11:I697,"مرحل ✔"),"")</f>
        <v/>
      </c>
    </row>
    <row r="698" customFormat="false" ht="15" hidden="false" customHeight="false" outlineLevel="0" collapsed="false">
      <c r="A698" s="49"/>
      <c r="B698" s="50"/>
      <c r="C698" s="49"/>
      <c r="D698" s="51" t="str">
        <f aca="false">IF(C698="","",IFERROR(INDEX('شجرة الحسابات'!$B$9:$B$208,MATCH(C698,'شجرة الحسابات'!$A$9:$A$208,0)),"⚠ حساب غير معرف"))</f>
        <v/>
      </c>
      <c r="E698" s="52"/>
      <c r="F698" s="52"/>
      <c r="G698" s="53"/>
      <c r="H698" s="53"/>
      <c r="I698" s="54" t="str">
        <f aca="false">IF(A698="",IF(M698="فارغ","","✖ بدون رقم قيد"),IF(COUNTIFS('قيود اليومية'!$A$11:$A$1010,A698,'قيود اليومية'!$M$11:$M$1010,"&lt;&gt;OK",'قيود اليومية'!$M$11:$M$1010,"&lt;&gt;فارغ")&gt;0,"✖ خطأ بالحساب",IF(ROUND(SUMIFS('قيود اليومية'!$G$11:$G$1010,'قيود اليومية'!$A$11:$A$1010,A698)-SUMIFS('قيود اليومية'!$H$11:$H$1010,'قيود اليومية'!$A$11:$A$1010,A698),2)&lt;&gt;0,"✖ غير متوازن","مرحل ✔")))</f>
        <v/>
      </c>
      <c r="J698" s="55" t="str">
        <f aca="false">IF(C698="","",IFERROR(INDEX('شجرة الحسابات'!$E$9:$E$208,MATCH(C698,'شجرة الحسابات'!$A$9:$A$208,0))&amp;"",""))</f>
        <v/>
      </c>
      <c r="K698" s="55" t="str">
        <f aca="false">IF(C698="","",IFERROR(INDEX('شجرة الحسابات'!$I$9:$I$208,MATCH(C698,'شجرة الحسابات'!$A$9:$A$208,0))&amp;"",""))</f>
        <v/>
      </c>
      <c r="L698" s="55" t="str">
        <f aca="false">IF(C698="","",IFERROR(INDEX('شجرة الحسابات'!$C$9:$C$208,MATCH(C698,'شجرة الحسابات'!$A$9:$A$208,0))&amp;"",""))</f>
        <v/>
      </c>
      <c r="M698" s="55" t="str">
        <f aca="false">IF(AND(C698="",G698="",H698=""),"فارغ",IF(ISNA(MATCH(C698,'شجرة الحسابات'!$A$9:$A$208,0)),"حساب غير معرف",IF(L698&lt;&gt;"تحليلي","حساب تجميعي",IF(AND(N(G698)&gt;0,N(H698)&gt;0),"مدين ودائن معاً",IF(N(G698)+N(H698)=0,"بدون قيمة","OK")))))</f>
        <v>فارغ</v>
      </c>
      <c r="N698" s="55" t="str">
        <f aca="false">IF(AND(E698&lt;&gt;"",E698='كشف حساب مشروع'!$C$6,I698="مرحل ✔"),COUNTIFS($E$11:E698,'كشف حساب مشروع'!$C$6,$I$11:I698,"مرحل ✔"),"")</f>
        <v/>
      </c>
      <c r="O698" s="55" t="str">
        <f aca="false">IF(AND(C698&lt;&gt;"",C698='دفتر الأستاذ'!$C$6,I698="مرحل ✔"),COUNTIFS($C$11:C698,'دفتر الأستاذ'!$C$6,$I$11:I698,"مرحل ✔"),"")</f>
        <v/>
      </c>
    </row>
    <row r="699" customFormat="false" ht="15" hidden="false" customHeight="false" outlineLevel="0" collapsed="false">
      <c r="A699" s="49"/>
      <c r="B699" s="50"/>
      <c r="C699" s="49"/>
      <c r="D699" s="51" t="str">
        <f aca="false">IF(C699="","",IFERROR(INDEX('شجرة الحسابات'!$B$9:$B$208,MATCH(C699,'شجرة الحسابات'!$A$9:$A$208,0)),"⚠ حساب غير معرف"))</f>
        <v/>
      </c>
      <c r="E699" s="52"/>
      <c r="F699" s="52"/>
      <c r="G699" s="53"/>
      <c r="H699" s="53"/>
      <c r="I699" s="54" t="str">
        <f aca="false">IF(A699="",IF(M699="فارغ","","✖ بدون رقم قيد"),IF(COUNTIFS('قيود اليومية'!$A$11:$A$1010,A699,'قيود اليومية'!$M$11:$M$1010,"&lt;&gt;OK",'قيود اليومية'!$M$11:$M$1010,"&lt;&gt;فارغ")&gt;0,"✖ خطأ بالحساب",IF(ROUND(SUMIFS('قيود اليومية'!$G$11:$G$1010,'قيود اليومية'!$A$11:$A$1010,A699)-SUMIFS('قيود اليومية'!$H$11:$H$1010,'قيود اليومية'!$A$11:$A$1010,A699),2)&lt;&gt;0,"✖ غير متوازن","مرحل ✔")))</f>
        <v/>
      </c>
      <c r="J699" s="55" t="str">
        <f aca="false">IF(C699="","",IFERROR(INDEX('شجرة الحسابات'!$E$9:$E$208,MATCH(C699,'شجرة الحسابات'!$A$9:$A$208,0))&amp;"",""))</f>
        <v/>
      </c>
      <c r="K699" s="55" t="str">
        <f aca="false">IF(C699="","",IFERROR(INDEX('شجرة الحسابات'!$I$9:$I$208,MATCH(C699,'شجرة الحسابات'!$A$9:$A$208,0))&amp;"",""))</f>
        <v/>
      </c>
      <c r="L699" s="55" t="str">
        <f aca="false">IF(C699="","",IFERROR(INDEX('شجرة الحسابات'!$C$9:$C$208,MATCH(C699,'شجرة الحسابات'!$A$9:$A$208,0))&amp;"",""))</f>
        <v/>
      </c>
      <c r="M699" s="55" t="str">
        <f aca="false">IF(AND(C699="",G699="",H699=""),"فارغ",IF(ISNA(MATCH(C699,'شجرة الحسابات'!$A$9:$A$208,0)),"حساب غير معرف",IF(L699&lt;&gt;"تحليلي","حساب تجميعي",IF(AND(N(G699)&gt;0,N(H699)&gt;0),"مدين ودائن معاً",IF(N(G699)+N(H699)=0,"بدون قيمة","OK")))))</f>
        <v>فارغ</v>
      </c>
      <c r="N699" s="55" t="str">
        <f aca="false">IF(AND(E699&lt;&gt;"",E699='كشف حساب مشروع'!$C$6,I699="مرحل ✔"),COUNTIFS($E$11:E699,'كشف حساب مشروع'!$C$6,$I$11:I699,"مرحل ✔"),"")</f>
        <v/>
      </c>
      <c r="O699" s="55" t="str">
        <f aca="false">IF(AND(C699&lt;&gt;"",C699='دفتر الأستاذ'!$C$6,I699="مرحل ✔"),COUNTIFS($C$11:C699,'دفتر الأستاذ'!$C$6,$I$11:I699,"مرحل ✔"),"")</f>
        <v/>
      </c>
    </row>
    <row r="700" customFormat="false" ht="15" hidden="false" customHeight="false" outlineLevel="0" collapsed="false">
      <c r="A700" s="49"/>
      <c r="B700" s="50"/>
      <c r="C700" s="49"/>
      <c r="D700" s="51" t="str">
        <f aca="false">IF(C700="","",IFERROR(INDEX('شجرة الحسابات'!$B$9:$B$208,MATCH(C700,'شجرة الحسابات'!$A$9:$A$208,0)),"⚠ حساب غير معرف"))</f>
        <v/>
      </c>
      <c r="E700" s="52"/>
      <c r="F700" s="52"/>
      <c r="G700" s="53"/>
      <c r="H700" s="53"/>
      <c r="I700" s="54" t="str">
        <f aca="false">IF(A700="",IF(M700="فارغ","","✖ بدون رقم قيد"),IF(COUNTIFS('قيود اليومية'!$A$11:$A$1010,A700,'قيود اليومية'!$M$11:$M$1010,"&lt;&gt;OK",'قيود اليومية'!$M$11:$M$1010,"&lt;&gt;فارغ")&gt;0,"✖ خطأ بالحساب",IF(ROUND(SUMIFS('قيود اليومية'!$G$11:$G$1010,'قيود اليومية'!$A$11:$A$1010,A700)-SUMIFS('قيود اليومية'!$H$11:$H$1010,'قيود اليومية'!$A$11:$A$1010,A700),2)&lt;&gt;0,"✖ غير متوازن","مرحل ✔")))</f>
        <v/>
      </c>
      <c r="J700" s="55" t="str">
        <f aca="false">IF(C700="","",IFERROR(INDEX('شجرة الحسابات'!$E$9:$E$208,MATCH(C700,'شجرة الحسابات'!$A$9:$A$208,0))&amp;"",""))</f>
        <v/>
      </c>
      <c r="K700" s="55" t="str">
        <f aca="false">IF(C700="","",IFERROR(INDEX('شجرة الحسابات'!$I$9:$I$208,MATCH(C700,'شجرة الحسابات'!$A$9:$A$208,0))&amp;"",""))</f>
        <v/>
      </c>
      <c r="L700" s="55" t="str">
        <f aca="false">IF(C700="","",IFERROR(INDEX('شجرة الحسابات'!$C$9:$C$208,MATCH(C700,'شجرة الحسابات'!$A$9:$A$208,0))&amp;"",""))</f>
        <v/>
      </c>
      <c r="M700" s="55" t="str">
        <f aca="false">IF(AND(C700="",G700="",H700=""),"فارغ",IF(ISNA(MATCH(C700,'شجرة الحسابات'!$A$9:$A$208,0)),"حساب غير معرف",IF(L700&lt;&gt;"تحليلي","حساب تجميعي",IF(AND(N(G700)&gt;0,N(H700)&gt;0),"مدين ودائن معاً",IF(N(G700)+N(H700)=0,"بدون قيمة","OK")))))</f>
        <v>فارغ</v>
      </c>
      <c r="N700" s="55" t="str">
        <f aca="false">IF(AND(E700&lt;&gt;"",E700='كشف حساب مشروع'!$C$6,I700="مرحل ✔"),COUNTIFS($E$11:E700,'كشف حساب مشروع'!$C$6,$I$11:I700,"مرحل ✔"),"")</f>
        <v/>
      </c>
      <c r="O700" s="55" t="str">
        <f aca="false">IF(AND(C700&lt;&gt;"",C700='دفتر الأستاذ'!$C$6,I700="مرحل ✔"),COUNTIFS($C$11:C700,'دفتر الأستاذ'!$C$6,$I$11:I700,"مرحل ✔"),"")</f>
        <v/>
      </c>
    </row>
    <row r="701" customFormat="false" ht="15" hidden="false" customHeight="false" outlineLevel="0" collapsed="false">
      <c r="A701" s="49"/>
      <c r="B701" s="50"/>
      <c r="C701" s="49"/>
      <c r="D701" s="51" t="str">
        <f aca="false">IF(C701="","",IFERROR(INDEX('شجرة الحسابات'!$B$9:$B$208,MATCH(C701,'شجرة الحسابات'!$A$9:$A$208,0)),"⚠ حساب غير معرف"))</f>
        <v/>
      </c>
      <c r="E701" s="52"/>
      <c r="F701" s="52"/>
      <c r="G701" s="53"/>
      <c r="H701" s="53"/>
      <c r="I701" s="54" t="str">
        <f aca="false">IF(A701="",IF(M701="فارغ","","✖ بدون رقم قيد"),IF(COUNTIFS('قيود اليومية'!$A$11:$A$1010,A701,'قيود اليومية'!$M$11:$M$1010,"&lt;&gt;OK",'قيود اليومية'!$M$11:$M$1010,"&lt;&gt;فارغ")&gt;0,"✖ خطأ بالحساب",IF(ROUND(SUMIFS('قيود اليومية'!$G$11:$G$1010,'قيود اليومية'!$A$11:$A$1010,A701)-SUMIFS('قيود اليومية'!$H$11:$H$1010,'قيود اليومية'!$A$11:$A$1010,A701),2)&lt;&gt;0,"✖ غير متوازن","مرحل ✔")))</f>
        <v/>
      </c>
      <c r="J701" s="55" t="str">
        <f aca="false">IF(C701="","",IFERROR(INDEX('شجرة الحسابات'!$E$9:$E$208,MATCH(C701,'شجرة الحسابات'!$A$9:$A$208,0))&amp;"",""))</f>
        <v/>
      </c>
      <c r="K701" s="55" t="str">
        <f aca="false">IF(C701="","",IFERROR(INDEX('شجرة الحسابات'!$I$9:$I$208,MATCH(C701,'شجرة الحسابات'!$A$9:$A$208,0))&amp;"",""))</f>
        <v/>
      </c>
      <c r="L701" s="55" t="str">
        <f aca="false">IF(C701="","",IFERROR(INDEX('شجرة الحسابات'!$C$9:$C$208,MATCH(C701,'شجرة الحسابات'!$A$9:$A$208,0))&amp;"",""))</f>
        <v/>
      </c>
      <c r="M701" s="55" t="str">
        <f aca="false">IF(AND(C701="",G701="",H701=""),"فارغ",IF(ISNA(MATCH(C701,'شجرة الحسابات'!$A$9:$A$208,0)),"حساب غير معرف",IF(L701&lt;&gt;"تحليلي","حساب تجميعي",IF(AND(N(G701)&gt;0,N(H701)&gt;0),"مدين ودائن معاً",IF(N(G701)+N(H701)=0,"بدون قيمة","OK")))))</f>
        <v>فارغ</v>
      </c>
      <c r="N701" s="55" t="str">
        <f aca="false">IF(AND(E701&lt;&gt;"",E701='كشف حساب مشروع'!$C$6,I701="مرحل ✔"),COUNTIFS($E$11:E701,'كشف حساب مشروع'!$C$6,$I$11:I701,"مرحل ✔"),"")</f>
        <v/>
      </c>
      <c r="O701" s="55" t="str">
        <f aca="false">IF(AND(C701&lt;&gt;"",C701='دفتر الأستاذ'!$C$6,I701="مرحل ✔"),COUNTIFS($C$11:C701,'دفتر الأستاذ'!$C$6,$I$11:I701,"مرحل ✔"),"")</f>
        <v/>
      </c>
    </row>
    <row r="702" customFormat="false" ht="15" hidden="false" customHeight="false" outlineLevel="0" collapsed="false">
      <c r="A702" s="49"/>
      <c r="B702" s="50"/>
      <c r="C702" s="49"/>
      <c r="D702" s="51" t="str">
        <f aca="false">IF(C702="","",IFERROR(INDEX('شجرة الحسابات'!$B$9:$B$208,MATCH(C702,'شجرة الحسابات'!$A$9:$A$208,0)),"⚠ حساب غير معرف"))</f>
        <v/>
      </c>
      <c r="E702" s="52"/>
      <c r="F702" s="52"/>
      <c r="G702" s="53"/>
      <c r="H702" s="53"/>
      <c r="I702" s="54" t="str">
        <f aca="false">IF(A702="",IF(M702="فارغ","","✖ بدون رقم قيد"),IF(COUNTIFS('قيود اليومية'!$A$11:$A$1010,A702,'قيود اليومية'!$M$11:$M$1010,"&lt;&gt;OK",'قيود اليومية'!$M$11:$M$1010,"&lt;&gt;فارغ")&gt;0,"✖ خطأ بالحساب",IF(ROUND(SUMIFS('قيود اليومية'!$G$11:$G$1010,'قيود اليومية'!$A$11:$A$1010,A702)-SUMIFS('قيود اليومية'!$H$11:$H$1010,'قيود اليومية'!$A$11:$A$1010,A702),2)&lt;&gt;0,"✖ غير متوازن","مرحل ✔")))</f>
        <v/>
      </c>
      <c r="J702" s="55" t="str">
        <f aca="false">IF(C702="","",IFERROR(INDEX('شجرة الحسابات'!$E$9:$E$208,MATCH(C702,'شجرة الحسابات'!$A$9:$A$208,0))&amp;"",""))</f>
        <v/>
      </c>
      <c r="K702" s="55" t="str">
        <f aca="false">IF(C702="","",IFERROR(INDEX('شجرة الحسابات'!$I$9:$I$208,MATCH(C702,'شجرة الحسابات'!$A$9:$A$208,0))&amp;"",""))</f>
        <v/>
      </c>
      <c r="L702" s="55" t="str">
        <f aca="false">IF(C702="","",IFERROR(INDEX('شجرة الحسابات'!$C$9:$C$208,MATCH(C702,'شجرة الحسابات'!$A$9:$A$208,0))&amp;"",""))</f>
        <v/>
      </c>
      <c r="M702" s="55" t="str">
        <f aca="false">IF(AND(C702="",G702="",H702=""),"فارغ",IF(ISNA(MATCH(C702,'شجرة الحسابات'!$A$9:$A$208,0)),"حساب غير معرف",IF(L702&lt;&gt;"تحليلي","حساب تجميعي",IF(AND(N(G702)&gt;0,N(H702)&gt;0),"مدين ودائن معاً",IF(N(G702)+N(H702)=0,"بدون قيمة","OK")))))</f>
        <v>فارغ</v>
      </c>
      <c r="N702" s="55" t="str">
        <f aca="false">IF(AND(E702&lt;&gt;"",E702='كشف حساب مشروع'!$C$6,I702="مرحل ✔"),COUNTIFS($E$11:E702,'كشف حساب مشروع'!$C$6,$I$11:I702,"مرحل ✔"),"")</f>
        <v/>
      </c>
      <c r="O702" s="55" t="str">
        <f aca="false">IF(AND(C702&lt;&gt;"",C702='دفتر الأستاذ'!$C$6,I702="مرحل ✔"),COUNTIFS($C$11:C702,'دفتر الأستاذ'!$C$6,$I$11:I702,"مرحل ✔"),"")</f>
        <v/>
      </c>
    </row>
    <row r="703" customFormat="false" ht="15" hidden="false" customHeight="false" outlineLevel="0" collapsed="false">
      <c r="A703" s="49"/>
      <c r="B703" s="50"/>
      <c r="C703" s="49"/>
      <c r="D703" s="51" t="str">
        <f aca="false">IF(C703="","",IFERROR(INDEX('شجرة الحسابات'!$B$9:$B$208,MATCH(C703,'شجرة الحسابات'!$A$9:$A$208,0)),"⚠ حساب غير معرف"))</f>
        <v/>
      </c>
      <c r="E703" s="52"/>
      <c r="F703" s="52"/>
      <c r="G703" s="53"/>
      <c r="H703" s="53"/>
      <c r="I703" s="54" t="str">
        <f aca="false">IF(A703="",IF(M703="فارغ","","✖ بدون رقم قيد"),IF(COUNTIFS('قيود اليومية'!$A$11:$A$1010,A703,'قيود اليومية'!$M$11:$M$1010,"&lt;&gt;OK",'قيود اليومية'!$M$11:$M$1010,"&lt;&gt;فارغ")&gt;0,"✖ خطأ بالحساب",IF(ROUND(SUMIFS('قيود اليومية'!$G$11:$G$1010,'قيود اليومية'!$A$11:$A$1010,A703)-SUMIFS('قيود اليومية'!$H$11:$H$1010,'قيود اليومية'!$A$11:$A$1010,A703),2)&lt;&gt;0,"✖ غير متوازن","مرحل ✔")))</f>
        <v/>
      </c>
      <c r="J703" s="55" t="str">
        <f aca="false">IF(C703="","",IFERROR(INDEX('شجرة الحسابات'!$E$9:$E$208,MATCH(C703,'شجرة الحسابات'!$A$9:$A$208,0))&amp;"",""))</f>
        <v/>
      </c>
      <c r="K703" s="55" t="str">
        <f aca="false">IF(C703="","",IFERROR(INDEX('شجرة الحسابات'!$I$9:$I$208,MATCH(C703,'شجرة الحسابات'!$A$9:$A$208,0))&amp;"",""))</f>
        <v/>
      </c>
      <c r="L703" s="55" t="str">
        <f aca="false">IF(C703="","",IFERROR(INDEX('شجرة الحسابات'!$C$9:$C$208,MATCH(C703,'شجرة الحسابات'!$A$9:$A$208,0))&amp;"",""))</f>
        <v/>
      </c>
      <c r="M703" s="55" t="str">
        <f aca="false">IF(AND(C703="",G703="",H703=""),"فارغ",IF(ISNA(MATCH(C703,'شجرة الحسابات'!$A$9:$A$208,0)),"حساب غير معرف",IF(L703&lt;&gt;"تحليلي","حساب تجميعي",IF(AND(N(G703)&gt;0,N(H703)&gt;0),"مدين ودائن معاً",IF(N(G703)+N(H703)=0,"بدون قيمة","OK")))))</f>
        <v>فارغ</v>
      </c>
      <c r="N703" s="55" t="str">
        <f aca="false">IF(AND(E703&lt;&gt;"",E703='كشف حساب مشروع'!$C$6,I703="مرحل ✔"),COUNTIFS($E$11:E703,'كشف حساب مشروع'!$C$6,$I$11:I703,"مرحل ✔"),"")</f>
        <v/>
      </c>
      <c r="O703" s="55" t="str">
        <f aca="false">IF(AND(C703&lt;&gt;"",C703='دفتر الأستاذ'!$C$6,I703="مرحل ✔"),COUNTIFS($C$11:C703,'دفتر الأستاذ'!$C$6,$I$11:I703,"مرحل ✔"),"")</f>
        <v/>
      </c>
    </row>
    <row r="704" customFormat="false" ht="15" hidden="false" customHeight="false" outlineLevel="0" collapsed="false">
      <c r="A704" s="49"/>
      <c r="B704" s="50"/>
      <c r="C704" s="49"/>
      <c r="D704" s="51" t="str">
        <f aca="false">IF(C704="","",IFERROR(INDEX('شجرة الحسابات'!$B$9:$B$208,MATCH(C704,'شجرة الحسابات'!$A$9:$A$208,0)),"⚠ حساب غير معرف"))</f>
        <v/>
      </c>
      <c r="E704" s="52"/>
      <c r="F704" s="52"/>
      <c r="G704" s="53"/>
      <c r="H704" s="53"/>
      <c r="I704" s="54" t="str">
        <f aca="false">IF(A704="",IF(M704="فارغ","","✖ بدون رقم قيد"),IF(COUNTIFS('قيود اليومية'!$A$11:$A$1010,A704,'قيود اليومية'!$M$11:$M$1010,"&lt;&gt;OK",'قيود اليومية'!$M$11:$M$1010,"&lt;&gt;فارغ")&gt;0,"✖ خطأ بالحساب",IF(ROUND(SUMIFS('قيود اليومية'!$G$11:$G$1010,'قيود اليومية'!$A$11:$A$1010,A704)-SUMIFS('قيود اليومية'!$H$11:$H$1010,'قيود اليومية'!$A$11:$A$1010,A704),2)&lt;&gt;0,"✖ غير متوازن","مرحل ✔")))</f>
        <v/>
      </c>
      <c r="J704" s="55" t="str">
        <f aca="false">IF(C704="","",IFERROR(INDEX('شجرة الحسابات'!$E$9:$E$208,MATCH(C704,'شجرة الحسابات'!$A$9:$A$208,0))&amp;"",""))</f>
        <v/>
      </c>
      <c r="K704" s="55" t="str">
        <f aca="false">IF(C704="","",IFERROR(INDEX('شجرة الحسابات'!$I$9:$I$208,MATCH(C704,'شجرة الحسابات'!$A$9:$A$208,0))&amp;"",""))</f>
        <v/>
      </c>
      <c r="L704" s="55" t="str">
        <f aca="false">IF(C704="","",IFERROR(INDEX('شجرة الحسابات'!$C$9:$C$208,MATCH(C704,'شجرة الحسابات'!$A$9:$A$208,0))&amp;"",""))</f>
        <v/>
      </c>
      <c r="M704" s="55" t="str">
        <f aca="false">IF(AND(C704="",G704="",H704=""),"فارغ",IF(ISNA(MATCH(C704,'شجرة الحسابات'!$A$9:$A$208,0)),"حساب غير معرف",IF(L704&lt;&gt;"تحليلي","حساب تجميعي",IF(AND(N(G704)&gt;0,N(H704)&gt;0),"مدين ودائن معاً",IF(N(G704)+N(H704)=0,"بدون قيمة","OK")))))</f>
        <v>فارغ</v>
      </c>
      <c r="N704" s="55" t="str">
        <f aca="false">IF(AND(E704&lt;&gt;"",E704='كشف حساب مشروع'!$C$6,I704="مرحل ✔"),COUNTIFS($E$11:E704,'كشف حساب مشروع'!$C$6,$I$11:I704,"مرحل ✔"),"")</f>
        <v/>
      </c>
      <c r="O704" s="55" t="str">
        <f aca="false">IF(AND(C704&lt;&gt;"",C704='دفتر الأستاذ'!$C$6,I704="مرحل ✔"),COUNTIFS($C$11:C704,'دفتر الأستاذ'!$C$6,$I$11:I704,"مرحل ✔"),"")</f>
        <v/>
      </c>
    </row>
    <row r="705" customFormat="false" ht="15" hidden="false" customHeight="false" outlineLevel="0" collapsed="false">
      <c r="A705" s="49"/>
      <c r="B705" s="50"/>
      <c r="C705" s="49"/>
      <c r="D705" s="51" t="str">
        <f aca="false">IF(C705="","",IFERROR(INDEX('شجرة الحسابات'!$B$9:$B$208,MATCH(C705,'شجرة الحسابات'!$A$9:$A$208,0)),"⚠ حساب غير معرف"))</f>
        <v/>
      </c>
      <c r="E705" s="52"/>
      <c r="F705" s="52"/>
      <c r="G705" s="53"/>
      <c r="H705" s="53"/>
      <c r="I705" s="54" t="str">
        <f aca="false">IF(A705="",IF(M705="فارغ","","✖ بدون رقم قيد"),IF(COUNTIFS('قيود اليومية'!$A$11:$A$1010,A705,'قيود اليومية'!$M$11:$M$1010,"&lt;&gt;OK",'قيود اليومية'!$M$11:$M$1010,"&lt;&gt;فارغ")&gt;0,"✖ خطأ بالحساب",IF(ROUND(SUMIFS('قيود اليومية'!$G$11:$G$1010,'قيود اليومية'!$A$11:$A$1010,A705)-SUMIFS('قيود اليومية'!$H$11:$H$1010,'قيود اليومية'!$A$11:$A$1010,A705),2)&lt;&gt;0,"✖ غير متوازن","مرحل ✔")))</f>
        <v/>
      </c>
      <c r="J705" s="55" t="str">
        <f aca="false">IF(C705="","",IFERROR(INDEX('شجرة الحسابات'!$E$9:$E$208,MATCH(C705,'شجرة الحسابات'!$A$9:$A$208,0))&amp;"",""))</f>
        <v/>
      </c>
      <c r="K705" s="55" t="str">
        <f aca="false">IF(C705="","",IFERROR(INDEX('شجرة الحسابات'!$I$9:$I$208,MATCH(C705,'شجرة الحسابات'!$A$9:$A$208,0))&amp;"",""))</f>
        <v/>
      </c>
      <c r="L705" s="55" t="str">
        <f aca="false">IF(C705="","",IFERROR(INDEX('شجرة الحسابات'!$C$9:$C$208,MATCH(C705,'شجرة الحسابات'!$A$9:$A$208,0))&amp;"",""))</f>
        <v/>
      </c>
      <c r="M705" s="55" t="str">
        <f aca="false">IF(AND(C705="",G705="",H705=""),"فارغ",IF(ISNA(MATCH(C705,'شجرة الحسابات'!$A$9:$A$208,0)),"حساب غير معرف",IF(L705&lt;&gt;"تحليلي","حساب تجميعي",IF(AND(N(G705)&gt;0,N(H705)&gt;0),"مدين ودائن معاً",IF(N(G705)+N(H705)=0,"بدون قيمة","OK")))))</f>
        <v>فارغ</v>
      </c>
      <c r="N705" s="55" t="str">
        <f aca="false">IF(AND(E705&lt;&gt;"",E705='كشف حساب مشروع'!$C$6,I705="مرحل ✔"),COUNTIFS($E$11:E705,'كشف حساب مشروع'!$C$6,$I$11:I705,"مرحل ✔"),"")</f>
        <v/>
      </c>
      <c r="O705" s="55" t="str">
        <f aca="false">IF(AND(C705&lt;&gt;"",C705='دفتر الأستاذ'!$C$6,I705="مرحل ✔"),COUNTIFS($C$11:C705,'دفتر الأستاذ'!$C$6,$I$11:I705,"مرحل ✔"),"")</f>
        <v/>
      </c>
    </row>
    <row r="706" customFormat="false" ht="15" hidden="false" customHeight="false" outlineLevel="0" collapsed="false">
      <c r="A706" s="49"/>
      <c r="B706" s="50"/>
      <c r="C706" s="49"/>
      <c r="D706" s="51" t="str">
        <f aca="false">IF(C706="","",IFERROR(INDEX('شجرة الحسابات'!$B$9:$B$208,MATCH(C706,'شجرة الحسابات'!$A$9:$A$208,0)),"⚠ حساب غير معرف"))</f>
        <v/>
      </c>
      <c r="E706" s="52"/>
      <c r="F706" s="52"/>
      <c r="G706" s="53"/>
      <c r="H706" s="53"/>
      <c r="I706" s="54" t="str">
        <f aca="false">IF(A706="",IF(M706="فارغ","","✖ بدون رقم قيد"),IF(COUNTIFS('قيود اليومية'!$A$11:$A$1010,A706,'قيود اليومية'!$M$11:$M$1010,"&lt;&gt;OK",'قيود اليومية'!$M$11:$M$1010,"&lt;&gt;فارغ")&gt;0,"✖ خطأ بالحساب",IF(ROUND(SUMIFS('قيود اليومية'!$G$11:$G$1010,'قيود اليومية'!$A$11:$A$1010,A706)-SUMIFS('قيود اليومية'!$H$11:$H$1010,'قيود اليومية'!$A$11:$A$1010,A706),2)&lt;&gt;0,"✖ غير متوازن","مرحل ✔")))</f>
        <v/>
      </c>
      <c r="J706" s="55" t="str">
        <f aca="false">IF(C706="","",IFERROR(INDEX('شجرة الحسابات'!$E$9:$E$208,MATCH(C706,'شجرة الحسابات'!$A$9:$A$208,0))&amp;"",""))</f>
        <v/>
      </c>
      <c r="K706" s="55" t="str">
        <f aca="false">IF(C706="","",IFERROR(INDEX('شجرة الحسابات'!$I$9:$I$208,MATCH(C706,'شجرة الحسابات'!$A$9:$A$208,0))&amp;"",""))</f>
        <v/>
      </c>
      <c r="L706" s="55" t="str">
        <f aca="false">IF(C706="","",IFERROR(INDEX('شجرة الحسابات'!$C$9:$C$208,MATCH(C706,'شجرة الحسابات'!$A$9:$A$208,0))&amp;"",""))</f>
        <v/>
      </c>
      <c r="M706" s="55" t="str">
        <f aca="false">IF(AND(C706="",G706="",H706=""),"فارغ",IF(ISNA(MATCH(C706,'شجرة الحسابات'!$A$9:$A$208,0)),"حساب غير معرف",IF(L706&lt;&gt;"تحليلي","حساب تجميعي",IF(AND(N(G706)&gt;0,N(H706)&gt;0),"مدين ودائن معاً",IF(N(G706)+N(H706)=0,"بدون قيمة","OK")))))</f>
        <v>فارغ</v>
      </c>
      <c r="N706" s="55" t="str">
        <f aca="false">IF(AND(E706&lt;&gt;"",E706='كشف حساب مشروع'!$C$6,I706="مرحل ✔"),COUNTIFS($E$11:E706,'كشف حساب مشروع'!$C$6,$I$11:I706,"مرحل ✔"),"")</f>
        <v/>
      </c>
      <c r="O706" s="55" t="str">
        <f aca="false">IF(AND(C706&lt;&gt;"",C706='دفتر الأستاذ'!$C$6,I706="مرحل ✔"),COUNTIFS($C$11:C706,'دفتر الأستاذ'!$C$6,$I$11:I706,"مرحل ✔"),"")</f>
        <v/>
      </c>
    </row>
    <row r="707" customFormat="false" ht="15" hidden="false" customHeight="false" outlineLevel="0" collapsed="false">
      <c r="A707" s="49"/>
      <c r="B707" s="50"/>
      <c r="C707" s="49"/>
      <c r="D707" s="51" t="str">
        <f aca="false">IF(C707="","",IFERROR(INDEX('شجرة الحسابات'!$B$9:$B$208,MATCH(C707,'شجرة الحسابات'!$A$9:$A$208,0)),"⚠ حساب غير معرف"))</f>
        <v/>
      </c>
      <c r="E707" s="52"/>
      <c r="F707" s="52"/>
      <c r="G707" s="53"/>
      <c r="H707" s="53"/>
      <c r="I707" s="54" t="str">
        <f aca="false">IF(A707="",IF(M707="فارغ","","✖ بدون رقم قيد"),IF(COUNTIFS('قيود اليومية'!$A$11:$A$1010,A707,'قيود اليومية'!$M$11:$M$1010,"&lt;&gt;OK",'قيود اليومية'!$M$11:$M$1010,"&lt;&gt;فارغ")&gt;0,"✖ خطأ بالحساب",IF(ROUND(SUMIFS('قيود اليومية'!$G$11:$G$1010,'قيود اليومية'!$A$11:$A$1010,A707)-SUMIFS('قيود اليومية'!$H$11:$H$1010,'قيود اليومية'!$A$11:$A$1010,A707),2)&lt;&gt;0,"✖ غير متوازن","مرحل ✔")))</f>
        <v/>
      </c>
      <c r="J707" s="55" t="str">
        <f aca="false">IF(C707="","",IFERROR(INDEX('شجرة الحسابات'!$E$9:$E$208,MATCH(C707,'شجرة الحسابات'!$A$9:$A$208,0))&amp;"",""))</f>
        <v/>
      </c>
      <c r="K707" s="55" t="str">
        <f aca="false">IF(C707="","",IFERROR(INDEX('شجرة الحسابات'!$I$9:$I$208,MATCH(C707,'شجرة الحسابات'!$A$9:$A$208,0))&amp;"",""))</f>
        <v/>
      </c>
      <c r="L707" s="55" t="str">
        <f aca="false">IF(C707="","",IFERROR(INDEX('شجرة الحسابات'!$C$9:$C$208,MATCH(C707,'شجرة الحسابات'!$A$9:$A$208,0))&amp;"",""))</f>
        <v/>
      </c>
      <c r="M707" s="55" t="str">
        <f aca="false">IF(AND(C707="",G707="",H707=""),"فارغ",IF(ISNA(MATCH(C707,'شجرة الحسابات'!$A$9:$A$208,0)),"حساب غير معرف",IF(L707&lt;&gt;"تحليلي","حساب تجميعي",IF(AND(N(G707)&gt;0,N(H707)&gt;0),"مدين ودائن معاً",IF(N(G707)+N(H707)=0,"بدون قيمة","OK")))))</f>
        <v>فارغ</v>
      </c>
      <c r="N707" s="55" t="str">
        <f aca="false">IF(AND(E707&lt;&gt;"",E707='كشف حساب مشروع'!$C$6,I707="مرحل ✔"),COUNTIFS($E$11:E707,'كشف حساب مشروع'!$C$6,$I$11:I707,"مرحل ✔"),"")</f>
        <v/>
      </c>
      <c r="O707" s="55" t="str">
        <f aca="false">IF(AND(C707&lt;&gt;"",C707='دفتر الأستاذ'!$C$6,I707="مرحل ✔"),COUNTIFS($C$11:C707,'دفتر الأستاذ'!$C$6,$I$11:I707,"مرحل ✔"),"")</f>
        <v/>
      </c>
    </row>
    <row r="708" customFormat="false" ht="15" hidden="false" customHeight="false" outlineLevel="0" collapsed="false">
      <c r="A708" s="49"/>
      <c r="B708" s="50"/>
      <c r="C708" s="49"/>
      <c r="D708" s="51" t="str">
        <f aca="false">IF(C708="","",IFERROR(INDEX('شجرة الحسابات'!$B$9:$B$208,MATCH(C708,'شجرة الحسابات'!$A$9:$A$208,0)),"⚠ حساب غير معرف"))</f>
        <v/>
      </c>
      <c r="E708" s="52"/>
      <c r="F708" s="52"/>
      <c r="G708" s="53"/>
      <c r="H708" s="53"/>
      <c r="I708" s="54" t="str">
        <f aca="false">IF(A708="",IF(M708="فارغ","","✖ بدون رقم قيد"),IF(COUNTIFS('قيود اليومية'!$A$11:$A$1010,A708,'قيود اليومية'!$M$11:$M$1010,"&lt;&gt;OK",'قيود اليومية'!$M$11:$M$1010,"&lt;&gt;فارغ")&gt;0,"✖ خطأ بالحساب",IF(ROUND(SUMIFS('قيود اليومية'!$G$11:$G$1010,'قيود اليومية'!$A$11:$A$1010,A708)-SUMIFS('قيود اليومية'!$H$11:$H$1010,'قيود اليومية'!$A$11:$A$1010,A708),2)&lt;&gt;0,"✖ غير متوازن","مرحل ✔")))</f>
        <v/>
      </c>
      <c r="J708" s="55" t="str">
        <f aca="false">IF(C708="","",IFERROR(INDEX('شجرة الحسابات'!$E$9:$E$208,MATCH(C708,'شجرة الحسابات'!$A$9:$A$208,0))&amp;"",""))</f>
        <v/>
      </c>
      <c r="K708" s="55" t="str">
        <f aca="false">IF(C708="","",IFERROR(INDEX('شجرة الحسابات'!$I$9:$I$208,MATCH(C708,'شجرة الحسابات'!$A$9:$A$208,0))&amp;"",""))</f>
        <v/>
      </c>
      <c r="L708" s="55" t="str">
        <f aca="false">IF(C708="","",IFERROR(INDEX('شجرة الحسابات'!$C$9:$C$208,MATCH(C708,'شجرة الحسابات'!$A$9:$A$208,0))&amp;"",""))</f>
        <v/>
      </c>
      <c r="M708" s="55" t="str">
        <f aca="false">IF(AND(C708="",G708="",H708=""),"فارغ",IF(ISNA(MATCH(C708,'شجرة الحسابات'!$A$9:$A$208,0)),"حساب غير معرف",IF(L708&lt;&gt;"تحليلي","حساب تجميعي",IF(AND(N(G708)&gt;0,N(H708)&gt;0),"مدين ودائن معاً",IF(N(G708)+N(H708)=0,"بدون قيمة","OK")))))</f>
        <v>فارغ</v>
      </c>
      <c r="N708" s="55" t="str">
        <f aca="false">IF(AND(E708&lt;&gt;"",E708='كشف حساب مشروع'!$C$6,I708="مرحل ✔"),COUNTIFS($E$11:E708,'كشف حساب مشروع'!$C$6,$I$11:I708,"مرحل ✔"),"")</f>
        <v/>
      </c>
      <c r="O708" s="55" t="str">
        <f aca="false">IF(AND(C708&lt;&gt;"",C708='دفتر الأستاذ'!$C$6,I708="مرحل ✔"),COUNTIFS($C$11:C708,'دفتر الأستاذ'!$C$6,$I$11:I708,"مرحل ✔"),"")</f>
        <v/>
      </c>
    </row>
    <row r="709" customFormat="false" ht="15" hidden="false" customHeight="false" outlineLevel="0" collapsed="false">
      <c r="A709" s="49"/>
      <c r="B709" s="50"/>
      <c r="C709" s="49"/>
      <c r="D709" s="51" t="str">
        <f aca="false">IF(C709="","",IFERROR(INDEX('شجرة الحسابات'!$B$9:$B$208,MATCH(C709,'شجرة الحسابات'!$A$9:$A$208,0)),"⚠ حساب غير معرف"))</f>
        <v/>
      </c>
      <c r="E709" s="52"/>
      <c r="F709" s="52"/>
      <c r="G709" s="53"/>
      <c r="H709" s="53"/>
      <c r="I709" s="54" t="str">
        <f aca="false">IF(A709="",IF(M709="فارغ","","✖ بدون رقم قيد"),IF(COUNTIFS('قيود اليومية'!$A$11:$A$1010,A709,'قيود اليومية'!$M$11:$M$1010,"&lt;&gt;OK",'قيود اليومية'!$M$11:$M$1010,"&lt;&gt;فارغ")&gt;0,"✖ خطأ بالحساب",IF(ROUND(SUMIFS('قيود اليومية'!$G$11:$G$1010,'قيود اليومية'!$A$11:$A$1010,A709)-SUMIFS('قيود اليومية'!$H$11:$H$1010,'قيود اليومية'!$A$11:$A$1010,A709),2)&lt;&gt;0,"✖ غير متوازن","مرحل ✔")))</f>
        <v/>
      </c>
      <c r="J709" s="55" t="str">
        <f aca="false">IF(C709="","",IFERROR(INDEX('شجرة الحسابات'!$E$9:$E$208,MATCH(C709,'شجرة الحسابات'!$A$9:$A$208,0))&amp;"",""))</f>
        <v/>
      </c>
      <c r="K709" s="55" t="str">
        <f aca="false">IF(C709="","",IFERROR(INDEX('شجرة الحسابات'!$I$9:$I$208,MATCH(C709,'شجرة الحسابات'!$A$9:$A$208,0))&amp;"",""))</f>
        <v/>
      </c>
      <c r="L709" s="55" t="str">
        <f aca="false">IF(C709="","",IFERROR(INDEX('شجرة الحسابات'!$C$9:$C$208,MATCH(C709,'شجرة الحسابات'!$A$9:$A$208,0))&amp;"",""))</f>
        <v/>
      </c>
      <c r="M709" s="55" t="str">
        <f aca="false">IF(AND(C709="",G709="",H709=""),"فارغ",IF(ISNA(MATCH(C709,'شجرة الحسابات'!$A$9:$A$208,0)),"حساب غير معرف",IF(L709&lt;&gt;"تحليلي","حساب تجميعي",IF(AND(N(G709)&gt;0,N(H709)&gt;0),"مدين ودائن معاً",IF(N(G709)+N(H709)=0,"بدون قيمة","OK")))))</f>
        <v>فارغ</v>
      </c>
      <c r="N709" s="55" t="str">
        <f aca="false">IF(AND(E709&lt;&gt;"",E709='كشف حساب مشروع'!$C$6,I709="مرحل ✔"),COUNTIFS($E$11:E709,'كشف حساب مشروع'!$C$6,$I$11:I709,"مرحل ✔"),"")</f>
        <v/>
      </c>
      <c r="O709" s="55" t="str">
        <f aca="false">IF(AND(C709&lt;&gt;"",C709='دفتر الأستاذ'!$C$6,I709="مرحل ✔"),COUNTIFS($C$11:C709,'دفتر الأستاذ'!$C$6,$I$11:I709,"مرحل ✔"),"")</f>
        <v/>
      </c>
    </row>
    <row r="710" customFormat="false" ht="15" hidden="false" customHeight="false" outlineLevel="0" collapsed="false">
      <c r="A710" s="49"/>
      <c r="B710" s="50"/>
      <c r="C710" s="49"/>
      <c r="D710" s="51" t="str">
        <f aca="false">IF(C710="","",IFERROR(INDEX('شجرة الحسابات'!$B$9:$B$208,MATCH(C710,'شجرة الحسابات'!$A$9:$A$208,0)),"⚠ حساب غير معرف"))</f>
        <v/>
      </c>
      <c r="E710" s="52"/>
      <c r="F710" s="52"/>
      <c r="G710" s="53"/>
      <c r="H710" s="53"/>
      <c r="I710" s="54" t="str">
        <f aca="false">IF(A710="",IF(M710="فارغ","","✖ بدون رقم قيد"),IF(COUNTIFS('قيود اليومية'!$A$11:$A$1010,A710,'قيود اليومية'!$M$11:$M$1010,"&lt;&gt;OK",'قيود اليومية'!$M$11:$M$1010,"&lt;&gt;فارغ")&gt;0,"✖ خطأ بالحساب",IF(ROUND(SUMIFS('قيود اليومية'!$G$11:$G$1010,'قيود اليومية'!$A$11:$A$1010,A710)-SUMIFS('قيود اليومية'!$H$11:$H$1010,'قيود اليومية'!$A$11:$A$1010,A710),2)&lt;&gt;0,"✖ غير متوازن","مرحل ✔")))</f>
        <v/>
      </c>
      <c r="J710" s="55" t="str">
        <f aca="false">IF(C710="","",IFERROR(INDEX('شجرة الحسابات'!$E$9:$E$208,MATCH(C710,'شجرة الحسابات'!$A$9:$A$208,0))&amp;"",""))</f>
        <v/>
      </c>
      <c r="K710" s="55" t="str">
        <f aca="false">IF(C710="","",IFERROR(INDEX('شجرة الحسابات'!$I$9:$I$208,MATCH(C710,'شجرة الحسابات'!$A$9:$A$208,0))&amp;"",""))</f>
        <v/>
      </c>
      <c r="L710" s="55" t="str">
        <f aca="false">IF(C710="","",IFERROR(INDEX('شجرة الحسابات'!$C$9:$C$208,MATCH(C710,'شجرة الحسابات'!$A$9:$A$208,0))&amp;"",""))</f>
        <v/>
      </c>
      <c r="M710" s="55" t="str">
        <f aca="false">IF(AND(C710="",G710="",H710=""),"فارغ",IF(ISNA(MATCH(C710,'شجرة الحسابات'!$A$9:$A$208,0)),"حساب غير معرف",IF(L710&lt;&gt;"تحليلي","حساب تجميعي",IF(AND(N(G710)&gt;0,N(H710)&gt;0),"مدين ودائن معاً",IF(N(G710)+N(H710)=0,"بدون قيمة","OK")))))</f>
        <v>فارغ</v>
      </c>
      <c r="N710" s="55" t="str">
        <f aca="false">IF(AND(E710&lt;&gt;"",E710='كشف حساب مشروع'!$C$6,I710="مرحل ✔"),COUNTIFS($E$11:E710,'كشف حساب مشروع'!$C$6,$I$11:I710,"مرحل ✔"),"")</f>
        <v/>
      </c>
      <c r="O710" s="55" t="str">
        <f aca="false">IF(AND(C710&lt;&gt;"",C710='دفتر الأستاذ'!$C$6,I710="مرحل ✔"),COUNTIFS($C$11:C710,'دفتر الأستاذ'!$C$6,$I$11:I710,"مرحل ✔"),"")</f>
        <v/>
      </c>
    </row>
    <row r="711" customFormat="false" ht="15" hidden="false" customHeight="false" outlineLevel="0" collapsed="false">
      <c r="A711" s="49"/>
      <c r="B711" s="50"/>
      <c r="C711" s="49"/>
      <c r="D711" s="51" t="str">
        <f aca="false">IF(C711="","",IFERROR(INDEX('شجرة الحسابات'!$B$9:$B$208,MATCH(C711,'شجرة الحسابات'!$A$9:$A$208,0)),"⚠ حساب غير معرف"))</f>
        <v/>
      </c>
      <c r="E711" s="52"/>
      <c r="F711" s="52"/>
      <c r="G711" s="53"/>
      <c r="H711" s="53"/>
      <c r="I711" s="54" t="str">
        <f aca="false">IF(A711="",IF(M711="فارغ","","✖ بدون رقم قيد"),IF(COUNTIFS('قيود اليومية'!$A$11:$A$1010,A711,'قيود اليومية'!$M$11:$M$1010,"&lt;&gt;OK",'قيود اليومية'!$M$11:$M$1010,"&lt;&gt;فارغ")&gt;0,"✖ خطأ بالحساب",IF(ROUND(SUMIFS('قيود اليومية'!$G$11:$G$1010,'قيود اليومية'!$A$11:$A$1010,A711)-SUMIFS('قيود اليومية'!$H$11:$H$1010,'قيود اليومية'!$A$11:$A$1010,A711),2)&lt;&gt;0,"✖ غير متوازن","مرحل ✔")))</f>
        <v/>
      </c>
      <c r="J711" s="55" t="str">
        <f aca="false">IF(C711="","",IFERROR(INDEX('شجرة الحسابات'!$E$9:$E$208,MATCH(C711,'شجرة الحسابات'!$A$9:$A$208,0))&amp;"",""))</f>
        <v/>
      </c>
      <c r="K711" s="55" t="str">
        <f aca="false">IF(C711="","",IFERROR(INDEX('شجرة الحسابات'!$I$9:$I$208,MATCH(C711,'شجرة الحسابات'!$A$9:$A$208,0))&amp;"",""))</f>
        <v/>
      </c>
      <c r="L711" s="55" t="str">
        <f aca="false">IF(C711="","",IFERROR(INDEX('شجرة الحسابات'!$C$9:$C$208,MATCH(C711,'شجرة الحسابات'!$A$9:$A$208,0))&amp;"",""))</f>
        <v/>
      </c>
      <c r="M711" s="55" t="str">
        <f aca="false">IF(AND(C711="",G711="",H711=""),"فارغ",IF(ISNA(MATCH(C711,'شجرة الحسابات'!$A$9:$A$208,0)),"حساب غير معرف",IF(L711&lt;&gt;"تحليلي","حساب تجميعي",IF(AND(N(G711)&gt;0,N(H711)&gt;0),"مدين ودائن معاً",IF(N(G711)+N(H711)=0,"بدون قيمة","OK")))))</f>
        <v>فارغ</v>
      </c>
      <c r="N711" s="55" t="str">
        <f aca="false">IF(AND(E711&lt;&gt;"",E711='كشف حساب مشروع'!$C$6,I711="مرحل ✔"),COUNTIFS($E$11:E711,'كشف حساب مشروع'!$C$6,$I$11:I711,"مرحل ✔"),"")</f>
        <v/>
      </c>
      <c r="O711" s="55" t="str">
        <f aca="false">IF(AND(C711&lt;&gt;"",C711='دفتر الأستاذ'!$C$6,I711="مرحل ✔"),COUNTIFS($C$11:C711,'دفتر الأستاذ'!$C$6,$I$11:I711,"مرحل ✔"),"")</f>
        <v/>
      </c>
    </row>
    <row r="712" customFormat="false" ht="15" hidden="false" customHeight="false" outlineLevel="0" collapsed="false">
      <c r="A712" s="49"/>
      <c r="B712" s="50"/>
      <c r="C712" s="49"/>
      <c r="D712" s="51" t="str">
        <f aca="false">IF(C712="","",IFERROR(INDEX('شجرة الحسابات'!$B$9:$B$208,MATCH(C712,'شجرة الحسابات'!$A$9:$A$208,0)),"⚠ حساب غير معرف"))</f>
        <v/>
      </c>
      <c r="E712" s="52"/>
      <c r="F712" s="52"/>
      <c r="G712" s="53"/>
      <c r="H712" s="53"/>
      <c r="I712" s="54" t="str">
        <f aca="false">IF(A712="",IF(M712="فارغ","","✖ بدون رقم قيد"),IF(COUNTIFS('قيود اليومية'!$A$11:$A$1010,A712,'قيود اليومية'!$M$11:$M$1010,"&lt;&gt;OK",'قيود اليومية'!$M$11:$M$1010,"&lt;&gt;فارغ")&gt;0,"✖ خطأ بالحساب",IF(ROUND(SUMIFS('قيود اليومية'!$G$11:$G$1010,'قيود اليومية'!$A$11:$A$1010,A712)-SUMIFS('قيود اليومية'!$H$11:$H$1010,'قيود اليومية'!$A$11:$A$1010,A712),2)&lt;&gt;0,"✖ غير متوازن","مرحل ✔")))</f>
        <v/>
      </c>
      <c r="J712" s="55" t="str">
        <f aca="false">IF(C712="","",IFERROR(INDEX('شجرة الحسابات'!$E$9:$E$208,MATCH(C712,'شجرة الحسابات'!$A$9:$A$208,0))&amp;"",""))</f>
        <v/>
      </c>
      <c r="K712" s="55" t="str">
        <f aca="false">IF(C712="","",IFERROR(INDEX('شجرة الحسابات'!$I$9:$I$208,MATCH(C712,'شجرة الحسابات'!$A$9:$A$208,0))&amp;"",""))</f>
        <v/>
      </c>
      <c r="L712" s="55" t="str">
        <f aca="false">IF(C712="","",IFERROR(INDEX('شجرة الحسابات'!$C$9:$C$208,MATCH(C712,'شجرة الحسابات'!$A$9:$A$208,0))&amp;"",""))</f>
        <v/>
      </c>
      <c r="M712" s="55" t="str">
        <f aca="false">IF(AND(C712="",G712="",H712=""),"فارغ",IF(ISNA(MATCH(C712,'شجرة الحسابات'!$A$9:$A$208,0)),"حساب غير معرف",IF(L712&lt;&gt;"تحليلي","حساب تجميعي",IF(AND(N(G712)&gt;0,N(H712)&gt;0),"مدين ودائن معاً",IF(N(G712)+N(H712)=0,"بدون قيمة","OK")))))</f>
        <v>فارغ</v>
      </c>
      <c r="N712" s="55" t="str">
        <f aca="false">IF(AND(E712&lt;&gt;"",E712='كشف حساب مشروع'!$C$6,I712="مرحل ✔"),COUNTIFS($E$11:E712,'كشف حساب مشروع'!$C$6,$I$11:I712,"مرحل ✔"),"")</f>
        <v/>
      </c>
      <c r="O712" s="55" t="str">
        <f aca="false">IF(AND(C712&lt;&gt;"",C712='دفتر الأستاذ'!$C$6,I712="مرحل ✔"),COUNTIFS($C$11:C712,'دفتر الأستاذ'!$C$6,$I$11:I712,"مرحل ✔"),"")</f>
        <v/>
      </c>
    </row>
    <row r="713" customFormat="false" ht="15" hidden="false" customHeight="false" outlineLevel="0" collapsed="false">
      <c r="A713" s="49"/>
      <c r="B713" s="50"/>
      <c r="C713" s="49"/>
      <c r="D713" s="51" t="str">
        <f aca="false">IF(C713="","",IFERROR(INDEX('شجرة الحسابات'!$B$9:$B$208,MATCH(C713,'شجرة الحسابات'!$A$9:$A$208,0)),"⚠ حساب غير معرف"))</f>
        <v/>
      </c>
      <c r="E713" s="52"/>
      <c r="F713" s="52"/>
      <c r="G713" s="53"/>
      <c r="H713" s="53"/>
      <c r="I713" s="54" t="str">
        <f aca="false">IF(A713="",IF(M713="فارغ","","✖ بدون رقم قيد"),IF(COUNTIFS('قيود اليومية'!$A$11:$A$1010,A713,'قيود اليومية'!$M$11:$M$1010,"&lt;&gt;OK",'قيود اليومية'!$M$11:$M$1010,"&lt;&gt;فارغ")&gt;0,"✖ خطأ بالحساب",IF(ROUND(SUMIFS('قيود اليومية'!$G$11:$G$1010,'قيود اليومية'!$A$11:$A$1010,A713)-SUMIFS('قيود اليومية'!$H$11:$H$1010,'قيود اليومية'!$A$11:$A$1010,A713),2)&lt;&gt;0,"✖ غير متوازن","مرحل ✔")))</f>
        <v/>
      </c>
      <c r="J713" s="55" t="str">
        <f aca="false">IF(C713="","",IFERROR(INDEX('شجرة الحسابات'!$E$9:$E$208,MATCH(C713,'شجرة الحسابات'!$A$9:$A$208,0))&amp;"",""))</f>
        <v/>
      </c>
      <c r="K713" s="55" t="str">
        <f aca="false">IF(C713="","",IFERROR(INDEX('شجرة الحسابات'!$I$9:$I$208,MATCH(C713,'شجرة الحسابات'!$A$9:$A$208,0))&amp;"",""))</f>
        <v/>
      </c>
      <c r="L713" s="55" t="str">
        <f aca="false">IF(C713="","",IFERROR(INDEX('شجرة الحسابات'!$C$9:$C$208,MATCH(C713,'شجرة الحسابات'!$A$9:$A$208,0))&amp;"",""))</f>
        <v/>
      </c>
      <c r="M713" s="55" t="str">
        <f aca="false">IF(AND(C713="",G713="",H713=""),"فارغ",IF(ISNA(MATCH(C713,'شجرة الحسابات'!$A$9:$A$208,0)),"حساب غير معرف",IF(L713&lt;&gt;"تحليلي","حساب تجميعي",IF(AND(N(G713)&gt;0,N(H713)&gt;0),"مدين ودائن معاً",IF(N(G713)+N(H713)=0,"بدون قيمة","OK")))))</f>
        <v>فارغ</v>
      </c>
      <c r="N713" s="55" t="str">
        <f aca="false">IF(AND(E713&lt;&gt;"",E713='كشف حساب مشروع'!$C$6,I713="مرحل ✔"),COUNTIFS($E$11:E713,'كشف حساب مشروع'!$C$6,$I$11:I713,"مرحل ✔"),"")</f>
        <v/>
      </c>
      <c r="O713" s="55" t="str">
        <f aca="false">IF(AND(C713&lt;&gt;"",C713='دفتر الأستاذ'!$C$6,I713="مرحل ✔"),COUNTIFS($C$11:C713,'دفتر الأستاذ'!$C$6,$I$11:I713,"مرحل ✔"),"")</f>
        <v/>
      </c>
    </row>
    <row r="714" customFormat="false" ht="15" hidden="false" customHeight="false" outlineLevel="0" collapsed="false">
      <c r="A714" s="49"/>
      <c r="B714" s="50"/>
      <c r="C714" s="49"/>
      <c r="D714" s="51" t="str">
        <f aca="false">IF(C714="","",IFERROR(INDEX('شجرة الحسابات'!$B$9:$B$208,MATCH(C714,'شجرة الحسابات'!$A$9:$A$208,0)),"⚠ حساب غير معرف"))</f>
        <v/>
      </c>
      <c r="E714" s="52"/>
      <c r="F714" s="52"/>
      <c r="G714" s="53"/>
      <c r="H714" s="53"/>
      <c r="I714" s="54" t="str">
        <f aca="false">IF(A714="",IF(M714="فارغ","","✖ بدون رقم قيد"),IF(COUNTIFS('قيود اليومية'!$A$11:$A$1010,A714,'قيود اليومية'!$M$11:$M$1010,"&lt;&gt;OK",'قيود اليومية'!$M$11:$M$1010,"&lt;&gt;فارغ")&gt;0,"✖ خطأ بالحساب",IF(ROUND(SUMIFS('قيود اليومية'!$G$11:$G$1010,'قيود اليومية'!$A$11:$A$1010,A714)-SUMIFS('قيود اليومية'!$H$11:$H$1010,'قيود اليومية'!$A$11:$A$1010,A714),2)&lt;&gt;0,"✖ غير متوازن","مرحل ✔")))</f>
        <v/>
      </c>
      <c r="J714" s="55" t="str">
        <f aca="false">IF(C714="","",IFERROR(INDEX('شجرة الحسابات'!$E$9:$E$208,MATCH(C714,'شجرة الحسابات'!$A$9:$A$208,0))&amp;"",""))</f>
        <v/>
      </c>
      <c r="K714" s="55" t="str">
        <f aca="false">IF(C714="","",IFERROR(INDEX('شجرة الحسابات'!$I$9:$I$208,MATCH(C714,'شجرة الحسابات'!$A$9:$A$208,0))&amp;"",""))</f>
        <v/>
      </c>
      <c r="L714" s="55" t="str">
        <f aca="false">IF(C714="","",IFERROR(INDEX('شجرة الحسابات'!$C$9:$C$208,MATCH(C714,'شجرة الحسابات'!$A$9:$A$208,0))&amp;"",""))</f>
        <v/>
      </c>
      <c r="M714" s="55" t="str">
        <f aca="false">IF(AND(C714="",G714="",H714=""),"فارغ",IF(ISNA(MATCH(C714,'شجرة الحسابات'!$A$9:$A$208,0)),"حساب غير معرف",IF(L714&lt;&gt;"تحليلي","حساب تجميعي",IF(AND(N(G714)&gt;0,N(H714)&gt;0),"مدين ودائن معاً",IF(N(G714)+N(H714)=0,"بدون قيمة","OK")))))</f>
        <v>فارغ</v>
      </c>
      <c r="N714" s="55" t="str">
        <f aca="false">IF(AND(E714&lt;&gt;"",E714='كشف حساب مشروع'!$C$6,I714="مرحل ✔"),COUNTIFS($E$11:E714,'كشف حساب مشروع'!$C$6,$I$11:I714,"مرحل ✔"),"")</f>
        <v/>
      </c>
      <c r="O714" s="55" t="str">
        <f aca="false">IF(AND(C714&lt;&gt;"",C714='دفتر الأستاذ'!$C$6,I714="مرحل ✔"),COUNTIFS($C$11:C714,'دفتر الأستاذ'!$C$6,$I$11:I714,"مرحل ✔"),"")</f>
        <v/>
      </c>
    </row>
    <row r="715" customFormat="false" ht="15" hidden="false" customHeight="false" outlineLevel="0" collapsed="false">
      <c r="A715" s="49"/>
      <c r="B715" s="50"/>
      <c r="C715" s="49"/>
      <c r="D715" s="51" t="str">
        <f aca="false">IF(C715="","",IFERROR(INDEX('شجرة الحسابات'!$B$9:$B$208,MATCH(C715,'شجرة الحسابات'!$A$9:$A$208,0)),"⚠ حساب غير معرف"))</f>
        <v/>
      </c>
      <c r="E715" s="52"/>
      <c r="F715" s="52"/>
      <c r="G715" s="53"/>
      <c r="H715" s="53"/>
      <c r="I715" s="54" t="str">
        <f aca="false">IF(A715="",IF(M715="فارغ","","✖ بدون رقم قيد"),IF(COUNTIFS('قيود اليومية'!$A$11:$A$1010,A715,'قيود اليومية'!$M$11:$M$1010,"&lt;&gt;OK",'قيود اليومية'!$M$11:$M$1010,"&lt;&gt;فارغ")&gt;0,"✖ خطأ بالحساب",IF(ROUND(SUMIFS('قيود اليومية'!$G$11:$G$1010,'قيود اليومية'!$A$11:$A$1010,A715)-SUMIFS('قيود اليومية'!$H$11:$H$1010,'قيود اليومية'!$A$11:$A$1010,A715),2)&lt;&gt;0,"✖ غير متوازن","مرحل ✔")))</f>
        <v/>
      </c>
      <c r="J715" s="55" t="str">
        <f aca="false">IF(C715="","",IFERROR(INDEX('شجرة الحسابات'!$E$9:$E$208,MATCH(C715,'شجرة الحسابات'!$A$9:$A$208,0))&amp;"",""))</f>
        <v/>
      </c>
      <c r="K715" s="55" t="str">
        <f aca="false">IF(C715="","",IFERROR(INDEX('شجرة الحسابات'!$I$9:$I$208,MATCH(C715,'شجرة الحسابات'!$A$9:$A$208,0))&amp;"",""))</f>
        <v/>
      </c>
      <c r="L715" s="55" t="str">
        <f aca="false">IF(C715="","",IFERROR(INDEX('شجرة الحسابات'!$C$9:$C$208,MATCH(C715,'شجرة الحسابات'!$A$9:$A$208,0))&amp;"",""))</f>
        <v/>
      </c>
      <c r="M715" s="55" t="str">
        <f aca="false">IF(AND(C715="",G715="",H715=""),"فارغ",IF(ISNA(MATCH(C715,'شجرة الحسابات'!$A$9:$A$208,0)),"حساب غير معرف",IF(L715&lt;&gt;"تحليلي","حساب تجميعي",IF(AND(N(G715)&gt;0,N(H715)&gt;0),"مدين ودائن معاً",IF(N(G715)+N(H715)=0,"بدون قيمة","OK")))))</f>
        <v>فارغ</v>
      </c>
      <c r="N715" s="55" t="str">
        <f aca="false">IF(AND(E715&lt;&gt;"",E715='كشف حساب مشروع'!$C$6,I715="مرحل ✔"),COUNTIFS($E$11:E715,'كشف حساب مشروع'!$C$6,$I$11:I715,"مرحل ✔"),"")</f>
        <v/>
      </c>
      <c r="O715" s="55" t="str">
        <f aca="false">IF(AND(C715&lt;&gt;"",C715='دفتر الأستاذ'!$C$6,I715="مرحل ✔"),COUNTIFS($C$11:C715,'دفتر الأستاذ'!$C$6,$I$11:I715,"مرحل ✔"),"")</f>
        <v/>
      </c>
    </row>
    <row r="716" customFormat="false" ht="15" hidden="false" customHeight="false" outlineLevel="0" collapsed="false">
      <c r="A716" s="49"/>
      <c r="B716" s="50"/>
      <c r="C716" s="49"/>
      <c r="D716" s="51" t="str">
        <f aca="false">IF(C716="","",IFERROR(INDEX('شجرة الحسابات'!$B$9:$B$208,MATCH(C716,'شجرة الحسابات'!$A$9:$A$208,0)),"⚠ حساب غير معرف"))</f>
        <v/>
      </c>
      <c r="E716" s="52"/>
      <c r="F716" s="52"/>
      <c r="G716" s="53"/>
      <c r="H716" s="53"/>
      <c r="I716" s="54" t="str">
        <f aca="false">IF(A716="",IF(M716="فارغ","","✖ بدون رقم قيد"),IF(COUNTIFS('قيود اليومية'!$A$11:$A$1010,A716,'قيود اليومية'!$M$11:$M$1010,"&lt;&gt;OK",'قيود اليومية'!$M$11:$M$1010,"&lt;&gt;فارغ")&gt;0,"✖ خطأ بالحساب",IF(ROUND(SUMIFS('قيود اليومية'!$G$11:$G$1010,'قيود اليومية'!$A$11:$A$1010,A716)-SUMIFS('قيود اليومية'!$H$11:$H$1010,'قيود اليومية'!$A$11:$A$1010,A716),2)&lt;&gt;0,"✖ غير متوازن","مرحل ✔")))</f>
        <v/>
      </c>
      <c r="J716" s="55" t="str">
        <f aca="false">IF(C716="","",IFERROR(INDEX('شجرة الحسابات'!$E$9:$E$208,MATCH(C716,'شجرة الحسابات'!$A$9:$A$208,0))&amp;"",""))</f>
        <v/>
      </c>
      <c r="K716" s="55" t="str">
        <f aca="false">IF(C716="","",IFERROR(INDEX('شجرة الحسابات'!$I$9:$I$208,MATCH(C716,'شجرة الحسابات'!$A$9:$A$208,0))&amp;"",""))</f>
        <v/>
      </c>
      <c r="L716" s="55" t="str">
        <f aca="false">IF(C716="","",IFERROR(INDEX('شجرة الحسابات'!$C$9:$C$208,MATCH(C716,'شجرة الحسابات'!$A$9:$A$208,0))&amp;"",""))</f>
        <v/>
      </c>
      <c r="M716" s="55" t="str">
        <f aca="false">IF(AND(C716="",G716="",H716=""),"فارغ",IF(ISNA(MATCH(C716,'شجرة الحسابات'!$A$9:$A$208,0)),"حساب غير معرف",IF(L716&lt;&gt;"تحليلي","حساب تجميعي",IF(AND(N(G716)&gt;0,N(H716)&gt;0),"مدين ودائن معاً",IF(N(G716)+N(H716)=0,"بدون قيمة","OK")))))</f>
        <v>فارغ</v>
      </c>
      <c r="N716" s="55" t="str">
        <f aca="false">IF(AND(E716&lt;&gt;"",E716='كشف حساب مشروع'!$C$6,I716="مرحل ✔"),COUNTIFS($E$11:E716,'كشف حساب مشروع'!$C$6,$I$11:I716,"مرحل ✔"),"")</f>
        <v/>
      </c>
      <c r="O716" s="55" t="str">
        <f aca="false">IF(AND(C716&lt;&gt;"",C716='دفتر الأستاذ'!$C$6,I716="مرحل ✔"),COUNTIFS($C$11:C716,'دفتر الأستاذ'!$C$6,$I$11:I716,"مرحل ✔"),"")</f>
        <v/>
      </c>
    </row>
    <row r="717" customFormat="false" ht="15" hidden="false" customHeight="false" outlineLevel="0" collapsed="false">
      <c r="A717" s="49"/>
      <c r="B717" s="50"/>
      <c r="C717" s="49"/>
      <c r="D717" s="51" t="str">
        <f aca="false">IF(C717="","",IFERROR(INDEX('شجرة الحسابات'!$B$9:$B$208,MATCH(C717,'شجرة الحسابات'!$A$9:$A$208,0)),"⚠ حساب غير معرف"))</f>
        <v/>
      </c>
      <c r="E717" s="52"/>
      <c r="F717" s="52"/>
      <c r="G717" s="53"/>
      <c r="H717" s="53"/>
      <c r="I717" s="54" t="str">
        <f aca="false">IF(A717="",IF(M717="فارغ","","✖ بدون رقم قيد"),IF(COUNTIFS('قيود اليومية'!$A$11:$A$1010,A717,'قيود اليومية'!$M$11:$M$1010,"&lt;&gt;OK",'قيود اليومية'!$M$11:$M$1010,"&lt;&gt;فارغ")&gt;0,"✖ خطأ بالحساب",IF(ROUND(SUMIFS('قيود اليومية'!$G$11:$G$1010,'قيود اليومية'!$A$11:$A$1010,A717)-SUMIFS('قيود اليومية'!$H$11:$H$1010,'قيود اليومية'!$A$11:$A$1010,A717),2)&lt;&gt;0,"✖ غير متوازن","مرحل ✔")))</f>
        <v/>
      </c>
      <c r="J717" s="55" t="str">
        <f aca="false">IF(C717="","",IFERROR(INDEX('شجرة الحسابات'!$E$9:$E$208,MATCH(C717,'شجرة الحسابات'!$A$9:$A$208,0))&amp;"",""))</f>
        <v/>
      </c>
      <c r="K717" s="55" t="str">
        <f aca="false">IF(C717="","",IFERROR(INDEX('شجرة الحسابات'!$I$9:$I$208,MATCH(C717,'شجرة الحسابات'!$A$9:$A$208,0))&amp;"",""))</f>
        <v/>
      </c>
      <c r="L717" s="55" t="str">
        <f aca="false">IF(C717="","",IFERROR(INDEX('شجرة الحسابات'!$C$9:$C$208,MATCH(C717,'شجرة الحسابات'!$A$9:$A$208,0))&amp;"",""))</f>
        <v/>
      </c>
      <c r="M717" s="55" t="str">
        <f aca="false">IF(AND(C717="",G717="",H717=""),"فارغ",IF(ISNA(MATCH(C717,'شجرة الحسابات'!$A$9:$A$208,0)),"حساب غير معرف",IF(L717&lt;&gt;"تحليلي","حساب تجميعي",IF(AND(N(G717)&gt;0,N(H717)&gt;0),"مدين ودائن معاً",IF(N(G717)+N(H717)=0,"بدون قيمة","OK")))))</f>
        <v>فارغ</v>
      </c>
      <c r="N717" s="55" t="str">
        <f aca="false">IF(AND(E717&lt;&gt;"",E717='كشف حساب مشروع'!$C$6,I717="مرحل ✔"),COUNTIFS($E$11:E717,'كشف حساب مشروع'!$C$6,$I$11:I717,"مرحل ✔"),"")</f>
        <v/>
      </c>
      <c r="O717" s="55" t="str">
        <f aca="false">IF(AND(C717&lt;&gt;"",C717='دفتر الأستاذ'!$C$6,I717="مرحل ✔"),COUNTIFS($C$11:C717,'دفتر الأستاذ'!$C$6,$I$11:I717,"مرحل ✔"),"")</f>
        <v/>
      </c>
    </row>
    <row r="718" customFormat="false" ht="15" hidden="false" customHeight="false" outlineLevel="0" collapsed="false">
      <c r="A718" s="49"/>
      <c r="B718" s="50"/>
      <c r="C718" s="49"/>
      <c r="D718" s="51" t="str">
        <f aca="false">IF(C718="","",IFERROR(INDEX('شجرة الحسابات'!$B$9:$B$208,MATCH(C718,'شجرة الحسابات'!$A$9:$A$208,0)),"⚠ حساب غير معرف"))</f>
        <v/>
      </c>
      <c r="E718" s="52"/>
      <c r="F718" s="52"/>
      <c r="G718" s="53"/>
      <c r="H718" s="53"/>
      <c r="I718" s="54" t="str">
        <f aca="false">IF(A718="",IF(M718="فارغ","","✖ بدون رقم قيد"),IF(COUNTIFS('قيود اليومية'!$A$11:$A$1010,A718,'قيود اليومية'!$M$11:$M$1010,"&lt;&gt;OK",'قيود اليومية'!$M$11:$M$1010,"&lt;&gt;فارغ")&gt;0,"✖ خطأ بالحساب",IF(ROUND(SUMIFS('قيود اليومية'!$G$11:$G$1010,'قيود اليومية'!$A$11:$A$1010,A718)-SUMIFS('قيود اليومية'!$H$11:$H$1010,'قيود اليومية'!$A$11:$A$1010,A718),2)&lt;&gt;0,"✖ غير متوازن","مرحل ✔")))</f>
        <v/>
      </c>
      <c r="J718" s="55" t="str">
        <f aca="false">IF(C718="","",IFERROR(INDEX('شجرة الحسابات'!$E$9:$E$208,MATCH(C718,'شجرة الحسابات'!$A$9:$A$208,0))&amp;"",""))</f>
        <v/>
      </c>
      <c r="K718" s="55" t="str">
        <f aca="false">IF(C718="","",IFERROR(INDEX('شجرة الحسابات'!$I$9:$I$208,MATCH(C718,'شجرة الحسابات'!$A$9:$A$208,0))&amp;"",""))</f>
        <v/>
      </c>
      <c r="L718" s="55" t="str">
        <f aca="false">IF(C718="","",IFERROR(INDEX('شجرة الحسابات'!$C$9:$C$208,MATCH(C718,'شجرة الحسابات'!$A$9:$A$208,0))&amp;"",""))</f>
        <v/>
      </c>
      <c r="M718" s="55" t="str">
        <f aca="false">IF(AND(C718="",G718="",H718=""),"فارغ",IF(ISNA(MATCH(C718,'شجرة الحسابات'!$A$9:$A$208,0)),"حساب غير معرف",IF(L718&lt;&gt;"تحليلي","حساب تجميعي",IF(AND(N(G718)&gt;0,N(H718)&gt;0),"مدين ودائن معاً",IF(N(G718)+N(H718)=0,"بدون قيمة","OK")))))</f>
        <v>فارغ</v>
      </c>
      <c r="N718" s="55" t="str">
        <f aca="false">IF(AND(E718&lt;&gt;"",E718='كشف حساب مشروع'!$C$6,I718="مرحل ✔"),COUNTIFS($E$11:E718,'كشف حساب مشروع'!$C$6,$I$11:I718,"مرحل ✔"),"")</f>
        <v/>
      </c>
      <c r="O718" s="55" t="str">
        <f aca="false">IF(AND(C718&lt;&gt;"",C718='دفتر الأستاذ'!$C$6,I718="مرحل ✔"),COUNTIFS($C$11:C718,'دفتر الأستاذ'!$C$6,$I$11:I718,"مرحل ✔"),"")</f>
        <v/>
      </c>
    </row>
    <row r="719" customFormat="false" ht="15" hidden="false" customHeight="false" outlineLevel="0" collapsed="false">
      <c r="A719" s="49"/>
      <c r="B719" s="50"/>
      <c r="C719" s="49"/>
      <c r="D719" s="51" t="str">
        <f aca="false">IF(C719="","",IFERROR(INDEX('شجرة الحسابات'!$B$9:$B$208,MATCH(C719,'شجرة الحسابات'!$A$9:$A$208,0)),"⚠ حساب غير معرف"))</f>
        <v/>
      </c>
      <c r="E719" s="52"/>
      <c r="F719" s="52"/>
      <c r="G719" s="53"/>
      <c r="H719" s="53"/>
      <c r="I719" s="54" t="str">
        <f aca="false">IF(A719="",IF(M719="فارغ","","✖ بدون رقم قيد"),IF(COUNTIFS('قيود اليومية'!$A$11:$A$1010,A719,'قيود اليومية'!$M$11:$M$1010,"&lt;&gt;OK",'قيود اليومية'!$M$11:$M$1010,"&lt;&gt;فارغ")&gt;0,"✖ خطأ بالحساب",IF(ROUND(SUMIFS('قيود اليومية'!$G$11:$G$1010,'قيود اليومية'!$A$11:$A$1010,A719)-SUMIFS('قيود اليومية'!$H$11:$H$1010,'قيود اليومية'!$A$11:$A$1010,A719),2)&lt;&gt;0,"✖ غير متوازن","مرحل ✔")))</f>
        <v/>
      </c>
      <c r="J719" s="55" t="str">
        <f aca="false">IF(C719="","",IFERROR(INDEX('شجرة الحسابات'!$E$9:$E$208,MATCH(C719,'شجرة الحسابات'!$A$9:$A$208,0))&amp;"",""))</f>
        <v/>
      </c>
      <c r="K719" s="55" t="str">
        <f aca="false">IF(C719="","",IFERROR(INDEX('شجرة الحسابات'!$I$9:$I$208,MATCH(C719,'شجرة الحسابات'!$A$9:$A$208,0))&amp;"",""))</f>
        <v/>
      </c>
      <c r="L719" s="55" t="str">
        <f aca="false">IF(C719="","",IFERROR(INDEX('شجرة الحسابات'!$C$9:$C$208,MATCH(C719,'شجرة الحسابات'!$A$9:$A$208,0))&amp;"",""))</f>
        <v/>
      </c>
      <c r="M719" s="55" t="str">
        <f aca="false">IF(AND(C719="",G719="",H719=""),"فارغ",IF(ISNA(MATCH(C719,'شجرة الحسابات'!$A$9:$A$208,0)),"حساب غير معرف",IF(L719&lt;&gt;"تحليلي","حساب تجميعي",IF(AND(N(G719)&gt;0,N(H719)&gt;0),"مدين ودائن معاً",IF(N(G719)+N(H719)=0,"بدون قيمة","OK")))))</f>
        <v>فارغ</v>
      </c>
      <c r="N719" s="55" t="str">
        <f aca="false">IF(AND(E719&lt;&gt;"",E719='كشف حساب مشروع'!$C$6,I719="مرحل ✔"),COUNTIFS($E$11:E719,'كشف حساب مشروع'!$C$6,$I$11:I719,"مرحل ✔"),"")</f>
        <v/>
      </c>
      <c r="O719" s="55" t="str">
        <f aca="false">IF(AND(C719&lt;&gt;"",C719='دفتر الأستاذ'!$C$6,I719="مرحل ✔"),COUNTIFS($C$11:C719,'دفتر الأستاذ'!$C$6,$I$11:I719,"مرحل ✔"),"")</f>
        <v/>
      </c>
    </row>
    <row r="720" customFormat="false" ht="15" hidden="false" customHeight="false" outlineLevel="0" collapsed="false">
      <c r="A720" s="49"/>
      <c r="B720" s="50"/>
      <c r="C720" s="49"/>
      <c r="D720" s="51" t="str">
        <f aca="false">IF(C720="","",IFERROR(INDEX('شجرة الحسابات'!$B$9:$B$208,MATCH(C720,'شجرة الحسابات'!$A$9:$A$208,0)),"⚠ حساب غير معرف"))</f>
        <v/>
      </c>
      <c r="E720" s="52"/>
      <c r="F720" s="52"/>
      <c r="G720" s="53"/>
      <c r="H720" s="53"/>
      <c r="I720" s="54" t="str">
        <f aca="false">IF(A720="",IF(M720="فارغ","","✖ بدون رقم قيد"),IF(COUNTIFS('قيود اليومية'!$A$11:$A$1010,A720,'قيود اليومية'!$M$11:$M$1010,"&lt;&gt;OK",'قيود اليومية'!$M$11:$M$1010,"&lt;&gt;فارغ")&gt;0,"✖ خطأ بالحساب",IF(ROUND(SUMIFS('قيود اليومية'!$G$11:$G$1010,'قيود اليومية'!$A$11:$A$1010,A720)-SUMIFS('قيود اليومية'!$H$11:$H$1010,'قيود اليومية'!$A$11:$A$1010,A720),2)&lt;&gt;0,"✖ غير متوازن","مرحل ✔")))</f>
        <v/>
      </c>
      <c r="J720" s="55" t="str">
        <f aca="false">IF(C720="","",IFERROR(INDEX('شجرة الحسابات'!$E$9:$E$208,MATCH(C720,'شجرة الحسابات'!$A$9:$A$208,0))&amp;"",""))</f>
        <v/>
      </c>
      <c r="K720" s="55" t="str">
        <f aca="false">IF(C720="","",IFERROR(INDEX('شجرة الحسابات'!$I$9:$I$208,MATCH(C720,'شجرة الحسابات'!$A$9:$A$208,0))&amp;"",""))</f>
        <v/>
      </c>
      <c r="L720" s="55" t="str">
        <f aca="false">IF(C720="","",IFERROR(INDEX('شجرة الحسابات'!$C$9:$C$208,MATCH(C720,'شجرة الحسابات'!$A$9:$A$208,0))&amp;"",""))</f>
        <v/>
      </c>
      <c r="M720" s="55" t="str">
        <f aca="false">IF(AND(C720="",G720="",H720=""),"فارغ",IF(ISNA(MATCH(C720,'شجرة الحسابات'!$A$9:$A$208,0)),"حساب غير معرف",IF(L720&lt;&gt;"تحليلي","حساب تجميعي",IF(AND(N(G720)&gt;0,N(H720)&gt;0),"مدين ودائن معاً",IF(N(G720)+N(H720)=0,"بدون قيمة","OK")))))</f>
        <v>فارغ</v>
      </c>
      <c r="N720" s="55" t="str">
        <f aca="false">IF(AND(E720&lt;&gt;"",E720='كشف حساب مشروع'!$C$6,I720="مرحل ✔"),COUNTIFS($E$11:E720,'كشف حساب مشروع'!$C$6,$I$11:I720,"مرحل ✔"),"")</f>
        <v/>
      </c>
      <c r="O720" s="55" t="str">
        <f aca="false">IF(AND(C720&lt;&gt;"",C720='دفتر الأستاذ'!$C$6,I720="مرحل ✔"),COUNTIFS($C$11:C720,'دفتر الأستاذ'!$C$6,$I$11:I720,"مرحل ✔"),"")</f>
        <v/>
      </c>
    </row>
    <row r="721" customFormat="false" ht="15" hidden="false" customHeight="false" outlineLevel="0" collapsed="false">
      <c r="A721" s="49"/>
      <c r="B721" s="50"/>
      <c r="C721" s="49"/>
      <c r="D721" s="51" t="str">
        <f aca="false">IF(C721="","",IFERROR(INDEX('شجرة الحسابات'!$B$9:$B$208,MATCH(C721,'شجرة الحسابات'!$A$9:$A$208,0)),"⚠ حساب غير معرف"))</f>
        <v/>
      </c>
      <c r="E721" s="52"/>
      <c r="F721" s="52"/>
      <c r="G721" s="53"/>
      <c r="H721" s="53"/>
      <c r="I721" s="54" t="str">
        <f aca="false">IF(A721="",IF(M721="فارغ","","✖ بدون رقم قيد"),IF(COUNTIFS('قيود اليومية'!$A$11:$A$1010,A721,'قيود اليومية'!$M$11:$M$1010,"&lt;&gt;OK",'قيود اليومية'!$M$11:$M$1010,"&lt;&gt;فارغ")&gt;0,"✖ خطأ بالحساب",IF(ROUND(SUMIFS('قيود اليومية'!$G$11:$G$1010,'قيود اليومية'!$A$11:$A$1010,A721)-SUMIFS('قيود اليومية'!$H$11:$H$1010,'قيود اليومية'!$A$11:$A$1010,A721),2)&lt;&gt;0,"✖ غير متوازن","مرحل ✔")))</f>
        <v/>
      </c>
      <c r="J721" s="55" t="str">
        <f aca="false">IF(C721="","",IFERROR(INDEX('شجرة الحسابات'!$E$9:$E$208,MATCH(C721,'شجرة الحسابات'!$A$9:$A$208,0))&amp;"",""))</f>
        <v/>
      </c>
      <c r="K721" s="55" t="str">
        <f aca="false">IF(C721="","",IFERROR(INDEX('شجرة الحسابات'!$I$9:$I$208,MATCH(C721,'شجرة الحسابات'!$A$9:$A$208,0))&amp;"",""))</f>
        <v/>
      </c>
      <c r="L721" s="55" t="str">
        <f aca="false">IF(C721="","",IFERROR(INDEX('شجرة الحسابات'!$C$9:$C$208,MATCH(C721,'شجرة الحسابات'!$A$9:$A$208,0))&amp;"",""))</f>
        <v/>
      </c>
      <c r="M721" s="55" t="str">
        <f aca="false">IF(AND(C721="",G721="",H721=""),"فارغ",IF(ISNA(MATCH(C721,'شجرة الحسابات'!$A$9:$A$208,0)),"حساب غير معرف",IF(L721&lt;&gt;"تحليلي","حساب تجميعي",IF(AND(N(G721)&gt;0,N(H721)&gt;0),"مدين ودائن معاً",IF(N(G721)+N(H721)=0,"بدون قيمة","OK")))))</f>
        <v>فارغ</v>
      </c>
      <c r="N721" s="55" t="str">
        <f aca="false">IF(AND(E721&lt;&gt;"",E721='كشف حساب مشروع'!$C$6,I721="مرحل ✔"),COUNTIFS($E$11:E721,'كشف حساب مشروع'!$C$6,$I$11:I721,"مرحل ✔"),"")</f>
        <v/>
      </c>
      <c r="O721" s="55" t="str">
        <f aca="false">IF(AND(C721&lt;&gt;"",C721='دفتر الأستاذ'!$C$6,I721="مرحل ✔"),COUNTIFS($C$11:C721,'دفتر الأستاذ'!$C$6,$I$11:I721,"مرحل ✔"),"")</f>
        <v/>
      </c>
    </row>
    <row r="722" customFormat="false" ht="15" hidden="false" customHeight="false" outlineLevel="0" collapsed="false">
      <c r="A722" s="49"/>
      <c r="B722" s="50"/>
      <c r="C722" s="49"/>
      <c r="D722" s="51" t="str">
        <f aca="false">IF(C722="","",IFERROR(INDEX('شجرة الحسابات'!$B$9:$B$208,MATCH(C722,'شجرة الحسابات'!$A$9:$A$208,0)),"⚠ حساب غير معرف"))</f>
        <v/>
      </c>
      <c r="E722" s="52"/>
      <c r="F722" s="52"/>
      <c r="G722" s="53"/>
      <c r="H722" s="53"/>
      <c r="I722" s="54" t="str">
        <f aca="false">IF(A722="",IF(M722="فارغ","","✖ بدون رقم قيد"),IF(COUNTIFS('قيود اليومية'!$A$11:$A$1010,A722,'قيود اليومية'!$M$11:$M$1010,"&lt;&gt;OK",'قيود اليومية'!$M$11:$M$1010,"&lt;&gt;فارغ")&gt;0,"✖ خطأ بالحساب",IF(ROUND(SUMIFS('قيود اليومية'!$G$11:$G$1010,'قيود اليومية'!$A$11:$A$1010,A722)-SUMIFS('قيود اليومية'!$H$11:$H$1010,'قيود اليومية'!$A$11:$A$1010,A722),2)&lt;&gt;0,"✖ غير متوازن","مرحل ✔")))</f>
        <v/>
      </c>
      <c r="J722" s="55" t="str">
        <f aca="false">IF(C722="","",IFERROR(INDEX('شجرة الحسابات'!$E$9:$E$208,MATCH(C722,'شجرة الحسابات'!$A$9:$A$208,0))&amp;"",""))</f>
        <v/>
      </c>
      <c r="K722" s="55" t="str">
        <f aca="false">IF(C722="","",IFERROR(INDEX('شجرة الحسابات'!$I$9:$I$208,MATCH(C722,'شجرة الحسابات'!$A$9:$A$208,0))&amp;"",""))</f>
        <v/>
      </c>
      <c r="L722" s="55" t="str">
        <f aca="false">IF(C722="","",IFERROR(INDEX('شجرة الحسابات'!$C$9:$C$208,MATCH(C722,'شجرة الحسابات'!$A$9:$A$208,0))&amp;"",""))</f>
        <v/>
      </c>
      <c r="M722" s="55" t="str">
        <f aca="false">IF(AND(C722="",G722="",H722=""),"فارغ",IF(ISNA(MATCH(C722,'شجرة الحسابات'!$A$9:$A$208,0)),"حساب غير معرف",IF(L722&lt;&gt;"تحليلي","حساب تجميعي",IF(AND(N(G722)&gt;0,N(H722)&gt;0),"مدين ودائن معاً",IF(N(G722)+N(H722)=0,"بدون قيمة","OK")))))</f>
        <v>فارغ</v>
      </c>
      <c r="N722" s="55" t="str">
        <f aca="false">IF(AND(E722&lt;&gt;"",E722='كشف حساب مشروع'!$C$6,I722="مرحل ✔"),COUNTIFS($E$11:E722,'كشف حساب مشروع'!$C$6,$I$11:I722,"مرحل ✔"),"")</f>
        <v/>
      </c>
      <c r="O722" s="55" t="str">
        <f aca="false">IF(AND(C722&lt;&gt;"",C722='دفتر الأستاذ'!$C$6,I722="مرحل ✔"),COUNTIFS($C$11:C722,'دفتر الأستاذ'!$C$6,$I$11:I722,"مرحل ✔"),"")</f>
        <v/>
      </c>
    </row>
    <row r="723" customFormat="false" ht="15" hidden="false" customHeight="false" outlineLevel="0" collapsed="false">
      <c r="A723" s="49"/>
      <c r="B723" s="50"/>
      <c r="C723" s="49"/>
      <c r="D723" s="51" t="str">
        <f aca="false">IF(C723="","",IFERROR(INDEX('شجرة الحسابات'!$B$9:$B$208,MATCH(C723,'شجرة الحسابات'!$A$9:$A$208,0)),"⚠ حساب غير معرف"))</f>
        <v/>
      </c>
      <c r="E723" s="52"/>
      <c r="F723" s="52"/>
      <c r="G723" s="53"/>
      <c r="H723" s="53"/>
      <c r="I723" s="54" t="str">
        <f aca="false">IF(A723="",IF(M723="فارغ","","✖ بدون رقم قيد"),IF(COUNTIFS('قيود اليومية'!$A$11:$A$1010,A723,'قيود اليومية'!$M$11:$M$1010,"&lt;&gt;OK",'قيود اليومية'!$M$11:$M$1010,"&lt;&gt;فارغ")&gt;0,"✖ خطأ بالحساب",IF(ROUND(SUMIFS('قيود اليومية'!$G$11:$G$1010,'قيود اليومية'!$A$11:$A$1010,A723)-SUMIFS('قيود اليومية'!$H$11:$H$1010,'قيود اليومية'!$A$11:$A$1010,A723),2)&lt;&gt;0,"✖ غير متوازن","مرحل ✔")))</f>
        <v/>
      </c>
      <c r="J723" s="55" t="str">
        <f aca="false">IF(C723="","",IFERROR(INDEX('شجرة الحسابات'!$E$9:$E$208,MATCH(C723,'شجرة الحسابات'!$A$9:$A$208,0))&amp;"",""))</f>
        <v/>
      </c>
      <c r="K723" s="55" t="str">
        <f aca="false">IF(C723="","",IFERROR(INDEX('شجرة الحسابات'!$I$9:$I$208,MATCH(C723,'شجرة الحسابات'!$A$9:$A$208,0))&amp;"",""))</f>
        <v/>
      </c>
      <c r="L723" s="55" t="str">
        <f aca="false">IF(C723="","",IFERROR(INDEX('شجرة الحسابات'!$C$9:$C$208,MATCH(C723,'شجرة الحسابات'!$A$9:$A$208,0))&amp;"",""))</f>
        <v/>
      </c>
      <c r="M723" s="55" t="str">
        <f aca="false">IF(AND(C723="",G723="",H723=""),"فارغ",IF(ISNA(MATCH(C723,'شجرة الحسابات'!$A$9:$A$208,0)),"حساب غير معرف",IF(L723&lt;&gt;"تحليلي","حساب تجميعي",IF(AND(N(G723)&gt;0,N(H723)&gt;0),"مدين ودائن معاً",IF(N(G723)+N(H723)=0,"بدون قيمة","OK")))))</f>
        <v>فارغ</v>
      </c>
      <c r="N723" s="55" t="str">
        <f aca="false">IF(AND(E723&lt;&gt;"",E723='كشف حساب مشروع'!$C$6,I723="مرحل ✔"),COUNTIFS($E$11:E723,'كشف حساب مشروع'!$C$6,$I$11:I723,"مرحل ✔"),"")</f>
        <v/>
      </c>
      <c r="O723" s="55" t="str">
        <f aca="false">IF(AND(C723&lt;&gt;"",C723='دفتر الأستاذ'!$C$6,I723="مرحل ✔"),COUNTIFS($C$11:C723,'دفتر الأستاذ'!$C$6,$I$11:I723,"مرحل ✔"),"")</f>
        <v/>
      </c>
    </row>
    <row r="724" customFormat="false" ht="15" hidden="false" customHeight="false" outlineLevel="0" collapsed="false">
      <c r="A724" s="49"/>
      <c r="B724" s="50"/>
      <c r="C724" s="49"/>
      <c r="D724" s="51" t="str">
        <f aca="false">IF(C724="","",IFERROR(INDEX('شجرة الحسابات'!$B$9:$B$208,MATCH(C724,'شجرة الحسابات'!$A$9:$A$208,0)),"⚠ حساب غير معرف"))</f>
        <v/>
      </c>
      <c r="E724" s="52"/>
      <c r="F724" s="52"/>
      <c r="G724" s="53"/>
      <c r="H724" s="53"/>
      <c r="I724" s="54" t="str">
        <f aca="false">IF(A724="",IF(M724="فارغ","","✖ بدون رقم قيد"),IF(COUNTIFS('قيود اليومية'!$A$11:$A$1010,A724,'قيود اليومية'!$M$11:$M$1010,"&lt;&gt;OK",'قيود اليومية'!$M$11:$M$1010,"&lt;&gt;فارغ")&gt;0,"✖ خطأ بالحساب",IF(ROUND(SUMIFS('قيود اليومية'!$G$11:$G$1010,'قيود اليومية'!$A$11:$A$1010,A724)-SUMIFS('قيود اليومية'!$H$11:$H$1010,'قيود اليومية'!$A$11:$A$1010,A724),2)&lt;&gt;0,"✖ غير متوازن","مرحل ✔")))</f>
        <v/>
      </c>
      <c r="J724" s="55" t="str">
        <f aca="false">IF(C724="","",IFERROR(INDEX('شجرة الحسابات'!$E$9:$E$208,MATCH(C724,'شجرة الحسابات'!$A$9:$A$208,0))&amp;"",""))</f>
        <v/>
      </c>
      <c r="K724" s="55" t="str">
        <f aca="false">IF(C724="","",IFERROR(INDEX('شجرة الحسابات'!$I$9:$I$208,MATCH(C724,'شجرة الحسابات'!$A$9:$A$208,0))&amp;"",""))</f>
        <v/>
      </c>
      <c r="L724" s="55" t="str">
        <f aca="false">IF(C724="","",IFERROR(INDEX('شجرة الحسابات'!$C$9:$C$208,MATCH(C724,'شجرة الحسابات'!$A$9:$A$208,0))&amp;"",""))</f>
        <v/>
      </c>
      <c r="M724" s="55" t="str">
        <f aca="false">IF(AND(C724="",G724="",H724=""),"فارغ",IF(ISNA(MATCH(C724,'شجرة الحسابات'!$A$9:$A$208,0)),"حساب غير معرف",IF(L724&lt;&gt;"تحليلي","حساب تجميعي",IF(AND(N(G724)&gt;0,N(H724)&gt;0),"مدين ودائن معاً",IF(N(G724)+N(H724)=0,"بدون قيمة","OK")))))</f>
        <v>فارغ</v>
      </c>
      <c r="N724" s="55" t="str">
        <f aca="false">IF(AND(E724&lt;&gt;"",E724='كشف حساب مشروع'!$C$6,I724="مرحل ✔"),COUNTIFS($E$11:E724,'كشف حساب مشروع'!$C$6,$I$11:I724,"مرحل ✔"),"")</f>
        <v/>
      </c>
      <c r="O724" s="55" t="str">
        <f aca="false">IF(AND(C724&lt;&gt;"",C724='دفتر الأستاذ'!$C$6,I724="مرحل ✔"),COUNTIFS($C$11:C724,'دفتر الأستاذ'!$C$6,$I$11:I724,"مرحل ✔"),"")</f>
        <v/>
      </c>
    </row>
    <row r="725" customFormat="false" ht="15" hidden="false" customHeight="false" outlineLevel="0" collapsed="false">
      <c r="A725" s="49"/>
      <c r="B725" s="50"/>
      <c r="C725" s="49"/>
      <c r="D725" s="51" t="str">
        <f aca="false">IF(C725="","",IFERROR(INDEX('شجرة الحسابات'!$B$9:$B$208,MATCH(C725,'شجرة الحسابات'!$A$9:$A$208,0)),"⚠ حساب غير معرف"))</f>
        <v/>
      </c>
      <c r="E725" s="52"/>
      <c r="F725" s="52"/>
      <c r="G725" s="53"/>
      <c r="H725" s="53"/>
      <c r="I725" s="54" t="str">
        <f aca="false">IF(A725="",IF(M725="فارغ","","✖ بدون رقم قيد"),IF(COUNTIFS('قيود اليومية'!$A$11:$A$1010,A725,'قيود اليومية'!$M$11:$M$1010,"&lt;&gt;OK",'قيود اليومية'!$M$11:$M$1010,"&lt;&gt;فارغ")&gt;0,"✖ خطأ بالحساب",IF(ROUND(SUMIFS('قيود اليومية'!$G$11:$G$1010,'قيود اليومية'!$A$11:$A$1010,A725)-SUMIFS('قيود اليومية'!$H$11:$H$1010,'قيود اليومية'!$A$11:$A$1010,A725),2)&lt;&gt;0,"✖ غير متوازن","مرحل ✔")))</f>
        <v/>
      </c>
      <c r="J725" s="55" t="str">
        <f aca="false">IF(C725="","",IFERROR(INDEX('شجرة الحسابات'!$E$9:$E$208,MATCH(C725,'شجرة الحسابات'!$A$9:$A$208,0))&amp;"",""))</f>
        <v/>
      </c>
      <c r="K725" s="55" t="str">
        <f aca="false">IF(C725="","",IFERROR(INDEX('شجرة الحسابات'!$I$9:$I$208,MATCH(C725,'شجرة الحسابات'!$A$9:$A$208,0))&amp;"",""))</f>
        <v/>
      </c>
      <c r="L725" s="55" t="str">
        <f aca="false">IF(C725="","",IFERROR(INDEX('شجرة الحسابات'!$C$9:$C$208,MATCH(C725,'شجرة الحسابات'!$A$9:$A$208,0))&amp;"",""))</f>
        <v/>
      </c>
      <c r="M725" s="55" t="str">
        <f aca="false">IF(AND(C725="",G725="",H725=""),"فارغ",IF(ISNA(MATCH(C725,'شجرة الحسابات'!$A$9:$A$208,0)),"حساب غير معرف",IF(L725&lt;&gt;"تحليلي","حساب تجميعي",IF(AND(N(G725)&gt;0,N(H725)&gt;0),"مدين ودائن معاً",IF(N(G725)+N(H725)=0,"بدون قيمة","OK")))))</f>
        <v>فارغ</v>
      </c>
      <c r="N725" s="55" t="str">
        <f aca="false">IF(AND(E725&lt;&gt;"",E725='كشف حساب مشروع'!$C$6,I725="مرحل ✔"),COUNTIFS($E$11:E725,'كشف حساب مشروع'!$C$6,$I$11:I725,"مرحل ✔"),"")</f>
        <v/>
      </c>
      <c r="O725" s="55" t="str">
        <f aca="false">IF(AND(C725&lt;&gt;"",C725='دفتر الأستاذ'!$C$6,I725="مرحل ✔"),COUNTIFS($C$11:C725,'دفتر الأستاذ'!$C$6,$I$11:I725,"مرحل ✔"),"")</f>
        <v/>
      </c>
    </row>
    <row r="726" customFormat="false" ht="15" hidden="false" customHeight="false" outlineLevel="0" collapsed="false">
      <c r="A726" s="49"/>
      <c r="B726" s="50"/>
      <c r="C726" s="49"/>
      <c r="D726" s="51" t="str">
        <f aca="false">IF(C726="","",IFERROR(INDEX('شجرة الحسابات'!$B$9:$B$208,MATCH(C726,'شجرة الحسابات'!$A$9:$A$208,0)),"⚠ حساب غير معرف"))</f>
        <v/>
      </c>
      <c r="E726" s="52"/>
      <c r="F726" s="52"/>
      <c r="G726" s="53"/>
      <c r="H726" s="53"/>
      <c r="I726" s="54" t="str">
        <f aca="false">IF(A726="",IF(M726="فارغ","","✖ بدون رقم قيد"),IF(COUNTIFS('قيود اليومية'!$A$11:$A$1010,A726,'قيود اليومية'!$M$11:$M$1010,"&lt;&gt;OK",'قيود اليومية'!$M$11:$M$1010,"&lt;&gt;فارغ")&gt;0,"✖ خطأ بالحساب",IF(ROUND(SUMIFS('قيود اليومية'!$G$11:$G$1010,'قيود اليومية'!$A$11:$A$1010,A726)-SUMIFS('قيود اليومية'!$H$11:$H$1010,'قيود اليومية'!$A$11:$A$1010,A726),2)&lt;&gt;0,"✖ غير متوازن","مرحل ✔")))</f>
        <v/>
      </c>
      <c r="J726" s="55" t="str">
        <f aca="false">IF(C726="","",IFERROR(INDEX('شجرة الحسابات'!$E$9:$E$208,MATCH(C726,'شجرة الحسابات'!$A$9:$A$208,0))&amp;"",""))</f>
        <v/>
      </c>
      <c r="K726" s="55" t="str">
        <f aca="false">IF(C726="","",IFERROR(INDEX('شجرة الحسابات'!$I$9:$I$208,MATCH(C726,'شجرة الحسابات'!$A$9:$A$208,0))&amp;"",""))</f>
        <v/>
      </c>
      <c r="L726" s="55" t="str">
        <f aca="false">IF(C726="","",IFERROR(INDEX('شجرة الحسابات'!$C$9:$C$208,MATCH(C726,'شجرة الحسابات'!$A$9:$A$208,0))&amp;"",""))</f>
        <v/>
      </c>
      <c r="M726" s="55" t="str">
        <f aca="false">IF(AND(C726="",G726="",H726=""),"فارغ",IF(ISNA(MATCH(C726,'شجرة الحسابات'!$A$9:$A$208,0)),"حساب غير معرف",IF(L726&lt;&gt;"تحليلي","حساب تجميعي",IF(AND(N(G726)&gt;0,N(H726)&gt;0),"مدين ودائن معاً",IF(N(G726)+N(H726)=0,"بدون قيمة","OK")))))</f>
        <v>فارغ</v>
      </c>
      <c r="N726" s="55" t="str">
        <f aca="false">IF(AND(E726&lt;&gt;"",E726='كشف حساب مشروع'!$C$6,I726="مرحل ✔"),COUNTIFS($E$11:E726,'كشف حساب مشروع'!$C$6,$I$11:I726,"مرحل ✔"),"")</f>
        <v/>
      </c>
      <c r="O726" s="55" t="str">
        <f aca="false">IF(AND(C726&lt;&gt;"",C726='دفتر الأستاذ'!$C$6,I726="مرحل ✔"),COUNTIFS($C$11:C726,'دفتر الأستاذ'!$C$6,$I$11:I726,"مرحل ✔"),"")</f>
        <v/>
      </c>
    </row>
    <row r="727" customFormat="false" ht="15" hidden="false" customHeight="false" outlineLevel="0" collapsed="false">
      <c r="A727" s="49"/>
      <c r="B727" s="50"/>
      <c r="C727" s="49"/>
      <c r="D727" s="51" t="str">
        <f aca="false">IF(C727="","",IFERROR(INDEX('شجرة الحسابات'!$B$9:$B$208,MATCH(C727,'شجرة الحسابات'!$A$9:$A$208,0)),"⚠ حساب غير معرف"))</f>
        <v/>
      </c>
      <c r="E727" s="52"/>
      <c r="F727" s="52"/>
      <c r="G727" s="53"/>
      <c r="H727" s="53"/>
      <c r="I727" s="54" t="str">
        <f aca="false">IF(A727="",IF(M727="فارغ","","✖ بدون رقم قيد"),IF(COUNTIFS('قيود اليومية'!$A$11:$A$1010,A727,'قيود اليومية'!$M$11:$M$1010,"&lt;&gt;OK",'قيود اليومية'!$M$11:$M$1010,"&lt;&gt;فارغ")&gt;0,"✖ خطأ بالحساب",IF(ROUND(SUMIFS('قيود اليومية'!$G$11:$G$1010,'قيود اليومية'!$A$11:$A$1010,A727)-SUMIFS('قيود اليومية'!$H$11:$H$1010,'قيود اليومية'!$A$11:$A$1010,A727),2)&lt;&gt;0,"✖ غير متوازن","مرحل ✔")))</f>
        <v/>
      </c>
      <c r="J727" s="55" t="str">
        <f aca="false">IF(C727="","",IFERROR(INDEX('شجرة الحسابات'!$E$9:$E$208,MATCH(C727,'شجرة الحسابات'!$A$9:$A$208,0))&amp;"",""))</f>
        <v/>
      </c>
      <c r="K727" s="55" t="str">
        <f aca="false">IF(C727="","",IFERROR(INDEX('شجرة الحسابات'!$I$9:$I$208,MATCH(C727,'شجرة الحسابات'!$A$9:$A$208,0))&amp;"",""))</f>
        <v/>
      </c>
      <c r="L727" s="55" t="str">
        <f aca="false">IF(C727="","",IFERROR(INDEX('شجرة الحسابات'!$C$9:$C$208,MATCH(C727,'شجرة الحسابات'!$A$9:$A$208,0))&amp;"",""))</f>
        <v/>
      </c>
      <c r="M727" s="55" t="str">
        <f aca="false">IF(AND(C727="",G727="",H727=""),"فارغ",IF(ISNA(MATCH(C727,'شجرة الحسابات'!$A$9:$A$208,0)),"حساب غير معرف",IF(L727&lt;&gt;"تحليلي","حساب تجميعي",IF(AND(N(G727)&gt;0,N(H727)&gt;0),"مدين ودائن معاً",IF(N(G727)+N(H727)=0,"بدون قيمة","OK")))))</f>
        <v>فارغ</v>
      </c>
      <c r="N727" s="55" t="str">
        <f aca="false">IF(AND(E727&lt;&gt;"",E727='كشف حساب مشروع'!$C$6,I727="مرحل ✔"),COUNTIFS($E$11:E727,'كشف حساب مشروع'!$C$6,$I$11:I727,"مرحل ✔"),"")</f>
        <v/>
      </c>
      <c r="O727" s="55" t="str">
        <f aca="false">IF(AND(C727&lt;&gt;"",C727='دفتر الأستاذ'!$C$6,I727="مرحل ✔"),COUNTIFS($C$11:C727,'دفتر الأستاذ'!$C$6,$I$11:I727,"مرحل ✔"),"")</f>
        <v/>
      </c>
    </row>
    <row r="728" customFormat="false" ht="15" hidden="false" customHeight="false" outlineLevel="0" collapsed="false">
      <c r="A728" s="49"/>
      <c r="B728" s="50"/>
      <c r="C728" s="49"/>
      <c r="D728" s="51" t="str">
        <f aca="false">IF(C728="","",IFERROR(INDEX('شجرة الحسابات'!$B$9:$B$208,MATCH(C728,'شجرة الحسابات'!$A$9:$A$208,0)),"⚠ حساب غير معرف"))</f>
        <v/>
      </c>
      <c r="E728" s="52"/>
      <c r="F728" s="52"/>
      <c r="G728" s="53"/>
      <c r="H728" s="53"/>
      <c r="I728" s="54" t="str">
        <f aca="false">IF(A728="",IF(M728="فارغ","","✖ بدون رقم قيد"),IF(COUNTIFS('قيود اليومية'!$A$11:$A$1010,A728,'قيود اليومية'!$M$11:$M$1010,"&lt;&gt;OK",'قيود اليومية'!$M$11:$M$1010,"&lt;&gt;فارغ")&gt;0,"✖ خطأ بالحساب",IF(ROUND(SUMIFS('قيود اليومية'!$G$11:$G$1010,'قيود اليومية'!$A$11:$A$1010,A728)-SUMIFS('قيود اليومية'!$H$11:$H$1010,'قيود اليومية'!$A$11:$A$1010,A728),2)&lt;&gt;0,"✖ غير متوازن","مرحل ✔")))</f>
        <v/>
      </c>
      <c r="J728" s="55" t="str">
        <f aca="false">IF(C728="","",IFERROR(INDEX('شجرة الحسابات'!$E$9:$E$208,MATCH(C728,'شجرة الحسابات'!$A$9:$A$208,0))&amp;"",""))</f>
        <v/>
      </c>
      <c r="K728" s="55" t="str">
        <f aca="false">IF(C728="","",IFERROR(INDEX('شجرة الحسابات'!$I$9:$I$208,MATCH(C728,'شجرة الحسابات'!$A$9:$A$208,0))&amp;"",""))</f>
        <v/>
      </c>
      <c r="L728" s="55" t="str">
        <f aca="false">IF(C728="","",IFERROR(INDEX('شجرة الحسابات'!$C$9:$C$208,MATCH(C728,'شجرة الحسابات'!$A$9:$A$208,0))&amp;"",""))</f>
        <v/>
      </c>
      <c r="M728" s="55" t="str">
        <f aca="false">IF(AND(C728="",G728="",H728=""),"فارغ",IF(ISNA(MATCH(C728,'شجرة الحسابات'!$A$9:$A$208,0)),"حساب غير معرف",IF(L728&lt;&gt;"تحليلي","حساب تجميعي",IF(AND(N(G728)&gt;0,N(H728)&gt;0),"مدين ودائن معاً",IF(N(G728)+N(H728)=0,"بدون قيمة","OK")))))</f>
        <v>فارغ</v>
      </c>
      <c r="N728" s="55" t="str">
        <f aca="false">IF(AND(E728&lt;&gt;"",E728='كشف حساب مشروع'!$C$6,I728="مرحل ✔"),COUNTIFS($E$11:E728,'كشف حساب مشروع'!$C$6,$I$11:I728,"مرحل ✔"),"")</f>
        <v/>
      </c>
      <c r="O728" s="55" t="str">
        <f aca="false">IF(AND(C728&lt;&gt;"",C728='دفتر الأستاذ'!$C$6,I728="مرحل ✔"),COUNTIFS($C$11:C728,'دفتر الأستاذ'!$C$6,$I$11:I728,"مرحل ✔"),"")</f>
        <v/>
      </c>
    </row>
    <row r="729" customFormat="false" ht="15" hidden="false" customHeight="false" outlineLevel="0" collapsed="false">
      <c r="A729" s="49"/>
      <c r="B729" s="50"/>
      <c r="C729" s="49"/>
      <c r="D729" s="51" t="str">
        <f aca="false">IF(C729="","",IFERROR(INDEX('شجرة الحسابات'!$B$9:$B$208,MATCH(C729,'شجرة الحسابات'!$A$9:$A$208,0)),"⚠ حساب غير معرف"))</f>
        <v/>
      </c>
      <c r="E729" s="52"/>
      <c r="F729" s="52"/>
      <c r="G729" s="53"/>
      <c r="H729" s="53"/>
      <c r="I729" s="54" t="str">
        <f aca="false">IF(A729="",IF(M729="فارغ","","✖ بدون رقم قيد"),IF(COUNTIFS('قيود اليومية'!$A$11:$A$1010,A729,'قيود اليومية'!$M$11:$M$1010,"&lt;&gt;OK",'قيود اليومية'!$M$11:$M$1010,"&lt;&gt;فارغ")&gt;0,"✖ خطأ بالحساب",IF(ROUND(SUMIFS('قيود اليومية'!$G$11:$G$1010,'قيود اليومية'!$A$11:$A$1010,A729)-SUMIFS('قيود اليومية'!$H$11:$H$1010,'قيود اليومية'!$A$11:$A$1010,A729),2)&lt;&gt;0,"✖ غير متوازن","مرحل ✔")))</f>
        <v/>
      </c>
      <c r="J729" s="55" t="str">
        <f aca="false">IF(C729="","",IFERROR(INDEX('شجرة الحسابات'!$E$9:$E$208,MATCH(C729,'شجرة الحسابات'!$A$9:$A$208,0))&amp;"",""))</f>
        <v/>
      </c>
      <c r="K729" s="55" t="str">
        <f aca="false">IF(C729="","",IFERROR(INDEX('شجرة الحسابات'!$I$9:$I$208,MATCH(C729,'شجرة الحسابات'!$A$9:$A$208,0))&amp;"",""))</f>
        <v/>
      </c>
      <c r="L729" s="55" t="str">
        <f aca="false">IF(C729="","",IFERROR(INDEX('شجرة الحسابات'!$C$9:$C$208,MATCH(C729,'شجرة الحسابات'!$A$9:$A$208,0))&amp;"",""))</f>
        <v/>
      </c>
      <c r="M729" s="55" t="str">
        <f aca="false">IF(AND(C729="",G729="",H729=""),"فارغ",IF(ISNA(MATCH(C729,'شجرة الحسابات'!$A$9:$A$208,0)),"حساب غير معرف",IF(L729&lt;&gt;"تحليلي","حساب تجميعي",IF(AND(N(G729)&gt;0,N(H729)&gt;0),"مدين ودائن معاً",IF(N(G729)+N(H729)=0,"بدون قيمة","OK")))))</f>
        <v>فارغ</v>
      </c>
      <c r="N729" s="55" t="str">
        <f aca="false">IF(AND(E729&lt;&gt;"",E729='كشف حساب مشروع'!$C$6,I729="مرحل ✔"),COUNTIFS($E$11:E729,'كشف حساب مشروع'!$C$6,$I$11:I729,"مرحل ✔"),"")</f>
        <v/>
      </c>
      <c r="O729" s="55" t="str">
        <f aca="false">IF(AND(C729&lt;&gt;"",C729='دفتر الأستاذ'!$C$6,I729="مرحل ✔"),COUNTIFS($C$11:C729,'دفتر الأستاذ'!$C$6,$I$11:I729,"مرحل ✔"),"")</f>
        <v/>
      </c>
    </row>
    <row r="730" customFormat="false" ht="15" hidden="false" customHeight="false" outlineLevel="0" collapsed="false">
      <c r="A730" s="49"/>
      <c r="B730" s="50"/>
      <c r="C730" s="49"/>
      <c r="D730" s="51" t="str">
        <f aca="false">IF(C730="","",IFERROR(INDEX('شجرة الحسابات'!$B$9:$B$208,MATCH(C730,'شجرة الحسابات'!$A$9:$A$208,0)),"⚠ حساب غير معرف"))</f>
        <v/>
      </c>
      <c r="E730" s="52"/>
      <c r="F730" s="52"/>
      <c r="G730" s="53"/>
      <c r="H730" s="53"/>
      <c r="I730" s="54" t="str">
        <f aca="false">IF(A730="",IF(M730="فارغ","","✖ بدون رقم قيد"),IF(COUNTIFS('قيود اليومية'!$A$11:$A$1010,A730,'قيود اليومية'!$M$11:$M$1010,"&lt;&gt;OK",'قيود اليومية'!$M$11:$M$1010,"&lt;&gt;فارغ")&gt;0,"✖ خطأ بالحساب",IF(ROUND(SUMIFS('قيود اليومية'!$G$11:$G$1010,'قيود اليومية'!$A$11:$A$1010,A730)-SUMIFS('قيود اليومية'!$H$11:$H$1010,'قيود اليومية'!$A$11:$A$1010,A730),2)&lt;&gt;0,"✖ غير متوازن","مرحل ✔")))</f>
        <v/>
      </c>
      <c r="J730" s="55" t="str">
        <f aca="false">IF(C730="","",IFERROR(INDEX('شجرة الحسابات'!$E$9:$E$208,MATCH(C730,'شجرة الحسابات'!$A$9:$A$208,0))&amp;"",""))</f>
        <v/>
      </c>
      <c r="K730" s="55" t="str">
        <f aca="false">IF(C730="","",IFERROR(INDEX('شجرة الحسابات'!$I$9:$I$208,MATCH(C730,'شجرة الحسابات'!$A$9:$A$208,0))&amp;"",""))</f>
        <v/>
      </c>
      <c r="L730" s="55" t="str">
        <f aca="false">IF(C730="","",IFERROR(INDEX('شجرة الحسابات'!$C$9:$C$208,MATCH(C730,'شجرة الحسابات'!$A$9:$A$208,0))&amp;"",""))</f>
        <v/>
      </c>
      <c r="M730" s="55" t="str">
        <f aca="false">IF(AND(C730="",G730="",H730=""),"فارغ",IF(ISNA(MATCH(C730,'شجرة الحسابات'!$A$9:$A$208,0)),"حساب غير معرف",IF(L730&lt;&gt;"تحليلي","حساب تجميعي",IF(AND(N(G730)&gt;0,N(H730)&gt;0),"مدين ودائن معاً",IF(N(G730)+N(H730)=0,"بدون قيمة","OK")))))</f>
        <v>فارغ</v>
      </c>
      <c r="N730" s="55" t="str">
        <f aca="false">IF(AND(E730&lt;&gt;"",E730='كشف حساب مشروع'!$C$6,I730="مرحل ✔"),COUNTIFS($E$11:E730,'كشف حساب مشروع'!$C$6,$I$11:I730,"مرحل ✔"),"")</f>
        <v/>
      </c>
      <c r="O730" s="55" t="str">
        <f aca="false">IF(AND(C730&lt;&gt;"",C730='دفتر الأستاذ'!$C$6,I730="مرحل ✔"),COUNTIFS($C$11:C730,'دفتر الأستاذ'!$C$6,$I$11:I730,"مرحل ✔"),"")</f>
        <v/>
      </c>
    </row>
    <row r="731" customFormat="false" ht="15" hidden="false" customHeight="false" outlineLevel="0" collapsed="false">
      <c r="A731" s="49"/>
      <c r="B731" s="50"/>
      <c r="C731" s="49"/>
      <c r="D731" s="51" t="str">
        <f aca="false">IF(C731="","",IFERROR(INDEX('شجرة الحسابات'!$B$9:$B$208,MATCH(C731,'شجرة الحسابات'!$A$9:$A$208,0)),"⚠ حساب غير معرف"))</f>
        <v/>
      </c>
      <c r="E731" s="52"/>
      <c r="F731" s="52"/>
      <c r="G731" s="53"/>
      <c r="H731" s="53"/>
      <c r="I731" s="54" t="str">
        <f aca="false">IF(A731="",IF(M731="فارغ","","✖ بدون رقم قيد"),IF(COUNTIFS('قيود اليومية'!$A$11:$A$1010,A731,'قيود اليومية'!$M$11:$M$1010,"&lt;&gt;OK",'قيود اليومية'!$M$11:$M$1010,"&lt;&gt;فارغ")&gt;0,"✖ خطأ بالحساب",IF(ROUND(SUMIFS('قيود اليومية'!$G$11:$G$1010,'قيود اليومية'!$A$11:$A$1010,A731)-SUMIFS('قيود اليومية'!$H$11:$H$1010,'قيود اليومية'!$A$11:$A$1010,A731),2)&lt;&gt;0,"✖ غير متوازن","مرحل ✔")))</f>
        <v/>
      </c>
      <c r="J731" s="55" t="str">
        <f aca="false">IF(C731="","",IFERROR(INDEX('شجرة الحسابات'!$E$9:$E$208,MATCH(C731,'شجرة الحسابات'!$A$9:$A$208,0))&amp;"",""))</f>
        <v/>
      </c>
      <c r="K731" s="55" t="str">
        <f aca="false">IF(C731="","",IFERROR(INDEX('شجرة الحسابات'!$I$9:$I$208,MATCH(C731,'شجرة الحسابات'!$A$9:$A$208,0))&amp;"",""))</f>
        <v/>
      </c>
      <c r="L731" s="55" t="str">
        <f aca="false">IF(C731="","",IFERROR(INDEX('شجرة الحسابات'!$C$9:$C$208,MATCH(C731,'شجرة الحسابات'!$A$9:$A$208,0))&amp;"",""))</f>
        <v/>
      </c>
      <c r="M731" s="55" t="str">
        <f aca="false">IF(AND(C731="",G731="",H731=""),"فارغ",IF(ISNA(MATCH(C731,'شجرة الحسابات'!$A$9:$A$208,0)),"حساب غير معرف",IF(L731&lt;&gt;"تحليلي","حساب تجميعي",IF(AND(N(G731)&gt;0,N(H731)&gt;0),"مدين ودائن معاً",IF(N(G731)+N(H731)=0,"بدون قيمة","OK")))))</f>
        <v>فارغ</v>
      </c>
      <c r="N731" s="55" t="str">
        <f aca="false">IF(AND(E731&lt;&gt;"",E731='كشف حساب مشروع'!$C$6,I731="مرحل ✔"),COUNTIFS($E$11:E731,'كشف حساب مشروع'!$C$6,$I$11:I731,"مرحل ✔"),"")</f>
        <v/>
      </c>
      <c r="O731" s="55" t="str">
        <f aca="false">IF(AND(C731&lt;&gt;"",C731='دفتر الأستاذ'!$C$6,I731="مرحل ✔"),COUNTIFS($C$11:C731,'دفتر الأستاذ'!$C$6,$I$11:I731,"مرحل ✔"),"")</f>
        <v/>
      </c>
    </row>
    <row r="732" customFormat="false" ht="15" hidden="false" customHeight="false" outlineLevel="0" collapsed="false">
      <c r="A732" s="49"/>
      <c r="B732" s="50"/>
      <c r="C732" s="49"/>
      <c r="D732" s="51" t="str">
        <f aca="false">IF(C732="","",IFERROR(INDEX('شجرة الحسابات'!$B$9:$B$208,MATCH(C732,'شجرة الحسابات'!$A$9:$A$208,0)),"⚠ حساب غير معرف"))</f>
        <v/>
      </c>
      <c r="E732" s="52"/>
      <c r="F732" s="52"/>
      <c r="G732" s="53"/>
      <c r="H732" s="53"/>
      <c r="I732" s="54" t="str">
        <f aca="false">IF(A732="",IF(M732="فارغ","","✖ بدون رقم قيد"),IF(COUNTIFS('قيود اليومية'!$A$11:$A$1010,A732,'قيود اليومية'!$M$11:$M$1010,"&lt;&gt;OK",'قيود اليومية'!$M$11:$M$1010,"&lt;&gt;فارغ")&gt;0,"✖ خطأ بالحساب",IF(ROUND(SUMIFS('قيود اليومية'!$G$11:$G$1010,'قيود اليومية'!$A$11:$A$1010,A732)-SUMIFS('قيود اليومية'!$H$11:$H$1010,'قيود اليومية'!$A$11:$A$1010,A732),2)&lt;&gt;0,"✖ غير متوازن","مرحل ✔")))</f>
        <v/>
      </c>
      <c r="J732" s="55" t="str">
        <f aca="false">IF(C732="","",IFERROR(INDEX('شجرة الحسابات'!$E$9:$E$208,MATCH(C732,'شجرة الحسابات'!$A$9:$A$208,0))&amp;"",""))</f>
        <v/>
      </c>
      <c r="K732" s="55" t="str">
        <f aca="false">IF(C732="","",IFERROR(INDEX('شجرة الحسابات'!$I$9:$I$208,MATCH(C732,'شجرة الحسابات'!$A$9:$A$208,0))&amp;"",""))</f>
        <v/>
      </c>
      <c r="L732" s="55" t="str">
        <f aca="false">IF(C732="","",IFERROR(INDEX('شجرة الحسابات'!$C$9:$C$208,MATCH(C732,'شجرة الحسابات'!$A$9:$A$208,0))&amp;"",""))</f>
        <v/>
      </c>
      <c r="M732" s="55" t="str">
        <f aca="false">IF(AND(C732="",G732="",H732=""),"فارغ",IF(ISNA(MATCH(C732,'شجرة الحسابات'!$A$9:$A$208,0)),"حساب غير معرف",IF(L732&lt;&gt;"تحليلي","حساب تجميعي",IF(AND(N(G732)&gt;0,N(H732)&gt;0),"مدين ودائن معاً",IF(N(G732)+N(H732)=0,"بدون قيمة","OK")))))</f>
        <v>فارغ</v>
      </c>
      <c r="N732" s="55" t="str">
        <f aca="false">IF(AND(E732&lt;&gt;"",E732='كشف حساب مشروع'!$C$6,I732="مرحل ✔"),COUNTIFS($E$11:E732,'كشف حساب مشروع'!$C$6,$I$11:I732,"مرحل ✔"),"")</f>
        <v/>
      </c>
      <c r="O732" s="55" t="str">
        <f aca="false">IF(AND(C732&lt;&gt;"",C732='دفتر الأستاذ'!$C$6,I732="مرحل ✔"),COUNTIFS($C$11:C732,'دفتر الأستاذ'!$C$6,$I$11:I732,"مرحل ✔"),"")</f>
        <v/>
      </c>
    </row>
    <row r="733" customFormat="false" ht="15" hidden="false" customHeight="false" outlineLevel="0" collapsed="false">
      <c r="A733" s="49"/>
      <c r="B733" s="50"/>
      <c r="C733" s="49"/>
      <c r="D733" s="51" t="str">
        <f aca="false">IF(C733="","",IFERROR(INDEX('شجرة الحسابات'!$B$9:$B$208,MATCH(C733,'شجرة الحسابات'!$A$9:$A$208,0)),"⚠ حساب غير معرف"))</f>
        <v/>
      </c>
      <c r="E733" s="52"/>
      <c r="F733" s="52"/>
      <c r="G733" s="53"/>
      <c r="H733" s="53"/>
      <c r="I733" s="54" t="str">
        <f aca="false">IF(A733="",IF(M733="فارغ","","✖ بدون رقم قيد"),IF(COUNTIFS('قيود اليومية'!$A$11:$A$1010,A733,'قيود اليومية'!$M$11:$M$1010,"&lt;&gt;OK",'قيود اليومية'!$M$11:$M$1010,"&lt;&gt;فارغ")&gt;0,"✖ خطأ بالحساب",IF(ROUND(SUMIFS('قيود اليومية'!$G$11:$G$1010,'قيود اليومية'!$A$11:$A$1010,A733)-SUMIFS('قيود اليومية'!$H$11:$H$1010,'قيود اليومية'!$A$11:$A$1010,A733),2)&lt;&gt;0,"✖ غير متوازن","مرحل ✔")))</f>
        <v/>
      </c>
      <c r="J733" s="55" t="str">
        <f aca="false">IF(C733="","",IFERROR(INDEX('شجرة الحسابات'!$E$9:$E$208,MATCH(C733,'شجرة الحسابات'!$A$9:$A$208,0))&amp;"",""))</f>
        <v/>
      </c>
      <c r="K733" s="55" t="str">
        <f aca="false">IF(C733="","",IFERROR(INDEX('شجرة الحسابات'!$I$9:$I$208,MATCH(C733,'شجرة الحسابات'!$A$9:$A$208,0))&amp;"",""))</f>
        <v/>
      </c>
      <c r="L733" s="55" t="str">
        <f aca="false">IF(C733="","",IFERROR(INDEX('شجرة الحسابات'!$C$9:$C$208,MATCH(C733,'شجرة الحسابات'!$A$9:$A$208,0))&amp;"",""))</f>
        <v/>
      </c>
      <c r="M733" s="55" t="str">
        <f aca="false">IF(AND(C733="",G733="",H733=""),"فارغ",IF(ISNA(MATCH(C733,'شجرة الحسابات'!$A$9:$A$208,0)),"حساب غير معرف",IF(L733&lt;&gt;"تحليلي","حساب تجميعي",IF(AND(N(G733)&gt;0,N(H733)&gt;0),"مدين ودائن معاً",IF(N(G733)+N(H733)=0,"بدون قيمة","OK")))))</f>
        <v>فارغ</v>
      </c>
      <c r="N733" s="55" t="str">
        <f aca="false">IF(AND(E733&lt;&gt;"",E733='كشف حساب مشروع'!$C$6,I733="مرحل ✔"),COUNTIFS($E$11:E733,'كشف حساب مشروع'!$C$6,$I$11:I733,"مرحل ✔"),"")</f>
        <v/>
      </c>
      <c r="O733" s="55" t="str">
        <f aca="false">IF(AND(C733&lt;&gt;"",C733='دفتر الأستاذ'!$C$6,I733="مرحل ✔"),COUNTIFS($C$11:C733,'دفتر الأستاذ'!$C$6,$I$11:I733,"مرحل ✔"),"")</f>
        <v/>
      </c>
    </row>
    <row r="734" customFormat="false" ht="15" hidden="false" customHeight="false" outlineLevel="0" collapsed="false">
      <c r="A734" s="49"/>
      <c r="B734" s="50"/>
      <c r="C734" s="49"/>
      <c r="D734" s="51" t="str">
        <f aca="false">IF(C734="","",IFERROR(INDEX('شجرة الحسابات'!$B$9:$B$208,MATCH(C734,'شجرة الحسابات'!$A$9:$A$208,0)),"⚠ حساب غير معرف"))</f>
        <v/>
      </c>
      <c r="E734" s="52"/>
      <c r="F734" s="52"/>
      <c r="G734" s="53"/>
      <c r="H734" s="53"/>
      <c r="I734" s="54" t="str">
        <f aca="false">IF(A734="",IF(M734="فارغ","","✖ بدون رقم قيد"),IF(COUNTIFS('قيود اليومية'!$A$11:$A$1010,A734,'قيود اليومية'!$M$11:$M$1010,"&lt;&gt;OK",'قيود اليومية'!$M$11:$M$1010,"&lt;&gt;فارغ")&gt;0,"✖ خطأ بالحساب",IF(ROUND(SUMIFS('قيود اليومية'!$G$11:$G$1010,'قيود اليومية'!$A$11:$A$1010,A734)-SUMIFS('قيود اليومية'!$H$11:$H$1010,'قيود اليومية'!$A$11:$A$1010,A734),2)&lt;&gt;0,"✖ غير متوازن","مرحل ✔")))</f>
        <v/>
      </c>
      <c r="J734" s="55" t="str">
        <f aca="false">IF(C734="","",IFERROR(INDEX('شجرة الحسابات'!$E$9:$E$208,MATCH(C734,'شجرة الحسابات'!$A$9:$A$208,0))&amp;"",""))</f>
        <v/>
      </c>
      <c r="K734" s="55" t="str">
        <f aca="false">IF(C734="","",IFERROR(INDEX('شجرة الحسابات'!$I$9:$I$208,MATCH(C734,'شجرة الحسابات'!$A$9:$A$208,0))&amp;"",""))</f>
        <v/>
      </c>
      <c r="L734" s="55" t="str">
        <f aca="false">IF(C734="","",IFERROR(INDEX('شجرة الحسابات'!$C$9:$C$208,MATCH(C734,'شجرة الحسابات'!$A$9:$A$208,0))&amp;"",""))</f>
        <v/>
      </c>
      <c r="M734" s="55" t="str">
        <f aca="false">IF(AND(C734="",G734="",H734=""),"فارغ",IF(ISNA(MATCH(C734,'شجرة الحسابات'!$A$9:$A$208,0)),"حساب غير معرف",IF(L734&lt;&gt;"تحليلي","حساب تجميعي",IF(AND(N(G734)&gt;0,N(H734)&gt;0),"مدين ودائن معاً",IF(N(G734)+N(H734)=0,"بدون قيمة","OK")))))</f>
        <v>فارغ</v>
      </c>
      <c r="N734" s="55" t="str">
        <f aca="false">IF(AND(E734&lt;&gt;"",E734='كشف حساب مشروع'!$C$6,I734="مرحل ✔"),COUNTIFS($E$11:E734,'كشف حساب مشروع'!$C$6,$I$11:I734,"مرحل ✔"),"")</f>
        <v/>
      </c>
      <c r="O734" s="55" t="str">
        <f aca="false">IF(AND(C734&lt;&gt;"",C734='دفتر الأستاذ'!$C$6,I734="مرحل ✔"),COUNTIFS($C$11:C734,'دفتر الأستاذ'!$C$6,$I$11:I734,"مرحل ✔"),"")</f>
        <v/>
      </c>
    </row>
    <row r="735" customFormat="false" ht="15" hidden="false" customHeight="false" outlineLevel="0" collapsed="false">
      <c r="A735" s="49"/>
      <c r="B735" s="50"/>
      <c r="C735" s="49"/>
      <c r="D735" s="51" t="str">
        <f aca="false">IF(C735="","",IFERROR(INDEX('شجرة الحسابات'!$B$9:$B$208,MATCH(C735,'شجرة الحسابات'!$A$9:$A$208,0)),"⚠ حساب غير معرف"))</f>
        <v/>
      </c>
      <c r="E735" s="52"/>
      <c r="F735" s="52"/>
      <c r="G735" s="53"/>
      <c r="H735" s="53"/>
      <c r="I735" s="54" t="str">
        <f aca="false">IF(A735="",IF(M735="فارغ","","✖ بدون رقم قيد"),IF(COUNTIFS('قيود اليومية'!$A$11:$A$1010,A735,'قيود اليومية'!$M$11:$M$1010,"&lt;&gt;OK",'قيود اليومية'!$M$11:$M$1010,"&lt;&gt;فارغ")&gt;0,"✖ خطأ بالحساب",IF(ROUND(SUMIFS('قيود اليومية'!$G$11:$G$1010,'قيود اليومية'!$A$11:$A$1010,A735)-SUMIFS('قيود اليومية'!$H$11:$H$1010,'قيود اليومية'!$A$11:$A$1010,A735),2)&lt;&gt;0,"✖ غير متوازن","مرحل ✔")))</f>
        <v/>
      </c>
      <c r="J735" s="55" t="str">
        <f aca="false">IF(C735="","",IFERROR(INDEX('شجرة الحسابات'!$E$9:$E$208,MATCH(C735,'شجرة الحسابات'!$A$9:$A$208,0))&amp;"",""))</f>
        <v/>
      </c>
      <c r="K735" s="55" t="str">
        <f aca="false">IF(C735="","",IFERROR(INDEX('شجرة الحسابات'!$I$9:$I$208,MATCH(C735,'شجرة الحسابات'!$A$9:$A$208,0))&amp;"",""))</f>
        <v/>
      </c>
      <c r="L735" s="55" t="str">
        <f aca="false">IF(C735="","",IFERROR(INDEX('شجرة الحسابات'!$C$9:$C$208,MATCH(C735,'شجرة الحسابات'!$A$9:$A$208,0))&amp;"",""))</f>
        <v/>
      </c>
      <c r="M735" s="55" t="str">
        <f aca="false">IF(AND(C735="",G735="",H735=""),"فارغ",IF(ISNA(MATCH(C735,'شجرة الحسابات'!$A$9:$A$208,0)),"حساب غير معرف",IF(L735&lt;&gt;"تحليلي","حساب تجميعي",IF(AND(N(G735)&gt;0,N(H735)&gt;0),"مدين ودائن معاً",IF(N(G735)+N(H735)=0,"بدون قيمة","OK")))))</f>
        <v>فارغ</v>
      </c>
      <c r="N735" s="55" t="str">
        <f aca="false">IF(AND(E735&lt;&gt;"",E735='كشف حساب مشروع'!$C$6,I735="مرحل ✔"),COUNTIFS($E$11:E735,'كشف حساب مشروع'!$C$6,$I$11:I735,"مرحل ✔"),"")</f>
        <v/>
      </c>
      <c r="O735" s="55" t="str">
        <f aca="false">IF(AND(C735&lt;&gt;"",C735='دفتر الأستاذ'!$C$6,I735="مرحل ✔"),COUNTIFS($C$11:C735,'دفتر الأستاذ'!$C$6,$I$11:I735,"مرحل ✔"),"")</f>
        <v/>
      </c>
    </row>
    <row r="736" customFormat="false" ht="15" hidden="false" customHeight="false" outlineLevel="0" collapsed="false">
      <c r="A736" s="49"/>
      <c r="B736" s="50"/>
      <c r="C736" s="49"/>
      <c r="D736" s="51" t="str">
        <f aca="false">IF(C736="","",IFERROR(INDEX('شجرة الحسابات'!$B$9:$B$208,MATCH(C736,'شجرة الحسابات'!$A$9:$A$208,0)),"⚠ حساب غير معرف"))</f>
        <v/>
      </c>
      <c r="E736" s="52"/>
      <c r="F736" s="52"/>
      <c r="G736" s="53"/>
      <c r="H736" s="53"/>
      <c r="I736" s="54" t="str">
        <f aca="false">IF(A736="",IF(M736="فارغ","","✖ بدون رقم قيد"),IF(COUNTIFS('قيود اليومية'!$A$11:$A$1010,A736,'قيود اليومية'!$M$11:$M$1010,"&lt;&gt;OK",'قيود اليومية'!$M$11:$M$1010,"&lt;&gt;فارغ")&gt;0,"✖ خطأ بالحساب",IF(ROUND(SUMIFS('قيود اليومية'!$G$11:$G$1010,'قيود اليومية'!$A$11:$A$1010,A736)-SUMIFS('قيود اليومية'!$H$11:$H$1010,'قيود اليومية'!$A$11:$A$1010,A736),2)&lt;&gt;0,"✖ غير متوازن","مرحل ✔")))</f>
        <v/>
      </c>
      <c r="J736" s="55" t="str">
        <f aca="false">IF(C736="","",IFERROR(INDEX('شجرة الحسابات'!$E$9:$E$208,MATCH(C736,'شجرة الحسابات'!$A$9:$A$208,0))&amp;"",""))</f>
        <v/>
      </c>
      <c r="K736" s="55" t="str">
        <f aca="false">IF(C736="","",IFERROR(INDEX('شجرة الحسابات'!$I$9:$I$208,MATCH(C736,'شجرة الحسابات'!$A$9:$A$208,0))&amp;"",""))</f>
        <v/>
      </c>
      <c r="L736" s="55" t="str">
        <f aca="false">IF(C736="","",IFERROR(INDEX('شجرة الحسابات'!$C$9:$C$208,MATCH(C736,'شجرة الحسابات'!$A$9:$A$208,0))&amp;"",""))</f>
        <v/>
      </c>
      <c r="M736" s="55" t="str">
        <f aca="false">IF(AND(C736="",G736="",H736=""),"فارغ",IF(ISNA(MATCH(C736,'شجرة الحسابات'!$A$9:$A$208,0)),"حساب غير معرف",IF(L736&lt;&gt;"تحليلي","حساب تجميعي",IF(AND(N(G736)&gt;0,N(H736)&gt;0),"مدين ودائن معاً",IF(N(G736)+N(H736)=0,"بدون قيمة","OK")))))</f>
        <v>فارغ</v>
      </c>
      <c r="N736" s="55" t="str">
        <f aca="false">IF(AND(E736&lt;&gt;"",E736='كشف حساب مشروع'!$C$6,I736="مرحل ✔"),COUNTIFS($E$11:E736,'كشف حساب مشروع'!$C$6,$I$11:I736,"مرحل ✔"),"")</f>
        <v/>
      </c>
      <c r="O736" s="55" t="str">
        <f aca="false">IF(AND(C736&lt;&gt;"",C736='دفتر الأستاذ'!$C$6,I736="مرحل ✔"),COUNTIFS($C$11:C736,'دفتر الأستاذ'!$C$6,$I$11:I736,"مرحل ✔"),"")</f>
        <v/>
      </c>
    </row>
    <row r="737" customFormat="false" ht="15" hidden="false" customHeight="false" outlineLevel="0" collapsed="false">
      <c r="A737" s="49"/>
      <c r="B737" s="50"/>
      <c r="C737" s="49"/>
      <c r="D737" s="51" t="str">
        <f aca="false">IF(C737="","",IFERROR(INDEX('شجرة الحسابات'!$B$9:$B$208,MATCH(C737,'شجرة الحسابات'!$A$9:$A$208,0)),"⚠ حساب غير معرف"))</f>
        <v/>
      </c>
      <c r="E737" s="52"/>
      <c r="F737" s="52"/>
      <c r="G737" s="53"/>
      <c r="H737" s="53"/>
      <c r="I737" s="54" t="str">
        <f aca="false">IF(A737="",IF(M737="فارغ","","✖ بدون رقم قيد"),IF(COUNTIFS('قيود اليومية'!$A$11:$A$1010,A737,'قيود اليومية'!$M$11:$M$1010,"&lt;&gt;OK",'قيود اليومية'!$M$11:$M$1010,"&lt;&gt;فارغ")&gt;0,"✖ خطأ بالحساب",IF(ROUND(SUMIFS('قيود اليومية'!$G$11:$G$1010,'قيود اليومية'!$A$11:$A$1010,A737)-SUMIFS('قيود اليومية'!$H$11:$H$1010,'قيود اليومية'!$A$11:$A$1010,A737),2)&lt;&gt;0,"✖ غير متوازن","مرحل ✔")))</f>
        <v/>
      </c>
      <c r="J737" s="55" t="str">
        <f aca="false">IF(C737="","",IFERROR(INDEX('شجرة الحسابات'!$E$9:$E$208,MATCH(C737,'شجرة الحسابات'!$A$9:$A$208,0))&amp;"",""))</f>
        <v/>
      </c>
      <c r="K737" s="55" t="str">
        <f aca="false">IF(C737="","",IFERROR(INDEX('شجرة الحسابات'!$I$9:$I$208,MATCH(C737,'شجرة الحسابات'!$A$9:$A$208,0))&amp;"",""))</f>
        <v/>
      </c>
      <c r="L737" s="55" t="str">
        <f aca="false">IF(C737="","",IFERROR(INDEX('شجرة الحسابات'!$C$9:$C$208,MATCH(C737,'شجرة الحسابات'!$A$9:$A$208,0))&amp;"",""))</f>
        <v/>
      </c>
      <c r="M737" s="55" t="str">
        <f aca="false">IF(AND(C737="",G737="",H737=""),"فارغ",IF(ISNA(MATCH(C737,'شجرة الحسابات'!$A$9:$A$208,0)),"حساب غير معرف",IF(L737&lt;&gt;"تحليلي","حساب تجميعي",IF(AND(N(G737)&gt;0,N(H737)&gt;0),"مدين ودائن معاً",IF(N(G737)+N(H737)=0,"بدون قيمة","OK")))))</f>
        <v>فارغ</v>
      </c>
      <c r="N737" s="55" t="str">
        <f aca="false">IF(AND(E737&lt;&gt;"",E737='كشف حساب مشروع'!$C$6,I737="مرحل ✔"),COUNTIFS($E$11:E737,'كشف حساب مشروع'!$C$6,$I$11:I737,"مرحل ✔"),"")</f>
        <v/>
      </c>
      <c r="O737" s="55" t="str">
        <f aca="false">IF(AND(C737&lt;&gt;"",C737='دفتر الأستاذ'!$C$6,I737="مرحل ✔"),COUNTIFS($C$11:C737,'دفتر الأستاذ'!$C$6,$I$11:I737,"مرحل ✔"),"")</f>
        <v/>
      </c>
    </row>
    <row r="738" customFormat="false" ht="15" hidden="false" customHeight="false" outlineLevel="0" collapsed="false">
      <c r="A738" s="49"/>
      <c r="B738" s="50"/>
      <c r="C738" s="49"/>
      <c r="D738" s="51" t="str">
        <f aca="false">IF(C738="","",IFERROR(INDEX('شجرة الحسابات'!$B$9:$B$208,MATCH(C738,'شجرة الحسابات'!$A$9:$A$208,0)),"⚠ حساب غير معرف"))</f>
        <v/>
      </c>
      <c r="E738" s="52"/>
      <c r="F738" s="52"/>
      <c r="G738" s="53"/>
      <c r="H738" s="53"/>
      <c r="I738" s="54" t="str">
        <f aca="false">IF(A738="",IF(M738="فارغ","","✖ بدون رقم قيد"),IF(COUNTIFS('قيود اليومية'!$A$11:$A$1010,A738,'قيود اليومية'!$M$11:$M$1010,"&lt;&gt;OK",'قيود اليومية'!$M$11:$M$1010,"&lt;&gt;فارغ")&gt;0,"✖ خطأ بالحساب",IF(ROUND(SUMIFS('قيود اليومية'!$G$11:$G$1010,'قيود اليومية'!$A$11:$A$1010,A738)-SUMIFS('قيود اليومية'!$H$11:$H$1010,'قيود اليومية'!$A$11:$A$1010,A738),2)&lt;&gt;0,"✖ غير متوازن","مرحل ✔")))</f>
        <v/>
      </c>
      <c r="J738" s="55" t="str">
        <f aca="false">IF(C738="","",IFERROR(INDEX('شجرة الحسابات'!$E$9:$E$208,MATCH(C738,'شجرة الحسابات'!$A$9:$A$208,0))&amp;"",""))</f>
        <v/>
      </c>
      <c r="K738" s="55" t="str">
        <f aca="false">IF(C738="","",IFERROR(INDEX('شجرة الحسابات'!$I$9:$I$208,MATCH(C738,'شجرة الحسابات'!$A$9:$A$208,0))&amp;"",""))</f>
        <v/>
      </c>
      <c r="L738" s="55" t="str">
        <f aca="false">IF(C738="","",IFERROR(INDEX('شجرة الحسابات'!$C$9:$C$208,MATCH(C738,'شجرة الحسابات'!$A$9:$A$208,0))&amp;"",""))</f>
        <v/>
      </c>
      <c r="M738" s="55" t="str">
        <f aca="false">IF(AND(C738="",G738="",H738=""),"فارغ",IF(ISNA(MATCH(C738,'شجرة الحسابات'!$A$9:$A$208,0)),"حساب غير معرف",IF(L738&lt;&gt;"تحليلي","حساب تجميعي",IF(AND(N(G738)&gt;0,N(H738)&gt;0),"مدين ودائن معاً",IF(N(G738)+N(H738)=0,"بدون قيمة","OK")))))</f>
        <v>فارغ</v>
      </c>
      <c r="N738" s="55" t="str">
        <f aca="false">IF(AND(E738&lt;&gt;"",E738='كشف حساب مشروع'!$C$6,I738="مرحل ✔"),COUNTIFS($E$11:E738,'كشف حساب مشروع'!$C$6,$I$11:I738,"مرحل ✔"),"")</f>
        <v/>
      </c>
      <c r="O738" s="55" t="str">
        <f aca="false">IF(AND(C738&lt;&gt;"",C738='دفتر الأستاذ'!$C$6,I738="مرحل ✔"),COUNTIFS($C$11:C738,'دفتر الأستاذ'!$C$6,$I$11:I738,"مرحل ✔"),"")</f>
        <v/>
      </c>
    </row>
    <row r="739" customFormat="false" ht="15" hidden="false" customHeight="false" outlineLevel="0" collapsed="false">
      <c r="A739" s="49"/>
      <c r="B739" s="50"/>
      <c r="C739" s="49"/>
      <c r="D739" s="51" t="str">
        <f aca="false">IF(C739="","",IFERROR(INDEX('شجرة الحسابات'!$B$9:$B$208,MATCH(C739,'شجرة الحسابات'!$A$9:$A$208,0)),"⚠ حساب غير معرف"))</f>
        <v/>
      </c>
      <c r="E739" s="52"/>
      <c r="F739" s="52"/>
      <c r="G739" s="53"/>
      <c r="H739" s="53"/>
      <c r="I739" s="54" t="str">
        <f aca="false">IF(A739="",IF(M739="فارغ","","✖ بدون رقم قيد"),IF(COUNTIFS('قيود اليومية'!$A$11:$A$1010,A739,'قيود اليومية'!$M$11:$M$1010,"&lt;&gt;OK",'قيود اليومية'!$M$11:$M$1010,"&lt;&gt;فارغ")&gt;0,"✖ خطأ بالحساب",IF(ROUND(SUMIFS('قيود اليومية'!$G$11:$G$1010,'قيود اليومية'!$A$11:$A$1010,A739)-SUMIFS('قيود اليومية'!$H$11:$H$1010,'قيود اليومية'!$A$11:$A$1010,A739),2)&lt;&gt;0,"✖ غير متوازن","مرحل ✔")))</f>
        <v/>
      </c>
      <c r="J739" s="55" t="str">
        <f aca="false">IF(C739="","",IFERROR(INDEX('شجرة الحسابات'!$E$9:$E$208,MATCH(C739,'شجرة الحسابات'!$A$9:$A$208,0))&amp;"",""))</f>
        <v/>
      </c>
      <c r="K739" s="55" t="str">
        <f aca="false">IF(C739="","",IFERROR(INDEX('شجرة الحسابات'!$I$9:$I$208,MATCH(C739,'شجرة الحسابات'!$A$9:$A$208,0))&amp;"",""))</f>
        <v/>
      </c>
      <c r="L739" s="55" t="str">
        <f aca="false">IF(C739="","",IFERROR(INDEX('شجرة الحسابات'!$C$9:$C$208,MATCH(C739,'شجرة الحسابات'!$A$9:$A$208,0))&amp;"",""))</f>
        <v/>
      </c>
      <c r="M739" s="55" t="str">
        <f aca="false">IF(AND(C739="",G739="",H739=""),"فارغ",IF(ISNA(MATCH(C739,'شجرة الحسابات'!$A$9:$A$208,0)),"حساب غير معرف",IF(L739&lt;&gt;"تحليلي","حساب تجميعي",IF(AND(N(G739)&gt;0,N(H739)&gt;0),"مدين ودائن معاً",IF(N(G739)+N(H739)=0,"بدون قيمة","OK")))))</f>
        <v>فارغ</v>
      </c>
      <c r="N739" s="55" t="str">
        <f aca="false">IF(AND(E739&lt;&gt;"",E739='كشف حساب مشروع'!$C$6,I739="مرحل ✔"),COUNTIFS($E$11:E739,'كشف حساب مشروع'!$C$6,$I$11:I739,"مرحل ✔"),"")</f>
        <v/>
      </c>
      <c r="O739" s="55" t="str">
        <f aca="false">IF(AND(C739&lt;&gt;"",C739='دفتر الأستاذ'!$C$6,I739="مرحل ✔"),COUNTIFS($C$11:C739,'دفتر الأستاذ'!$C$6,$I$11:I739,"مرحل ✔"),"")</f>
        <v/>
      </c>
    </row>
    <row r="740" customFormat="false" ht="15" hidden="false" customHeight="false" outlineLevel="0" collapsed="false">
      <c r="A740" s="49"/>
      <c r="B740" s="50"/>
      <c r="C740" s="49"/>
      <c r="D740" s="51" t="str">
        <f aca="false">IF(C740="","",IFERROR(INDEX('شجرة الحسابات'!$B$9:$B$208,MATCH(C740,'شجرة الحسابات'!$A$9:$A$208,0)),"⚠ حساب غير معرف"))</f>
        <v/>
      </c>
      <c r="E740" s="52"/>
      <c r="F740" s="52"/>
      <c r="G740" s="53"/>
      <c r="H740" s="53"/>
      <c r="I740" s="54" t="str">
        <f aca="false">IF(A740="",IF(M740="فارغ","","✖ بدون رقم قيد"),IF(COUNTIFS('قيود اليومية'!$A$11:$A$1010,A740,'قيود اليومية'!$M$11:$M$1010,"&lt;&gt;OK",'قيود اليومية'!$M$11:$M$1010,"&lt;&gt;فارغ")&gt;0,"✖ خطأ بالحساب",IF(ROUND(SUMIFS('قيود اليومية'!$G$11:$G$1010,'قيود اليومية'!$A$11:$A$1010,A740)-SUMIFS('قيود اليومية'!$H$11:$H$1010,'قيود اليومية'!$A$11:$A$1010,A740),2)&lt;&gt;0,"✖ غير متوازن","مرحل ✔")))</f>
        <v/>
      </c>
      <c r="J740" s="55" t="str">
        <f aca="false">IF(C740="","",IFERROR(INDEX('شجرة الحسابات'!$E$9:$E$208,MATCH(C740,'شجرة الحسابات'!$A$9:$A$208,0))&amp;"",""))</f>
        <v/>
      </c>
      <c r="K740" s="55" t="str">
        <f aca="false">IF(C740="","",IFERROR(INDEX('شجرة الحسابات'!$I$9:$I$208,MATCH(C740,'شجرة الحسابات'!$A$9:$A$208,0))&amp;"",""))</f>
        <v/>
      </c>
      <c r="L740" s="55" t="str">
        <f aca="false">IF(C740="","",IFERROR(INDEX('شجرة الحسابات'!$C$9:$C$208,MATCH(C740,'شجرة الحسابات'!$A$9:$A$208,0))&amp;"",""))</f>
        <v/>
      </c>
      <c r="M740" s="55" t="str">
        <f aca="false">IF(AND(C740="",G740="",H740=""),"فارغ",IF(ISNA(MATCH(C740,'شجرة الحسابات'!$A$9:$A$208,0)),"حساب غير معرف",IF(L740&lt;&gt;"تحليلي","حساب تجميعي",IF(AND(N(G740)&gt;0,N(H740)&gt;0),"مدين ودائن معاً",IF(N(G740)+N(H740)=0,"بدون قيمة","OK")))))</f>
        <v>فارغ</v>
      </c>
      <c r="N740" s="55" t="str">
        <f aca="false">IF(AND(E740&lt;&gt;"",E740='كشف حساب مشروع'!$C$6,I740="مرحل ✔"),COUNTIFS($E$11:E740,'كشف حساب مشروع'!$C$6,$I$11:I740,"مرحل ✔"),"")</f>
        <v/>
      </c>
      <c r="O740" s="55" t="str">
        <f aca="false">IF(AND(C740&lt;&gt;"",C740='دفتر الأستاذ'!$C$6,I740="مرحل ✔"),COUNTIFS($C$11:C740,'دفتر الأستاذ'!$C$6,$I$11:I740,"مرحل ✔"),"")</f>
        <v/>
      </c>
    </row>
    <row r="741" customFormat="false" ht="15" hidden="false" customHeight="false" outlineLevel="0" collapsed="false">
      <c r="A741" s="49"/>
      <c r="B741" s="50"/>
      <c r="C741" s="49"/>
      <c r="D741" s="51" t="str">
        <f aca="false">IF(C741="","",IFERROR(INDEX('شجرة الحسابات'!$B$9:$B$208,MATCH(C741,'شجرة الحسابات'!$A$9:$A$208,0)),"⚠ حساب غير معرف"))</f>
        <v/>
      </c>
      <c r="E741" s="52"/>
      <c r="F741" s="52"/>
      <c r="G741" s="53"/>
      <c r="H741" s="53"/>
      <c r="I741" s="54" t="str">
        <f aca="false">IF(A741="",IF(M741="فارغ","","✖ بدون رقم قيد"),IF(COUNTIFS('قيود اليومية'!$A$11:$A$1010,A741,'قيود اليومية'!$M$11:$M$1010,"&lt;&gt;OK",'قيود اليومية'!$M$11:$M$1010,"&lt;&gt;فارغ")&gt;0,"✖ خطأ بالحساب",IF(ROUND(SUMIFS('قيود اليومية'!$G$11:$G$1010,'قيود اليومية'!$A$11:$A$1010,A741)-SUMIFS('قيود اليومية'!$H$11:$H$1010,'قيود اليومية'!$A$11:$A$1010,A741),2)&lt;&gt;0,"✖ غير متوازن","مرحل ✔")))</f>
        <v/>
      </c>
      <c r="J741" s="55" t="str">
        <f aca="false">IF(C741="","",IFERROR(INDEX('شجرة الحسابات'!$E$9:$E$208,MATCH(C741,'شجرة الحسابات'!$A$9:$A$208,0))&amp;"",""))</f>
        <v/>
      </c>
      <c r="K741" s="55" t="str">
        <f aca="false">IF(C741="","",IFERROR(INDEX('شجرة الحسابات'!$I$9:$I$208,MATCH(C741,'شجرة الحسابات'!$A$9:$A$208,0))&amp;"",""))</f>
        <v/>
      </c>
      <c r="L741" s="55" t="str">
        <f aca="false">IF(C741="","",IFERROR(INDEX('شجرة الحسابات'!$C$9:$C$208,MATCH(C741,'شجرة الحسابات'!$A$9:$A$208,0))&amp;"",""))</f>
        <v/>
      </c>
      <c r="M741" s="55" t="str">
        <f aca="false">IF(AND(C741="",G741="",H741=""),"فارغ",IF(ISNA(MATCH(C741,'شجرة الحسابات'!$A$9:$A$208,0)),"حساب غير معرف",IF(L741&lt;&gt;"تحليلي","حساب تجميعي",IF(AND(N(G741)&gt;0,N(H741)&gt;0),"مدين ودائن معاً",IF(N(G741)+N(H741)=0,"بدون قيمة","OK")))))</f>
        <v>فارغ</v>
      </c>
      <c r="N741" s="55" t="str">
        <f aca="false">IF(AND(E741&lt;&gt;"",E741='كشف حساب مشروع'!$C$6,I741="مرحل ✔"),COUNTIFS($E$11:E741,'كشف حساب مشروع'!$C$6,$I$11:I741,"مرحل ✔"),"")</f>
        <v/>
      </c>
      <c r="O741" s="55" t="str">
        <f aca="false">IF(AND(C741&lt;&gt;"",C741='دفتر الأستاذ'!$C$6,I741="مرحل ✔"),COUNTIFS($C$11:C741,'دفتر الأستاذ'!$C$6,$I$11:I741,"مرحل ✔"),"")</f>
        <v/>
      </c>
    </row>
    <row r="742" customFormat="false" ht="15" hidden="false" customHeight="false" outlineLevel="0" collapsed="false">
      <c r="A742" s="49"/>
      <c r="B742" s="50"/>
      <c r="C742" s="49"/>
      <c r="D742" s="51" t="str">
        <f aca="false">IF(C742="","",IFERROR(INDEX('شجرة الحسابات'!$B$9:$B$208,MATCH(C742,'شجرة الحسابات'!$A$9:$A$208,0)),"⚠ حساب غير معرف"))</f>
        <v/>
      </c>
      <c r="E742" s="52"/>
      <c r="F742" s="52"/>
      <c r="G742" s="53"/>
      <c r="H742" s="53"/>
      <c r="I742" s="54" t="str">
        <f aca="false">IF(A742="",IF(M742="فارغ","","✖ بدون رقم قيد"),IF(COUNTIFS('قيود اليومية'!$A$11:$A$1010,A742,'قيود اليومية'!$M$11:$M$1010,"&lt;&gt;OK",'قيود اليومية'!$M$11:$M$1010,"&lt;&gt;فارغ")&gt;0,"✖ خطأ بالحساب",IF(ROUND(SUMIFS('قيود اليومية'!$G$11:$G$1010,'قيود اليومية'!$A$11:$A$1010,A742)-SUMIFS('قيود اليومية'!$H$11:$H$1010,'قيود اليومية'!$A$11:$A$1010,A742),2)&lt;&gt;0,"✖ غير متوازن","مرحل ✔")))</f>
        <v/>
      </c>
      <c r="J742" s="55" t="str">
        <f aca="false">IF(C742="","",IFERROR(INDEX('شجرة الحسابات'!$E$9:$E$208,MATCH(C742,'شجرة الحسابات'!$A$9:$A$208,0))&amp;"",""))</f>
        <v/>
      </c>
      <c r="K742" s="55" t="str">
        <f aca="false">IF(C742="","",IFERROR(INDEX('شجرة الحسابات'!$I$9:$I$208,MATCH(C742,'شجرة الحسابات'!$A$9:$A$208,0))&amp;"",""))</f>
        <v/>
      </c>
      <c r="L742" s="55" t="str">
        <f aca="false">IF(C742="","",IFERROR(INDEX('شجرة الحسابات'!$C$9:$C$208,MATCH(C742,'شجرة الحسابات'!$A$9:$A$208,0))&amp;"",""))</f>
        <v/>
      </c>
      <c r="M742" s="55" t="str">
        <f aca="false">IF(AND(C742="",G742="",H742=""),"فارغ",IF(ISNA(MATCH(C742,'شجرة الحسابات'!$A$9:$A$208,0)),"حساب غير معرف",IF(L742&lt;&gt;"تحليلي","حساب تجميعي",IF(AND(N(G742)&gt;0,N(H742)&gt;0),"مدين ودائن معاً",IF(N(G742)+N(H742)=0,"بدون قيمة","OK")))))</f>
        <v>فارغ</v>
      </c>
      <c r="N742" s="55" t="str">
        <f aca="false">IF(AND(E742&lt;&gt;"",E742='كشف حساب مشروع'!$C$6,I742="مرحل ✔"),COUNTIFS($E$11:E742,'كشف حساب مشروع'!$C$6,$I$11:I742,"مرحل ✔"),"")</f>
        <v/>
      </c>
      <c r="O742" s="55" t="str">
        <f aca="false">IF(AND(C742&lt;&gt;"",C742='دفتر الأستاذ'!$C$6,I742="مرحل ✔"),COUNTIFS($C$11:C742,'دفتر الأستاذ'!$C$6,$I$11:I742,"مرحل ✔"),"")</f>
        <v/>
      </c>
    </row>
    <row r="743" customFormat="false" ht="15" hidden="false" customHeight="false" outlineLevel="0" collapsed="false">
      <c r="A743" s="49"/>
      <c r="B743" s="50"/>
      <c r="C743" s="49"/>
      <c r="D743" s="51" t="str">
        <f aca="false">IF(C743="","",IFERROR(INDEX('شجرة الحسابات'!$B$9:$B$208,MATCH(C743,'شجرة الحسابات'!$A$9:$A$208,0)),"⚠ حساب غير معرف"))</f>
        <v/>
      </c>
      <c r="E743" s="52"/>
      <c r="F743" s="52"/>
      <c r="G743" s="53"/>
      <c r="H743" s="53"/>
      <c r="I743" s="54" t="str">
        <f aca="false">IF(A743="",IF(M743="فارغ","","✖ بدون رقم قيد"),IF(COUNTIFS('قيود اليومية'!$A$11:$A$1010,A743,'قيود اليومية'!$M$11:$M$1010,"&lt;&gt;OK",'قيود اليومية'!$M$11:$M$1010,"&lt;&gt;فارغ")&gt;0,"✖ خطأ بالحساب",IF(ROUND(SUMIFS('قيود اليومية'!$G$11:$G$1010,'قيود اليومية'!$A$11:$A$1010,A743)-SUMIFS('قيود اليومية'!$H$11:$H$1010,'قيود اليومية'!$A$11:$A$1010,A743),2)&lt;&gt;0,"✖ غير متوازن","مرحل ✔")))</f>
        <v/>
      </c>
      <c r="J743" s="55" t="str">
        <f aca="false">IF(C743="","",IFERROR(INDEX('شجرة الحسابات'!$E$9:$E$208,MATCH(C743,'شجرة الحسابات'!$A$9:$A$208,0))&amp;"",""))</f>
        <v/>
      </c>
      <c r="K743" s="55" t="str">
        <f aca="false">IF(C743="","",IFERROR(INDEX('شجرة الحسابات'!$I$9:$I$208,MATCH(C743,'شجرة الحسابات'!$A$9:$A$208,0))&amp;"",""))</f>
        <v/>
      </c>
      <c r="L743" s="55" t="str">
        <f aca="false">IF(C743="","",IFERROR(INDEX('شجرة الحسابات'!$C$9:$C$208,MATCH(C743,'شجرة الحسابات'!$A$9:$A$208,0))&amp;"",""))</f>
        <v/>
      </c>
      <c r="M743" s="55" t="str">
        <f aca="false">IF(AND(C743="",G743="",H743=""),"فارغ",IF(ISNA(MATCH(C743,'شجرة الحسابات'!$A$9:$A$208,0)),"حساب غير معرف",IF(L743&lt;&gt;"تحليلي","حساب تجميعي",IF(AND(N(G743)&gt;0,N(H743)&gt;0),"مدين ودائن معاً",IF(N(G743)+N(H743)=0,"بدون قيمة","OK")))))</f>
        <v>فارغ</v>
      </c>
      <c r="N743" s="55" t="str">
        <f aca="false">IF(AND(E743&lt;&gt;"",E743='كشف حساب مشروع'!$C$6,I743="مرحل ✔"),COUNTIFS($E$11:E743,'كشف حساب مشروع'!$C$6,$I$11:I743,"مرحل ✔"),"")</f>
        <v/>
      </c>
      <c r="O743" s="55" t="str">
        <f aca="false">IF(AND(C743&lt;&gt;"",C743='دفتر الأستاذ'!$C$6,I743="مرحل ✔"),COUNTIFS($C$11:C743,'دفتر الأستاذ'!$C$6,$I$11:I743,"مرحل ✔"),"")</f>
        <v/>
      </c>
    </row>
    <row r="744" customFormat="false" ht="15" hidden="false" customHeight="false" outlineLevel="0" collapsed="false">
      <c r="A744" s="49"/>
      <c r="B744" s="50"/>
      <c r="C744" s="49"/>
      <c r="D744" s="51" t="str">
        <f aca="false">IF(C744="","",IFERROR(INDEX('شجرة الحسابات'!$B$9:$B$208,MATCH(C744,'شجرة الحسابات'!$A$9:$A$208,0)),"⚠ حساب غير معرف"))</f>
        <v/>
      </c>
      <c r="E744" s="52"/>
      <c r="F744" s="52"/>
      <c r="G744" s="53"/>
      <c r="H744" s="53"/>
      <c r="I744" s="54" t="str">
        <f aca="false">IF(A744="",IF(M744="فارغ","","✖ بدون رقم قيد"),IF(COUNTIFS('قيود اليومية'!$A$11:$A$1010,A744,'قيود اليومية'!$M$11:$M$1010,"&lt;&gt;OK",'قيود اليومية'!$M$11:$M$1010,"&lt;&gt;فارغ")&gt;0,"✖ خطأ بالحساب",IF(ROUND(SUMIFS('قيود اليومية'!$G$11:$G$1010,'قيود اليومية'!$A$11:$A$1010,A744)-SUMIFS('قيود اليومية'!$H$11:$H$1010,'قيود اليومية'!$A$11:$A$1010,A744),2)&lt;&gt;0,"✖ غير متوازن","مرحل ✔")))</f>
        <v/>
      </c>
      <c r="J744" s="55" t="str">
        <f aca="false">IF(C744="","",IFERROR(INDEX('شجرة الحسابات'!$E$9:$E$208,MATCH(C744,'شجرة الحسابات'!$A$9:$A$208,0))&amp;"",""))</f>
        <v/>
      </c>
      <c r="K744" s="55" t="str">
        <f aca="false">IF(C744="","",IFERROR(INDEX('شجرة الحسابات'!$I$9:$I$208,MATCH(C744,'شجرة الحسابات'!$A$9:$A$208,0))&amp;"",""))</f>
        <v/>
      </c>
      <c r="L744" s="55" t="str">
        <f aca="false">IF(C744="","",IFERROR(INDEX('شجرة الحسابات'!$C$9:$C$208,MATCH(C744,'شجرة الحسابات'!$A$9:$A$208,0))&amp;"",""))</f>
        <v/>
      </c>
      <c r="M744" s="55" t="str">
        <f aca="false">IF(AND(C744="",G744="",H744=""),"فارغ",IF(ISNA(MATCH(C744,'شجرة الحسابات'!$A$9:$A$208,0)),"حساب غير معرف",IF(L744&lt;&gt;"تحليلي","حساب تجميعي",IF(AND(N(G744)&gt;0,N(H744)&gt;0),"مدين ودائن معاً",IF(N(G744)+N(H744)=0,"بدون قيمة","OK")))))</f>
        <v>فارغ</v>
      </c>
      <c r="N744" s="55" t="str">
        <f aca="false">IF(AND(E744&lt;&gt;"",E744='كشف حساب مشروع'!$C$6,I744="مرحل ✔"),COUNTIFS($E$11:E744,'كشف حساب مشروع'!$C$6,$I$11:I744,"مرحل ✔"),"")</f>
        <v/>
      </c>
      <c r="O744" s="55" t="str">
        <f aca="false">IF(AND(C744&lt;&gt;"",C744='دفتر الأستاذ'!$C$6,I744="مرحل ✔"),COUNTIFS($C$11:C744,'دفتر الأستاذ'!$C$6,$I$11:I744,"مرحل ✔"),"")</f>
        <v/>
      </c>
    </row>
    <row r="745" customFormat="false" ht="15" hidden="false" customHeight="false" outlineLevel="0" collapsed="false">
      <c r="A745" s="49"/>
      <c r="B745" s="50"/>
      <c r="C745" s="49"/>
      <c r="D745" s="51" t="str">
        <f aca="false">IF(C745="","",IFERROR(INDEX('شجرة الحسابات'!$B$9:$B$208,MATCH(C745,'شجرة الحسابات'!$A$9:$A$208,0)),"⚠ حساب غير معرف"))</f>
        <v/>
      </c>
      <c r="E745" s="52"/>
      <c r="F745" s="52"/>
      <c r="G745" s="53"/>
      <c r="H745" s="53"/>
      <c r="I745" s="54" t="str">
        <f aca="false">IF(A745="",IF(M745="فارغ","","✖ بدون رقم قيد"),IF(COUNTIFS('قيود اليومية'!$A$11:$A$1010,A745,'قيود اليومية'!$M$11:$M$1010,"&lt;&gt;OK",'قيود اليومية'!$M$11:$M$1010,"&lt;&gt;فارغ")&gt;0,"✖ خطأ بالحساب",IF(ROUND(SUMIFS('قيود اليومية'!$G$11:$G$1010,'قيود اليومية'!$A$11:$A$1010,A745)-SUMIFS('قيود اليومية'!$H$11:$H$1010,'قيود اليومية'!$A$11:$A$1010,A745),2)&lt;&gt;0,"✖ غير متوازن","مرحل ✔")))</f>
        <v/>
      </c>
      <c r="J745" s="55" t="str">
        <f aca="false">IF(C745="","",IFERROR(INDEX('شجرة الحسابات'!$E$9:$E$208,MATCH(C745,'شجرة الحسابات'!$A$9:$A$208,0))&amp;"",""))</f>
        <v/>
      </c>
      <c r="K745" s="55" t="str">
        <f aca="false">IF(C745="","",IFERROR(INDEX('شجرة الحسابات'!$I$9:$I$208,MATCH(C745,'شجرة الحسابات'!$A$9:$A$208,0))&amp;"",""))</f>
        <v/>
      </c>
      <c r="L745" s="55" t="str">
        <f aca="false">IF(C745="","",IFERROR(INDEX('شجرة الحسابات'!$C$9:$C$208,MATCH(C745,'شجرة الحسابات'!$A$9:$A$208,0))&amp;"",""))</f>
        <v/>
      </c>
      <c r="M745" s="55" t="str">
        <f aca="false">IF(AND(C745="",G745="",H745=""),"فارغ",IF(ISNA(MATCH(C745,'شجرة الحسابات'!$A$9:$A$208,0)),"حساب غير معرف",IF(L745&lt;&gt;"تحليلي","حساب تجميعي",IF(AND(N(G745)&gt;0,N(H745)&gt;0),"مدين ودائن معاً",IF(N(G745)+N(H745)=0,"بدون قيمة","OK")))))</f>
        <v>فارغ</v>
      </c>
      <c r="N745" s="55" t="str">
        <f aca="false">IF(AND(E745&lt;&gt;"",E745='كشف حساب مشروع'!$C$6,I745="مرحل ✔"),COUNTIFS($E$11:E745,'كشف حساب مشروع'!$C$6,$I$11:I745,"مرحل ✔"),"")</f>
        <v/>
      </c>
      <c r="O745" s="55" t="str">
        <f aca="false">IF(AND(C745&lt;&gt;"",C745='دفتر الأستاذ'!$C$6,I745="مرحل ✔"),COUNTIFS($C$11:C745,'دفتر الأستاذ'!$C$6,$I$11:I745,"مرحل ✔"),"")</f>
        <v/>
      </c>
    </row>
    <row r="746" customFormat="false" ht="15" hidden="false" customHeight="false" outlineLevel="0" collapsed="false">
      <c r="A746" s="49"/>
      <c r="B746" s="50"/>
      <c r="C746" s="49"/>
      <c r="D746" s="51" t="str">
        <f aca="false">IF(C746="","",IFERROR(INDEX('شجرة الحسابات'!$B$9:$B$208,MATCH(C746,'شجرة الحسابات'!$A$9:$A$208,0)),"⚠ حساب غير معرف"))</f>
        <v/>
      </c>
      <c r="E746" s="52"/>
      <c r="F746" s="52"/>
      <c r="G746" s="53"/>
      <c r="H746" s="53"/>
      <c r="I746" s="54" t="str">
        <f aca="false">IF(A746="",IF(M746="فارغ","","✖ بدون رقم قيد"),IF(COUNTIFS('قيود اليومية'!$A$11:$A$1010,A746,'قيود اليومية'!$M$11:$M$1010,"&lt;&gt;OK",'قيود اليومية'!$M$11:$M$1010,"&lt;&gt;فارغ")&gt;0,"✖ خطأ بالحساب",IF(ROUND(SUMIFS('قيود اليومية'!$G$11:$G$1010,'قيود اليومية'!$A$11:$A$1010,A746)-SUMIFS('قيود اليومية'!$H$11:$H$1010,'قيود اليومية'!$A$11:$A$1010,A746),2)&lt;&gt;0,"✖ غير متوازن","مرحل ✔")))</f>
        <v/>
      </c>
      <c r="J746" s="55" t="str">
        <f aca="false">IF(C746="","",IFERROR(INDEX('شجرة الحسابات'!$E$9:$E$208,MATCH(C746,'شجرة الحسابات'!$A$9:$A$208,0))&amp;"",""))</f>
        <v/>
      </c>
      <c r="K746" s="55" t="str">
        <f aca="false">IF(C746="","",IFERROR(INDEX('شجرة الحسابات'!$I$9:$I$208,MATCH(C746,'شجرة الحسابات'!$A$9:$A$208,0))&amp;"",""))</f>
        <v/>
      </c>
      <c r="L746" s="55" t="str">
        <f aca="false">IF(C746="","",IFERROR(INDEX('شجرة الحسابات'!$C$9:$C$208,MATCH(C746,'شجرة الحسابات'!$A$9:$A$208,0))&amp;"",""))</f>
        <v/>
      </c>
      <c r="M746" s="55" t="str">
        <f aca="false">IF(AND(C746="",G746="",H746=""),"فارغ",IF(ISNA(MATCH(C746,'شجرة الحسابات'!$A$9:$A$208,0)),"حساب غير معرف",IF(L746&lt;&gt;"تحليلي","حساب تجميعي",IF(AND(N(G746)&gt;0,N(H746)&gt;0),"مدين ودائن معاً",IF(N(G746)+N(H746)=0,"بدون قيمة","OK")))))</f>
        <v>فارغ</v>
      </c>
      <c r="N746" s="55" t="str">
        <f aca="false">IF(AND(E746&lt;&gt;"",E746='كشف حساب مشروع'!$C$6,I746="مرحل ✔"),COUNTIFS($E$11:E746,'كشف حساب مشروع'!$C$6,$I$11:I746,"مرحل ✔"),"")</f>
        <v/>
      </c>
      <c r="O746" s="55" t="str">
        <f aca="false">IF(AND(C746&lt;&gt;"",C746='دفتر الأستاذ'!$C$6,I746="مرحل ✔"),COUNTIFS($C$11:C746,'دفتر الأستاذ'!$C$6,$I$11:I746,"مرحل ✔"),"")</f>
        <v/>
      </c>
    </row>
    <row r="747" customFormat="false" ht="15" hidden="false" customHeight="false" outlineLevel="0" collapsed="false">
      <c r="A747" s="49"/>
      <c r="B747" s="50"/>
      <c r="C747" s="49"/>
      <c r="D747" s="51" t="str">
        <f aca="false">IF(C747="","",IFERROR(INDEX('شجرة الحسابات'!$B$9:$B$208,MATCH(C747,'شجرة الحسابات'!$A$9:$A$208,0)),"⚠ حساب غير معرف"))</f>
        <v/>
      </c>
      <c r="E747" s="52"/>
      <c r="F747" s="52"/>
      <c r="G747" s="53"/>
      <c r="H747" s="53"/>
      <c r="I747" s="54" t="str">
        <f aca="false">IF(A747="",IF(M747="فارغ","","✖ بدون رقم قيد"),IF(COUNTIFS('قيود اليومية'!$A$11:$A$1010,A747,'قيود اليومية'!$M$11:$M$1010,"&lt;&gt;OK",'قيود اليومية'!$M$11:$M$1010,"&lt;&gt;فارغ")&gt;0,"✖ خطأ بالحساب",IF(ROUND(SUMIFS('قيود اليومية'!$G$11:$G$1010,'قيود اليومية'!$A$11:$A$1010,A747)-SUMIFS('قيود اليومية'!$H$11:$H$1010,'قيود اليومية'!$A$11:$A$1010,A747),2)&lt;&gt;0,"✖ غير متوازن","مرحل ✔")))</f>
        <v/>
      </c>
      <c r="J747" s="55" t="str">
        <f aca="false">IF(C747="","",IFERROR(INDEX('شجرة الحسابات'!$E$9:$E$208,MATCH(C747,'شجرة الحسابات'!$A$9:$A$208,0))&amp;"",""))</f>
        <v/>
      </c>
      <c r="K747" s="55" t="str">
        <f aca="false">IF(C747="","",IFERROR(INDEX('شجرة الحسابات'!$I$9:$I$208,MATCH(C747,'شجرة الحسابات'!$A$9:$A$208,0))&amp;"",""))</f>
        <v/>
      </c>
      <c r="L747" s="55" t="str">
        <f aca="false">IF(C747="","",IFERROR(INDEX('شجرة الحسابات'!$C$9:$C$208,MATCH(C747,'شجرة الحسابات'!$A$9:$A$208,0))&amp;"",""))</f>
        <v/>
      </c>
      <c r="M747" s="55" t="str">
        <f aca="false">IF(AND(C747="",G747="",H747=""),"فارغ",IF(ISNA(MATCH(C747,'شجرة الحسابات'!$A$9:$A$208,0)),"حساب غير معرف",IF(L747&lt;&gt;"تحليلي","حساب تجميعي",IF(AND(N(G747)&gt;0,N(H747)&gt;0),"مدين ودائن معاً",IF(N(G747)+N(H747)=0,"بدون قيمة","OK")))))</f>
        <v>فارغ</v>
      </c>
      <c r="N747" s="55" t="str">
        <f aca="false">IF(AND(E747&lt;&gt;"",E747='كشف حساب مشروع'!$C$6,I747="مرحل ✔"),COUNTIFS($E$11:E747,'كشف حساب مشروع'!$C$6,$I$11:I747,"مرحل ✔"),"")</f>
        <v/>
      </c>
      <c r="O747" s="55" t="str">
        <f aca="false">IF(AND(C747&lt;&gt;"",C747='دفتر الأستاذ'!$C$6,I747="مرحل ✔"),COUNTIFS($C$11:C747,'دفتر الأستاذ'!$C$6,$I$11:I747,"مرحل ✔"),"")</f>
        <v/>
      </c>
    </row>
    <row r="748" customFormat="false" ht="15" hidden="false" customHeight="false" outlineLevel="0" collapsed="false">
      <c r="A748" s="49"/>
      <c r="B748" s="50"/>
      <c r="C748" s="49"/>
      <c r="D748" s="51" t="str">
        <f aca="false">IF(C748="","",IFERROR(INDEX('شجرة الحسابات'!$B$9:$B$208,MATCH(C748,'شجرة الحسابات'!$A$9:$A$208,0)),"⚠ حساب غير معرف"))</f>
        <v/>
      </c>
      <c r="E748" s="52"/>
      <c r="F748" s="52"/>
      <c r="G748" s="53"/>
      <c r="H748" s="53"/>
      <c r="I748" s="54" t="str">
        <f aca="false">IF(A748="",IF(M748="فارغ","","✖ بدون رقم قيد"),IF(COUNTIFS('قيود اليومية'!$A$11:$A$1010,A748,'قيود اليومية'!$M$11:$M$1010,"&lt;&gt;OK",'قيود اليومية'!$M$11:$M$1010,"&lt;&gt;فارغ")&gt;0,"✖ خطأ بالحساب",IF(ROUND(SUMIFS('قيود اليومية'!$G$11:$G$1010,'قيود اليومية'!$A$11:$A$1010,A748)-SUMIFS('قيود اليومية'!$H$11:$H$1010,'قيود اليومية'!$A$11:$A$1010,A748),2)&lt;&gt;0,"✖ غير متوازن","مرحل ✔")))</f>
        <v/>
      </c>
      <c r="J748" s="55" t="str">
        <f aca="false">IF(C748="","",IFERROR(INDEX('شجرة الحسابات'!$E$9:$E$208,MATCH(C748,'شجرة الحسابات'!$A$9:$A$208,0))&amp;"",""))</f>
        <v/>
      </c>
      <c r="K748" s="55" t="str">
        <f aca="false">IF(C748="","",IFERROR(INDEX('شجرة الحسابات'!$I$9:$I$208,MATCH(C748,'شجرة الحسابات'!$A$9:$A$208,0))&amp;"",""))</f>
        <v/>
      </c>
      <c r="L748" s="55" t="str">
        <f aca="false">IF(C748="","",IFERROR(INDEX('شجرة الحسابات'!$C$9:$C$208,MATCH(C748,'شجرة الحسابات'!$A$9:$A$208,0))&amp;"",""))</f>
        <v/>
      </c>
      <c r="M748" s="55" t="str">
        <f aca="false">IF(AND(C748="",G748="",H748=""),"فارغ",IF(ISNA(MATCH(C748,'شجرة الحسابات'!$A$9:$A$208,0)),"حساب غير معرف",IF(L748&lt;&gt;"تحليلي","حساب تجميعي",IF(AND(N(G748)&gt;0,N(H748)&gt;0),"مدين ودائن معاً",IF(N(G748)+N(H748)=0,"بدون قيمة","OK")))))</f>
        <v>فارغ</v>
      </c>
      <c r="N748" s="55" t="str">
        <f aca="false">IF(AND(E748&lt;&gt;"",E748='كشف حساب مشروع'!$C$6,I748="مرحل ✔"),COUNTIFS($E$11:E748,'كشف حساب مشروع'!$C$6,$I$11:I748,"مرحل ✔"),"")</f>
        <v/>
      </c>
      <c r="O748" s="55" t="str">
        <f aca="false">IF(AND(C748&lt;&gt;"",C748='دفتر الأستاذ'!$C$6,I748="مرحل ✔"),COUNTIFS($C$11:C748,'دفتر الأستاذ'!$C$6,$I$11:I748,"مرحل ✔"),"")</f>
        <v/>
      </c>
    </row>
    <row r="749" customFormat="false" ht="15" hidden="false" customHeight="false" outlineLevel="0" collapsed="false">
      <c r="A749" s="49"/>
      <c r="B749" s="50"/>
      <c r="C749" s="49"/>
      <c r="D749" s="51" t="str">
        <f aca="false">IF(C749="","",IFERROR(INDEX('شجرة الحسابات'!$B$9:$B$208,MATCH(C749,'شجرة الحسابات'!$A$9:$A$208,0)),"⚠ حساب غير معرف"))</f>
        <v/>
      </c>
      <c r="E749" s="52"/>
      <c r="F749" s="52"/>
      <c r="G749" s="53"/>
      <c r="H749" s="53"/>
      <c r="I749" s="54" t="str">
        <f aca="false">IF(A749="",IF(M749="فارغ","","✖ بدون رقم قيد"),IF(COUNTIFS('قيود اليومية'!$A$11:$A$1010,A749,'قيود اليومية'!$M$11:$M$1010,"&lt;&gt;OK",'قيود اليومية'!$M$11:$M$1010,"&lt;&gt;فارغ")&gt;0,"✖ خطأ بالحساب",IF(ROUND(SUMIFS('قيود اليومية'!$G$11:$G$1010,'قيود اليومية'!$A$11:$A$1010,A749)-SUMIFS('قيود اليومية'!$H$11:$H$1010,'قيود اليومية'!$A$11:$A$1010,A749),2)&lt;&gt;0,"✖ غير متوازن","مرحل ✔")))</f>
        <v/>
      </c>
      <c r="J749" s="55" t="str">
        <f aca="false">IF(C749="","",IFERROR(INDEX('شجرة الحسابات'!$E$9:$E$208,MATCH(C749,'شجرة الحسابات'!$A$9:$A$208,0))&amp;"",""))</f>
        <v/>
      </c>
      <c r="K749" s="55" t="str">
        <f aca="false">IF(C749="","",IFERROR(INDEX('شجرة الحسابات'!$I$9:$I$208,MATCH(C749,'شجرة الحسابات'!$A$9:$A$208,0))&amp;"",""))</f>
        <v/>
      </c>
      <c r="L749" s="55" t="str">
        <f aca="false">IF(C749="","",IFERROR(INDEX('شجرة الحسابات'!$C$9:$C$208,MATCH(C749,'شجرة الحسابات'!$A$9:$A$208,0))&amp;"",""))</f>
        <v/>
      </c>
      <c r="M749" s="55" t="str">
        <f aca="false">IF(AND(C749="",G749="",H749=""),"فارغ",IF(ISNA(MATCH(C749,'شجرة الحسابات'!$A$9:$A$208,0)),"حساب غير معرف",IF(L749&lt;&gt;"تحليلي","حساب تجميعي",IF(AND(N(G749)&gt;0,N(H749)&gt;0),"مدين ودائن معاً",IF(N(G749)+N(H749)=0,"بدون قيمة","OK")))))</f>
        <v>فارغ</v>
      </c>
      <c r="N749" s="55" t="str">
        <f aca="false">IF(AND(E749&lt;&gt;"",E749='كشف حساب مشروع'!$C$6,I749="مرحل ✔"),COUNTIFS($E$11:E749,'كشف حساب مشروع'!$C$6,$I$11:I749,"مرحل ✔"),"")</f>
        <v/>
      </c>
      <c r="O749" s="55" t="str">
        <f aca="false">IF(AND(C749&lt;&gt;"",C749='دفتر الأستاذ'!$C$6,I749="مرحل ✔"),COUNTIFS($C$11:C749,'دفتر الأستاذ'!$C$6,$I$11:I749,"مرحل ✔"),"")</f>
        <v/>
      </c>
    </row>
    <row r="750" customFormat="false" ht="15" hidden="false" customHeight="false" outlineLevel="0" collapsed="false">
      <c r="A750" s="49"/>
      <c r="B750" s="50"/>
      <c r="C750" s="49"/>
      <c r="D750" s="51" t="str">
        <f aca="false">IF(C750="","",IFERROR(INDEX('شجرة الحسابات'!$B$9:$B$208,MATCH(C750,'شجرة الحسابات'!$A$9:$A$208,0)),"⚠ حساب غير معرف"))</f>
        <v/>
      </c>
      <c r="E750" s="52"/>
      <c r="F750" s="52"/>
      <c r="G750" s="53"/>
      <c r="H750" s="53"/>
      <c r="I750" s="54" t="str">
        <f aca="false">IF(A750="",IF(M750="فارغ","","✖ بدون رقم قيد"),IF(COUNTIFS('قيود اليومية'!$A$11:$A$1010,A750,'قيود اليومية'!$M$11:$M$1010,"&lt;&gt;OK",'قيود اليومية'!$M$11:$M$1010,"&lt;&gt;فارغ")&gt;0,"✖ خطأ بالحساب",IF(ROUND(SUMIFS('قيود اليومية'!$G$11:$G$1010,'قيود اليومية'!$A$11:$A$1010,A750)-SUMIFS('قيود اليومية'!$H$11:$H$1010,'قيود اليومية'!$A$11:$A$1010,A750),2)&lt;&gt;0,"✖ غير متوازن","مرحل ✔")))</f>
        <v/>
      </c>
      <c r="J750" s="55" t="str">
        <f aca="false">IF(C750="","",IFERROR(INDEX('شجرة الحسابات'!$E$9:$E$208,MATCH(C750,'شجرة الحسابات'!$A$9:$A$208,0))&amp;"",""))</f>
        <v/>
      </c>
      <c r="K750" s="55" t="str">
        <f aca="false">IF(C750="","",IFERROR(INDEX('شجرة الحسابات'!$I$9:$I$208,MATCH(C750,'شجرة الحسابات'!$A$9:$A$208,0))&amp;"",""))</f>
        <v/>
      </c>
      <c r="L750" s="55" t="str">
        <f aca="false">IF(C750="","",IFERROR(INDEX('شجرة الحسابات'!$C$9:$C$208,MATCH(C750,'شجرة الحسابات'!$A$9:$A$208,0))&amp;"",""))</f>
        <v/>
      </c>
      <c r="M750" s="55" t="str">
        <f aca="false">IF(AND(C750="",G750="",H750=""),"فارغ",IF(ISNA(MATCH(C750,'شجرة الحسابات'!$A$9:$A$208,0)),"حساب غير معرف",IF(L750&lt;&gt;"تحليلي","حساب تجميعي",IF(AND(N(G750)&gt;0,N(H750)&gt;0),"مدين ودائن معاً",IF(N(G750)+N(H750)=0,"بدون قيمة","OK")))))</f>
        <v>فارغ</v>
      </c>
      <c r="N750" s="55" t="str">
        <f aca="false">IF(AND(E750&lt;&gt;"",E750='كشف حساب مشروع'!$C$6,I750="مرحل ✔"),COUNTIFS($E$11:E750,'كشف حساب مشروع'!$C$6,$I$11:I750,"مرحل ✔"),"")</f>
        <v/>
      </c>
      <c r="O750" s="55" t="str">
        <f aca="false">IF(AND(C750&lt;&gt;"",C750='دفتر الأستاذ'!$C$6,I750="مرحل ✔"),COUNTIFS($C$11:C750,'دفتر الأستاذ'!$C$6,$I$11:I750,"مرحل ✔"),"")</f>
        <v/>
      </c>
    </row>
    <row r="751" customFormat="false" ht="15" hidden="false" customHeight="false" outlineLevel="0" collapsed="false">
      <c r="A751" s="49"/>
      <c r="B751" s="50"/>
      <c r="C751" s="49"/>
      <c r="D751" s="51" t="str">
        <f aca="false">IF(C751="","",IFERROR(INDEX('شجرة الحسابات'!$B$9:$B$208,MATCH(C751,'شجرة الحسابات'!$A$9:$A$208,0)),"⚠ حساب غير معرف"))</f>
        <v/>
      </c>
      <c r="E751" s="52"/>
      <c r="F751" s="52"/>
      <c r="G751" s="53"/>
      <c r="H751" s="53"/>
      <c r="I751" s="54" t="str">
        <f aca="false">IF(A751="",IF(M751="فارغ","","✖ بدون رقم قيد"),IF(COUNTIFS('قيود اليومية'!$A$11:$A$1010,A751,'قيود اليومية'!$M$11:$M$1010,"&lt;&gt;OK",'قيود اليومية'!$M$11:$M$1010,"&lt;&gt;فارغ")&gt;0,"✖ خطأ بالحساب",IF(ROUND(SUMIFS('قيود اليومية'!$G$11:$G$1010,'قيود اليومية'!$A$11:$A$1010,A751)-SUMIFS('قيود اليومية'!$H$11:$H$1010,'قيود اليومية'!$A$11:$A$1010,A751),2)&lt;&gt;0,"✖ غير متوازن","مرحل ✔")))</f>
        <v/>
      </c>
      <c r="J751" s="55" t="str">
        <f aca="false">IF(C751="","",IFERROR(INDEX('شجرة الحسابات'!$E$9:$E$208,MATCH(C751,'شجرة الحسابات'!$A$9:$A$208,0))&amp;"",""))</f>
        <v/>
      </c>
      <c r="K751" s="55" t="str">
        <f aca="false">IF(C751="","",IFERROR(INDEX('شجرة الحسابات'!$I$9:$I$208,MATCH(C751,'شجرة الحسابات'!$A$9:$A$208,0))&amp;"",""))</f>
        <v/>
      </c>
      <c r="L751" s="55" t="str">
        <f aca="false">IF(C751="","",IFERROR(INDEX('شجرة الحسابات'!$C$9:$C$208,MATCH(C751,'شجرة الحسابات'!$A$9:$A$208,0))&amp;"",""))</f>
        <v/>
      </c>
      <c r="M751" s="55" t="str">
        <f aca="false">IF(AND(C751="",G751="",H751=""),"فارغ",IF(ISNA(MATCH(C751,'شجرة الحسابات'!$A$9:$A$208,0)),"حساب غير معرف",IF(L751&lt;&gt;"تحليلي","حساب تجميعي",IF(AND(N(G751)&gt;0,N(H751)&gt;0),"مدين ودائن معاً",IF(N(G751)+N(H751)=0,"بدون قيمة","OK")))))</f>
        <v>فارغ</v>
      </c>
      <c r="N751" s="55" t="str">
        <f aca="false">IF(AND(E751&lt;&gt;"",E751='كشف حساب مشروع'!$C$6,I751="مرحل ✔"),COUNTIFS($E$11:E751,'كشف حساب مشروع'!$C$6,$I$11:I751,"مرحل ✔"),"")</f>
        <v/>
      </c>
      <c r="O751" s="55" t="str">
        <f aca="false">IF(AND(C751&lt;&gt;"",C751='دفتر الأستاذ'!$C$6,I751="مرحل ✔"),COUNTIFS($C$11:C751,'دفتر الأستاذ'!$C$6,$I$11:I751,"مرحل ✔"),"")</f>
        <v/>
      </c>
    </row>
    <row r="752" customFormat="false" ht="15" hidden="false" customHeight="false" outlineLevel="0" collapsed="false">
      <c r="A752" s="49"/>
      <c r="B752" s="50"/>
      <c r="C752" s="49"/>
      <c r="D752" s="51" t="str">
        <f aca="false">IF(C752="","",IFERROR(INDEX('شجرة الحسابات'!$B$9:$B$208,MATCH(C752,'شجرة الحسابات'!$A$9:$A$208,0)),"⚠ حساب غير معرف"))</f>
        <v/>
      </c>
      <c r="E752" s="52"/>
      <c r="F752" s="52"/>
      <c r="G752" s="53"/>
      <c r="H752" s="53"/>
      <c r="I752" s="54" t="str">
        <f aca="false">IF(A752="",IF(M752="فارغ","","✖ بدون رقم قيد"),IF(COUNTIFS('قيود اليومية'!$A$11:$A$1010,A752,'قيود اليومية'!$M$11:$M$1010,"&lt;&gt;OK",'قيود اليومية'!$M$11:$M$1010,"&lt;&gt;فارغ")&gt;0,"✖ خطأ بالحساب",IF(ROUND(SUMIFS('قيود اليومية'!$G$11:$G$1010,'قيود اليومية'!$A$11:$A$1010,A752)-SUMIFS('قيود اليومية'!$H$11:$H$1010,'قيود اليومية'!$A$11:$A$1010,A752),2)&lt;&gt;0,"✖ غير متوازن","مرحل ✔")))</f>
        <v/>
      </c>
      <c r="J752" s="55" t="str">
        <f aca="false">IF(C752="","",IFERROR(INDEX('شجرة الحسابات'!$E$9:$E$208,MATCH(C752,'شجرة الحسابات'!$A$9:$A$208,0))&amp;"",""))</f>
        <v/>
      </c>
      <c r="K752" s="55" t="str">
        <f aca="false">IF(C752="","",IFERROR(INDEX('شجرة الحسابات'!$I$9:$I$208,MATCH(C752,'شجرة الحسابات'!$A$9:$A$208,0))&amp;"",""))</f>
        <v/>
      </c>
      <c r="L752" s="55" t="str">
        <f aca="false">IF(C752="","",IFERROR(INDEX('شجرة الحسابات'!$C$9:$C$208,MATCH(C752,'شجرة الحسابات'!$A$9:$A$208,0))&amp;"",""))</f>
        <v/>
      </c>
      <c r="M752" s="55" t="str">
        <f aca="false">IF(AND(C752="",G752="",H752=""),"فارغ",IF(ISNA(MATCH(C752,'شجرة الحسابات'!$A$9:$A$208,0)),"حساب غير معرف",IF(L752&lt;&gt;"تحليلي","حساب تجميعي",IF(AND(N(G752)&gt;0,N(H752)&gt;0),"مدين ودائن معاً",IF(N(G752)+N(H752)=0,"بدون قيمة","OK")))))</f>
        <v>فارغ</v>
      </c>
      <c r="N752" s="55" t="str">
        <f aca="false">IF(AND(E752&lt;&gt;"",E752='كشف حساب مشروع'!$C$6,I752="مرحل ✔"),COUNTIFS($E$11:E752,'كشف حساب مشروع'!$C$6,$I$11:I752,"مرحل ✔"),"")</f>
        <v/>
      </c>
      <c r="O752" s="55" t="str">
        <f aca="false">IF(AND(C752&lt;&gt;"",C752='دفتر الأستاذ'!$C$6,I752="مرحل ✔"),COUNTIFS($C$11:C752,'دفتر الأستاذ'!$C$6,$I$11:I752,"مرحل ✔"),"")</f>
        <v/>
      </c>
    </row>
    <row r="753" customFormat="false" ht="15" hidden="false" customHeight="false" outlineLevel="0" collapsed="false">
      <c r="A753" s="49"/>
      <c r="B753" s="50"/>
      <c r="C753" s="49"/>
      <c r="D753" s="51" t="str">
        <f aca="false">IF(C753="","",IFERROR(INDEX('شجرة الحسابات'!$B$9:$B$208,MATCH(C753,'شجرة الحسابات'!$A$9:$A$208,0)),"⚠ حساب غير معرف"))</f>
        <v/>
      </c>
      <c r="E753" s="52"/>
      <c r="F753" s="52"/>
      <c r="G753" s="53"/>
      <c r="H753" s="53"/>
      <c r="I753" s="54" t="str">
        <f aca="false">IF(A753="",IF(M753="فارغ","","✖ بدون رقم قيد"),IF(COUNTIFS('قيود اليومية'!$A$11:$A$1010,A753,'قيود اليومية'!$M$11:$M$1010,"&lt;&gt;OK",'قيود اليومية'!$M$11:$M$1010,"&lt;&gt;فارغ")&gt;0,"✖ خطأ بالحساب",IF(ROUND(SUMIFS('قيود اليومية'!$G$11:$G$1010,'قيود اليومية'!$A$11:$A$1010,A753)-SUMIFS('قيود اليومية'!$H$11:$H$1010,'قيود اليومية'!$A$11:$A$1010,A753),2)&lt;&gt;0,"✖ غير متوازن","مرحل ✔")))</f>
        <v/>
      </c>
      <c r="J753" s="55" t="str">
        <f aca="false">IF(C753="","",IFERROR(INDEX('شجرة الحسابات'!$E$9:$E$208,MATCH(C753,'شجرة الحسابات'!$A$9:$A$208,0))&amp;"",""))</f>
        <v/>
      </c>
      <c r="K753" s="55" t="str">
        <f aca="false">IF(C753="","",IFERROR(INDEX('شجرة الحسابات'!$I$9:$I$208,MATCH(C753,'شجرة الحسابات'!$A$9:$A$208,0))&amp;"",""))</f>
        <v/>
      </c>
      <c r="L753" s="55" t="str">
        <f aca="false">IF(C753="","",IFERROR(INDEX('شجرة الحسابات'!$C$9:$C$208,MATCH(C753,'شجرة الحسابات'!$A$9:$A$208,0))&amp;"",""))</f>
        <v/>
      </c>
      <c r="M753" s="55" t="str">
        <f aca="false">IF(AND(C753="",G753="",H753=""),"فارغ",IF(ISNA(MATCH(C753,'شجرة الحسابات'!$A$9:$A$208,0)),"حساب غير معرف",IF(L753&lt;&gt;"تحليلي","حساب تجميعي",IF(AND(N(G753)&gt;0,N(H753)&gt;0),"مدين ودائن معاً",IF(N(G753)+N(H753)=0,"بدون قيمة","OK")))))</f>
        <v>فارغ</v>
      </c>
      <c r="N753" s="55" t="str">
        <f aca="false">IF(AND(E753&lt;&gt;"",E753='كشف حساب مشروع'!$C$6,I753="مرحل ✔"),COUNTIFS($E$11:E753,'كشف حساب مشروع'!$C$6,$I$11:I753,"مرحل ✔"),"")</f>
        <v/>
      </c>
      <c r="O753" s="55" t="str">
        <f aca="false">IF(AND(C753&lt;&gt;"",C753='دفتر الأستاذ'!$C$6,I753="مرحل ✔"),COUNTIFS($C$11:C753,'دفتر الأستاذ'!$C$6,$I$11:I753,"مرحل ✔"),"")</f>
        <v/>
      </c>
    </row>
    <row r="754" customFormat="false" ht="15" hidden="false" customHeight="false" outlineLevel="0" collapsed="false">
      <c r="A754" s="49"/>
      <c r="B754" s="50"/>
      <c r="C754" s="49"/>
      <c r="D754" s="51" t="str">
        <f aca="false">IF(C754="","",IFERROR(INDEX('شجرة الحسابات'!$B$9:$B$208,MATCH(C754,'شجرة الحسابات'!$A$9:$A$208,0)),"⚠ حساب غير معرف"))</f>
        <v/>
      </c>
      <c r="E754" s="52"/>
      <c r="F754" s="52"/>
      <c r="G754" s="53"/>
      <c r="H754" s="53"/>
      <c r="I754" s="54" t="str">
        <f aca="false">IF(A754="",IF(M754="فارغ","","✖ بدون رقم قيد"),IF(COUNTIFS('قيود اليومية'!$A$11:$A$1010,A754,'قيود اليومية'!$M$11:$M$1010,"&lt;&gt;OK",'قيود اليومية'!$M$11:$M$1010,"&lt;&gt;فارغ")&gt;0,"✖ خطأ بالحساب",IF(ROUND(SUMIFS('قيود اليومية'!$G$11:$G$1010,'قيود اليومية'!$A$11:$A$1010,A754)-SUMIFS('قيود اليومية'!$H$11:$H$1010,'قيود اليومية'!$A$11:$A$1010,A754),2)&lt;&gt;0,"✖ غير متوازن","مرحل ✔")))</f>
        <v/>
      </c>
      <c r="J754" s="55" t="str">
        <f aca="false">IF(C754="","",IFERROR(INDEX('شجرة الحسابات'!$E$9:$E$208,MATCH(C754,'شجرة الحسابات'!$A$9:$A$208,0))&amp;"",""))</f>
        <v/>
      </c>
      <c r="K754" s="55" t="str">
        <f aca="false">IF(C754="","",IFERROR(INDEX('شجرة الحسابات'!$I$9:$I$208,MATCH(C754,'شجرة الحسابات'!$A$9:$A$208,0))&amp;"",""))</f>
        <v/>
      </c>
      <c r="L754" s="55" t="str">
        <f aca="false">IF(C754="","",IFERROR(INDEX('شجرة الحسابات'!$C$9:$C$208,MATCH(C754,'شجرة الحسابات'!$A$9:$A$208,0))&amp;"",""))</f>
        <v/>
      </c>
      <c r="M754" s="55" t="str">
        <f aca="false">IF(AND(C754="",G754="",H754=""),"فارغ",IF(ISNA(MATCH(C754,'شجرة الحسابات'!$A$9:$A$208,0)),"حساب غير معرف",IF(L754&lt;&gt;"تحليلي","حساب تجميعي",IF(AND(N(G754)&gt;0,N(H754)&gt;0),"مدين ودائن معاً",IF(N(G754)+N(H754)=0,"بدون قيمة","OK")))))</f>
        <v>فارغ</v>
      </c>
      <c r="N754" s="55" t="str">
        <f aca="false">IF(AND(E754&lt;&gt;"",E754='كشف حساب مشروع'!$C$6,I754="مرحل ✔"),COUNTIFS($E$11:E754,'كشف حساب مشروع'!$C$6,$I$11:I754,"مرحل ✔"),"")</f>
        <v/>
      </c>
      <c r="O754" s="55" t="str">
        <f aca="false">IF(AND(C754&lt;&gt;"",C754='دفتر الأستاذ'!$C$6,I754="مرحل ✔"),COUNTIFS($C$11:C754,'دفتر الأستاذ'!$C$6,$I$11:I754,"مرحل ✔"),"")</f>
        <v/>
      </c>
    </row>
    <row r="755" customFormat="false" ht="15" hidden="false" customHeight="false" outlineLevel="0" collapsed="false">
      <c r="A755" s="49"/>
      <c r="B755" s="50"/>
      <c r="C755" s="49"/>
      <c r="D755" s="51" t="str">
        <f aca="false">IF(C755="","",IFERROR(INDEX('شجرة الحسابات'!$B$9:$B$208,MATCH(C755,'شجرة الحسابات'!$A$9:$A$208,0)),"⚠ حساب غير معرف"))</f>
        <v/>
      </c>
      <c r="E755" s="52"/>
      <c r="F755" s="52"/>
      <c r="G755" s="53"/>
      <c r="H755" s="53"/>
      <c r="I755" s="54" t="str">
        <f aca="false">IF(A755="",IF(M755="فارغ","","✖ بدون رقم قيد"),IF(COUNTIFS('قيود اليومية'!$A$11:$A$1010,A755,'قيود اليومية'!$M$11:$M$1010,"&lt;&gt;OK",'قيود اليومية'!$M$11:$M$1010,"&lt;&gt;فارغ")&gt;0,"✖ خطأ بالحساب",IF(ROUND(SUMIFS('قيود اليومية'!$G$11:$G$1010,'قيود اليومية'!$A$11:$A$1010,A755)-SUMIFS('قيود اليومية'!$H$11:$H$1010,'قيود اليومية'!$A$11:$A$1010,A755),2)&lt;&gt;0,"✖ غير متوازن","مرحل ✔")))</f>
        <v/>
      </c>
      <c r="J755" s="55" t="str">
        <f aca="false">IF(C755="","",IFERROR(INDEX('شجرة الحسابات'!$E$9:$E$208,MATCH(C755,'شجرة الحسابات'!$A$9:$A$208,0))&amp;"",""))</f>
        <v/>
      </c>
      <c r="K755" s="55" t="str">
        <f aca="false">IF(C755="","",IFERROR(INDEX('شجرة الحسابات'!$I$9:$I$208,MATCH(C755,'شجرة الحسابات'!$A$9:$A$208,0))&amp;"",""))</f>
        <v/>
      </c>
      <c r="L755" s="55" t="str">
        <f aca="false">IF(C755="","",IFERROR(INDEX('شجرة الحسابات'!$C$9:$C$208,MATCH(C755,'شجرة الحسابات'!$A$9:$A$208,0))&amp;"",""))</f>
        <v/>
      </c>
      <c r="M755" s="55" t="str">
        <f aca="false">IF(AND(C755="",G755="",H755=""),"فارغ",IF(ISNA(MATCH(C755,'شجرة الحسابات'!$A$9:$A$208,0)),"حساب غير معرف",IF(L755&lt;&gt;"تحليلي","حساب تجميعي",IF(AND(N(G755)&gt;0,N(H755)&gt;0),"مدين ودائن معاً",IF(N(G755)+N(H755)=0,"بدون قيمة","OK")))))</f>
        <v>فارغ</v>
      </c>
      <c r="N755" s="55" t="str">
        <f aca="false">IF(AND(E755&lt;&gt;"",E755='كشف حساب مشروع'!$C$6,I755="مرحل ✔"),COUNTIFS($E$11:E755,'كشف حساب مشروع'!$C$6,$I$11:I755,"مرحل ✔"),"")</f>
        <v/>
      </c>
      <c r="O755" s="55" t="str">
        <f aca="false">IF(AND(C755&lt;&gt;"",C755='دفتر الأستاذ'!$C$6,I755="مرحل ✔"),COUNTIFS($C$11:C755,'دفتر الأستاذ'!$C$6,$I$11:I755,"مرحل ✔"),"")</f>
        <v/>
      </c>
    </row>
    <row r="756" customFormat="false" ht="15" hidden="false" customHeight="false" outlineLevel="0" collapsed="false">
      <c r="A756" s="49"/>
      <c r="B756" s="50"/>
      <c r="C756" s="49"/>
      <c r="D756" s="51" t="str">
        <f aca="false">IF(C756="","",IFERROR(INDEX('شجرة الحسابات'!$B$9:$B$208,MATCH(C756,'شجرة الحسابات'!$A$9:$A$208,0)),"⚠ حساب غير معرف"))</f>
        <v/>
      </c>
      <c r="E756" s="52"/>
      <c r="F756" s="52"/>
      <c r="G756" s="53"/>
      <c r="H756" s="53"/>
      <c r="I756" s="54" t="str">
        <f aca="false">IF(A756="",IF(M756="فارغ","","✖ بدون رقم قيد"),IF(COUNTIFS('قيود اليومية'!$A$11:$A$1010,A756,'قيود اليومية'!$M$11:$M$1010,"&lt;&gt;OK",'قيود اليومية'!$M$11:$M$1010,"&lt;&gt;فارغ")&gt;0,"✖ خطأ بالحساب",IF(ROUND(SUMIFS('قيود اليومية'!$G$11:$G$1010,'قيود اليومية'!$A$11:$A$1010,A756)-SUMIFS('قيود اليومية'!$H$11:$H$1010,'قيود اليومية'!$A$11:$A$1010,A756),2)&lt;&gt;0,"✖ غير متوازن","مرحل ✔")))</f>
        <v/>
      </c>
      <c r="J756" s="55" t="str">
        <f aca="false">IF(C756="","",IFERROR(INDEX('شجرة الحسابات'!$E$9:$E$208,MATCH(C756,'شجرة الحسابات'!$A$9:$A$208,0))&amp;"",""))</f>
        <v/>
      </c>
      <c r="K756" s="55" t="str">
        <f aca="false">IF(C756="","",IFERROR(INDEX('شجرة الحسابات'!$I$9:$I$208,MATCH(C756,'شجرة الحسابات'!$A$9:$A$208,0))&amp;"",""))</f>
        <v/>
      </c>
      <c r="L756" s="55" t="str">
        <f aca="false">IF(C756="","",IFERROR(INDEX('شجرة الحسابات'!$C$9:$C$208,MATCH(C756,'شجرة الحسابات'!$A$9:$A$208,0))&amp;"",""))</f>
        <v/>
      </c>
      <c r="M756" s="55" t="str">
        <f aca="false">IF(AND(C756="",G756="",H756=""),"فارغ",IF(ISNA(MATCH(C756,'شجرة الحسابات'!$A$9:$A$208,0)),"حساب غير معرف",IF(L756&lt;&gt;"تحليلي","حساب تجميعي",IF(AND(N(G756)&gt;0,N(H756)&gt;0),"مدين ودائن معاً",IF(N(G756)+N(H756)=0,"بدون قيمة","OK")))))</f>
        <v>فارغ</v>
      </c>
      <c r="N756" s="55" t="str">
        <f aca="false">IF(AND(E756&lt;&gt;"",E756='كشف حساب مشروع'!$C$6,I756="مرحل ✔"),COUNTIFS($E$11:E756,'كشف حساب مشروع'!$C$6,$I$11:I756,"مرحل ✔"),"")</f>
        <v/>
      </c>
      <c r="O756" s="55" t="str">
        <f aca="false">IF(AND(C756&lt;&gt;"",C756='دفتر الأستاذ'!$C$6,I756="مرحل ✔"),COUNTIFS($C$11:C756,'دفتر الأستاذ'!$C$6,$I$11:I756,"مرحل ✔"),"")</f>
        <v/>
      </c>
    </row>
    <row r="757" customFormat="false" ht="15" hidden="false" customHeight="false" outlineLevel="0" collapsed="false">
      <c r="A757" s="49"/>
      <c r="B757" s="50"/>
      <c r="C757" s="49"/>
      <c r="D757" s="51" t="str">
        <f aca="false">IF(C757="","",IFERROR(INDEX('شجرة الحسابات'!$B$9:$B$208,MATCH(C757,'شجرة الحسابات'!$A$9:$A$208,0)),"⚠ حساب غير معرف"))</f>
        <v/>
      </c>
      <c r="E757" s="52"/>
      <c r="F757" s="52"/>
      <c r="G757" s="53"/>
      <c r="H757" s="53"/>
      <c r="I757" s="54" t="str">
        <f aca="false">IF(A757="",IF(M757="فارغ","","✖ بدون رقم قيد"),IF(COUNTIFS('قيود اليومية'!$A$11:$A$1010,A757,'قيود اليومية'!$M$11:$M$1010,"&lt;&gt;OK",'قيود اليومية'!$M$11:$M$1010,"&lt;&gt;فارغ")&gt;0,"✖ خطأ بالحساب",IF(ROUND(SUMIFS('قيود اليومية'!$G$11:$G$1010,'قيود اليومية'!$A$11:$A$1010,A757)-SUMIFS('قيود اليومية'!$H$11:$H$1010,'قيود اليومية'!$A$11:$A$1010,A757),2)&lt;&gt;0,"✖ غير متوازن","مرحل ✔")))</f>
        <v/>
      </c>
      <c r="J757" s="55" t="str">
        <f aca="false">IF(C757="","",IFERROR(INDEX('شجرة الحسابات'!$E$9:$E$208,MATCH(C757,'شجرة الحسابات'!$A$9:$A$208,0))&amp;"",""))</f>
        <v/>
      </c>
      <c r="K757" s="55" t="str">
        <f aca="false">IF(C757="","",IFERROR(INDEX('شجرة الحسابات'!$I$9:$I$208,MATCH(C757,'شجرة الحسابات'!$A$9:$A$208,0))&amp;"",""))</f>
        <v/>
      </c>
      <c r="L757" s="55" t="str">
        <f aca="false">IF(C757="","",IFERROR(INDEX('شجرة الحسابات'!$C$9:$C$208,MATCH(C757,'شجرة الحسابات'!$A$9:$A$208,0))&amp;"",""))</f>
        <v/>
      </c>
      <c r="M757" s="55" t="str">
        <f aca="false">IF(AND(C757="",G757="",H757=""),"فارغ",IF(ISNA(MATCH(C757,'شجرة الحسابات'!$A$9:$A$208,0)),"حساب غير معرف",IF(L757&lt;&gt;"تحليلي","حساب تجميعي",IF(AND(N(G757)&gt;0,N(H757)&gt;0),"مدين ودائن معاً",IF(N(G757)+N(H757)=0,"بدون قيمة","OK")))))</f>
        <v>فارغ</v>
      </c>
      <c r="N757" s="55" t="str">
        <f aca="false">IF(AND(E757&lt;&gt;"",E757='كشف حساب مشروع'!$C$6,I757="مرحل ✔"),COUNTIFS($E$11:E757,'كشف حساب مشروع'!$C$6,$I$11:I757,"مرحل ✔"),"")</f>
        <v/>
      </c>
      <c r="O757" s="55" t="str">
        <f aca="false">IF(AND(C757&lt;&gt;"",C757='دفتر الأستاذ'!$C$6,I757="مرحل ✔"),COUNTIFS($C$11:C757,'دفتر الأستاذ'!$C$6,$I$11:I757,"مرحل ✔"),"")</f>
        <v/>
      </c>
    </row>
    <row r="758" customFormat="false" ht="15" hidden="false" customHeight="false" outlineLevel="0" collapsed="false">
      <c r="A758" s="49"/>
      <c r="B758" s="50"/>
      <c r="C758" s="49"/>
      <c r="D758" s="51" t="str">
        <f aca="false">IF(C758="","",IFERROR(INDEX('شجرة الحسابات'!$B$9:$B$208,MATCH(C758,'شجرة الحسابات'!$A$9:$A$208,0)),"⚠ حساب غير معرف"))</f>
        <v/>
      </c>
      <c r="E758" s="52"/>
      <c r="F758" s="52"/>
      <c r="G758" s="53"/>
      <c r="H758" s="53"/>
      <c r="I758" s="54" t="str">
        <f aca="false">IF(A758="",IF(M758="فارغ","","✖ بدون رقم قيد"),IF(COUNTIFS('قيود اليومية'!$A$11:$A$1010,A758,'قيود اليومية'!$M$11:$M$1010,"&lt;&gt;OK",'قيود اليومية'!$M$11:$M$1010,"&lt;&gt;فارغ")&gt;0,"✖ خطأ بالحساب",IF(ROUND(SUMIFS('قيود اليومية'!$G$11:$G$1010,'قيود اليومية'!$A$11:$A$1010,A758)-SUMIFS('قيود اليومية'!$H$11:$H$1010,'قيود اليومية'!$A$11:$A$1010,A758),2)&lt;&gt;0,"✖ غير متوازن","مرحل ✔")))</f>
        <v/>
      </c>
      <c r="J758" s="55" t="str">
        <f aca="false">IF(C758="","",IFERROR(INDEX('شجرة الحسابات'!$E$9:$E$208,MATCH(C758,'شجرة الحسابات'!$A$9:$A$208,0))&amp;"",""))</f>
        <v/>
      </c>
      <c r="K758" s="55" t="str">
        <f aca="false">IF(C758="","",IFERROR(INDEX('شجرة الحسابات'!$I$9:$I$208,MATCH(C758,'شجرة الحسابات'!$A$9:$A$208,0))&amp;"",""))</f>
        <v/>
      </c>
      <c r="L758" s="55" t="str">
        <f aca="false">IF(C758="","",IFERROR(INDEX('شجرة الحسابات'!$C$9:$C$208,MATCH(C758,'شجرة الحسابات'!$A$9:$A$208,0))&amp;"",""))</f>
        <v/>
      </c>
      <c r="M758" s="55" t="str">
        <f aca="false">IF(AND(C758="",G758="",H758=""),"فارغ",IF(ISNA(MATCH(C758,'شجرة الحسابات'!$A$9:$A$208,0)),"حساب غير معرف",IF(L758&lt;&gt;"تحليلي","حساب تجميعي",IF(AND(N(G758)&gt;0,N(H758)&gt;0),"مدين ودائن معاً",IF(N(G758)+N(H758)=0,"بدون قيمة","OK")))))</f>
        <v>فارغ</v>
      </c>
      <c r="N758" s="55" t="str">
        <f aca="false">IF(AND(E758&lt;&gt;"",E758='كشف حساب مشروع'!$C$6,I758="مرحل ✔"),COUNTIFS($E$11:E758,'كشف حساب مشروع'!$C$6,$I$11:I758,"مرحل ✔"),"")</f>
        <v/>
      </c>
      <c r="O758" s="55" t="str">
        <f aca="false">IF(AND(C758&lt;&gt;"",C758='دفتر الأستاذ'!$C$6,I758="مرحل ✔"),COUNTIFS($C$11:C758,'دفتر الأستاذ'!$C$6,$I$11:I758,"مرحل ✔"),"")</f>
        <v/>
      </c>
    </row>
    <row r="759" customFormat="false" ht="15" hidden="false" customHeight="false" outlineLevel="0" collapsed="false">
      <c r="A759" s="49"/>
      <c r="B759" s="50"/>
      <c r="C759" s="49"/>
      <c r="D759" s="51" t="str">
        <f aca="false">IF(C759="","",IFERROR(INDEX('شجرة الحسابات'!$B$9:$B$208,MATCH(C759,'شجرة الحسابات'!$A$9:$A$208,0)),"⚠ حساب غير معرف"))</f>
        <v/>
      </c>
      <c r="E759" s="52"/>
      <c r="F759" s="52"/>
      <c r="G759" s="53"/>
      <c r="H759" s="53"/>
      <c r="I759" s="54" t="str">
        <f aca="false">IF(A759="",IF(M759="فارغ","","✖ بدون رقم قيد"),IF(COUNTIFS('قيود اليومية'!$A$11:$A$1010,A759,'قيود اليومية'!$M$11:$M$1010,"&lt;&gt;OK",'قيود اليومية'!$M$11:$M$1010,"&lt;&gt;فارغ")&gt;0,"✖ خطأ بالحساب",IF(ROUND(SUMIFS('قيود اليومية'!$G$11:$G$1010,'قيود اليومية'!$A$11:$A$1010,A759)-SUMIFS('قيود اليومية'!$H$11:$H$1010,'قيود اليومية'!$A$11:$A$1010,A759),2)&lt;&gt;0,"✖ غير متوازن","مرحل ✔")))</f>
        <v/>
      </c>
      <c r="J759" s="55" t="str">
        <f aca="false">IF(C759="","",IFERROR(INDEX('شجرة الحسابات'!$E$9:$E$208,MATCH(C759,'شجرة الحسابات'!$A$9:$A$208,0))&amp;"",""))</f>
        <v/>
      </c>
      <c r="K759" s="55" t="str">
        <f aca="false">IF(C759="","",IFERROR(INDEX('شجرة الحسابات'!$I$9:$I$208,MATCH(C759,'شجرة الحسابات'!$A$9:$A$208,0))&amp;"",""))</f>
        <v/>
      </c>
      <c r="L759" s="55" t="str">
        <f aca="false">IF(C759="","",IFERROR(INDEX('شجرة الحسابات'!$C$9:$C$208,MATCH(C759,'شجرة الحسابات'!$A$9:$A$208,0))&amp;"",""))</f>
        <v/>
      </c>
      <c r="M759" s="55" t="str">
        <f aca="false">IF(AND(C759="",G759="",H759=""),"فارغ",IF(ISNA(MATCH(C759,'شجرة الحسابات'!$A$9:$A$208,0)),"حساب غير معرف",IF(L759&lt;&gt;"تحليلي","حساب تجميعي",IF(AND(N(G759)&gt;0,N(H759)&gt;0),"مدين ودائن معاً",IF(N(G759)+N(H759)=0,"بدون قيمة","OK")))))</f>
        <v>فارغ</v>
      </c>
      <c r="N759" s="55" t="str">
        <f aca="false">IF(AND(E759&lt;&gt;"",E759='كشف حساب مشروع'!$C$6,I759="مرحل ✔"),COUNTIFS($E$11:E759,'كشف حساب مشروع'!$C$6,$I$11:I759,"مرحل ✔"),"")</f>
        <v/>
      </c>
      <c r="O759" s="55" t="str">
        <f aca="false">IF(AND(C759&lt;&gt;"",C759='دفتر الأستاذ'!$C$6,I759="مرحل ✔"),COUNTIFS($C$11:C759,'دفتر الأستاذ'!$C$6,$I$11:I759,"مرحل ✔"),"")</f>
        <v/>
      </c>
    </row>
    <row r="760" customFormat="false" ht="15" hidden="false" customHeight="false" outlineLevel="0" collapsed="false">
      <c r="A760" s="49"/>
      <c r="B760" s="50"/>
      <c r="C760" s="49"/>
      <c r="D760" s="51" t="str">
        <f aca="false">IF(C760="","",IFERROR(INDEX('شجرة الحسابات'!$B$9:$B$208,MATCH(C760,'شجرة الحسابات'!$A$9:$A$208,0)),"⚠ حساب غير معرف"))</f>
        <v/>
      </c>
      <c r="E760" s="52"/>
      <c r="F760" s="52"/>
      <c r="G760" s="53"/>
      <c r="H760" s="53"/>
      <c r="I760" s="54" t="str">
        <f aca="false">IF(A760="",IF(M760="فارغ","","✖ بدون رقم قيد"),IF(COUNTIFS('قيود اليومية'!$A$11:$A$1010,A760,'قيود اليومية'!$M$11:$M$1010,"&lt;&gt;OK",'قيود اليومية'!$M$11:$M$1010,"&lt;&gt;فارغ")&gt;0,"✖ خطأ بالحساب",IF(ROUND(SUMIFS('قيود اليومية'!$G$11:$G$1010,'قيود اليومية'!$A$11:$A$1010,A760)-SUMIFS('قيود اليومية'!$H$11:$H$1010,'قيود اليومية'!$A$11:$A$1010,A760),2)&lt;&gt;0,"✖ غير متوازن","مرحل ✔")))</f>
        <v/>
      </c>
      <c r="J760" s="55" t="str">
        <f aca="false">IF(C760="","",IFERROR(INDEX('شجرة الحسابات'!$E$9:$E$208,MATCH(C760,'شجرة الحسابات'!$A$9:$A$208,0))&amp;"",""))</f>
        <v/>
      </c>
      <c r="K760" s="55" t="str">
        <f aca="false">IF(C760="","",IFERROR(INDEX('شجرة الحسابات'!$I$9:$I$208,MATCH(C760,'شجرة الحسابات'!$A$9:$A$208,0))&amp;"",""))</f>
        <v/>
      </c>
      <c r="L760" s="55" t="str">
        <f aca="false">IF(C760="","",IFERROR(INDEX('شجرة الحسابات'!$C$9:$C$208,MATCH(C760,'شجرة الحسابات'!$A$9:$A$208,0))&amp;"",""))</f>
        <v/>
      </c>
      <c r="M760" s="55" t="str">
        <f aca="false">IF(AND(C760="",G760="",H760=""),"فارغ",IF(ISNA(MATCH(C760,'شجرة الحسابات'!$A$9:$A$208,0)),"حساب غير معرف",IF(L760&lt;&gt;"تحليلي","حساب تجميعي",IF(AND(N(G760)&gt;0,N(H760)&gt;0),"مدين ودائن معاً",IF(N(G760)+N(H760)=0,"بدون قيمة","OK")))))</f>
        <v>فارغ</v>
      </c>
      <c r="N760" s="55" t="str">
        <f aca="false">IF(AND(E760&lt;&gt;"",E760='كشف حساب مشروع'!$C$6,I760="مرحل ✔"),COUNTIFS($E$11:E760,'كشف حساب مشروع'!$C$6,$I$11:I760,"مرحل ✔"),"")</f>
        <v/>
      </c>
      <c r="O760" s="55" t="str">
        <f aca="false">IF(AND(C760&lt;&gt;"",C760='دفتر الأستاذ'!$C$6,I760="مرحل ✔"),COUNTIFS($C$11:C760,'دفتر الأستاذ'!$C$6,$I$11:I760,"مرحل ✔"),"")</f>
        <v/>
      </c>
    </row>
    <row r="761" customFormat="false" ht="15" hidden="false" customHeight="false" outlineLevel="0" collapsed="false">
      <c r="A761" s="49"/>
      <c r="B761" s="50"/>
      <c r="C761" s="49"/>
      <c r="D761" s="51" t="str">
        <f aca="false">IF(C761="","",IFERROR(INDEX('شجرة الحسابات'!$B$9:$B$208,MATCH(C761,'شجرة الحسابات'!$A$9:$A$208,0)),"⚠ حساب غير معرف"))</f>
        <v/>
      </c>
      <c r="E761" s="52"/>
      <c r="F761" s="52"/>
      <c r="G761" s="53"/>
      <c r="H761" s="53"/>
      <c r="I761" s="54" t="str">
        <f aca="false">IF(A761="",IF(M761="فارغ","","✖ بدون رقم قيد"),IF(COUNTIFS('قيود اليومية'!$A$11:$A$1010,A761,'قيود اليومية'!$M$11:$M$1010,"&lt;&gt;OK",'قيود اليومية'!$M$11:$M$1010,"&lt;&gt;فارغ")&gt;0,"✖ خطأ بالحساب",IF(ROUND(SUMIFS('قيود اليومية'!$G$11:$G$1010,'قيود اليومية'!$A$11:$A$1010,A761)-SUMIFS('قيود اليومية'!$H$11:$H$1010,'قيود اليومية'!$A$11:$A$1010,A761),2)&lt;&gt;0,"✖ غير متوازن","مرحل ✔")))</f>
        <v/>
      </c>
      <c r="J761" s="55" t="str">
        <f aca="false">IF(C761="","",IFERROR(INDEX('شجرة الحسابات'!$E$9:$E$208,MATCH(C761,'شجرة الحسابات'!$A$9:$A$208,0))&amp;"",""))</f>
        <v/>
      </c>
      <c r="K761" s="55" t="str">
        <f aca="false">IF(C761="","",IFERROR(INDEX('شجرة الحسابات'!$I$9:$I$208,MATCH(C761,'شجرة الحسابات'!$A$9:$A$208,0))&amp;"",""))</f>
        <v/>
      </c>
      <c r="L761" s="55" t="str">
        <f aca="false">IF(C761="","",IFERROR(INDEX('شجرة الحسابات'!$C$9:$C$208,MATCH(C761,'شجرة الحسابات'!$A$9:$A$208,0))&amp;"",""))</f>
        <v/>
      </c>
      <c r="M761" s="55" t="str">
        <f aca="false">IF(AND(C761="",G761="",H761=""),"فارغ",IF(ISNA(MATCH(C761,'شجرة الحسابات'!$A$9:$A$208,0)),"حساب غير معرف",IF(L761&lt;&gt;"تحليلي","حساب تجميعي",IF(AND(N(G761)&gt;0,N(H761)&gt;0),"مدين ودائن معاً",IF(N(G761)+N(H761)=0,"بدون قيمة","OK")))))</f>
        <v>فارغ</v>
      </c>
      <c r="N761" s="55" t="str">
        <f aca="false">IF(AND(E761&lt;&gt;"",E761='كشف حساب مشروع'!$C$6,I761="مرحل ✔"),COUNTIFS($E$11:E761,'كشف حساب مشروع'!$C$6,$I$11:I761,"مرحل ✔"),"")</f>
        <v/>
      </c>
      <c r="O761" s="55" t="str">
        <f aca="false">IF(AND(C761&lt;&gt;"",C761='دفتر الأستاذ'!$C$6,I761="مرحل ✔"),COUNTIFS($C$11:C761,'دفتر الأستاذ'!$C$6,$I$11:I761,"مرحل ✔"),"")</f>
        <v/>
      </c>
    </row>
    <row r="762" customFormat="false" ht="15" hidden="false" customHeight="false" outlineLevel="0" collapsed="false">
      <c r="A762" s="49"/>
      <c r="B762" s="50"/>
      <c r="C762" s="49"/>
      <c r="D762" s="51" t="str">
        <f aca="false">IF(C762="","",IFERROR(INDEX('شجرة الحسابات'!$B$9:$B$208,MATCH(C762,'شجرة الحسابات'!$A$9:$A$208,0)),"⚠ حساب غير معرف"))</f>
        <v/>
      </c>
      <c r="E762" s="52"/>
      <c r="F762" s="52"/>
      <c r="G762" s="53"/>
      <c r="H762" s="53"/>
      <c r="I762" s="54" t="str">
        <f aca="false">IF(A762="",IF(M762="فارغ","","✖ بدون رقم قيد"),IF(COUNTIFS('قيود اليومية'!$A$11:$A$1010,A762,'قيود اليومية'!$M$11:$M$1010,"&lt;&gt;OK",'قيود اليومية'!$M$11:$M$1010,"&lt;&gt;فارغ")&gt;0,"✖ خطأ بالحساب",IF(ROUND(SUMIFS('قيود اليومية'!$G$11:$G$1010,'قيود اليومية'!$A$11:$A$1010,A762)-SUMIFS('قيود اليومية'!$H$11:$H$1010,'قيود اليومية'!$A$11:$A$1010,A762),2)&lt;&gt;0,"✖ غير متوازن","مرحل ✔")))</f>
        <v/>
      </c>
      <c r="J762" s="55" t="str">
        <f aca="false">IF(C762="","",IFERROR(INDEX('شجرة الحسابات'!$E$9:$E$208,MATCH(C762,'شجرة الحسابات'!$A$9:$A$208,0))&amp;"",""))</f>
        <v/>
      </c>
      <c r="K762" s="55" t="str">
        <f aca="false">IF(C762="","",IFERROR(INDEX('شجرة الحسابات'!$I$9:$I$208,MATCH(C762,'شجرة الحسابات'!$A$9:$A$208,0))&amp;"",""))</f>
        <v/>
      </c>
      <c r="L762" s="55" t="str">
        <f aca="false">IF(C762="","",IFERROR(INDEX('شجرة الحسابات'!$C$9:$C$208,MATCH(C762,'شجرة الحسابات'!$A$9:$A$208,0))&amp;"",""))</f>
        <v/>
      </c>
      <c r="M762" s="55" t="str">
        <f aca="false">IF(AND(C762="",G762="",H762=""),"فارغ",IF(ISNA(MATCH(C762,'شجرة الحسابات'!$A$9:$A$208,0)),"حساب غير معرف",IF(L762&lt;&gt;"تحليلي","حساب تجميعي",IF(AND(N(G762)&gt;0,N(H762)&gt;0),"مدين ودائن معاً",IF(N(G762)+N(H762)=0,"بدون قيمة","OK")))))</f>
        <v>فارغ</v>
      </c>
      <c r="N762" s="55" t="str">
        <f aca="false">IF(AND(E762&lt;&gt;"",E762='كشف حساب مشروع'!$C$6,I762="مرحل ✔"),COUNTIFS($E$11:E762,'كشف حساب مشروع'!$C$6,$I$11:I762,"مرحل ✔"),"")</f>
        <v/>
      </c>
      <c r="O762" s="55" t="str">
        <f aca="false">IF(AND(C762&lt;&gt;"",C762='دفتر الأستاذ'!$C$6,I762="مرحل ✔"),COUNTIFS($C$11:C762,'دفتر الأستاذ'!$C$6,$I$11:I762,"مرحل ✔"),"")</f>
        <v/>
      </c>
    </row>
    <row r="763" customFormat="false" ht="15" hidden="false" customHeight="false" outlineLevel="0" collapsed="false">
      <c r="A763" s="49"/>
      <c r="B763" s="50"/>
      <c r="C763" s="49"/>
      <c r="D763" s="51" t="str">
        <f aca="false">IF(C763="","",IFERROR(INDEX('شجرة الحسابات'!$B$9:$B$208,MATCH(C763,'شجرة الحسابات'!$A$9:$A$208,0)),"⚠ حساب غير معرف"))</f>
        <v/>
      </c>
      <c r="E763" s="52"/>
      <c r="F763" s="52"/>
      <c r="G763" s="53"/>
      <c r="H763" s="53"/>
      <c r="I763" s="54" t="str">
        <f aca="false">IF(A763="",IF(M763="فارغ","","✖ بدون رقم قيد"),IF(COUNTIFS('قيود اليومية'!$A$11:$A$1010,A763,'قيود اليومية'!$M$11:$M$1010,"&lt;&gt;OK",'قيود اليومية'!$M$11:$M$1010,"&lt;&gt;فارغ")&gt;0,"✖ خطأ بالحساب",IF(ROUND(SUMIFS('قيود اليومية'!$G$11:$G$1010,'قيود اليومية'!$A$11:$A$1010,A763)-SUMIFS('قيود اليومية'!$H$11:$H$1010,'قيود اليومية'!$A$11:$A$1010,A763),2)&lt;&gt;0,"✖ غير متوازن","مرحل ✔")))</f>
        <v/>
      </c>
      <c r="J763" s="55" t="str">
        <f aca="false">IF(C763="","",IFERROR(INDEX('شجرة الحسابات'!$E$9:$E$208,MATCH(C763,'شجرة الحسابات'!$A$9:$A$208,0))&amp;"",""))</f>
        <v/>
      </c>
      <c r="K763" s="55" t="str">
        <f aca="false">IF(C763="","",IFERROR(INDEX('شجرة الحسابات'!$I$9:$I$208,MATCH(C763,'شجرة الحسابات'!$A$9:$A$208,0))&amp;"",""))</f>
        <v/>
      </c>
      <c r="L763" s="55" t="str">
        <f aca="false">IF(C763="","",IFERROR(INDEX('شجرة الحسابات'!$C$9:$C$208,MATCH(C763,'شجرة الحسابات'!$A$9:$A$208,0))&amp;"",""))</f>
        <v/>
      </c>
      <c r="M763" s="55" t="str">
        <f aca="false">IF(AND(C763="",G763="",H763=""),"فارغ",IF(ISNA(MATCH(C763,'شجرة الحسابات'!$A$9:$A$208,0)),"حساب غير معرف",IF(L763&lt;&gt;"تحليلي","حساب تجميعي",IF(AND(N(G763)&gt;0,N(H763)&gt;0),"مدين ودائن معاً",IF(N(G763)+N(H763)=0,"بدون قيمة","OK")))))</f>
        <v>فارغ</v>
      </c>
      <c r="N763" s="55" t="str">
        <f aca="false">IF(AND(E763&lt;&gt;"",E763='كشف حساب مشروع'!$C$6,I763="مرحل ✔"),COUNTIFS($E$11:E763,'كشف حساب مشروع'!$C$6,$I$11:I763,"مرحل ✔"),"")</f>
        <v/>
      </c>
      <c r="O763" s="55" t="str">
        <f aca="false">IF(AND(C763&lt;&gt;"",C763='دفتر الأستاذ'!$C$6,I763="مرحل ✔"),COUNTIFS($C$11:C763,'دفتر الأستاذ'!$C$6,$I$11:I763,"مرحل ✔"),"")</f>
        <v/>
      </c>
    </row>
    <row r="764" customFormat="false" ht="15" hidden="false" customHeight="false" outlineLevel="0" collapsed="false">
      <c r="A764" s="49"/>
      <c r="B764" s="50"/>
      <c r="C764" s="49"/>
      <c r="D764" s="51" t="str">
        <f aca="false">IF(C764="","",IFERROR(INDEX('شجرة الحسابات'!$B$9:$B$208,MATCH(C764,'شجرة الحسابات'!$A$9:$A$208,0)),"⚠ حساب غير معرف"))</f>
        <v/>
      </c>
      <c r="E764" s="52"/>
      <c r="F764" s="52"/>
      <c r="G764" s="53"/>
      <c r="H764" s="53"/>
      <c r="I764" s="54" t="str">
        <f aca="false">IF(A764="",IF(M764="فارغ","","✖ بدون رقم قيد"),IF(COUNTIFS('قيود اليومية'!$A$11:$A$1010,A764,'قيود اليومية'!$M$11:$M$1010,"&lt;&gt;OK",'قيود اليومية'!$M$11:$M$1010,"&lt;&gt;فارغ")&gt;0,"✖ خطأ بالحساب",IF(ROUND(SUMIFS('قيود اليومية'!$G$11:$G$1010,'قيود اليومية'!$A$11:$A$1010,A764)-SUMIFS('قيود اليومية'!$H$11:$H$1010,'قيود اليومية'!$A$11:$A$1010,A764),2)&lt;&gt;0,"✖ غير متوازن","مرحل ✔")))</f>
        <v/>
      </c>
      <c r="J764" s="55" t="str">
        <f aca="false">IF(C764="","",IFERROR(INDEX('شجرة الحسابات'!$E$9:$E$208,MATCH(C764,'شجرة الحسابات'!$A$9:$A$208,0))&amp;"",""))</f>
        <v/>
      </c>
      <c r="K764" s="55" t="str">
        <f aca="false">IF(C764="","",IFERROR(INDEX('شجرة الحسابات'!$I$9:$I$208,MATCH(C764,'شجرة الحسابات'!$A$9:$A$208,0))&amp;"",""))</f>
        <v/>
      </c>
      <c r="L764" s="55" t="str">
        <f aca="false">IF(C764="","",IFERROR(INDEX('شجرة الحسابات'!$C$9:$C$208,MATCH(C764,'شجرة الحسابات'!$A$9:$A$208,0))&amp;"",""))</f>
        <v/>
      </c>
      <c r="M764" s="55" t="str">
        <f aca="false">IF(AND(C764="",G764="",H764=""),"فارغ",IF(ISNA(MATCH(C764,'شجرة الحسابات'!$A$9:$A$208,0)),"حساب غير معرف",IF(L764&lt;&gt;"تحليلي","حساب تجميعي",IF(AND(N(G764)&gt;0,N(H764)&gt;0),"مدين ودائن معاً",IF(N(G764)+N(H764)=0,"بدون قيمة","OK")))))</f>
        <v>فارغ</v>
      </c>
      <c r="N764" s="55" t="str">
        <f aca="false">IF(AND(E764&lt;&gt;"",E764='كشف حساب مشروع'!$C$6,I764="مرحل ✔"),COUNTIFS($E$11:E764,'كشف حساب مشروع'!$C$6,$I$11:I764,"مرحل ✔"),"")</f>
        <v/>
      </c>
      <c r="O764" s="55" t="str">
        <f aca="false">IF(AND(C764&lt;&gt;"",C764='دفتر الأستاذ'!$C$6,I764="مرحل ✔"),COUNTIFS($C$11:C764,'دفتر الأستاذ'!$C$6,$I$11:I764,"مرحل ✔"),"")</f>
        <v/>
      </c>
    </row>
    <row r="765" customFormat="false" ht="15" hidden="false" customHeight="false" outlineLevel="0" collapsed="false">
      <c r="A765" s="49"/>
      <c r="B765" s="50"/>
      <c r="C765" s="49"/>
      <c r="D765" s="51" t="str">
        <f aca="false">IF(C765="","",IFERROR(INDEX('شجرة الحسابات'!$B$9:$B$208,MATCH(C765,'شجرة الحسابات'!$A$9:$A$208,0)),"⚠ حساب غير معرف"))</f>
        <v/>
      </c>
      <c r="E765" s="52"/>
      <c r="F765" s="52"/>
      <c r="G765" s="53"/>
      <c r="H765" s="53"/>
      <c r="I765" s="54" t="str">
        <f aca="false">IF(A765="",IF(M765="فارغ","","✖ بدون رقم قيد"),IF(COUNTIFS('قيود اليومية'!$A$11:$A$1010,A765,'قيود اليومية'!$M$11:$M$1010,"&lt;&gt;OK",'قيود اليومية'!$M$11:$M$1010,"&lt;&gt;فارغ")&gt;0,"✖ خطأ بالحساب",IF(ROUND(SUMIFS('قيود اليومية'!$G$11:$G$1010,'قيود اليومية'!$A$11:$A$1010,A765)-SUMIFS('قيود اليومية'!$H$11:$H$1010,'قيود اليومية'!$A$11:$A$1010,A765),2)&lt;&gt;0,"✖ غير متوازن","مرحل ✔")))</f>
        <v/>
      </c>
      <c r="J765" s="55" t="str">
        <f aca="false">IF(C765="","",IFERROR(INDEX('شجرة الحسابات'!$E$9:$E$208,MATCH(C765,'شجرة الحسابات'!$A$9:$A$208,0))&amp;"",""))</f>
        <v/>
      </c>
      <c r="K765" s="55" t="str">
        <f aca="false">IF(C765="","",IFERROR(INDEX('شجرة الحسابات'!$I$9:$I$208,MATCH(C765,'شجرة الحسابات'!$A$9:$A$208,0))&amp;"",""))</f>
        <v/>
      </c>
      <c r="L765" s="55" t="str">
        <f aca="false">IF(C765="","",IFERROR(INDEX('شجرة الحسابات'!$C$9:$C$208,MATCH(C765,'شجرة الحسابات'!$A$9:$A$208,0))&amp;"",""))</f>
        <v/>
      </c>
      <c r="M765" s="55" t="str">
        <f aca="false">IF(AND(C765="",G765="",H765=""),"فارغ",IF(ISNA(MATCH(C765,'شجرة الحسابات'!$A$9:$A$208,0)),"حساب غير معرف",IF(L765&lt;&gt;"تحليلي","حساب تجميعي",IF(AND(N(G765)&gt;0,N(H765)&gt;0),"مدين ودائن معاً",IF(N(G765)+N(H765)=0,"بدون قيمة","OK")))))</f>
        <v>فارغ</v>
      </c>
      <c r="N765" s="55" t="str">
        <f aca="false">IF(AND(E765&lt;&gt;"",E765='كشف حساب مشروع'!$C$6,I765="مرحل ✔"),COUNTIFS($E$11:E765,'كشف حساب مشروع'!$C$6,$I$11:I765,"مرحل ✔"),"")</f>
        <v/>
      </c>
      <c r="O765" s="55" t="str">
        <f aca="false">IF(AND(C765&lt;&gt;"",C765='دفتر الأستاذ'!$C$6,I765="مرحل ✔"),COUNTIFS($C$11:C765,'دفتر الأستاذ'!$C$6,$I$11:I765,"مرحل ✔"),"")</f>
        <v/>
      </c>
    </row>
    <row r="766" customFormat="false" ht="15" hidden="false" customHeight="false" outlineLevel="0" collapsed="false">
      <c r="A766" s="49"/>
      <c r="B766" s="50"/>
      <c r="C766" s="49"/>
      <c r="D766" s="51" t="str">
        <f aca="false">IF(C766="","",IFERROR(INDEX('شجرة الحسابات'!$B$9:$B$208,MATCH(C766,'شجرة الحسابات'!$A$9:$A$208,0)),"⚠ حساب غير معرف"))</f>
        <v/>
      </c>
      <c r="E766" s="52"/>
      <c r="F766" s="52"/>
      <c r="G766" s="53"/>
      <c r="H766" s="53"/>
      <c r="I766" s="54" t="str">
        <f aca="false">IF(A766="",IF(M766="فارغ","","✖ بدون رقم قيد"),IF(COUNTIFS('قيود اليومية'!$A$11:$A$1010,A766,'قيود اليومية'!$M$11:$M$1010,"&lt;&gt;OK",'قيود اليومية'!$M$11:$M$1010,"&lt;&gt;فارغ")&gt;0,"✖ خطأ بالحساب",IF(ROUND(SUMIFS('قيود اليومية'!$G$11:$G$1010,'قيود اليومية'!$A$11:$A$1010,A766)-SUMIFS('قيود اليومية'!$H$11:$H$1010,'قيود اليومية'!$A$11:$A$1010,A766),2)&lt;&gt;0,"✖ غير متوازن","مرحل ✔")))</f>
        <v/>
      </c>
      <c r="J766" s="55" t="str">
        <f aca="false">IF(C766="","",IFERROR(INDEX('شجرة الحسابات'!$E$9:$E$208,MATCH(C766,'شجرة الحسابات'!$A$9:$A$208,0))&amp;"",""))</f>
        <v/>
      </c>
      <c r="K766" s="55" t="str">
        <f aca="false">IF(C766="","",IFERROR(INDEX('شجرة الحسابات'!$I$9:$I$208,MATCH(C766,'شجرة الحسابات'!$A$9:$A$208,0))&amp;"",""))</f>
        <v/>
      </c>
      <c r="L766" s="55" t="str">
        <f aca="false">IF(C766="","",IFERROR(INDEX('شجرة الحسابات'!$C$9:$C$208,MATCH(C766,'شجرة الحسابات'!$A$9:$A$208,0))&amp;"",""))</f>
        <v/>
      </c>
      <c r="M766" s="55" t="str">
        <f aca="false">IF(AND(C766="",G766="",H766=""),"فارغ",IF(ISNA(MATCH(C766,'شجرة الحسابات'!$A$9:$A$208,0)),"حساب غير معرف",IF(L766&lt;&gt;"تحليلي","حساب تجميعي",IF(AND(N(G766)&gt;0,N(H766)&gt;0),"مدين ودائن معاً",IF(N(G766)+N(H766)=0,"بدون قيمة","OK")))))</f>
        <v>فارغ</v>
      </c>
      <c r="N766" s="55" t="str">
        <f aca="false">IF(AND(E766&lt;&gt;"",E766='كشف حساب مشروع'!$C$6,I766="مرحل ✔"),COUNTIFS($E$11:E766,'كشف حساب مشروع'!$C$6,$I$11:I766,"مرحل ✔"),"")</f>
        <v/>
      </c>
      <c r="O766" s="55" t="str">
        <f aca="false">IF(AND(C766&lt;&gt;"",C766='دفتر الأستاذ'!$C$6,I766="مرحل ✔"),COUNTIFS($C$11:C766,'دفتر الأستاذ'!$C$6,$I$11:I766,"مرحل ✔"),"")</f>
        <v/>
      </c>
    </row>
    <row r="767" customFormat="false" ht="15" hidden="false" customHeight="false" outlineLevel="0" collapsed="false">
      <c r="A767" s="49"/>
      <c r="B767" s="50"/>
      <c r="C767" s="49"/>
      <c r="D767" s="51" t="str">
        <f aca="false">IF(C767="","",IFERROR(INDEX('شجرة الحسابات'!$B$9:$B$208,MATCH(C767,'شجرة الحسابات'!$A$9:$A$208,0)),"⚠ حساب غير معرف"))</f>
        <v/>
      </c>
      <c r="E767" s="52"/>
      <c r="F767" s="52"/>
      <c r="G767" s="53"/>
      <c r="H767" s="53"/>
      <c r="I767" s="54" t="str">
        <f aca="false">IF(A767="",IF(M767="فارغ","","✖ بدون رقم قيد"),IF(COUNTIFS('قيود اليومية'!$A$11:$A$1010,A767,'قيود اليومية'!$M$11:$M$1010,"&lt;&gt;OK",'قيود اليومية'!$M$11:$M$1010,"&lt;&gt;فارغ")&gt;0,"✖ خطأ بالحساب",IF(ROUND(SUMIFS('قيود اليومية'!$G$11:$G$1010,'قيود اليومية'!$A$11:$A$1010,A767)-SUMIFS('قيود اليومية'!$H$11:$H$1010,'قيود اليومية'!$A$11:$A$1010,A767),2)&lt;&gt;0,"✖ غير متوازن","مرحل ✔")))</f>
        <v/>
      </c>
      <c r="J767" s="55" t="str">
        <f aca="false">IF(C767="","",IFERROR(INDEX('شجرة الحسابات'!$E$9:$E$208,MATCH(C767,'شجرة الحسابات'!$A$9:$A$208,0))&amp;"",""))</f>
        <v/>
      </c>
      <c r="K767" s="55" t="str">
        <f aca="false">IF(C767="","",IFERROR(INDEX('شجرة الحسابات'!$I$9:$I$208,MATCH(C767,'شجرة الحسابات'!$A$9:$A$208,0))&amp;"",""))</f>
        <v/>
      </c>
      <c r="L767" s="55" t="str">
        <f aca="false">IF(C767="","",IFERROR(INDEX('شجرة الحسابات'!$C$9:$C$208,MATCH(C767,'شجرة الحسابات'!$A$9:$A$208,0))&amp;"",""))</f>
        <v/>
      </c>
      <c r="M767" s="55" t="str">
        <f aca="false">IF(AND(C767="",G767="",H767=""),"فارغ",IF(ISNA(MATCH(C767,'شجرة الحسابات'!$A$9:$A$208,0)),"حساب غير معرف",IF(L767&lt;&gt;"تحليلي","حساب تجميعي",IF(AND(N(G767)&gt;0,N(H767)&gt;0),"مدين ودائن معاً",IF(N(G767)+N(H767)=0,"بدون قيمة","OK")))))</f>
        <v>فارغ</v>
      </c>
      <c r="N767" s="55" t="str">
        <f aca="false">IF(AND(E767&lt;&gt;"",E767='كشف حساب مشروع'!$C$6,I767="مرحل ✔"),COUNTIFS($E$11:E767,'كشف حساب مشروع'!$C$6,$I$11:I767,"مرحل ✔"),"")</f>
        <v/>
      </c>
      <c r="O767" s="55" t="str">
        <f aca="false">IF(AND(C767&lt;&gt;"",C767='دفتر الأستاذ'!$C$6,I767="مرحل ✔"),COUNTIFS($C$11:C767,'دفتر الأستاذ'!$C$6,$I$11:I767,"مرحل ✔"),"")</f>
        <v/>
      </c>
    </row>
    <row r="768" customFormat="false" ht="15" hidden="false" customHeight="false" outlineLevel="0" collapsed="false">
      <c r="A768" s="49"/>
      <c r="B768" s="50"/>
      <c r="C768" s="49"/>
      <c r="D768" s="51" t="str">
        <f aca="false">IF(C768="","",IFERROR(INDEX('شجرة الحسابات'!$B$9:$B$208,MATCH(C768,'شجرة الحسابات'!$A$9:$A$208,0)),"⚠ حساب غير معرف"))</f>
        <v/>
      </c>
      <c r="E768" s="52"/>
      <c r="F768" s="52"/>
      <c r="G768" s="53"/>
      <c r="H768" s="53"/>
      <c r="I768" s="54" t="str">
        <f aca="false">IF(A768="",IF(M768="فارغ","","✖ بدون رقم قيد"),IF(COUNTIFS('قيود اليومية'!$A$11:$A$1010,A768,'قيود اليومية'!$M$11:$M$1010,"&lt;&gt;OK",'قيود اليومية'!$M$11:$M$1010,"&lt;&gt;فارغ")&gt;0,"✖ خطأ بالحساب",IF(ROUND(SUMIFS('قيود اليومية'!$G$11:$G$1010,'قيود اليومية'!$A$11:$A$1010,A768)-SUMIFS('قيود اليومية'!$H$11:$H$1010,'قيود اليومية'!$A$11:$A$1010,A768),2)&lt;&gt;0,"✖ غير متوازن","مرحل ✔")))</f>
        <v/>
      </c>
      <c r="J768" s="55" t="str">
        <f aca="false">IF(C768="","",IFERROR(INDEX('شجرة الحسابات'!$E$9:$E$208,MATCH(C768,'شجرة الحسابات'!$A$9:$A$208,0))&amp;"",""))</f>
        <v/>
      </c>
      <c r="K768" s="55" t="str">
        <f aca="false">IF(C768="","",IFERROR(INDEX('شجرة الحسابات'!$I$9:$I$208,MATCH(C768,'شجرة الحسابات'!$A$9:$A$208,0))&amp;"",""))</f>
        <v/>
      </c>
      <c r="L768" s="55" t="str">
        <f aca="false">IF(C768="","",IFERROR(INDEX('شجرة الحسابات'!$C$9:$C$208,MATCH(C768,'شجرة الحسابات'!$A$9:$A$208,0))&amp;"",""))</f>
        <v/>
      </c>
      <c r="M768" s="55" t="str">
        <f aca="false">IF(AND(C768="",G768="",H768=""),"فارغ",IF(ISNA(MATCH(C768,'شجرة الحسابات'!$A$9:$A$208,0)),"حساب غير معرف",IF(L768&lt;&gt;"تحليلي","حساب تجميعي",IF(AND(N(G768)&gt;0,N(H768)&gt;0),"مدين ودائن معاً",IF(N(G768)+N(H768)=0,"بدون قيمة","OK")))))</f>
        <v>فارغ</v>
      </c>
      <c r="N768" s="55" t="str">
        <f aca="false">IF(AND(E768&lt;&gt;"",E768='كشف حساب مشروع'!$C$6,I768="مرحل ✔"),COUNTIFS($E$11:E768,'كشف حساب مشروع'!$C$6,$I$11:I768,"مرحل ✔"),"")</f>
        <v/>
      </c>
      <c r="O768" s="55" t="str">
        <f aca="false">IF(AND(C768&lt;&gt;"",C768='دفتر الأستاذ'!$C$6,I768="مرحل ✔"),COUNTIFS($C$11:C768,'دفتر الأستاذ'!$C$6,$I$11:I768,"مرحل ✔"),"")</f>
        <v/>
      </c>
    </row>
    <row r="769" customFormat="false" ht="15" hidden="false" customHeight="false" outlineLevel="0" collapsed="false">
      <c r="A769" s="49"/>
      <c r="B769" s="50"/>
      <c r="C769" s="49"/>
      <c r="D769" s="51" t="str">
        <f aca="false">IF(C769="","",IFERROR(INDEX('شجرة الحسابات'!$B$9:$B$208,MATCH(C769,'شجرة الحسابات'!$A$9:$A$208,0)),"⚠ حساب غير معرف"))</f>
        <v/>
      </c>
      <c r="E769" s="52"/>
      <c r="F769" s="52"/>
      <c r="G769" s="53"/>
      <c r="H769" s="53"/>
      <c r="I769" s="54" t="str">
        <f aca="false">IF(A769="",IF(M769="فارغ","","✖ بدون رقم قيد"),IF(COUNTIFS('قيود اليومية'!$A$11:$A$1010,A769,'قيود اليومية'!$M$11:$M$1010,"&lt;&gt;OK",'قيود اليومية'!$M$11:$M$1010,"&lt;&gt;فارغ")&gt;0,"✖ خطأ بالحساب",IF(ROUND(SUMIFS('قيود اليومية'!$G$11:$G$1010,'قيود اليومية'!$A$11:$A$1010,A769)-SUMIFS('قيود اليومية'!$H$11:$H$1010,'قيود اليومية'!$A$11:$A$1010,A769),2)&lt;&gt;0,"✖ غير متوازن","مرحل ✔")))</f>
        <v/>
      </c>
      <c r="J769" s="55" t="str">
        <f aca="false">IF(C769="","",IFERROR(INDEX('شجرة الحسابات'!$E$9:$E$208,MATCH(C769,'شجرة الحسابات'!$A$9:$A$208,0))&amp;"",""))</f>
        <v/>
      </c>
      <c r="K769" s="55" t="str">
        <f aca="false">IF(C769="","",IFERROR(INDEX('شجرة الحسابات'!$I$9:$I$208,MATCH(C769,'شجرة الحسابات'!$A$9:$A$208,0))&amp;"",""))</f>
        <v/>
      </c>
      <c r="L769" s="55" t="str">
        <f aca="false">IF(C769="","",IFERROR(INDEX('شجرة الحسابات'!$C$9:$C$208,MATCH(C769,'شجرة الحسابات'!$A$9:$A$208,0))&amp;"",""))</f>
        <v/>
      </c>
      <c r="M769" s="55" t="str">
        <f aca="false">IF(AND(C769="",G769="",H769=""),"فارغ",IF(ISNA(MATCH(C769,'شجرة الحسابات'!$A$9:$A$208,0)),"حساب غير معرف",IF(L769&lt;&gt;"تحليلي","حساب تجميعي",IF(AND(N(G769)&gt;0,N(H769)&gt;0),"مدين ودائن معاً",IF(N(G769)+N(H769)=0,"بدون قيمة","OK")))))</f>
        <v>فارغ</v>
      </c>
      <c r="N769" s="55" t="str">
        <f aca="false">IF(AND(E769&lt;&gt;"",E769='كشف حساب مشروع'!$C$6,I769="مرحل ✔"),COUNTIFS($E$11:E769,'كشف حساب مشروع'!$C$6,$I$11:I769,"مرحل ✔"),"")</f>
        <v/>
      </c>
      <c r="O769" s="55" t="str">
        <f aca="false">IF(AND(C769&lt;&gt;"",C769='دفتر الأستاذ'!$C$6,I769="مرحل ✔"),COUNTIFS($C$11:C769,'دفتر الأستاذ'!$C$6,$I$11:I769,"مرحل ✔"),"")</f>
        <v/>
      </c>
    </row>
    <row r="770" customFormat="false" ht="15" hidden="false" customHeight="false" outlineLevel="0" collapsed="false">
      <c r="A770" s="49"/>
      <c r="B770" s="50"/>
      <c r="C770" s="49"/>
      <c r="D770" s="51" t="str">
        <f aca="false">IF(C770="","",IFERROR(INDEX('شجرة الحسابات'!$B$9:$B$208,MATCH(C770,'شجرة الحسابات'!$A$9:$A$208,0)),"⚠ حساب غير معرف"))</f>
        <v/>
      </c>
      <c r="E770" s="52"/>
      <c r="F770" s="52"/>
      <c r="G770" s="53"/>
      <c r="H770" s="53"/>
      <c r="I770" s="54" t="str">
        <f aca="false">IF(A770="",IF(M770="فارغ","","✖ بدون رقم قيد"),IF(COUNTIFS('قيود اليومية'!$A$11:$A$1010,A770,'قيود اليومية'!$M$11:$M$1010,"&lt;&gt;OK",'قيود اليومية'!$M$11:$M$1010,"&lt;&gt;فارغ")&gt;0,"✖ خطأ بالحساب",IF(ROUND(SUMIFS('قيود اليومية'!$G$11:$G$1010,'قيود اليومية'!$A$11:$A$1010,A770)-SUMIFS('قيود اليومية'!$H$11:$H$1010,'قيود اليومية'!$A$11:$A$1010,A770),2)&lt;&gt;0,"✖ غير متوازن","مرحل ✔")))</f>
        <v/>
      </c>
      <c r="J770" s="55" t="str">
        <f aca="false">IF(C770="","",IFERROR(INDEX('شجرة الحسابات'!$E$9:$E$208,MATCH(C770,'شجرة الحسابات'!$A$9:$A$208,0))&amp;"",""))</f>
        <v/>
      </c>
      <c r="K770" s="55" t="str">
        <f aca="false">IF(C770="","",IFERROR(INDEX('شجرة الحسابات'!$I$9:$I$208,MATCH(C770,'شجرة الحسابات'!$A$9:$A$208,0))&amp;"",""))</f>
        <v/>
      </c>
      <c r="L770" s="55" t="str">
        <f aca="false">IF(C770="","",IFERROR(INDEX('شجرة الحسابات'!$C$9:$C$208,MATCH(C770,'شجرة الحسابات'!$A$9:$A$208,0))&amp;"",""))</f>
        <v/>
      </c>
      <c r="M770" s="55" t="str">
        <f aca="false">IF(AND(C770="",G770="",H770=""),"فارغ",IF(ISNA(MATCH(C770,'شجرة الحسابات'!$A$9:$A$208,0)),"حساب غير معرف",IF(L770&lt;&gt;"تحليلي","حساب تجميعي",IF(AND(N(G770)&gt;0,N(H770)&gt;0),"مدين ودائن معاً",IF(N(G770)+N(H770)=0,"بدون قيمة","OK")))))</f>
        <v>فارغ</v>
      </c>
      <c r="N770" s="55" t="str">
        <f aca="false">IF(AND(E770&lt;&gt;"",E770='كشف حساب مشروع'!$C$6,I770="مرحل ✔"),COUNTIFS($E$11:E770,'كشف حساب مشروع'!$C$6,$I$11:I770,"مرحل ✔"),"")</f>
        <v/>
      </c>
      <c r="O770" s="55" t="str">
        <f aca="false">IF(AND(C770&lt;&gt;"",C770='دفتر الأستاذ'!$C$6,I770="مرحل ✔"),COUNTIFS($C$11:C770,'دفتر الأستاذ'!$C$6,$I$11:I770,"مرحل ✔"),"")</f>
        <v/>
      </c>
    </row>
    <row r="771" customFormat="false" ht="15" hidden="false" customHeight="false" outlineLevel="0" collapsed="false">
      <c r="A771" s="49"/>
      <c r="B771" s="50"/>
      <c r="C771" s="49"/>
      <c r="D771" s="51" t="str">
        <f aca="false">IF(C771="","",IFERROR(INDEX('شجرة الحسابات'!$B$9:$B$208,MATCH(C771,'شجرة الحسابات'!$A$9:$A$208,0)),"⚠ حساب غير معرف"))</f>
        <v/>
      </c>
      <c r="E771" s="52"/>
      <c r="F771" s="52"/>
      <c r="G771" s="53"/>
      <c r="H771" s="53"/>
      <c r="I771" s="54" t="str">
        <f aca="false">IF(A771="",IF(M771="فارغ","","✖ بدون رقم قيد"),IF(COUNTIFS('قيود اليومية'!$A$11:$A$1010,A771,'قيود اليومية'!$M$11:$M$1010,"&lt;&gt;OK",'قيود اليومية'!$M$11:$M$1010,"&lt;&gt;فارغ")&gt;0,"✖ خطأ بالحساب",IF(ROUND(SUMIFS('قيود اليومية'!$G$11:$G$1010,'قيود اليومية'!$A$11:$A$1010,A771)-SUMIFS('قيود اليومية'!$H$11:$H$1010,'قيود اليومية'!$A$11:$A$1010,A771),2)&lt;&gt;0,"✖ غير متوازن","مرحل ✔")))</f>
        <v/>
      </c>
      <c r="J771" s="55" t="str">
        <f aca="false">IF(C771="","",IFERROR(INDEX('شجرة الحسابات'!$E$9:$E$208,MATCH(C771,'شجرة الحسابات'!$A$9:$A$208,0))&amp;"",""))</f>
        <v/>
      </c>
      <c r="K771" s="55" t="str">
        <f aca="false">IF(C771="","",IFERROR(INDEX('شجرة الحسابات'!$I$9:$I$208,MATCH(C771,'شجرة الحسابات'!$A$9:$A$208,0))&amp;"",""))</f>
        <v/>
      </c>
      <c r="L771" s="55" t="str">
        <f aca="false">IF(C771="","",IFERROR(INDEX('شجرة الحسابات'!$C$9:$C$208,MATCH(C771,'شجرة الحسابات'!$A$9:$A$208,0))&amp;"",""))</f>
        <v/>
      </c>
      <c r="M771" s="55" t="str">
        <f aca="false">IF(AND(C771="",G771="",H771=""),"فارغ",IF(ISNA(MATCH(C771,'شجرة الحسابات'!$A$9:$A$208,0)),"حساب غير معرف",IF(L771&lt;&gt;"تحليلي","حساب تجميعي",IF(AND(N(G771)&gt;0,N(H771)&gt;0),"مدين ودائن معاً",IF(N(G771)+N(H771)=0,"بدون قيمة","OK")))))</f>
        <v>فارغ</v>
      </c>
      <c r="N771" s="55" t="str">
        <f aca="false">IF(AND(E771&lt;&gt;"",E771='كشف حساب مشروع'!$C$6,I771="مرحل ✔"),COUNTIFS($E$11:E771,'كشف حساب مشروع'!$C$6,$I$11:I771,"مرحل ✔"),"")</f>
        <v/>
      </c>
      <c r="O771" s="55" t="str">
        <f aca="false">IF(AND(C771&lt;&gt;"",C771='دفتر الأستاذ'!$C$6,I771="مرحل ✔"),COUNTIFS($C$11:C771,'دفتر الأستاذ'!$C$6,$I$11:I771,"مرحل ✔"),"")</f>
        <v/>
      </c>
    </row>
    <row r="772" customFormat="false" ht="15" hidden="false" customHeight="false" outlineLevel="0" collapsed="false">
      <c r="A772" s="49"/>
      <c r="B772" s="50"/>
      <c r="C772" s="49"/>
      <c r="D772" s="51" t="str">
        <f aca="false">IF(C772="","",IFERROR(INDEX('شجرة الحسابات'!$B$9:$B$208,MATCH(C772,'شجرة الحسابات'!$A$9:$A$208,0)),"⚠ حساب غير معرف"))</f>
        <v/>
      </c>
      <c r="E772" s="52"/>
      <c r="F772" s="52"/>
      <c r="G772" s="53"/>
      <c r="H772" s="53"/>
      <c r="I772" s="54" t="str">
        <f aca="false">IF(A772="",IF(M772="فارغ","","✖ بدون رقم قيد"),IF(COUNTIFS('قيود اليومية'!$A$11:$A$1010,A772,'قيود اليومية'!$M$11:$M$1010,"&lt;&gt;OK",'قيود اليومية'!$M$11:$M$1010,"&lt;&gt;فارغ")&gt;0,"✖ خطأ بالحساب",IF(ROUND(SUMIFS('قيود اليومية'!$G$11:$G$1010,'قيود اليومية'!$A$11:$A$1010,A772)-SUMIFS('قيود اليومية'!$H$11:$H$1010,'قيود اليومية'!$A$11:$A$1010,A772),2)&lt;&gt;0,"✖ غير متوازن","مرحل ✔")))</f>
        <v/>
      </c>
      <c r="J772" s="55" t="str">
        <f aca="false">IF(C772="","",IFERROR(INDEX('شجرة الحسابات'!$E$9:$E$208,MATCH(C772,'شجرة الحسابات'!$A$9:$A$208,0))&amp;"",""))</f>
        <v/>
      </c>
      <c r="K772" s="55" t="str">
        <f aca="false">IF(C772="","",IFERROR(INDEX('شجرة الحسابات'!$I$9:$I$208,MATCH(C772,'شجرة الحسابات'!$A$9:$A$208,0))&amp;"",""))</f>
        <v/>
      </c>
      <c r="L772" s="55" t="str">
        <f aca="false">IF(C772="","",IFERROR(INDEX('شجرة الحسابات'!$C$9:$C$208,MATCH(C772,'شجرة الحسابات'!$A$9:$A$208,0))&amp;"",""))</f>
        <v/>
      </c>
      <c r="M772" s="55" t="str">
        <f aca="false">IF(AND(C772="",G772="",H772=""),"فارغ",IF(ISNA(MATCH(C772,'شجرة الحسابات'!$A$9:$A$208,0)),"حساب غير معرف",IF(L772&lt;&gt;"تحليلي","حساب تجميعي",IF(AND(N(G772)&gt;0,N(H772)&gt;0),"مدين ودائن معاً",IF(N(G772)+N(H772)=0,"بدون قيمة","OK")))))</f>
        <v>فارغ</v>
      </c>
      <c r="N772" s="55" t="str">
        <f aca="false">IF(AND(E772&lt;&gt;"",E772='كشف حساب مشروع'!$C$6,I772="مرحل ✔"),COUNTIFS($E$11:E772,'كشف حساب مشروع'!$C$6,$I$11:I772,"مرحل ✔"),"")</f>
        <v/>
      </c>
      <c r="O772" s="55" t="str">
        <f aca="false">IF(AND(C772&lt;&gt;"",C772='دفتر الأستاذ'!$C$6,I772="مرحل ✔"),COUNTIFS($C$11:C772,'دفتر الأستاذ'!$C$6,$I$11:I772,"مرحل ✔"),"")</f>
        <v/>
      </c>
    </row>
    <row r="773" customFormat="false" ht="15" hidden="false" customHeight="false" outlineLevel="0" collapsed="false">
      <c r="A773" s="49"/>
      <c r="B773" s="50"/>
      <c r="C773" s="49"/>
      <c r="D773" s="51" t="str">
        <f aca="false">IF(C773="","",IFERROR(INDEX('شجرة الحسابات'!$B$9:$B$208,MATCH(C773,'شجرة الحسابات'!$A$9:$A$208,0)),"⚠ حساب غير معرف"))</f>
        <v/>
      </c>
      <c r="E773" s="52"/>
      <c r="F773" s="52"/>
      <c r="G773" s="53"/>
      <c r="H773" s="53"/>
      <c r="I773" s="54" t="str">
        <f aca="false">IF(A773="",IF(M773="فارغ","","✖ بدون رقم قيد"),IF(COUNTIFS('قيود اليومية'!$A$11:$A$1010,A773,'قيود اليومية'!$M$11:$M$1010,"&lt;&gt;OK",'قيود اليومية'!$M$11:$M$1010,"&lt;&gt;فارغ")&gt;0,"✖ خطأ بالحساب",IF(ROUND(SUMIFS('قيود اليومية'!$G$11:$G$1010,'قيود اليومية'!$A$11:$A$1010,A773)-SUMIFS('قيود اليومية'!$H$11:$H$1010,'قيود اليومية'!$A$11:$A$1010,A773),2)&lt;&gt;0,"✖ غير متوازن","مرحل ✔")))</f>
        <v/>
      </c>
      <c r="J773" s="55" t="str">
        <f aca="false">IF(C773="","",IFERROR(INDEX('شجرة الحسابات'!$E$9:$E$208,MATCH(C773,'شجرة الحسابات'!$A$9:$A$208,0))&amp;"",""))</f>
        <v/>
      </c>
      <c r="K773" s="55" t="str">
        <f aca="false">IF(C773="","",IFERROR(INDEX('شجرة الحسابات'!$I$9:$I$208,MATCH(C773,'شجرة الحسابات'!$A$9:$A$208,0))&amp;"",""))</f>
        <v/>
      </c>
      <c r="L773" s="55" t="str">
        <f aca="false">IF(C773="","",IFERROR(INDEX('شجرة الحسابات'!$C$9:$C$208,MATCH(C773,'شجرة الحسابات'!$A$9:$A$208,0))&amp;"",""))</f>
        <v/>
      </c>
      <c r="M773" s="55" t="str">
        <f aca="false">IF(AND(C773="",G773="",H773=""),"فارغ",IF(ISNA(MATCH(C773,'شجرة الحسابات'!$A$9:$A$208,0)),"حساب غير معرف",IF(L773&lt;&gt;"تحليلي","حساب تجميعي",IF(AND(N(G773)&gt;0,N(H773)&gt;0),"مدين ودائن معاً",IF(N(G773)+N(H773)=0,"بدون قيمة","OK")))))</f>
        <v>فارغ</v>
      </c>
      <c r="N773" s="55" t="str">
        <f aca="false">IF(AND(E773&lt;&gt;"",E773='كشف حساب مشروع'!$C$6,I773="مرحل ✔"),COUNTIFS($E$11:E773,'كشف حساب مشروع'!$C$6,$I$11:I773,"مرحل ✔"),"")</f>
        <v/>
      </c>
      <c r="O773" s="55" t="str">
        <f aca="false">IF(AND(C773&lt;&gt;"",C773='دفتر الأستاذ'!$C$6,I773="مرحل ✔"),COUNTIFS($C$11:C773,'دفتر الأستاذ'!$C$6,$I$11:I773,"مرحل ✔"),"")</f>
        <v/>
      </c>
    </row>
    <row r="774" customFormat="false" ht="15" hidden="false" customHeight="false" outlineLevel="0" collapsed="false">
      <c r="A774" s="49"/>
      <c r="B774" s="50"/>
      <c r="C774" s="49"/>
      <c r="D774" s="51" t="str">
        <f aca="false">IF(C774="","",IFERROR(INDEX('شجرة الحسابات'!$B$9:$B$208,MATCH(C774,'شجرة الحسابات'!$A$9:$A$208,0)),"⚠ حساب غير معرف"))</f>
        <v/>
      </c>
      <c r="E774" s="52"/>
      <c r="F774" s="52"/>
      <c r="G774" s="53"/>
      <c r="H774" s="53"/>
      <c r="I774" s="54" t="str">
        <f aca="false">IF(A774="",IF(M774="فارغ","","✖ بدون رقم قيد"),IF(COUNTIFS('قيود اليومية'!$A$11:$A$1010,A774,'قيود اليومية'!$M$11:$M$1010,"&lt;&gt;OK",'قيود اليومية'!$M$11:$M$1010,"&lt;&gt;فارغ")&gt;0,"✖ خطأ بالحساب",IF(ROUND(SUMIFS('قيود اليومية'!$G$11:$G$1010,'قيود اليومية'!$A$11:$A$1010,A774)-SUMIFS('قيود اليومية'!$H$11:$H$1010,'قيود اليومية'!$A$11:$A$1010,A774),2)&lt;&gt;0,"✖ غير متوازن","مرحل ✔")))</f>
        <v/>
      </c>
      <c r="J774" s="55" t="str">
        <f aca="false">IF(C774="","",IFERROR(INDEX('شجرة الحسابات'!$E$9:$E$208,MATCH(C774,'شجرة الحسابات'!$A$9:$A$208,0))&amp;"",""))</f>
        <v/>
      </c>
      <c r="K774" s="55" t="str">
        <f aca="false">IF(C774="","",IFERROR(INDEX('شجرة الحسابات'!$I$9:$I$208,MATCH(C774,'شجرة الحسابات'!$A$9:$A$208,0))&amp;"",""))</f>
        <v/>
      </c>
      <c r="L774" s="55" t="str">
        <f aca="false">IF(C774="","",IFERROR(INDEX('شجرة الحسابات'!$C$9:$C$208,MATCH(C774,'شجرة الحسابات'!$A$9:$A$208,0))&amp;"",""))</f>
        <v/>
      </c>
      <c r="M774" s="55" t="str">
        <f aca="false">IF(AND(C774="",G774="",H774=""),"فارغ",IF(ISNA(MATCH(C774,'شجرة الحسابات'!$A$9:$A$208,0)),"حساب غير معرف",IF(L774&lt;&gt;"تحليلي","حساب تجميعي",IF(AND(N(G774)&gt;0,N(H774)&gt;0),"مدين ودائن معاً",IF(N(G774)+N(H774)=0,"بدون قيمة","OK")))))</f>
        <v>فارغ</v>
      </c>
      <c r="N774" s="55" t="str">
        <f aca="false">IF(AND(E774&lt;&gt;"",E774='كشف حساب مشروع'!$C$6,I774="مرحل ✔"),COUNTIFS($E$11:E774,'كشف حساب مشروع'!$C$6,$I$11:I774,"مرحل ✔"),"")</f>
        <v/>
      </c>
      <c r="O774" s="55" t="str">
        <f aca="false">IF(AND(C774&lt;&gt;"",C774='دفتر الأستاذ'!$C$6,I774="مرحل ✔"),COUNTIFS($C$11:C774,'دفتر الأستاذ'!$C$6,$I$11:I774,"مرحل ✔"),"")</f>
        <v/>
      </c>
    </row>
    <row r="775" customFormat="false" ht="15" hidden="false" customHeight="false" outlineLevel="0" collapsed="false">
      <c r="A775" s="49"/>
      <c r="B775" s="50"/>
      <c r="C775" s="49"/>
      <c r="D775" s="51" t="str">
        <f aca="false">IF(C775="","",IFERROR(INDEX('شجرة الحسابات'!$B$9:$B$208,MATCH(C775,'شجرة الحسابات'!$A$9:$A$208,0)),"⚠ حساب غير معرف"))</f>
        <v/>
      </c>
      <c r="E775" s="52"/>
      <c r="F775" s="52"/>
      <c r="G775" s="53"/>
      <c r="H775" s="53"/>
      <c r="I775" s="54" t="str">
        <f aca="false">IF(A775="",IF(M775="فارغ","","✖ بدون رقم قيد"),IF(COUNTIFS('قيود اليومية'!$A$11:$A$1010,A775,'قيود اليومية'!$M$11:$M$1010,"&lt;&gt;OK",'قيود اليومية'!$M$11:$M$1010,"&lt;&gt;فارغ")&gt;0,"✖ خطأ بالحساب",IF(ROUND(SUMIFS('قيود اليومية'!$G$11:$G$1010,'قيود اليومية'!$A$11:$A$1010,A775)-SUMIFS('قيود اليومية'!$H$11:$H$1010,'قيود اليومية'!$A$11:$A$1010,A775),2)&lt;&gt;0,"✖ غير متوازن","مرحل ✔")))</f>
        <v/>
      </c>
      <c r="J775" s="55" t="str">
        <f aca="false">IF(C775="","",IFERROR(INDEX('شجرة الحسابات'!$E$9:$E$208,MATCH(C775,'شجرة الحسابات'!$A$9:$A$208,0))&amp;"",""))</f>
        <v/>
      </c>
      <c r="K775" s="55" t="str">
        <f aca="false">IF(C775="","",IFERROR(INDEX('شجرة الحسابات'!$I$9:$I$208,MATCH(C775,'شجرة الحسابات'!$A$9:$A$208,0))&amp;"",""))</f>
        <v/>
      </c>
      <c r="L775" s="55" t="str">
        <f aca="false">IF(C775="","",IFERROR(INDEX('شجرة الحسابات'!$C$9:$C$208,MATCH(C775,'شجرة الحسابات'!$A$9:$A$208,0))&amp;"",""))</f>
        <v/>
      </c>
      <c r="M775" s="55" t="str">
        <f aca="false">IF(AND(C775="",G775="",H775=""),"فارغ",IF(ISNA(MATCH(C775,'شجرة الحسابات'!$A$9:$A$208,0)),"حساب غير معرف",IF(L775&lt;&gt;"تحليلي","حساب تجميعي",IF(AND(N(G775)&gt;0,N(H775)&gt;0),"مدين ودائن معاً",IF(N(G775)+N(H775)=0,"بدون قيمة","OK")))))</f>
        <v>فارغ</v>
      </c>
      <c r="N775" s="55" t="str">
        <f aca="false">IF(AND(E775&lt;&gt;"",E775='كشف حساب مشروع'!$C$6,I775="مرحل ✔"),COUNTIFS($E$11:E775,'كشف حساب مشروع'!$C$6,$I$11:I775,"مرحل ✔"),"")</f>
        <v/>
      </c>
      <c r="O775" s="55" t="str">
        <f aca="false">IF(AND(C775&lt;&gt;"",C775='دفتر الأستاذ'!$C$6,I775="مرحل ✔"),COUNTIFS($C$11:C775,'دفتر الأستاذ'!$C$6,$I$11:I775,"مرحل ✔"),"")</f>
        <v/>
      </c>
    </row>
    <row r="776" customFormat="false" ht="15" hidden="false" customHeight="false" outlineLevel="0" collapsed="false">
      <c r="A776" s="49"/>
      <c r="B776" s="50"/>
      <c r="C776" s="49"/>
      <c r="D776" s="51" t="str">
        <f aca="false">IF(C776="","",IFERROR(INDEX('شجرة الحسابات'!$B$9:$B$208,MATCH(C776,'شجرة الحسابات'!$A$9:$A$208,0)),"⚠ حساب غير معرف"))</f>
        <v/>
      </c>
      <c r="E776" s="52"/>
      <c r="F776" s="52"/>
      <c r="G776" s="53"/>
      <c r="H776" s="53"/>
      <c r="I776" s="54" t="str">
        <f aca="false">IF(A776="",IF(M776="فارغ","","✖ بدون رقم قيد"),IF(COUNTIFS('قيود اليومية'!$A$11:$A$1010,A776,'قيود اليومية'!$M$11:$M$1010,"&lt;&gt;OK",'قيود اليومية'!$M$11:$M$1010,"&lt;&gt;فارغ")&gt;0,"✖ خطأ بالحساب",IF(ROUND(SUMIFS('قيود اليومية'!$G$11:$G$1010,'قيود اليومية'!$A$11:$A$1010,A776)-SUMIFS('قيود اليومية'!$H$11:$H$1010,'قيود اليومية'!$A$11:$A$1010,A776),2)&lt;&gt;0,"✖ غير متوازن","مرحل ✔")))</f>
        <v/>
      </c>
      <c r="J776" s="55" t="str">
        <f aca="false">IF(C776="","",IFERROR(INDEX('شجرة الحسابات'!$E$9:$E$208,MATCH(C776,'شجرة الحسابات'!$A$9:$A$208,0))&amp;"",""))</f>
        <v/>
      </c>
      <c r="K776" s="55" t="str">
        <f aca="false">IF(C776="","",IFERROR(INDEX('شجرة الحسابات'!$I$9:$I$208,MATCH(C776,'شجرة الحسابات'!$A$9:$A$208,0))&amp;"",""))</f>
        <v/>
      </c>
      <c r="L776" s="55" t="str">
        <f aca="false">IF(C776="","",IFERROR(INDEX('شجرة الحسابات'!$C$9:$C$208,MATCH(C776,'شجرة الحسابات'!$A$9:$A$208,0))&amp;"",""))</f>
        <v/>
      </c>
      <c r="M776" s="55" t="str">
        <f aca="false">IF(AND(C776="",G776="",H776=""),"فارغ",IF(ISNA(MATCH(C776,'شجرة الحسابات'!$A$9:$A$208,0)),"حساب غير معرف",IF(L776&lt;&gt;"تحليلي","حساب تجميعي",IF(AND(N(G776)&gt;0,N(H776)&gt;0),"مدين ودائن معاً",IF(N(G776)+N(H776)=0,"بدون قيمة","OK")))))</f>
        <v>فارغ</v>
      </c>
      <c r="N776" s="55" t="str">
        <f aca="false">IF(AND(E776&lt;&gt;"",E776='كشف حساب مشروع'!$C$6,I776="مرحل ✔"),COUNTIFS($E$11:E776,'كشف حساب مشروع'!$C$6,$I$11:I776,"مرحل ✔"),"")</f>
        <v/>
      </c>
      <c r="O776" s="55" t="str">
        <f aca="false">IF(AND(C776&lt;&gt;"",C776='دفتر الأستاذ'!$C$6,I776="مرحل ✔"),COUNTIFS($C$11:C776,'دفتر الأستاذ'!$C$6,$I$11:I776,"مرحل ✔"),"")</f>
        <v/>
      </c>
    </row>
    <row r="777" customFormat="false" ht="15" hidden="false" customHeight="false" outlineLevel="0" collapsed="false">
      <c r="A777" s="49"/>
      <c r="B777" s="50"/>
      <c r="C777" s="49"/>
      <c r="D777" s="51" t="str">
        <f aca="false">IF(C777="","",IFERROR(INDEX('شجرة الحسابات'!$B$9:$B$208,MATCH(C777,'شجرة الحسابات'!$A$9:$A$208,0)),"⚠ حساب غير معرف"))</f>
        <v/>
      </c>
      <c r="E777" s="52"/>
      <c r="F777" s="52"/>
      <c r="G777" s="53"/>
      <c r="H777" s="53"/>
      <c r="I777" s="54" t="str">
        <f aca="false">IF(A777="",IF(M777="فارغ","","✖ بدون رقم قيد"),IF(COUNTIFS('قيود اليومية'!$A$11:$A$1010,A777,'قيود اليومية'!$M$11:$M$1010,"&lt;&gt;OK",'قيود اليومية'!$M$11:$M$1010,"&lt;&gt;فارغ")&gt;0,"✖ خطأ بالحساب",IF(ROUND(SUMIFS('قيود اليومية'!$G$11:$G$1010,'قيود اليومية'!$A$11:$A$1010,A777)-SUMIFS('قيود اليومية'!$H$11:$H$1010,'قيود اليومية'!$A$11:$A$1010,A777),2)&lt;&gt;0,"✖ غير متوازن","مرحل ✔")))</f>
        <v/>
      </c>
      <c r="J777" s="55" t="str">
        <f aca="false">IF(C777="","",IFERROR(INDEX('شجرة الحسابات'!$E$9:$E$208,MATCH(C777,'شجرة الحسابات'!$A$9:$A$208,0))&amp;"",""))</f>
        <v/>
      </c>
      <c r="K777" s="55" t="str">
        <f aca="false">IF(C777="","",IFERROR(INDEX('شجرة الحسابات'!$I$9:$I$208,MATCH(C777,'شجرة الحسابات'!$A$9:$A$208,0))&amp;"",""))</f>
        <v/>
      </c>
      <c r="L777" s="55" t="str">
        <f aca="false">IF(C777="","",IFERROR(INDEX('شجرة الحسابات'!$C$9:$C$208,MATCH(C777,'شجرة الحسابات'!$A$9:$A$208,0))&amp;"",""))</f>
        <v/>
      </c>
      <c r="M777" s="55" t="str">
        <f aca="false">IF(AND(C777="",G777="",H777=""),"فارغ",IF(ISNA(MATCH(C777,'شجرة الحسابات'!$A$9:$A$208,0)),"حساب غير معرف",IF(L777&lt;&gt;"تحليلي","حساب تجميعي",IF(AND(N(G777)&gt;0,N(H777)&gt;0),"مدين ودائن معاً",IF(N(G777)+N(H777)=0,"بدون قيمة","OK")))))</f>
        <v>فارغ</v>
      </c>
      <c r="N777" s="55" t="str">
        <f aca="false">IF(AND(E777&lt;&gt;"",E777='كشف حساب مشروع'!$C$6,I777="مرحل ✔"),COUNTIFS($E$11:E777,'كشف حساب مشروع'!$C$6,$I$11:I777,"مرحل ✔"),"")</f>
        <v/>
      </c>
      <c r="O777" s="55" t="str">
        <f aca="false">IF(AND(C777&lt;&gt;"",C777='دفتر الأستاذ'!$C$6,I777="مرحل ✔"),COUNTIFS($C$11:C777,'دفتر الأستاذ'!$C$6,$I$11:I777,"مرحل ✔"),"")</f>
        <v/>
      </c>
    </row>
    <row r="778" customFormat="false" ht="15" hidden="false" customHeight="false" outlineLevel="0" collapsed="false">
      <c r="A778" s="49"/>
      <c r="B778" s="50"/>
      <c r="C778" s="49"/>
      <c r="D778" s="51" t="str">
        <f aca="false">IF(C778="","",IFERROR(INDEX('شجرة الحسابات'!$B$9:$B$208,MATCH(C778,'شجرة الحسابات'!$A$9:$A$208,0)),"⚠ حساب غير معرف"))</f>
        <v/>
      </c>
      <c r="E778" s="52"/>
      <c r="F778" s="52"/>
      <c r="G778" s="53"/>
      <c r="H778" s="53"/>
      <c r="I778" s="54" t="str">
        <f aca="false">IF(A778="",IF(M778="فارغ","","✖ بدون رقم قيد"),IF(COUNTIFS('قيود اليومية'!$A$11:$A$1010,A778,'قيود اليومية'!$M$11:$M$1010,"&lt;&gt;OK",'قيود اليومية'!$M$11:$M$1010,"&lt;&gt;فارغ")&gt;0,"✖ خطأ بالحساب",IF(ROUND(SUMIFS('قيود اليومية'!$G$11:$G$1010,'قيود اليومية'!$A$11:$A$1010,A778)-SUMIFS('قيود اليومية'!$H$11:$H$1010,'قيود اليومية'!$A$11:$A$1010,A778),2)&lt;&gt;0,"✖ غير متوازن","مرحل ✔")))</f>
        <v/>
      </c>
      <c r="J778" s="55" t="str">
        <f aca="false">IF(C778="","",IFERROR(INDEX('شجرة الحسابات'!$E$9:$E$208,MATCH(C778,'شجرة الحسابات'!$A$9:$A$208,0))&amp;"",""))</f>
        <v/>
      </c>
      <c r="K778" s="55" t="str">
        <f aca="false">IF(C778="","",IFERROR(INDEX('شجرة الحسابات'!$I$9:$I$208,MATCH(C778,'شجرة الحسابات'!$A$9:$A$208,0))&amp;"",""))</f>
        <v/>
      </c>
      <c r="L778" s="55" t="str">
        <f aca="false">IF(C778="","",IFERROR(INDEX('شجرة الحسابات'!$C$9:$C$208,MATCH(C778,'شجرة الحسابات'!$A$9:$A$208,0))&amp;"",""))</f>
        <v/>
      </c>
      <c r="M778" s="55" t="str">
        <f aca="false">IF(AND(C778="",G778="",H778=""),"فارغ",IF(ISNA(MATCH(C778,'شجرة الحسابات'!$A$9:$A$208,0)),"حساب غير معرف",IF(L778&lt;&gt;"تحليلي","حساب تجميعي",IF(AND(N(G778)&gt;0,N(H778)&gt;0),"مدين ودائن معاً",IF(N(G778)+N(H778)=0,"بدون قيمة","OK")))))</f>
        <v>فارغ</v>
      </c>
      <c r="N778" s="55" t="str">
        <f aca="false">IF(AND(E778&lt;&gt;"",E778='كشف حساب مشروع'!$C$6,I778="مرحل ✔"),COUNTIFS($E$11:E778,'كشف حساب مشروع'!$C$6,$I$11:I778,"مرحل ✔"),"")</f>
        <v/>
      </c>
      <c r="O778" s="55" t="str">
        <f aca="false">IF(AND(C778&lt;&gt;"",C778='دفتر الأستاذ'!$C$6,I778="مرحل ✔"),COUNTIFS($C$11:C778,'دفتر الأستاذ'!$C$6,$I$11:I778,"مرحل ✔"),"")</f>
        <v/>
      </c>
    </row>
    <row r="779" customFormat="false" ht="15" hidden="false" customHeight="false" outlineLevel="0" collapsed="false">
      <c r="A779" s="49"/>
      <c r="B779" s="50"/>
      <c r="C779" s="49"/>
      <c r="D779" s="51" t="str">
        <f aca="false">IF(C779="","",IFERROR(INDEX('شجرة الحسابات'!$B$9:$B$208,MATCH(C779,'شجرة الحسابات'!$A$9:$A$208,0)),"⚠ حساب غير معرف"))</f>
        <v/>
      </c>
      <c r="E779" s="52"/>
      <c r="F779" s="52"/>
      <c r="G779" s="53"/>
      <c r="H779" s="53"/>
      <c r="I779" s="54" t="str">
        <f aca="false">IF(A779="",IF(M779="فارغ","","✖ بدون رقم قيد"),IF(COUNTIFS('قيود اليومية'!$A$11:$A$1010,A779,'قيود اليومية'!$M$11:$M$1010,"&lt;&gt;OK",'قيود اليومية'!$M$11:$M$1010,"&lt;&gt;فارغ")&gt;0,"✖ خطأ بالحساب",IF(ROUND(SUMIFS('قيود اليومية'!$G$11:$G$1010,'قيود اليومية'!$A$11:$A$1010,A779)-SUMIFS('قيود اليومية'!$H$11:$H$1010,'قيود اليومية'!$A$11:$A$1010,A779),2)&lt;&gt;0,"✖ غير متوازن","مرحل ✔")))</f>
        <v/>
      </c>
      <c r="J779" s="55" t="str">
        <f aca="false">IF(C779="","",IFERROR(INDEX('شجرة الحسابات'!$E$9:$E$208,MATCH(C779,'شجرة الحسابات'!$A$9:$A$208,0))&amp;"",""))</f>
        <v/>
      </c>
      <c r="K779" s="55" t="str">
        <f aca="false">IF(C779="","",IFERROR(INDEX('شجرة الحسابات'!$I$9:$I$208,MATCH(C779,'شجرة الحسابات'!$A$9:$A$208,0))&amp;"",""))</f>
        <v/>
      </c>
      <c r="L779" s="55" t="str">
        <f aca="false">IF(C779="","",IFERROR(INDEX('شجرة الحسابات'!$C$9:$C$208,MATCH(C779,'شجرة الحسابات'!$A$9:$A$208,0))&amp;"",""))</f>
        <v/>
      </c>
      <c r="M779" s="55" t="str">
        <f aca="false">IF(AND(C779="",G779="",H779=""),"فارغ",IF(ISNA(MATCH(C779,'شجرة الحسابات'!$A$9:$A$208,0)),"حساب غير معرف",IF(L779&lt;&gt;"تحليلي","حساب تجميعي",IF(AND(N(G779)&gt;0,N(H779)&gt;0),"مدين ودائن معاً",IF(N(G779)+N(H779)=0,"بدون قيمة","OK")))))</f>
        <v>فارغ</v>
      </c>
      <c r="N779" s="55" t="str">
        <f aca="false">IF(AND(E779&lt;&gt;"",E779='كشف حساب مشروع'!$C$6,I779="مرحل ✔"),COUNTIFS($E$11:E779,'كشف حساب مشروع'!$C$6,$I$11:I779,"مرحل ✔"),"")</f>
        <v/>
      </c>
      <c r="O779" s="55" t="str">
        <f aca="false">IF(AND(C779&lt;&gt;"",C779='دفتر الأستاذ'!$C$6,I779="مرحل ✔"),COUNTIFS($C$11:C779,'دفتر الأستاذ'!$C$6,$I$11:I779,"مرحل ✔"),"")</f>
        <v/>
      </c>
    </row>
    <row r="780" customFormat="false" ht="15" hidden="false" customHeight="false" outlineLevel="0" collapsed="false">
      <c r="A780" s="49"/>
      <c r="B780" s="50"/>
      <c r="C780" s="49"/>
      <c r="D780" s="51" t="str">
        <f aca="false">IF(C780="","",IFERROR(INDEX('شجرة الحسابات'!$B$9:$B$208,MATCH(C780,'شجرة الحسابات'!$A$9:$A$208,0)),"⚠ حساب غير معرف"))</f>
        <v/>
      </c>
      <c r="E780" s="52"/>
      <c r="F780" s="52"/>
      <c r="G780" s="53"/>
      <c r="H780" s="53"/>
      <c r="I780" s="54" t="str">
        <f aca="false">IF(A780="",IF(M780="فارغ","","✖ بدون رقم قيد"),IF(COUNTIFS('قيود اليومية'!$A$11:$A$1010,A780,'قيود اليومية'!$M$11:$M$1010,"&lt;&gt;OK",'قيود اليومية'!$M$11:$M$1010,"&lt;&gt;فارغ")&gt;0,"✖ خطأ بالحساب",IF(ROUND(SUMIFS('قيود اليومية'!$G$11:$G$1010,'قيود اليومية'!$A$11:$A$1010,A780)-SUMIFS('قيود اليومية'!$H$11:$H$1010,'قيود اليومية'!$A$11:$A$1010,A780),2)&lt;&gt;0,"✖ غير متوازن","مرحل ✔")))</f>
        <v/>
      </c>
      <c r="J780" s="55" t="str">
        <f aca="false">IF(C780="","",IFERROR(INDEX('شجرة الحسابات'!$E$9:$E$208,MATCH(C780,'شجرة الحسابات'!$A$9:$A$208,0))&amp;"",""))</f>
        <v/>
      </c>
      <c r="K780" s="55" t="str">
        <f aca="false">IF(C780="","",IFERROR(INDEX('شجرة الحسابات'!$I$9:$I$208,MATCH(C780,'شجرة الحسابات'!$A$9:$A$208,0))&amp;"",""))</f>
        <v/>
      </c>
      <c r="L780" s="55" t="str">
        <f aca="false">IF(C780="","",IFERROR(INDEX('شجرة الحسابات'!$C$9:$C$208,MATCH(C780,'شجرة الحسابات'!$A$9:$A$208,0))&amp;"",""))</f>
        <v/>
      </c>
      <c r="M780" s="55" t="str">
        <f aca="false">IF(AND(C780="",G780="",H780=""),"فارغ",IF(ISNA(MATCH(C780,'شجرة الحسابات'!$A$9:$A$208,0)),"حساب غير معرف",IF(L780&lt;&gt;"تحليلي","حساب تجميعي",IF(AND(N(G780)&gt;0,N(H780)&gt;0),"مدين ودائن معاً",IF(N(G780)+N(H780)=0,"بدون قيمة","OK")))))</f>
        <v>فارغ</v>
      </c>
      <c r="N780" s="55" t="str">
        <f aca="false">IF(AND(E780&lt;&gt;"",E780='كشف حساب مشروع'!$C$6,I780="مرحل ✔"),COUNTIFS($E$11:E780,'كشف حساب مشروع'!$C$6,$I$11:I780,"مرحل ✔"),"")</f>
        <v/>
      </c>
      <c r="O780" s="55" t="str">
        <f aca="false">IF(AND(C780&lt;&gt;"",C780='دفتر الأستاذ'!$C$6,I780="مرحل ✔"),COUNTIFS($C$11:C780,'دفتر الأستاذ'!$C$6,$I$11:I780,"مرحل ✔"),"")</f>
        <v/>
      </c>
    </row>
    <row r="781" customFormat="false" ht="15" hidden="false" customHeight="false" outlineLevel="0" collapsed="false">
      <c r="A781" s="49"/>
      <c r="B781" s="50"/>
      <c r="C781" s="49"/>
      <c r="D781" s="51" t="str">
        <f aca="false">IF(C781="","",IFERROR(INDEX('شجرة الحسابات'!$B$9:$B$208,MATCH(C781,'شجرة الحسابات'!$A$9:$A$208,0)),"⚠ حساب غير معرف"))</f>
        <v/>
      </c>
      <c r="E781" s="52"/>
      <c r="F781" s="52"/>
      <c r="G781" s="53"/>
      <c r="H781" s="53"/>
      <c r="I781" s="54" t="str">
        <f aca="false">IF(A781="",IF(M781="فارغ","","✖ بدون رقم قيد"),IF(COUNTIFS('قيود اليومية'!$A$11:$A$1010,A781,'قيود اليومية'!$M$11:$M$1010,"&lt;&gt;OK",'قيود اليومية'!$M$11:$M$1010,"&lt;&gt;فارغ")&gt;0,"✖ خطأ بالحساب",IF(ROUND(SUMIFS('قيود اليومية'!$G$11:$G$1010,'قيود اليومية'!$A$11:$A$1010,A781)-SUMIFS('قيود اليومية'!$H$11:$H$1010,'قيود اليومية'!$A$11:$A$1010,A781),2)&lt;&gt;0,"✖ غير متوازن","مرحل ✔")))</f>
        <v/>
      </c>
      <c r="J781" s="55" t="str">
        <f aca="false">IF(C781="","",IFERROR(INDEX('شجرة الحسابات'!$E$9:$E$208,MATCH(C781,'شجرة الحسابات'!$A$9:$A$208,0))&amp;"",""))</f>
        <v/>
      </c>
      <c r="K781" s="55" t="str">
        <f aca="false">IF(C781="","",IFERROR(INDEX('شجرة الحسابات'!$I$9:$I$208,MATCH(C781,'شجرة الحسابات'!$A$9:$A$208,0))&amp;"",""))</f>
        <v/>
      </c>
      <c r="L781" s="55" t="str">
        <f aca="false">IF(C781="","",IFERROR(INDEX('شجرة الحسابات'!$C$9:$C$208,MATCH(C781,'شجرة الحسابات'!$A$9:$A$208,0))&amp;"",""))</f>
        <v/>
      </c>
      <c r="M781" s="55" t="str">
        <f aca="false">IF(AND(C781="",G781="",H781=""),"فارغ",IF(ISNA(MATCH(C781,'شجرة الحسابات'!$A$9:$A$208,0)),"حساب غير معرف",IF(L781&lt;&gt;"تحليلي","حساب تجميعي",IF(AND(N(G781)&gt;0,N(H781)&gt;0),"مدين ودائن معاً",IF(N(G781)+N(H781)=0,"بدون قيمة","OK")))))</f>
        <v>فارغ</v>
      </c>
      <c r="N781" s="55" t="str">
        <f aca="false">IF(AND(E781&lt;&gt;"",E781='كشف حساب مشروع'!$C$6,I781="مرحل ✔"),COUNTIFS($E$11:E781,'كشف حساب مشروع'!$C$6,$I$11:I781,"مرحل ✔"),"")</f>
        <v/>
      </c>
      <c r="O781" s="55" t="str">
        <f aca="false">IF(AND(C781&lt;&gt;"",C781='دفتر الأستاذ'!$C$6,I781="مرحل ✔"),COUNTIFS($C$11:C781,'دفتر الأستاذ'!$C$6,$I$11:I781,"مرحل ✔"),"")</f>
        <v/>
      </c>
    </row>
    <row r="782" customFormat="false" ht="15" hidden="false" customHeight="false" outlineLevel="0" collapsed="false">
      <c r="A782" s="49"/>
      <c r="B782" s="50"/>
      <c r="C782" s="49"/>
      <c r="D782" s="51" t="str">
        <f aca="false">IF(C782="","",IFERROR(INDEX('شجرة الحسابات'!$B$9:$B$208,MATCH(C782,'شجرة الحسابات'!$A$9:$A$208,0)),"⚠ حساب غير معرف"))</f>
        <v/>
      </c>
      <c r="E782" s="52"/>
      <c r="F782" s="52"/>
      <c r="G782" s="53"/>
      <c r="H782" s="53"/>
      <c r="I782" s="54" t="str">
        <f aca="false">IF(A782="",IF(M782="فارغ","","✖ بدون رقم قيد"),IF(COUNTIFS('قيود اليومية'!$A$11:$A$1010,A782,'قيود اليومية'!$M$11:$M$1010,"&lt;&gt;OK",'قيود اليومية'!$M$11:$M$1010,"&lt;&gt;فارغ")&gt;0,"✖ خطأ بالحساب",IF(ROUND(SUMIFS('قيود اليومية'!$G$11:$G$1010,'قيود اليومية'!$A$11:$A$1010,A782)-SUMIFS('قيود اليومية'!$H$11:$H$1010,'قيود اليومية'!$A$11:$A$1010,A782),2)&lt;&gt;0,"✖ غير متوازن","مرحل ✔")))</f>
        <v/>
      </c>
      <c r="J782" s="55" t="str">
        <f aca="false">IF(C782="","",IFERROR(INDEX('شجرة الحسابات'!$E$9:$E$208,MATCH(C782,'شجرة الحسابات'!$A$9:$A$208,0))&amp;"",""))</f>
        <v/>
      </c>
      <c r="K782" s="55" t="str">
        <f aca="false">IF(C782="","",IFERROR(INDEX('شجرة الحسابات'!$I$9:$I$208,MATCH(C782,'شجرة الحسابات'!$A$9:$A$208,0))&amp;"",""))</f>
        <v/>
      </c>
      <c r="L782" s="55" t="str">
        <f aca="false">IF(C782="","",IFERROR(INDEX('شجرة الحسابات'!$C$9:$C$208,MATCH(C782,'شجرة الحسابات'!$A$9:$A$208,0))&amp;"",""))</f>
        <v/>
      </c>
      <c r="M782" s="55" t="str">
        <f aca="false">IF(AND(C782="",G782="",H782=""),"فارغ",IF(ISNA(MATCH(C782,'شجرة الحسابات'!$A$9:$A$208,0)),"حساب غير معرف",IF(L782&lt;&gt;"تحليلي","حساب تجميعي",IF(AND(N(G782)&gt;0,N(H782)&gt;0),"مدين ودائن معاً",IF(N(G782)+N(H782)=0,"بدون قيمة","OK")))))</f>
        <v>فارغ</v>
      </c>
      <c r="N782" s="55" t="str">
        <f aca="false">IF(AND(E782&lt;&gt;"",E782='كشف حساب مشروع'!$C$6,I782="مرحل ✔"),COUNTIFS($E$11:E782,'كشف حساب مشروع'!$C$6,$I$11:I782,"مرحل ✔"),"")</f>
        <v/>
      </c>
      <c r="O782" s="55" t="str">
        <f aca="false">IF(AND(C782&lt;&gt;"",C782='دفتر الأستاذ'!$C$6,I782="مرحل ✔"),COUNTIFS($C$11:C782,'دفتر الأستاذ'!$C$6,$I$11:I782,"مرحل ✔"),"")</f>
        <v/>
      </c>
    </row>
    <row r="783" customFormat="false" ht="15" hidden="false" customHeight="false" outlineLevel="0" collapsed="false">
      <c r="A783" s="49"/>
      <c r="B783" s="50"/>
      <c r="C783" s="49"/>
      <c r="D783" s="51" t="str">
        <f aca="false">IF(C783="","",IFERROR(INDEX('شجرة الحسابات'!$B$9:$B$208,MATCH(C783,'شجرة الحسابات'!$A$9:$A$208,0)),"⚠ حساب غير معرف"))</f>
        <v/>
      </c>
      <c r="E783" s="52"/>
      <c r="F783" s="52"/>
      <c r="G783" s="53"/>
      <c r="H783" s="53"/>
      <c r="I783" s="54" t="str">
        <f aca="false">IF(A783="",IF(M783="فارغ","","✖ بدون رقم قيد"),IF(COUNTIFS('قيود اليومية'!$A$11:$A$1010,A783,'قيود اليومية'!$M$11:$M$1010,"&lt;&gt;OK",'قيود اليومية'!$M$11:$M$1010,"&lt;&gt;فارغ")&gt;0,"✖ خطأ بالحساب",IF(ROUND(SUMIFS('قيود اليومية'!$G$11:$G$1010,'قيود اليومية'!$A$11:$A$1010,A783)-SUMIFS('قيود اليومية'!$H$11:$H$1010,'قيود اليومية'!$A$11:$A$1010,A783),2)&lt;&gt;0,"✖ غير متوازن","مرحل ✔")))</f>
        <v/>
      </c>
      <c r="J783" s="55" t="str">
        <f aca="false">IF(C783="","",IFERROR(INDEX('شجرة الحسابات'!$E$9:$E$208,MATCH(C783,'شجرة الحسابات'!$A$9:$A$208,0))&amp;"",""))</f>
        <v/>
      </c>
      <c r="K783" s="55" t="str">
        <f aca="false">IF(C783="","",IFERROR(INDEX('شجرة الحسابات'!$I$9:$I$208,MATCH(C783,'شجرة الحسابات'!$A$9:$A$208,0))&amp;"",""))</f>
        <v/>
      </c>
      <c r="L783" s="55" t="str">
        <f aca="false">IF(C783="","",IFERROR(INDEX('شجرة الحسابات'!$C$9:$C$208,MATCH(C783,'شجرة الحسابات'!$A$9:$A$208,0))&amp;"",""))</f>
        <v/>
      </c>
      <c r="M783" s="55" t="str">
        <f aca="false">IF(AND(C783="",G783="",H783=""),"فارغ",IF(ISNA(MATCH(C783,'شجرة الحسابات'!$A$9:$A$208,0)),"حساب غير معرف",IF(L783&lt;&gt;"تحليلي","حساب تجميعي",IF(AND(N(G783)&gt;0,N(H783)&gt;0),"مدين ودائن معاً",IF(N(G783)+N(H783)=0,"بدون قيمة","OK")))))</f>
        <v>فارغ</v>
      </c>
      <c r="N783" s="55" t="str">
        <f aca="false">IF(AND(E783&lt;&gt;"",E783='كشف حساب مشروع'!$C$6,I783="مرحل ✔"),COUNTIFS($E$11:E783,'كشف حساب مشروع'!$C$6,$I$11:I783,"مرحل ✔"),"")</f>
        <v/>
      </c>
      <c r="O783" s="55" t="str">
        <f aca="false">IF(AND(C783&lt;&gt;"",C783='دفتر الأستاذ'!$C$6,I783="مرحل ✔"),COUNTIFS($C$11:C783,'دفتر الأستاذ'!$C$6,$I$11:I783,"مرحل ✔"),"")</f>
        <v/>
      </c>
    </row>
    <row r="784" customFormat="false" ht="15" hidden="false" customHeight="false" outlineLevel="0" collapsed="false">
      <c r="A784" s="49"/>
      <c r="B784" s="50"/>
      <c r="C784" s="49"/>
      <c r="D784" s="51" t="str">
        <f aca="false">IF(C784="","",IFERROR(INDEX('شجرة الحسابات'!$B$9:$B$208,MATCH(C784,'شجرة الحسابات'!$A$9:$A$208,0)),"⚠ حساب غير معرف"))</f>
        <v/>
      </c>
      <c r="E784" s="52"/>
      <c r="F784" s="52"/>
      <c r="G784" s="53"/>
      <c r="H784" s="53"/>
      <c r="I784" s="54" t="str">
        <f aca="false">IF(A784="",IF(M784="فارغ","","✖ بدون رقم قيد"),IF(COUNTIFS('قيود اليومية'!$A$11:$A$1010,A784,'قيود اليومية'!$M$11:$M$1010,"&lt;&gt;OK",'قيود اليومية'!$M$11:$M$1010,"&lt;&gt;فارغ")&gt;0,"✖ خطأ بالحساب",IF(ROUND(SUMIFS('قيود اليومية'!$G$11:$G$1010,'قيود اليومية'!$A$11:$A$1010,A784)-SUMIFS('قيود اليومية'!$H$11:$H$1010,'قيود اليومية'!$A$11:$A$1010,A784),2)&lt;&gt;0,"✖ غير متوازن","مرحل ✔")))</f>
        <v/>
      </c>
      <c r="J784" s="55" t="str">
        <f aca="false">IF(C784="","",IFERROR(INDEX('شجرة الحسابات'!$E$9:$E$208,MATCH(C784,'شجرة الحسابات'!$A$9:$A$208,0))&amp;"",""))</f>
        <v/>
      </c>
      <c r="K784" s="55" t="str">
        <f aca="false">IF(C784="","",IFERROR(INDEX('شجرة الحسابات'!$I$9:$I$208,MATCH(C784,'شجرة الحسابات'!$A$9:$A$208,0))&amp;"",""))</f>
        <v/>
      </c>
      <c r="L784" s="55" t="str">
        <f aca="false">IF(C784="","",IFERROR(INDEX('شجرة الحسابات'!$C$9:$C$208,MATCH(C784,'شجرة الحسابات'!$A$9:$A$208,0))&amp;"",""))</f>
        <v/>
      </c>
      <c r="M784" s="55" t="str">
        <f aca="false">IF(AND(C784="",G784="",H784=""),"فارغ",IF(ISNA(MATCH(C784,'شجرة الحسابات'!$A$9:$A$208,0)),"حساب غير معرف",IF(L784&lt;&gt;"تحليلي","حساب تجميعي",IF(AND(N(G784)&gt;0,N(H784)&gt;0),"مدين ودائن معاً",IF(N(G784)+N(H784)=0,"بدون قيمة","OK")))))</f>
        <v>فارغ</v>
      </c>
      <c r="N784" s="55" t="str">
        <f aca="false">IF(AND(E784&lt;&gt;"",E784='كشف حساب مشروع'!$C$6,I784="مرحل ✔"),COUNTIFS($E$11:E784,'كشف حساب مشروع'!$C$6,$I$11:I784,"مرحل ✔"),"")</f>
        <v/>
      </c>
      <c r="O784" s="55" t="str">
        <f aca="false">IF(AND(C784&lt;&gt;"",C784='دفتر الأستاذ'!$C$6,I784="مرحل ✔"),COUNTIFS($C$11:C784,'دفتر الأستاذ'!$C$6,$I$11:I784,"مرحل ✔"),"")</f>
        <v/>
      </c>
    </row>
    <row r="785" customFormat="false" ht="15" hidden="false" customHeight="false" outlineLevel="0" collapsed="false">
      <c r="A785" s="49"/>
      <c r="B785" s="50"/>
      <c r="C785" s="49"/>
      <c r="D785" s="51" t="str">
        <f aca="false">IF(C785="","",IFERROR(INDEX('شجرة الحسابات'!$B$9:$B$208,MATCH(C785,'شجرة الحسابات'!$A$9:$A$208,0)),"⚠ حساب غير معرف"))</f>
        <v/>
      </c>
      <c r="E785" s="52"/>
      <c r="F785" s="52"/>
      <c r="G785" s="53"/>
      <c r="H785" s="53"/>
      <c r="I785" s="54" t="str">
        <f aca="false">IF(A785="",IF(M785="فارغ","","✖ بدون رقم قيد"),IF(COUNTIFS('قيود اليومية'!$A$11:$A$1010,A785,'قيود اليومية'!$M$11:$M$1010,"&lt;&gt;OK",'قيود اليومية'!$M$11:$M$1010,"&lt;&gt;فارغ")&gt;0,"✖ خطأ بالحساب",IF(ROUND(SUMIFS('قيود اليومية'!$G$11:$G$1010,'قيود اليومية'!$A$11:$A$1010,A785)-SUMIFS('قيود اليومية'!$H$11:$H$1010,'قيود اليومية'!$A$11:$A$1010,A785),2)&lt;&gt;0,"✖ غير متوازن","مرحل ✔")))</f>
        <v/>
      </c>
      <c r="J785" s="55" t="str">
        <f aca="false">IF(C785="","",IFERROR(INDEX('شجرة الحسابات'!$E$9:$E$208,MATCH(C785,'شجرة الحسابات'!$A$9:$A$208,0))&amp;"",""))</f>
        <v/>
      </c>
      <c r="K785" s="55" t="str">
        <f aca="false">IF(C785="","",IFERROR(INDEX('شجرة الحسابات'!$I$9:$I$208,MATCH(C785,'شجرة الحسابات'!$A$9:$A$208,0))&amp;"",""))</f>
        <v/>
      </c>
      <c r="L785" s="55" t="str">
        <f aca="false">IF(C785="","",IFERROR(INDEX('شجرة الحسابات'!$C$9:$C$208,MATCH(C785,'شجرة الحسابات'!$A$9:$A$208,0))&amp;"",""))</f>
        <v/>
      </c>
      <c r="M785" s="55" t="str">
        <f aca="false">IF(AND(C785="",G785="",H785=""),"فارغ",IF(ISNA(MATCH(C785,'شجرة الحسابات'!$A$9:$A$208,0)),"حساب غير معرف",IF(L785&lt;&gt;"تحليلي","حساب تجميعي",IF(AND(N(G785)&gt;0,N(H785)&gt;0),"مدين ودائن معاً",IF(N(G785)+N(H785)=0,"بدون قيمة","OK")))))</f>
        <v>فارغ</v>
      </c>
      <c r="N785" s="55" t="str">
        <f aca="false">IF(AND(E785&lt;&gt;"",E785='كشف حساب مشروع'!$C$6,I785="مرحل ✔"),COUNTIFS($E$11:E785,'كشف حساب مشروع'!$C$6,$I$11:I785,"مرحل ✔"),"")</f>
        <v/>
      </c>
      <c r="O785" s="55" t="str">
        <f aca="false">IF(AND(C785&lt;&gt;"",C785='دفتر الأستاذ'!$C$6,I785="مرحل ✔"),COUNTIFS($C$11:C785,'دفتر الأستاذ'!$C$6,$I$11:I785,"مرحل ✔"),"")</f>
        <v/>
      </c>
    </row>
    <row r="786" customFormat="false" ht="15" hidden="false" customHeight="false" outlineLevel="0" collapsed="false">
      <c r="A786" s="49"/>
      <c r="B786" s="50"/>
      <c r="C786" s="49"/>
      <c r="D786" s="51" t="str">
        <f aca="false">IF(C786="","",IFERROR(INDEX('شجرة الحسابات'!$B$9:$B$208,MATCH(C786,'شجرة الحسابات'!$A$9:$A$208,0)),"⚠ حساب غير معرف"))</f>
        <v/>
      </c>
      <c r="E786" s="52"/>
      <c r="F786" s="52"/>
      <c r="G786" s="53"/>
      <c r="H786" s="53"/>
      <c r="I786" s="54" t="str">
        <f aca="false">IF(A786="",IF(M786="فارغ","","✖ بدون رقم قيد"),IF(COUNTIFS('قيود اليومية'!$A$11:$A$1010,A786,'قيود اليومية'!$M$11:$M$1010,"&lt;&gt;OK",'قيود اليومية'!$M$11:$M$1010,"&lt;&gt;فارغ")&gt;0,"✖ خطأ بالحساب",IF(ROUND(SUMIFS('قيود اليومية'!$G$11:$G$1010,'قيود اليومية'!$A$11:$A$1010,A786)-SUMIFS('قيود اليومية'!$H$11:$H$1010,'قيود اليومية'!$A$11:$A$1010,A786),2)&lt;&gt;0,"✖ غير متوازن","مرحل ✔")))</f>
        <v/>
      </c>
      <c r="J786" s="55" t="str">
        <f aca="false">IF(C786="","",IFERROR(INDEX('شجرة الحسابات'!$E$9:$E$208,MATCH(C786,'شجرة الحسابات'!$A$9:$A$208,0))&amp;"",""))</f>
        <v/>
      </c>
      <c r="K786" s="55" t="str">
        <f aca="false">IF(C786="","",IFERROR(INDEX('شجرة الحسابات'!$I$9:$I$208,MATCH(C786,'شجرة الحسابات'!$A$9:$A$208,0))&amp;"",""))</f>
        <v/>
      </c>
      <c r="L786" s="55" t="str">
        <f aca="false">IF(C786="","",IFERROR(INDEX('شجرة الحسابات'!$C$9:$C$208,MATCH(C786,'شجرة الحسابات'!$A$9:$A$208,0))&amp;"",""))</f>
        <v/>
      </c>
      <c r="M786" s="55" t="str">
        <f aca="false">IF(AND(C786="",G786="",H786=""),"فارغ",IF(ISNA(MATCH(C786,'شجرة الحسابات'!$A$9:$A$208,0)),"حساب غير معرف",IF(L786&lt;&gt;"تحليلي","حساب تجميعي",IF(AND(N(G786)&gt;0,N(H786)&gt;0),"مدين ودائن معاً",IF(N(G786)+N(H786)=0,"بدون قيمة","OK")))))</f>
        <v>فارغ</v>
      </c>
      <c r="N786" s="55" t="str">
        <f aca="false">IF(AND(E786&lt;&gt;"",E786='كشف حساب مشروع'!$C$6,I786="مرحل ✔"),COUNTIFS($E$11:E786,'كشف حساب مشروع'!$C$6,$I$11:I786,"مرحل ✔"),"")</f>
        <v/>
      </c>
      <c r="O786" s="55" t="str">
        <f aca="false">IF(AND(C786&lt;&gt;"",C786='دفتر الأستاذ'!$C$6,I786="مرحل ✔"),COUNTIFS($C$11:C786,'دفتر الأستاذ'!$C$6,$I$11:I786,"مرحل ✔"),"")</f>
        <v/>
      </c>
    </row>
    <row r="787" customFormat="false" ht="15" hidden="false" customHeight="false" outlineLevel="0" collapsed="false">
      <c r="A787" s="49"/>
      <c r="B787" s="50"/>
      <c r="C787" s="49"/>
      <c r="D787" s="51" t="str">
        <f aca="false">IF(C787="","",IFERROR(INDEX('شجرة الحسابات'!$B$9:$B$208,MATCH(C787,'شجرة الحسابات'!$A$9:$A$208,0)),"⚠ حساب غير معرف"))</f>
        <v/>
      </c>
      <c r="E787" s="52"/>
      <c r="F787" s="52"/>
      <c r="G787" s="53"/>
      <c r="H787" s="53"/>
      <c r="I787" s="54" t="str">
        <f aca="false">IF(A787="",IF(M787="فارغ","","✖ بدون رقم قيد"),IF(COUNTIFS('قيود اليومية'!$A$11:$A$1010,A787,'قيود اليومية'!$M$11:$M$1010,"&lt;&gt;OK",'قيود اليومية'!$M$11:$M$1010,"&lt;&gt;فارغ")&gt;0,"✖ خطأ بالحساب",IF(ROUND(SUMIFS('قيود اليومية'!$G$11:$G$1010,'قيود اليومية'!$A$11:$A$1010,A787)-SUMIFS('قيود اليومية'!$H$11:$H$1010,'قيود اليومية'!$A$11:$A$1010,A787),2)&lt;&gt;0,"✖ غير متوازن","مرحل ✔")))</f>
        <v/>
      </c>
      <c r="J787" s="55" t="str">
        <f aca="false">IF(C787="","",IFERROR(INDEX('شجرة الحسابات'!$E$9:$E$208,MATCH(C787,'شجرة الحسابات'!$A$9:$A$208,0))&amp;"",""))</f>
        <v/>
      </c>
      <c r="K787" s="55" t="str">
        <f aca="false">IF(C787="","",IFERROR(INDEX('شجرة الحسابات'!$I$9:$I$208,MATCH(C787,'شجرة الحسابات'!$A$9:$A$208,0))&amp;"",""))</f>
        <v/>
      </c>
      <c r="L787" s="55" t="str">
        <f aca="false">IF(C787="","",IFERROR(INDEX('شجرة الحسابات'!$C$9:$C$208,MATCH(C787,'شجرة الحسابات'!$A$9:$A$208,0))&amp;"",""))</f>
        <v/>
      </c>
      <c r="M787" s="55" t="str">
        <f aca="false">IF(AND(C787="",G787="",H787=""),"فارغ",IF(ISNA(MATCH(C787,'شجرة الحسابات'!$A$9:$A$208,0)),"حساب غير معرف",IF(L787&lt;&gt;"تحليلي","حساب تجميعي",IF(AND(N(G787)&gt;0,N(H787)&gt;0),"مدين ودائن معاً",IF(N(G787)+N(H787)=0,"بدون قيمة","OK")))))</f>
        <v>فارغ</v>
      </c>
      <c r="N787" s="55" t="str">
        <f aca="false">IF(AND(E787&lt;&gt;"",E787='كشف حساب مشروع'!$C$6,I787="مرحل ✔"),COUNTIFS($E$11:E787,'كشف حساب مشروع'!$C$6,$I$11:I787,"مرحل ✔"),"")</f>
        <v/>
      </c>
      <c r="O787" s="55" t="str">
        <f aca="false">IF(AND(C787&lt;&gt;"",C787='دفتر الأستاذ'!$C$6,I787="مرحل ✔"),COUNTIFS($C$11:C787,'دفتر الأستاذ'!$C$6,$I$11:I787,"مرحل ✔"),"")</f>
        <v/>
      </c>
    </row>
    <row r="788" customFormat="false" ht="15" hidden="false" customHeight="false" outlineLevel="0" collapsed="false">
      <c r="A788" s="49"/>
      <c r="B788" s="50"/>
      <c r="C788" s="49"/>
      <c r="D788" s="51" t="str">
        <f aca="false">IF(C788="","",IFERROR(INDEX('شجرة الحسابات'!$B$9:$B$208,MATCH(C788,'شجرة الحسابات'!$A$9:$A$208,0)),"⚠ حساب غير معرف"))</f>
        <v/>
      </c>
      <c r="E788" s="52"/>
      <c r="F788" s="52"/>
      <c r="G788" s="53"/>
      <c r="H788" s="53"/>
      <c r="I788" s="54" t="str">
        <f aca="false">IF(A788="",IF(M788="فارغ","","✖ بدون رقم قيد"),IF(COUNTIFS('قيود اليومية'!$A$11:$A$1010,A788,'قيود اليومية'!$M$11:$M$1010,"&lt;&gt;OK",'قيود اليومية'!$M$11:$M$1010,"&lt;&gt;فارغ")&gt;0,"✖ خطأ بالحساب",IF(ROUND(SUMIFS('قيود اليومية'!$G$11:$G$1010,'قيود اليومية'!$A$11:$A$1010,A788)-SUMIFS('قيود اليومية'!$H$11:$H$1010,'قيود اليومية'!$A$11:$A$1010,A788),2)&lt;&gt;0,"✖ غير متوازن","مرحل ✔")))</f>
        <v/>
      </c>
      <c r="J788" s="55" t="str">
        <f aca="false">IF(C788="","",IFERROR(INDEX('شجرة الحسابات'!$E$9:$E$208,MATCH(C788,'شجرة الحسابات'!$A$9:$A$208,0))&amp;"",""))</f>
        <v/>
      </c>
      <c r="K788" s="55" t="str">
        <f aca="false">IF(C788="","",IFERROR(INDEX('شجرة الحسابات'!$I$9:$I$208,MATCH(C788,'شجرة الحسابات'!$A$9:$A$208,0))&amp;"",""))</f>
        <v/>
      </c>
      <c r="L788" s="55" t="str">
        <f aca="false">IF(C788="","",IFERROR(INDEX('شجرة الحسابات'!$C$9:$C$208,MATCH(C788,'شجرة الحسابات'!$A$9:$A$208,0))&amp;"",""))</f>
        <v/>
      </c>
      <c r="M788" s="55" t="str">
        <f aca="false">IF(AND(C788="",G788="",H788=""),"فارغ",IF(ISNA(MATCH(C788,'شجرة الحسابات'!$A$9:$A$208,0)),"حساب غير معرف",IF(L788&lt;&gt;"تحليلي","حساب تجميعي",IF(AND(N(G788)&gt;0,N(H788)&gt;0),"مدين ودائن معاً",IF(N(G788)+N(H788)=0,"بدون قيمة","OK")))))</f>
        <v>فارغ</v>
      </c>
      <c r="N788" s="55" t="str">
        <f aca="false">IF(AND(E788&lt;&gt;"",E788='كشف حساب مشروع'!$C$6,I788="مرحل ✔"),COUNTIFS($E$11:E788,'كشف حساب مشروع'!$C$6,$I$11:I788,"مرحل ✔"),"")</f>
        <v/>
      </c>
      <c r="O788" s="55" t="str">
        <f aca="false">IF(AND(C788&lt;&gt;"",C788='دفتر الأستاذ'!$C$6,I788="مرحل ✔"),COUNTIFS($C$11:C788,'دفتر الأستاذ'!$C$6,$I$11:I788,"مرحل ✔"),"")</f>
        <v/>
      </c>
    </row>
    <row r="789" customFormat="false" ht="15" hidden="false" customHeight="false" outlineLevel="0" collapsed="false">
      <c r="A789" s="49"/>
      <c r="B789" s="50"/>
      <c r="C789" s="49"/>
      <c r="D789" s="51" t="str">
        <f aca="false">IF(C789="","",IFERROR(INDEX('شجرة الحسابات'!$B$9:$B$208,MATCH(C789,'شجرة الحسابات'!$A$9:$A$208,0)),"⚠ حساب غير معرف"))</f>
        <v/>
      </c>
      <c r="E789" s="52"/>
      <c r="F789" s="52"/>
      <c r="G789" s="53"/>
      <c r="H789" s="53"/>
      <c r="I789" s="54" t="str">
        <f aca="false">IF(A789="",IF(M789="فارغ","","✖ بدون رقم قيد"),IF(COUNTIFS('قيود اليومية'!$A$11:$A$1010,A789,'قيود اليومية'!$M$11:$M$1010,"&lt;&gt;OK",'قيود اليومية'!$M$11:$M$1010,"&lt;&gt;فارغ")&gt;0,"✖ خطأ بالحساب",IF(ROUND(SUMIFS('قيود اليومية'!$G$11:$G$1010,'قيود اليومية'!$A$11:$A$1010,A789)-SUMIFS('قيود اليومية'!$H$11:$H$1010,'قيود اليومية'!$A$11:$A$1010,A789),2)&lt;&gt;0,"✖ غير متوازن","مرحل ✔")))</f>
        <v/>
      </c>
      <c r="J789" s="55" t="str">
        <f aca="false">IF(C789="","",IFERROR(INDEX('شجرة الحسابات'!$E$9:$E$208,MATCH(C789,'شجرة الحسابات'!$A$9:$A$208,0))&amp;"",""))</f>
        <v/>
      </c>
      <c r="K789" s="55" t="str">
        <f aca="false">IF(C789="","",IFERROR(INDEX('شجرة الحسابات'!$I$9:$I$208,MATCH(C789,'شجرة الحسابات'!$A$9:$A$208,0))&amp;"",""))</f>
        <v/>
      </c>
      <c r="L789" s="55" t="str">
        <f aca="false">IF(C789="","",IFERROR(INDEX('شجرة الحسابات'!$C$9:$C$208,MATCH(C789,'شجرة الحسابات'!$A$9:$A$208,0))&amp;"",""))</f>
        <v/>
      </c>
      <c r="M789" s="55" t="str">
        <f aca="false">IF(AND(C789="",G789="",H789=""),"فارغ",IF(ISNA(MATCH(C789,'شجرة الحسابات'!$A$9:$A$208,0)),"حساب غير معرف",IF(L789&lt;&gt;"تحليلي","حساب تجميعي",IF(AND(N(G789)&gt;0,N(H789)&gt;0),"مدين ودائن معاً",IF(N(G789)+N(H789)=0,"بدون قيمة","OK")))))</f>
        <v>فارغ</v>
      </c>
      <c r="N789" s="55" t="str">
        <f aca="false">IF(AND(E789&lt;&gt;"",E789='كشف حساب مشروع'!$C$6,I789="مرحل ✔"),COUNTIFS($E$11:E789,'كشف حساب مشروع'!$C$6,$I$11:I789,"مرحل ✔"),"")</f>
        <v/>
      </c>
      <c r="O789" s="55" t="str">
        <f aca="false">IF(AND(C789&lt;&gt;"",C789='دفتر الأستاذ'!$C$6,I789="مرحل ✔"),COUNTIFS($C$11:C789,'دفتر الأستاذ'!$C$6,$I$11:I789,"مرحل ✔"),"")</f>
        <v/>
      </c>
    </row>
    <row r="790" customFormat="false" ht="15" hidden="false" customHeight="false" outlineLevel="0" collapsed="false">
      <c r="A790" s="49"/>
      <c r="B790" s="50"/>
      <c r="C790" s="49"/>
      <c r="D790" s="51" t="str">
        <f aca="false">IF(C790="","",IFERROR(INDEX('شجرة الحسابات'!$B$9:$B$208,MATCH(C790,'شجرة الحسابات'!$A$9:$A$208,0)),"⚠ حساب غير معرف"))</f>
        <v/>
      </c>
      <c r="E790" s="52"/>
      <c r="F790" s="52"/>
      <c r="G790" s="53"/>
      <c r="H790" s="53"/>
      <c r="I790" s="54" t="str">
        <f aca="false">IF(A790="",IF(M790="فارغ","","✖ بدون رقم قيد"),IF(COUNTIFS('قيود اليومية'!$A$11:$A$1010,A790,'قيود اليومية'!$M$11:$M$1010,"&lt;&gt;OK",'قيود اليومية'!$M$11:$M$1010,"&lt;&gt;فارغ")&gt;0,"✖ خطأ بالحساب",IF(ROUND(SUMIFS('قيود اليومية'!$G$11:$G$1010,'قيود اليومية'!$A$11:$A$1010,A790)-SUMIFS('قيود اليومية'!$H$11:$H$1010,'قيود اليومية'!$A$11:$A$1010,A790),2)&lt;&gt;0,"✖ غير متوازن","مرحل ✔")))</f>
        <v/>
      </c>
      <c r="J790" s="55" t="str">
        <f aca="false">IF(C790="","",IFERROR(INDEX('شجرة الحسابات'!$E$9:$E$208,MATCH(C790,'شجرة الحسابات'!$A$9:$A$208,0))&amp;"",""))</f>
        <v/>
      </c>
      <c r="K790" s="55" t="str">
        <f aca="false">IF(C790="","",IFERROR(INDEX('شجرة الحسابات'!$I$9:$I$208,MATCH(C790,'شجرة الحسابات'!$A$9:$A$208,0))&amp;"",""))</f>
        <v/>
      </c>
      <c r="L790" s="55" t="str">
        <f aca="false">IF(C790="","",IFERROR(INDEX('شجرة الحسابات'!$C$9:$C$208,MATCH(C790,'شجرة الحسابات'!$A$9:$A$208,0))&amp;"",""))</f>
        <v/>
      </c>
      <c r="M790" s="55" t="str">
        <f aca="false">IF(AND(C790="",G790="",H790=""),"فارغ",IF(ISNA(MATCH(C790,'شجرة الحسابات'!$A$9:$A$208,0)),"حساب غير معرف",IF(L790&lt;&gt;"تحليلي","حساب تجميعي",IF(AND(N(G790)&gt;0,N(H790)&gt;0),"مدين ودائن معاً",IF(N(G790)+N(H790)=0,"بدون قيمة","OK")))))</f>
        <v>فارغ</v>
      </c>
      <c r="N790" s="55" t="str">
        <f aca="false">IF(AND(E790&lt;&gt;"",E790='كشف حساب مشروع'!$C$6,I790="مرحل ✔"),COUNTIFS($E$11:E790,'كشف حساب مشروع'!$C$6,$I$11:I790,"مرحل ✔"),"")</f>
        <v/>
      </c>
      <c r="O790" s="55" t="str">
        <f aca="false">IF(AND(C790&lt;&gt;"",C790='دفتر الأستاذ'!$C$6,I790="مرحل ✔"),COUNTIFS($C$11:C790,'دفتر الأستاذ'!$C$6,$I$11:I790,"مرحل ✔"),"")</f>
        <v/>
      </c>
    </row>
    <row r="791" customFormat="false" ht="15" hidden="false" customHeight="false" outlineLevel="0" collapsed="false">
      <c r="A791" s="49"/>
      <c r="B791" s="50"/>
      <c r="C791" s="49"/>
      <c r="D791" s="51" t="str">
        <f aca="false">IF(C791="","",IFERROR(INDEX('شجرة الحسابات'!$B$9:$B$208,MATCH(C791,'شجرة الحسابات'!$A$9:$A$208,0)),"⚠ حساب غير معرف"))</f>
        <v/>
      </c>
      <c r="E791" s="52"/>
      <c r="F791" s="52"/>
      <c r="G791" s="53"/>
      <c r="H791" s="53"/>
      <c r="I791" s="54" t="str">
        <f aca="false">IF(A791="",IF(M791="فارغ","","✖ بدون رقم قيد"),IF(COUNTIFS('قيود اليومية'!$A$11:$A$1010,A791,'قيود اليومية'!$M$11:$M$1010,"&lt;&gt;OK",'قيود اليومية'!$M$11:$M$1010,"&lt;&gt;فارغ")&gt;0,"✖ خطأ بالحساب",IF(ROUND(SUMIFS('قيود اليومية'!$G$11:$G$1010,'قيود اليومية'!$A$11:$A$1010,A791)-SUMIFS('قيود اليومية'!$H$11:$H$1010,'قيود اليومية'!$A$11:$A$1010,A791),2)&lt;&gt;0,"✖ غير متوازن","مرحل ✔")))</f>
        <v/>
      </c>
      <c r="J791" s="55" t="str">
        <f aca="false">IF(C791="","",IFERROR(INDEX('شجرة الحسابات'!$E$9:$E$208,MATCH(C791,'شجرة الحسابات'!$A$9:$A$208,0))&amp;"",""))</f>
        <v/>
      </c>
      <c r="K791" s="55" t="str">
        <f aca="false">IF(C791="","",IFERROR(INDEX('شجرة الحسابات'!$I$9:$I$208,MATCH(C791,'شجرة الحسابات'!$A$9:$A$208,0))&amp;"",""))</f>
        <v/>
      </c>
      <c r="L791" s="55" t="str">
        <f aca="false">IF(C791="","",IFERROR(INDEX('شجرة الحسابات'!$C$9:$C$208,MATCH(C791,'شجرة الحسابات'!$A$9:$A$208,0))&amp;"",""))</f>
        <v/>
      </c>
      <c r="M791" s="55" t="str">
        <f aca="false">IF(AND(C791="",G791="",H791=""),"فارغ",IF(ISNA(MATCH(C791,'شجرة الحسابات'!$A$9:$A$208,0)),"حساب غير معرف",IF(L791&lt;&gt;"تحليلي","حساب تجميعي",IF(AND(N(G791)&gt;0,N(H791)&gt;0),"مدين ودائن معاً",IF(N(G791)+N(H791)=0,"بدون قيمة","OK")))))</f>
        <v>فارغ</v>
      </c>
      <c r="N791" s="55" t="str">
        <f aca="false">IF(AND(E791&lt;&gt;"",E791='كشف حساب مشروع'!$C$6,I791="مرحل ✔"),COUNTIFS($E$11:E791,'كشف حساب مشروع'!$C$6,$I$11:I791,"مرحل ✔"),"")</f>
        <v/>
      </c>
      <c r="O791" s="55" t="str">
        <f aca="false">IF(AND(C791&lt;&gt;"",C791='دفتر الأستاذ'!$C$6,I791="مرحل ✔"),COUNTIFS($C$11:C791,'دفتر الأستاذ'!$C$6,$I$11:I791,"مرحل ✔"),"")</f>
        <v/>
      </c>
    </row>
    <row r="792" customFormat="false" ht="15" hidden="false" customHeight="false" outlineLevel="0" collapsed="false">
      <c r="A792" s="49"/>
      <c r="B792" s="50"/>
      <c r="C792" s="49"/>
      <c r="D792" s="51" t="str">
        <f aca="false">IF(C792="","",IFERROR(INDEX('شجرة الحسابات'!$B$9:$B$208,MATCH(C792,'شجرة الحسابات'!$A$9:$A$208,0)),"⚠ حساب غير معرف"))</f>
        <v/>
      </c>
      <c r="E792" s="52"/>
      <c r="F792" s="52"/>
      <c r="G792" s="53"/>
      <c r="H792" s="53"/>
      <c r="I792" s="54" t="str">
        <f aca="false">IF(A792="",IF(M792="فارغ","","✖ بدون رقم قيد"),IF(COUNTIFS('قيود اليومية'!$A$11:$A$1010,A792,'قيود اليومية'!$M$11:$M$1010,"&lt;&gt;OK",'قيود اليومية'!$M$11:$M$1010,"&lt;&gt;فارغ")&gt;0,"✖ خطأ بالحساب",IF(ROUND(SUMIFS('قيود اليومية'!$G$11:$G$1010,'قيود اليومية'!$A$11:$A$1010,A792)-SUMIFS('قيود اليومية'!$H$11:$H$1010,'قيود اليومية'!$A$11:$A$1010,A792),2)&lt;&gt;0,"✖ غير متوازن","مرحل ✔")))</f>
        <v/>
      </c>
      <c r="J792" s="55" t="str">
        <f aca="false">IF(C792="","",IFERROR(INDEX('شجرة الحسابات'!$E$9:$E$208,MATCH(C792,'شجرة الحسابات'!$A$9:$A$208,0))&amp;"",""))</f>
        <v/>
      </c>
      <c r="K792" s="55" t="str">
        <f aca="false">IF(C792="","",IFERROR(INDEX('شجرة الحسابات'!$I$9:$I$208,MATCH(C792,'شجرة الحسابات'!$A$9:$A$208,0))&amp;"",""))</f>
        <v/>
      </c>
      <c r="L792" s="55" t="str">
        <f aca="false">IF(C792="","",IFERROR(INDEX('شجرة الحسابات'!$C$9:$C$208,MATCH(C792,'شجرة الحسابات'!$A$9:$A$208,0))&amp;"",""))</f>
        <v/>
      </c>
      <c r="M792" s="55" t="str">
        <f aca="false">IF(AND(C792="",G792="",H792=""),"فارغ",IF(ISNA(MATCH(C792,'شجرة الحسابات'!$A$9:$A$208,0)),"حساب غير معرف",IF(L792&lt;&gt;"تحليلي","حساب تجميعي",IF(AND(N(G792)&gt;0,N(H792)&gt;0),"مدين ودائن معاً",IF(N(G792)+N(H792)=0,"بدون قيمة","OK")))))</f>
        <v>فارغ</v>
      </c>
      <c r="N792" s="55" t="str">
        <f aca="false">IF(AND(E792&lt;&gt;"",E792='كشف حساب مشروع'!$C$6,I792="مرحل ✔"),COUNTIFS($E$11:E792,'كشف حساب مشروع'!$C$6,$I$11:I792,"مرحل ✔"),"")</f>
        <v/>
      </c>
      <c r="O792" s="55" t="str">
        <f aca="false">IF(AND(C792&lt;&gt;"",C792='دفتر الأستاذ'!$C$6,I792="مرحل ✔"),COUNTIFS($C$11:C792,'دفتر الأستاذ'!$C$6,$I$11:I792,"مرحل ✔"),"")</f>
        <v/>
      </c>
    </row>
    <row r="793" customFormat="false" ht="15" hidden="false" customHeight="false" outlineLevel="0" collapsed="false">
      <c r="A793" s="49"/>
      <c r="B793" s="50"/>
      <c r="C793" s="49"/>
      <c r="D793" s="51" t="str">
        <f aca="false">IF(C793="","",IFERROR(INDEX('شجرة الحسابات'!$B$9:$B$208,MATCH(C793,'شجرة الحسابات'!$A$9:$A$208,0)),"⚠ حساب غير معرف"))</f>
        <v/>
      </c>
      <c r="E793" s="52"/>
      <c r="F793" s="52"/>
      <c r="G793" s="53"/>
      <c r="H793" s="53"/>
      <c r="I793" s="54" t="str">
        <f aca="false">IF(A793="",IF(M793="فارغ","","✖ بدون رقم قيد"),IF(COUNTIFS('قيود اليومية'!$A$11:$A$1010,A793,'قيود اليومية'!$M$11:$M$1010,"&lt;&gt;OK",'قيود اليومية'!$M$11:$M$1010,"&lt;&gt;فارغ")&gt;0,"✖ خطأ بالحساب",IF(ROUND(SUMIFS('قيود اليومية'!$G$11:$G$1010,'قيود اليومية'!$A$11:$A$1010,A793)-SUMIFS('قيود اليومية'!$H$11:$H$1010,'قيود اليومية'!$A$11:$A$1010,A793),2)&lt;&gt;0,"✖ غير متوازن","مرحل ✔")))</f>
        <v/>
      </c>
      <c r="J793" s="55" t="str">
        <f aca="false">IF(C793="","",IFERROR(INDEX('شجرة الحسابات'!$E$9:$E$208,MATCH(C793,'شجرة الحسابات'!$A$9:$A$208,0))&amp;"",""))</f>
        <v/>
      </c>
      <c r="K793" s="55" t="str">
        <f aca="false">IF(C793="","",IFERROR(INDEX('شجرة الحسابات'!$I$9:$I$208,MATCH(C793,'شجرة الحسابات'!$A$9:$A$208,0))&amp;"",""))</f>
        <v/>
      </c>
      <c r="L793" s="55" t="str">
        <f aca="false">IF(C793="","",IFERROR(INDEX('شجرة الحسابات'!$C$9:$C$208,MATCH(C793,'شجرة الحسابات'!$A$9:$A$208,0))&amp;"",""))</f>
        <v/>
      </c>
      <c r="M793" s="55" t="str">
        <f aca="false">IF(AND(C793="",G793="",H793=""),"فارغ",IF(ISNA(MATCH(C793,'شجرة الحسابات'!$A$9:$A$208,0)),"حساب غير معرف",IF(L793&lt;&gt;"تحليلي","حساب تجميعي",IF(AND(N(G793)&gt;0,N(H793)&gt;0),"مدين ودائن معاً",IF(N(G793)+N(H793)=0,"بدون قيمة","OK")))))</f>
        <v>فارغ</v>
      </c>
      <c r="N793" s="55" t="str">
        <f aca="false">IF(AND(E793&lt;&gt;"",E793='كشف حساب مشروع'!$C$6,I793="مرحل ✔"),COUNTIFS($E$11:E793,'كشف حساب مشروع'!$C$6,$I$11:I793,"مرحل ✔"),"")</f>
        <v/>
      </c>
      <c r="O793" s="55" t="str">
        <f aca="false">IF(AND(C793&lt;&gt;"",C793='دفتر الأستاذ'!$C$6,I793="مرحل ✔"),COUNTIFS($C$11:C793,'دفتر الأستاذ'!$C$6,$I$11:I793,"مرحل ✔"),"")</f>
        <v/>
      </c>
    </row>
    <row r="794" customFormat="false" ht="15" hidden="false" customHeight="false" outlineLevel="0" collapsed="false">
      <c r="A794" s="49"/>
      <c r="B794" s="50"/>
      <c r="C794" s="49"/>
      <c r="D794" s="51" t="str">
        <f aca="false">IF(C794="","",IFERROR(INDEX('شجرة الحسابات'!$B$9:$B$208,MATCH(C794,'شجرة الحسابات'!$A$9:$A$208,0)),"⚠ حساب غير معرف"))</f>
        <v/>
      </c>
      <c r="E794" s="52"/>
      <c r="F794" s="52"/>
      <c r="G794" s="53"/>
      <c r="H794" s="53"/>
      <c r="I794" s="54" t="str">
        <f aca="false">IF(A794="",IF(M794="فارغ","","✖ بدون رقم قيد"),IF(COUNTIFS('قيود اليومية'!$A$11:$A$1010,A794,'قيود اليومية'!$M$11:$M$1010,"&lt;&gt;OK",'قيود اليومية'!$M$11:$M$1010,"&lt;&gt;فارغ")&gt;0,"✖ خطأ بالحساب",IF(ROUND(SUMIFS('قيود اليومية'!$G$11:$G$1010,'قيود اليومية'!$A$11:$A$1010,A794)-SUMIFS('قيود اليومية'!$H$11:$H$1010,'قيود اليومية'!$A$11:$A$1010,A794),2)&lt;&gt;0,"✖ غير متوازن","مرحل ✔")))</f>
        <v/>
      </c>
      <c r="J794" s="55" t="str">
        <f aca="false">IF(C794="","",IFERROR(INDEX('شجرة الحسابات'!$E$9:$E$208,MATCH(C794,'شجرة الحسابات'!$A$9:$A$208,0))&amp;"",""))</f>
        <v/>
      </c>
      <c r="K794" s="55" t="str">
        <f aca="false">IF(C794="","",IFERROR(INDEX('شجرة الحسابات'!$I$9:$I$208,MATCH(C794,'شجرة الحسابات'!$A$9:$A$208,0))&amp;"",""))</f>
        <v/>
      </c>
      <c r="L794" s="55" t="str">
        <f aca="false">IF(C794="","",IFERROR(INDEX('شجرة الحسابات'!$C$9:$C$208,MATCH(C794,'شجرة الحسابات'!$A$9:$A$208,0))&amp;"",""))</f>
        <v/>
      </c>
      <c r="M794" s="55" t="str">
        <f aca="false">IF(AND(C794="",G794="",H794=""),"فارغ",IF(ISNA(MATCH(C794,'شجرة الحسابات'!$A$9:$A$208,0)),"حساب غير معرف",IF(L794&lt;&gt;"تحليلي","حساب تجميعي",IF(AND(N(G794)&gt;0,N(H794)&gt;0),"مدين ودائن معاً",IF(N(G794)+N(H794)=0,"بدون قيمة","OK")))))</f>
        <v>فارغ</v>
      </c>
      <c r="N794" s="55" t="str">
        <f aca="false">IF(AND(E794&lt;&gt;"",E794='كشف حساب مشروع'!$C$6,I794="مرحل ✔"),COUNTIFS($E$11:E794,'كشف حساب مشروع'!$C$6,$I$11:I794,"مرحل ✔"),"")</f>
        <v/>
      </c>
      <c r="O794" s="55" t="str">
        <f aca="false">IF(AND(C794&lt;&gt;"",C794='دفتر الأستاذ'!$C$6,I794="مرحل ✔"),COUNTIFS($C$11:C794,'دفتر الأستاذ'!$C$6,$I$11:I794,"مرحل ✔"),"")</f>
        <v/>
      </c>
    </row>
    <row r="795" customFormat="false" ht="15" hidden="false" customHeight="false" outlineLevel="0" collapsed="false">
      <c r="A795" s="49"/>
      <c r="B795" s="50"/>
      <c r="C795" s="49"/>
      <c r="D795" s="51" t="str">
        <f aca="false">IF(C795="","",IFERROR(INDEX('شجرة الحسابات'!$B$9:$B$208,MATCH(C795,'شجرة الحسابات'!$A$9:$A$208,0)),"⚠ حساب غير معرف"))</f>
        <v/>
      </c>
      <c r="E795" s="52"/>
      <c r="F795" s="52"/>
      <c r="G795" s="53"/>
      <c r="H795" s="53"/>
      <c r="I795" s="54" t="str">
        <f aca="false">IF(A795="",IF(M795="فارغ","","✖ بدون رقم قيد"),IF(COUNTIFS('قيود اليومية'!$A$11:$A$1010,A795,'قيود اليومية'!$M$11:$M$1010,"&lt;&gt;OK",'قيود اليومية'!$M$11:$M$1010,"&lt;&gt;فارغ")&gt;0,"✖ خطأ بالحساب",IF(ROUND(SUMIFS('قيود اليومية'!$G$11:$G$1010,'قيود اليومية'!$A$11:$A$1010,A795)-SUMIFS('قيود اليومية'!$H$11:$H$1010,'قيود اليومية'!$A$11:$A$1010,A795),2)&lt;&gt;0,"✖ غير متوازن","مرحل ✔")))</f>
        <v/>
      </c>
      <c r="J795" s="55" t="str">
        <f aca="false">IF(C795="","",IFERROR(INDEX('شجرة الحسابات'!$E$9:$E$208,MATCH(C795,'شجرة الحسابات'!$A$9:$A$208,0))&amp;"",""))</f>
        <v/>
      </c>
      <c r="K795" s="55" t="str">
        <f aca="false">IF(C795="","",IFERROR(INDEX('شجرة الحسابات'!$I$9:$I$208,MATCH(C795,'شجرة الحسابات'!$A$9:$A$208,0))&amp;"",""))</f>
        <v/>
      </c>
      <c r="L795" s="55" t="str">
        <f aca="false">IF(C795="","",IFERROR(INDEX('شجرة الحسابات'!$C$9:$C$208,MATCH(C795,'شجرة الحسابات'!$A$9:$A$208,0))&amp;"",""))</f>
        <v/>
      </c>
      <c r="M795" s="55" t="str">
        <f aca="false">IF(AND(C795="",G795="",H795=""),"فارغ",IF(ISNA(MATCH(C795,'شجرة الحسابات'!$A$9:$A$208,0)),"حساب غير معرف",IF(L795&lt;&gt;"تحليلي","حساب تجميعي",IF(AND(N(G795)&gt;0,N(H795)&gt;0),"مدين ودائن معاً",IF(N(G795)+N(H795)=0,"بدون قيمة","OK")))))</f>
        <v>فارغ</v>
      </c>
      <c r="N795" s="55" t="str">
        <f aca="false">IF(AND(E795&lt;&gt;"",E795='كشف حساب مشروع'!$C$6,I795="مرحل ✔"),COUNTIFS($E$11:E795,'كشف حساب مشروع'!$C$6,$I$11:I795,"مرحل ✔"),"")</f>
        <v/>
      </c>
      <c r="O795" s="55" t="str">
        <f aca="false">IF(AND(C795&lt;&gt;"",C795='دفتر الأستاذ'!$C$6,I795="مرحل ✔"),COUNTIFS($C$11:C795,'دفتر الأستاذ'!$C$6,$I$11:I795,"مرحل ✔"),"")</f>
        <v/>
      </c>
    </row>
    <row r="796" customFormat="false" ht="15" hidden="false" customHeight="false" outlineLevel="0" collapsed="false">
      <c r="A796" s="49"/>
      <c r="B796" s="50"/>
      <c r="C796" s="49"/>
      <c r="D796" s="51" t="str">
        <f aca="false">IF(C796="","",IFERROR(INDEX('شجرة الحسابات'!$B$9:$B$208,MATCH(C796,'شجرة الحسابات'!$A$9:$A$208,0)),"⚠ حساب غير معرف"))</f>
        <v/>
      </c>
      <c r="E796" s="52"/>
      <c r="F796" s="52"/>
      <c r="G796" s="53"/>
      <c r="H796" s="53"/>
      <c r="I796" s="54" t="str">
        <f aca="false">IF(A796="",IF(M796="فارغ","","✖ بدون رقم قيد"),IF(COUNTIFS('قيود اليومية'!$A$11:$A$1010,A796,'قيود اليومية'!$M$11:$M$1010,"&lt;&gt;OK",'قيود اليومية'!$M$11:$M$1010,"&lt;&gt;فارغ")&gt;0,"✖ خطأ بالحساب",IF(ROUND(SUMIFS('قيود اليومية'!$G$11:$G$1010,'قيود اليومية'!$A$11:$A$1010,A796)-SUMIFS('قيود اليومية'!$H$11:$H$1010,'قيود اليومية'!$A$11:$A$1010,A796),2)&lt;&gt;0,"✖ غير متوازن","مرحل ✔")))</f>
        <v/>
      </c>
      <c r="J796" s="55" t="str">
        <f aca="false">IF(C796="","",IFERROR(INDEX('شجرة الحسابات'!$E$9:$E$208,MATCH(C796,'شجرة الحسابات'!$A$9:$A$208,0))&amp;"",""))</f>
        <v/>
      </c>
      <c r="K796" s="55" t="str">
        <f aca="false">IF(C796="","",IFERROR(INDEX('شجرة الحسابات'!$I$9:$I$208,MATCH(C796,'شجرة الحسابات'!$A$9:$A$208,0))&amp;"",""))</f>
        <v/>
      </c>
      <c r="L796" s="55" t="str">
        <f aca="false">IF(C796="","",IFERROR(INDEX('شجرة الحسابات'!$C$9:$C$208,MATCH(C796,'شجرة الحسابات'!$A$9:$A$208,0))&amp;"",""))</f>
        <v/>
      </c>
      <c r="M796" s="55" t="str">
        <f aca="false">IF(AND(C796="",G796="",H796=""),"فارغ",IF(ISNA(MATCH(C796,'شجرة الحسابات'!$A$9:$A$208,0)),"حساب غير معرف",IF(L796&lt;&gt;"تحليلي","حساب تجميعي",IF(AND(N(G796)&gt;0,N(H796)&gt;0),"مدين ودائن معاً",IF(N(G796)+N(H796)=0,"بدون قيمة","OK")))))</f>
        <v>فارغ</v>
      </c>
      <c r="N796" s="55" t="str">
        <f aca="false">IF(AND(E796&lt;&gt;"",E796='كشف حساب مشروع'!$C$6,I796="مرحل ✔"),COUNTIFS($E$11:E796,'كشف حساب مشروع'!$C$6,$I$11:I796,"مرحل ✔"),"")</f>
        <v/>
      </c>
      <c r="O796" s="55" t="str">
        <f aca="false">IF(AND(C796&lt;&gt;"",C796='دفتر الأستاذ'!$C$6,I796="مرحل ✔"),COUNTIFS($C$11:C796,'دفتر الأستاذ'!$C$6,$I$11:I796,"مرحل ✔"),"")</f>
        <v/>
      </c>
    </row>
    <row r="797" customFormat="false" ht="15" hidden="false" customHeight="false" outlineLevel="0" collapsed="false">
      <c r="A797" s="49"/>
      <c r="B797" s="50"/>
      <c r="C797" s="49"/>
      <c r="D797" s="51" t="str">
        <f aca="false">IF(C797="","",IFERROR(INDEX('شجرة الحسابات'!$B$9:$B$208,MATCH(C797,'شجرة الحسابات'!$A$9:$A$208,0)),"⚠ حساب غير معرف"))</f>
        <v/>
      </c>
      <c r="E797" s="52"/>
      <c r="F797" s="52"/>
      <c r="G797" s="53"/>
      <c r="H797" s="53"/>
      <c r="I797" s="54" t="str">
        <f aca="false">IF(A797="",IF(M797="فارغ","","✖ بدون رقم قيد"),IF(COUNTIFS('قيود اليومية'!$A$11:$A$1010,A797,'قيود اليومية'!$M$11:$M$1010,"&lt;&gt;OK",'قيود اليومية'!$M$11:$M$1010,"&lt;&gt;فارغ")&gt;0,"✖ خطأ بالحساب",IF(ROUND(SUMIFS('قيود اليومية'!$G$11:$G$1010,'قيود اليومية'!$A$11:$A$1010,A797)-SUMIFS('قيود اليومية'!$H$11:$H$1010,'قيود اليومية'!$A$11:$A$1010,A797),2)&lt;&gt;0,"✖ غير متوازن","مرحل ✔")))</f>
        <v/>
      </c>
      <c r="J797" s="55" t="str">
        <f aca="false">IF(C797="","",IFERROR(INDEX('شجرة الحسابات'!$E$9:$E$208,MATCH(C797,'شجرة الحسابات'!$A$9:$A$208,0))&amp;"",""))</f>
        <v/>
      </c>
      <c r="K797" s="55" t="str">
        <f aca="false">IF(C797="","",IFERROR(INDEX('شجرة الحسابات'!$I$9:$I$208,MATCH(C797,'شجرة الحسابات'!$A$9:$A$208,0))&amp;"",""))</f>
        <v/>
      </c>
      <c r="L797" s="55" t="str">
        <f aca="false">IF(C797="","",IFERROR(INDEX('شجرة الحسابات'!$C$9:$C$208,MATCH(C797,'شجرة الحسابات'!$A$9:$A$208,0))&amp;"",""))</f>
        <v/>
      </c>
      <c r="M797" s="55" t="str">
        <f aca="false">IF(AND(C797="",G797="",H797=""),"فارغ",IF(ISNA(MATCH(C797,'شجرة الحسابات'!$A$9:$A$208,0)),"حساب غير معرف",IF(L797&lt;&gt;"تحليلي","حساب تجميعي",IF(AND(N(G797)&gt;0,N(H797)&gt;0),"مدين ودائن معاً",IF(N(G797)+N(H797)=0,"بدون قيمة","OK")))))</f>
        <v>فارغ</v>
      </c>
      <c r="N797" s="55" t="str">
        <f aca="false">IF(AND(E797&lt;&gt;"",E797='كشف حساب مشروع'!$C$6,I797="مرحل ✔"),COUNTIFS($E$11:E797,'كشف حساب مشروع'!$C$6,$I$11:I797,"مرحل ✔"),"")</f>
        <v/>
      </c>
      <c r="O797" s="55" t="str">
        <f aca="false">IF(AND(C797&lt;&gt;"",C797='دفتر الأستاذ'!$C$6,I797="مرحل ✔"),COUNTIFS($C$11:C797,'دفتر الأستاذ'!$C$6,$I$11:I797,"مرحل ✔"),"")</f>
        <v/>
      </c>
    </row>
    <row r="798" customFormat="false" ht="15" hidden="false" customHeight="false" outlineLevel="0" collapsed="false">
      <c r="A798" s="49"/>
      <c r="B798" s="50"/>
      <c r="C798" s="49"/>
      <c r="D798" s="51" t="str">
        <f aca="false">IF(C798="","",IFERROR(INDEX('شجرة الحسابات'!$B$9:$B$208,MATCH(C798,'شجرة الحسابات'!$A$9:$A$208,0)),"⚠ حساب غير معرف"))</f>
        <v/>
      </c>
      <c r="E798" s="52"/>
      <c r="F798" s="52"/>
      <c r="G798" s="53"/>
      <c r="H798" s="53"/>
      <c r="I798" s="54" t="str">
        <f aca="false">IF(A798="",IF(M798="فارغ","","✖ بدون رقم قيد"),IF(COUNTIFS('قيود اليومية'!$A$11:$A$1010,A798,'قيود اليومية'!$M$11:$M$1010,"&lt;&gt;OK",'قيود اليومية'!$M$11:$M$1010,"&lt;&gt;فارغ")&gt;0,"✖ خطأ بالحساب",IF(ROUND(SUMIFS('قيود اليومية'!$G$11:$G$1010,'قيود اليومية'!$A$11:$A$1010,A798)-SUMIFS('قيود اليومية'!$H$11:$H$1010,'قيود اليومية'!$A$11:$A$1010,A798),2)&lt;&gt;0,"✖ غير متوازن","مرحل ✔")))</f>
        <v/>
      </c>
      <c r="J798" s="55" t="str">
        <f aca="false">IF(C798="","",IFERROR(INDEX('شجرة الحسابات'!$E$9:$E$208,MATCH(C798,'شجرة الحسابات'!$A$9:$A$208,0))&amp;"",""))</f>
        <v/>
      </c>
      <c r="K798" s="55" t="str">
        <f aca="false">IF(C798="","",IFERROR(INDEX('شجرة الحسابات'!$I$9:$I$208,MATCH(C798,'شجرة الحسابات'!$A$9:$A$208,0))&amp;"",""))</f>
        <v/>
      </c>
      <c r="L798" s="55" t="str">
        <f aca="false">IF(C798="","",IFERROR(INDEX('شجرة الحسابات'!$C$9:$C$208,MATCH(C798,'شجرة الحسابات'!$A$9:$A$208,0))&amp;"",""))</f>
        <v/>
      </c>
      <c r="M798" s="55" t="str">
        <f aca="false">IF(AND(C798="",G798="",H798=""),"فارغ",IF(ISNA(MATCH(C798,'شجرة الحسابات'!$A$9:$A$208,0)),"حساب غير معرف",IF(L798&lt;&gt;"تحليلي","حساب تجميعي",IF(AND(N(G798)&gt;0,N(H798)&gt;0),"مدين ودائن معاً",IF(N(G798)+N(H798)=0,"بدون قيمة","OK")))))</f>
        <v>فارغ</v>
      </c>
      <c r="N798" s="55" t="str">
        <f aca="false">IF(AND(E798&lt;&gt;"",E798='كشف حساب مشروع'!$C$6,I798="مرحل ✔"),COUNTIFS($E$11:E798,'كشف حساب مشروع'!$C$6,$I$11:I798,"مرحل ✔"),"")</f>
        <v/>
      </c>
      <c r="O798" s="55" t="str">
        <f aca="false">IF(AND(C798&lt;&gt;"",C798='دفتر الأستاذ'!$C$6,I798="مرحل ✔"),COUNTIFS($C$11:C798,'دفتر الأستاذ'!$C$6,$I$11:I798,"مرحل ✔"),"")</f>
        <v/>
      </c>
    </row>
    <row r="799" customFormat="false" ht="15" hidden="false" customHeight="false" outlineLevel="0" collapsed="false">
      <c r="A799" s="49"/>
      <c r="B799" s="50"/>
      <c r="C799" s="49"/>
      <c r="D799" s="51" t="str">
        <f aca="false">IF(C799="","",IFERROR(INDEX('شجرة الحسابات'!$B$9:$B$208,MATCH(C799,'شجرة الحسابات'!$A$9:$A$208,0)),"⚠ حساب غير معرف"))</f>
        <v/>
      </c>
      <c r="E799" s="52"/>
      <c r="F799" s="52"/>
      <c r="G799" s="53"/>
      <c r="H799" s="53"/>
      <c r="I799" s="54" t="str">
        <f aca="false">IF(A799="",IF(M799="فارغ","","✖ بدون رقم قيد"),IF(COUNTIFS('قيود اليومية'!$A$11:$A$1010,A799,'قيود اليومية'!$M$11:$M$1010,"&lt;&gt;OK",'قيود اليومية'!$M$11:$M$1010,"&lt;&gt;فارغ")&gt;0,"✖ خطأ بالحساب",IF(ROUND(SUMIFS('قيود اليومية'!$G$11:$G$1010,'قيود اليومية'!$A$11:$A$1010,A799)-SUMIFS('قيود اليومية'!$H$11:$H$1010,'قيود اليومية'!$A$11:$A$1010,A799),2)&lt;&gt;0,"✖ غير متوازن","مرحل ✔")))</f>
        <v/>
      </c>
      <c r="J799" s="55" t="str">
        <f aca="false">IF(C799="","",IFERROR(INDEX('شجرة الحسابات'!$E$9:$E$208,MATCH(C799,'شجرة الحسابات'!$A$9:$A$208,0))&amp;"",""))</f>
        <v/>
      </c>
      <c r="K799" s="55" t="str">
        <f aca="false">IF(C799="","",IFERROR(INDEX('شجرة الحسابات'!$I$9:$I$208,MATCH(C799,'شجرة الحسابات'!$A$9:$A$208,0))&amp;"",""))</f>
        <v/>
      </c>
      <c r="L799" s="55" t="str">
        <f aca="false">IF(C799="","",IFERROR(INDEX('شجرة الحسابات'!$C$9:$C$208,MATCH(C799,'شجرة الحسابات'!$A$9:$A$208,0))&amp;"",""))</f>
        <v/>
      </c>
      <c r="M799" s="55" t="str">
        <f aca="false">IF(AND(C799="",G799="",H799=""),"فارغ",IF(ISNA(MATCH(C799,'شجرة الحسابات'!$A$9:$A$208,0)),"حساب غير معرف",IF(L799&lt;&gt;"تحليلي","حساب تجميعي",IF(AND(N(G799)&gt;0,N(H799)&gt;0),"مدين ودائن معاً",IF(N(G799)+N(H799)=0,"بدون قيمة","OK")))))</f>
        <v>فارغ</v>
      </c>
      <c r="N799" s="55" t="str">
        <f aca="false">IF(AND(E799&lt;&gt;"",E799='كشف حساب مشروع'!$C$6,I799="مرحل ✔"),COUNTIFS($E$11:E799,'كشف حساب مشروع'!$C$6,$I$11:I799,"مرحل ✔"),"")</f>
        <v/>
      </c>
      <c r="O799" s="55" t="str">
        <f aca="false">IF(AND(C799&lt;&gt;"",C799='دفتر الأستاذ'!$C$6,I799="مرحل ✔"),COUNTIFS($C$11:C799,'دفتر الأستاذ'!$C$6,$I$11:I799,"مرحل ✔"),"")</f>
        <v/>
      </c>
    </row>
    <row r="800" customFormat="false" ht="15" hidden="false" customHeight="false" outlineLevel="0" collapsed="false">
      <c r="A800" s="49"/>
      <c r="B800" s="50"/>
      <c r="C800" s="49"/>
      <c r="D800" s="51" t="str">
        <f aca="false">IF(C800="","",IFERROR(INDEX('شجرة الحسابات'!$B$9:$B$208,MATCH(C800,'شجرة الحسابات'!$A$9:$A$208,0)),"⚠ حساب غير معرف"))</f>
        <v/>
      </c>
      <c r="E800" s="52"/>
      <c r="F800" s="52"/>
      <c r="G800" s="53"/>
      <c r="H800" s="53"/>
      <c r="I800" s="54" t="str">
        <f aca="false">IF(A800="",IF(M800="فارغ","","✖ بدون رقم قيد"),IF(COUNTIFS('قيود اليومية'!$A$11:$A$1010,A800,'قيود اليومية'!$M$11:$M$1010,"&lt;&gt;OK",'قيود اليومية'!$M$11:$M$1010,"&lt;&gt;فارغ")&gt;0,"✖ خطأ بالحساب",IF(ROUND(SUMIFS('قيود اليومية'!$G$11:$G$1010,'قيود اليومية'!$A$11:$A$1010,A800)-SUMIFS('قيود اليومية'!$H$11:$H$1010,'قيود اليومية'!$A$11:$A$1010,A800),2)&lt;&gt;0,"✖ غير متوازن","مرحل ✔")))</f>
        <v/>
      </c>
      <c r="J800" s="55" t="str">
        <f aca="false">IF(C800="","",IFERROR(INDEX('شجرة الحسابات'!$E$9:$E$208,MATCH(C800,'شجرة الحسابات'!$A$9:$A$208,0))&amp;"",""))</f>
        <v/>
      </c>
      <c r="K800" s="55" t="str">
        <f aca="false">IF(C800="","",IFERROR(INDEX('شجرة الحسابات'!$I$9:$I$208,MATCH(C800,'شجرة الحسابات'!$A$9:$A$208,0))&amp;"",""))</f>
        <v/>
      </c>
      <c r="L800" s="55" t="str">
        <f aca="false">IF(C800="","",IFERROR(INDEX('شجرة الحسابات'!$C$9:$C$208,MATCH(C800,'شجرة الحسابات'!$A$9:$A$208,0))&amp;"",""))</f>
        <v/>
      </c>
      <c r="M800" s="55" t="str">
        <f aca="false">IF(AND(C800="",G800="",H800=""),"فارغ",IF(ISNA(MATCH(C800,'شجرة الحسابات'!$A$9:$A$208,0)),"حساب غير معرف",IF(L800&lt;&gt;"تحليلي","حساب تجميعي",IF(AND(N(G800)&gt;0,N(H800)&gt;0),"مدين ودائن معاً",IF(N(G800)+N(H800)=0,"بدون قيمة","OK")))))</f>
        <v>فارغ</v>
      </c>
      <c r="N800" s="55" t="str">
        <f aca="false">IF(AND(E800&lt;&gt;"",E800='كشف حساب مشروع'!$C$6,I800="مرحل ✔"),COUNTIFS($E$11:E800,'كشف حساب مشروع'!$C$6,$I$11:I800,"مرحل ✔"),"")</f>
        <v/>
      </c>
      <c r="O800" s="55" t="str">
        <f aca="false">IF(AND(C800&lt;&gt;"",C800='دفتر الأستاذ'!$C$6,I800="مرحل ✔"),COUNTIFS($C$11:C800,'دفتر الأستاذ'!$C$6,$I$11:I800,"مرحل ✔"),"")</f>
        <v/>
      </c>
    </row>
    <row r="801" customFormat="false" ht="15" hidden="false" customHeight="false" outlineLevel="0" collapsed="false">
      <c r="A801" s="49"/>
      <c r="B801" s="50"/>
      <c r="C801" s="49"/>
      <c r="D801" s="51" t="str">
        <f aca="false">IF(C801="","",IFERROR(INDEX('شجرة الحسابات'!$B$9:$B$208,MATCH(C801,'شجرة الحسابات'!$A$9:$A$208,0)),"⚠ حساب غير معرف"))</f>
        <v/>
      </c>
      <c r="E801" s="52"/>
      <c r="F801" s="52"/>
      <c r="G801" s="53"/>
      <c r="H801" s="53"/>
      <c r="I801" s="54" t="str">
        <f aca="false">IF(A801="",IF(M801="فارغ","","✖ بدون رقم قيد"),IF(COUNTIFS('قيود اليومية'!$A$11:$A$1010,A801,'قيود اليومية'!$M$11:$M$1010,"&lt;&gt;OK",'قيود اليومية'!$M$11:$M$1010,"&lt;&gt;فارغ")&gt;0,"✖ خطأ بالحساب",IF(ROUND(SUMIFS('قيود اليومية'!$G$11:$G$1010,'قيود اليومية'!$A$11:$A$1010,A801)-SUMIFS('قيود اليومية'!$H$11:$H$1010,'قيود اليومية'!$A$11:$A$1010,A801),2)&lt;&gt;0,"✖ غير متوازن","مرحل ✔")))</f>
        <v/>
      </c>
      <c r="J801" s="55" t="str">
        <f aca="false">IF(C801="","",IFERROR(INDEX('شجرة الحسابات'!$E$9:$E$208,MATCH(C801,'شجرة الحسابات'!$A$9:$A$208,0))&amp;"",""))</f>
        <v/>
      </c>
      <c r="K801" s="55" t="str">
        <f aca="false">IF(C801="","",IFERROR(INDEX('شجرة الحسابات'!$I$9:$I$208,MATCH(C801,'شجرة الحسابات'!$A$9:$A$208,0))&amp;"",""))</f>
        <v/>
      </c>
      <c r="L801" s="55" t="str">
        <f aca="false">IF(C801="","",IFERROR(INDEX('شجرة الحسابات'!$C$9:$C$208,MATCH(C801,'شجرة الحسابات'!$A$9:$A$208,0))&amp;"",""))</f>
        <v/>
      </c>
      <c r="M801" s="55" t="str">
        <f aca="false">IF(AND(C801="",G801="",H801=""),"فارغ",IF(ISNA(MATCH(C801,'شجرة الحسابات'!$A$9:$A$208,0)),"حساب غير معرف",IF(L801&lt;&gt;"تحليلي","حساب تجميعي",IF(AND(N(G801)&gt;0,N(H801)&gt;0),"مدين ودائن معاً",IF(N(G801)+N(H801)=0,"بدون قيمة","OK")))))</f>
        <v>فارغ</v>
      </c>
      <c r="N801" s="55" t="str">
        <f aca="false">IF(AND(E801&lt;&gt;"",E801='كشف حساب مشروع'!$C$6,I801="مرحل ✔"),COUNTIFS($E$11:E801,'كشف حساب مشروع'!$C$6,$I$11:I801,"مرحل ✔"),"")</f>
        <v/>
      </c>
      <c r="O801" s="55" t="str">
        <f aca="false">IF(AND(C801&lt;&gt;"",C801='دفتر الأستاذ'!$C$6,I801="مرحل ✔"),COUNTIFS($C$11:C801,'دفتر الأستاذ'!$C$6,$I$11:I801,"مرحل ✔"),"")</f>
        <v/>
      </c>
    </row>
    <row r="802" customFormat="false" ht="15" hidden="false" customHeight="false" outlineLevel="0" collapsed="false">
      <c r="A802" s="49"/>
      <c r="B802" s="50"/>
      <c r="C802" s="49"/>
      <c r="D802" s="51" t="str">
        <f aca="false">IF(C802="","",IFERROR(INDEX('شجرة الحسابات'!$B$9:$B$208,MATCH(C802,'شجرة الحسابات'!$A$9:$A$208,0)),"⚠ حساب غير معرف"))</f>
        <v/>
      </c>
      <c r="E802" s="52"/>
      <c r="F802" s="52"/>
      <c r="G802" s="53"/>
      <c r="H802" s="53"/>
      <c r="I802" s="54" t="str">
        <f aca="false">IF(A802="",IF(M802="فارغ","","✖ بدون رقم قيد"),IF(COUNTIFS('قيود اليومية'!$A$11:$A$1010,A802,'قيود اليومية'!$M$11:$M$1010,"&lt;&gt;OK",'قيود اليومية'!$M$11:$M$1010,"&lt;&gt;فارغ")&gt;0,"✖ خطأ بالحساب",IF(ROUND(SUMIFS('قيود اليومية'!$G$11:$G$1010,'قيود اليومية'!$A$11:$A$1010,A802)-SUMIFS('قيود اليومية'!$H$11:$H$1010,'قيود اليومية'!$A$11:$A$1010,A802),2)&lt;&gt;0,"✖ غير متوازن","مرحل ✔")))</f>
        <v/>
      </c>
      <c r="J802" s="55" t="str">
        <f aca="false">IF(C802="","",IFERROR(INDEX('شجرة الحسابات'!$E$9:$E$208,MATCH(C802,'شجرة الحسابات'!$A$9:$A$208,0))&amp;"",""))</f>
        <v/>
      </c>
      <c r="K802" s="55" t="str">
        <f aca="false">IF(C802="","",IFERROR(INDEX('شجرة الحسابات'!$I$9:$I$208,MATCH(C802,'شجرة الحسابات'!$A$9:$A$208,0))&amp;"",""))</f>
        <v/>
      </c>
      <c r="L802" s="55" t="str">
        <f aca="false">IF(C802="","",IFERROR(INDEX('شجرة الحسابات'!$C$9:$C$208,MATCH(C802,'شجرة الحسابات'!$A$9:$A$208,0))&amp;"",""))</f>
        <v/>
      </c>
      <c r="M802" s="55" t="str">
        <f aca="false">IF(AND(C802="",G802="",H802=""),"فارغ",IF(ISNA(MATCH(C802,'شجرة الحسابات'!$A$9:$A$208,0)),"حساب غير معرف",IF(L802&lt;&gt;"تحليلي","حساب تجميعي",IF(AND(N(G802)&gt;0,N(H802)&gt;0),"مدين ودائن معاً",IF(N(G802)+N(H802)=0,"بدون قيمة","OK")))))</f>
        <v>فارغ</v>
      </c>
      <c r="N802" s="55" t="str">
        <f aca="false">IF(AND(E802&lt;&gt;"",E802='كشف حساب مشروع'!$C$6,I802="مرحل ✔"),COUNTIFS($E$11:E802,'كشف حساب مشروع'!$C$6,$I$11:I802,"مرحل ✔"),"")</f>
        <v/>
      </c>
      <c r="O802" s="55" t="str">
        <f aca="false">IF(AND(C802&lt;&gt;"",C802='دفتر الأستاذ'!$C$6,I802="مرحل ✔"),COUNTIFS($C$11:C802,'دفتر الأستاذ'!$C$6,$I$11:I802,"مرحل ✔"),"")</f>
        <v/>
      </c>
    </row>
    <row r="803" customFormat="false" ht="15" hidden="false" customHeight="false" outlineLevel="0" collapsed="false">
      <c r="A803" s="49"/>
      <c r="B803" s="50"/>
      <c r="C803" s="49"/>
      <c r="D803" s="51" t="str">
        <f aca="false">IF(C803="","",IFERROR(INDEX('شجرة الحسابات'!$B$9:$B$208,MATCH(C803,'شجرة الحسابات'!$A$9:$A$208,0)),"⚠ حساب غير معرف"))</f>
        <v/>
      </c>
      <c r="E803" s="52"/>
      <c r="F803" s="52"/>
      <c r="G803" s="53"/>
      <c r="H803" s="53"/>
      <c r="I803" s="54" t="str">
        <f aca="false">IF(A803="",IF(M803="فارغ","","✖ بدون رقم قيد"),IF(COUNTIFS('قيود اليومية'!$A$11:$A$1010,A803,'قيود اليومية'!$M$11:$M$1010,"&lt;&gt;OK",'قيود اليومية'!$M$11:$M$1010,"&lt;&gt;فارغ")&gt;0,"✖ خطأ بالحساب",IF(ROUND(SUMIFS('قيود اليومية'!$G$11:$G$1010,'قيود اليومية'!$A$11:$A$1010,A803)-SUMIFS('قيود اليومية'!$H$11:$H$1010,'قيود اليومية'!$A$11:$A$1010,A803),2)&lt;&gt;0,"✖ غير متوازن","مرحل ✔")))</f>
        <v/>
      </c>
      <c r="J803" s="55" t="str">
        <f aca="false">IF(C803="","",IFERROR(INDEX('شجرة الحسابات'!$E$9:$E$208,MATCH(C803,'شجرة الحسابات'!$A$9:$A$208,0))&amp;"",""))</f>
        <v/>
      </c>
      <c r="K803" s="55" t="str">
        <f aca="false">IF(C803="","",IFERROR(INDEX('شجرة الحسابات'!$I$9:$I$208,MATCH(C803,'شجرة الحسابات'!$A$9:$A$208,0))&amp;"",""))</f>
        <v/>
      </c>
      <c r="L803" s="55" t="str">
        <f aca="false">IF(C803="","",IFERROR(INDEX('شجرة الحسابات'!$C$9:$C$208,MATCH(C803,'شجرة الحسابات'!$A$9:$A$208,0))&amp;"",""))</f>
        <v/>
      </c>
      <c r="M803" s="55" t="str">
        <f aca="false">IF(AND(C803="",G803="",H803=""),"فارغ",IF(ISNA(MATCH(C803,'شجرة الحسابات'!$A$9:$A$208,0)),"حساب غير معرف",IF(L803&lt;&gt;"تحليلي","حساب تجميعي",IF(AND(N(G803)&gt;0,N(H803)&gt;0),"مدين ودائن معاً",IF(N(G803)+N(H803)=0,"بدون قيمة","OK")))))</f>
        <v>فارغ</v>
      </c>
      <c r="N803" s="55" t="str">
        <f aca="false">IF(AND(E803&lt;&gt;"",E803='كشف حساب مشروع'!$C$6,I803="مرحل ✔"),COUNTIFS($E$11:E803,'كشف حساب مشروع'!$C$6,$I$11:I803,"مرحل ✔"),"")</f>
        <v/>
      </c>
      <c r="O803" s="55" t="str">
        <f aca="false">IF(AND(C803&lt;&gt;"",C803='دفتر الأستاذ'!$C$6,I803="مرحل ✔"),COUNTIFS($C$11:C803,'دفتر الأستاذ'!$C$6,$I$11:I803,"مرحل ✔"),"")</f>
        <v/>
      </c>
    </row>
    <row r="804" customFormat="false" ht="15" hidden="false" customHeight="false" outlineLevel="0" collapsed="false">
      <c r="A804" s="49"/>
      <c r="B804" s="50"/>
      <c r="C804" s="49"/>
      <c r="D804" s="51" t="str">
        <f aca="false">IF(C804="","",IFERROR(INDEX('شجرة الحسابات'!$B$9:$B$208,MATCH(C804,'شجرة الحسابات'!$A$9:$A$208,0)),"⚠ حساب غير معرف"))</f>
        <v/>
      </c>
      <c r="E804" s="52"/>
      <c r="F804" s="52"/>
      <c r="G804" s="53"/>
      <c r="H804" s="53"/>
      <c r="I804" s="54" t="str">
        <f aca="false">IF(A804="",IF(M804="فارغ","","✖ بدون رقم قيد"),IF(COUNTIFS('قيود اليومية'!$A$11:$A$1010,A804,'قيود اليومية'!$M$11:$M$1010,"&lt;&gt;OK",'قيود اليومية'!$M$11:$M$1010,"&lt;&gt;فارغ")&gt;0,"✖ خطأ بالحساب",IF(ROUND(SUMIFS('قيود اليومية'!$G$11:$G$1010,'قيود اليومية'!$A$11:$A$1010,A804)-SUMIFS('قيود اليومية'!$H$11:$H$1010,'قيود اليومية'!$A$11:$A$1010,A804),2)&lt;&gt;0,"✖ غير متوازن","مرحل ✔")))</f>
        <v/>
      </c>
      <c r="J804" s="55" t="str">
        <f aca="false">IF(C804="","",IFERROR(INDEX('شجرة الحسابات'!$E$9:$E$208,MATCH(C804,'شجرة الحسابات'!$A$9:$A$208,0))&amp;"",""))</f>
        <v/>
      </c>
      <c r="K804" s="55" t="str">
        <f aca="false">IF(C804="","",IFERROR(INDEX('شجرة الحسابات'!$I$9:$I$208,MATCH(C804,'شجرة الحسابات'!$A$9:$A$208,0))&amp;"",""))</f>
        <v/>
      </c>
      <c r="L804" s="55" t="str">
        <f aca="false">IF(C804="","",IFERROR(INDEX('شجرة الحسابات'!$C$9:$C$208,MATCH(C804,'شجرة الحسابات'!$A$9:$A$208,0))&amp;"",""))</f>
        <v/>
      </c>
      <c r="M804" s="55" t="str">
        <f aca="false">IF(AND(C804="",G804="",H804=""),"فارغ",IF(ISNA(MATCH(C804,'شجرة الحسابات'!$A$9:$A$208,0)),"حساب غير معرف",IF(L804&lt;&gt;"تحليلي","حساب تجميعي",IF(AND(N(G804)&gt;0,N(H804)&gt;0),"مدين ودائن معاً",IF(N(G804)+N(H804)=0,"بدون قيمة","OK")))))</f>
        <v>فارغ</v>
      </c>
      <c r="N804" s="55" t="str">
        <f aca="false">IF(AND(E804&lt;&gt;"",E804='كشف حساب مشروع'!$C$6,I804="مرحل ✔"),COUNTIFS($E$11:E804,'كشف حساب مشروع'!$C$6,$I$11:I804,"مرحل ✔"),"")</f>
        <v/>
      </c>
      <c r="O804" s="55" t="str">
        <f aca="false">IF(AND(C804&lt;&gt;"",C804='دفتر الأستاذ'!$C$6,I804="مرحل ✔"),COUNTIFS($C$11:C804,'دفتر الأستاذ'!$C$6,$I$11:I804,"مرحل ✔"),"")</f>
        <v/>
      </c>
    </row>
    <row r="805" customFormat="false" ht="15" hidden="false" customHeight="false" outlineLevel="0" collapsed="false">
      <c r="A805" s="49"/>
      <c r="B805" s="50"/>
      <c r="C805" s="49"/>
      <c r="D805" s="51" t="str">
        <f aca="false">IF(C805="","",IFERROR(INDEX('شجرة الحسابات'!$B$9:$B$208,MATCH(C805,'شجرة الحسابات'!$A$9:$A$208,0)),"⚠ حساب غير معرف"))</f>
        <v/>
      </c>
      <c r="E805" s="52"/>
      <c r="F805" s="52"/>
      <c r="G805" s="53"/>
      <c r="H805" s="53"/>
      <c r="I805" s="54" t="str">
        <f aca="false">IF(A805="",IF(M805="فارغ","","✖ بدون رقم قيد"),IF(COUNTIFS('قيود اليومية'!$A$11:$A$1010,A805,'قيود اليومية'!$M$11:$M$1010,"&lt;&gt;OK",'قيود اليومية'!$M$11:$M$1010,"&lt;&gt;فارغ")&gt;0,"✖ خطأ بالحساب",IF(ROUND(SUMIFS('قيود اليومية'!$G$11:$G$1010,'قيود اليومية'!$A$11:$A$1010,A805)-SUMIFS('قيود اليومية'!$H$11:$H$1010,'قيود اليومية'!$A$11:$A$1010,A805),2)&lt;&gt;0,"✖ غير متوازن","مرحل ✔")))</f>
        <v/>
      </c>
      <c r="J805" s="55" t="str">
        <f aca="false">IF(C805="","",IFERROR(INDEX('شجرة الحسابات'!$E$9:$E$208,MATCH(C805,'شجرة الحسابات'!$A$9:$A$208,0))&amp;"",""))</f>
        <v/>
      </c>
      <c r="K805" s="55" t="str">
        <f aca="false">IF(C805="","",IFERROR(INDEX('شجرة الحسابات'!$I$9:$I$208,MATCH(C805,'شجرة الحسابات'!$A$9:$A$208,0))&amp;"",""))</f>
        <v/>
      </c>
      <c r="L805" s="55" t="str">
        <f aca="false">IF(C805="","",IFERROR(INDEX('شجرة الحسابات'!$C$9:$C$208,MATCH(C805,'شجرة الحسابات'!$A$9:$A$208,0))&amp;"",""))</f>
        <v/>
      </c>
      <c r="M805" s="55" t="str">
        <f aca="false">IF(AND(C805="",G805="",H805=""),"فارغ",IF(ISNA(MATCH(C805,'شجرة الحسابات'!$A$9:$A$208,0)),"حساب غير معرف",IF(L805&lt;&gt;"تحليلي","حساب تجميعي",IF(AND(N(G805)&gt;0,N(H805)&gt;0),"مدين ودائن معاً",IF(N(G805)+N(H805)=0,"بدون قيمة","OK")))))</f>
        <v>فارغ</v>
      </c>
      <c r="N805" s="55" t="str">
        <f aca="false">IF(AND(E805&lt;&gt;"",E805='كشف حساب مشروع'!$C$6,I805="مرحل ✔"),COUNTIFS($E$11:E805,'كشف حساب مشروع'!$C$6,$I$11:I805,"مرحل ✔"),"")</f>
        <v/>
      </c>
      <c r="O805" s="55" t="str">
        <f aca="false">IF(AND(C805&lt;&gt;"",C805='دفتر الأستاذ'!$C$6,I805="مرحل ✔"),COUNTIFS($C$11:C805,'دفتر الأستاذ'!$C$6,$I$11:I805,"مرحل ✔"),"")</f>
        <v/>
      </c>
    </row>
    <row r="806" customFormat="false" ht="15" hidden="false" customHeight="false" outlineLevel="0" collapsed="false">
      <c r="A806" s="49"/>
      <c r="B806" s="50"/>
      <c r="C806" s="49"/>
      <c r="D806" s="51" t="str">
        <f aca="false">IF(C806="","",IFERROR(INDEX('شجرة الحسابات'!$B$9:$B$208,MATCH(C806,'شجرة الحسابات'!$A$9:$A$208,0)),"⚠ حساب غير معرف"))</f>
        <v/>
      </c>
      <c r="E806" s="52"/>
      <c r="F806" s="52"/>
      <c r="G806" s="53"/>
      <c r="H806" s="53"/>
      <c r="I806" s="54" t="str">
        <f aca="false">IF(A806="",IF(M806="فارغ","","✖ بدون رقم قيد"),IF(COUNTIFS('قيود اليومية'!$A$11:$A$1010,A806,'قيود اليومية'!$M$11:$M$1010,"&lt;&gt;OK",'قيود اليومية'!$M$11:$M$1010,"&lt;&gt;فارغ")&gt;0,"✖ خطأ بالحساب",IF(ROUND(SUMIFS('قيود اليومية'!$G$11:$G$1010,'قيود اليومية'!$A$11:$A$1010,A806)-SUMIFS('قيود اليومية'!$H$11:$H$1010,'قيود اليومية'!$A$11:$A$1010,A806),2)&lt;&gt;0,"✖ غير متوازن","مرحل ✔")))</f>
        <v/>
      </c>
      <c r="J806" s="55" t="str">
        <f aca="false">IF(C806="","",IFERROR(INDEX('شجرة الحسابات'!$E$9:$E$208,MATCH(C806,'شجرة الحسابات'!$A$9:$A$208,0))&amp;"",""))</f>
        <v/>
      </c>
      <c r="K806" s="55" t="str">
        <f aca="false">IF(C806="","",IFERROR(INDEX('شجرة الحسابات'!$I$9:$I$208,MATCH(C806,'شجرة الحسابات'!$A$9:$A$208,0))&amp;"",""))</f>
        <v/>
      </c>
      <c r="L806" s="55" t="str">
        <f aca="false">IF(C806="","",IFERROR(INDEX('شجرة الحسابات'!$C$9:$C$208,MATCH(C806,'شجرة الحسابات'!$A$9:$A$208,0))&amp;"",""))</f>
        <v/>
      </c>
      <c r="M806" s="55" t="str">
        <f aca="false">IF(AND(C806="",G806="",H806=""),"فارغ",IF(ISNA(MATCH(C806,'شجرة الحسابات'!$A$9:$A$208,0)),"حساب غير معرف",IF(L806&lt;&gt;"تحليلي","حساب تجميعي",IF(AND(N(G806)&gt;0,N(H806)&gt;0),"مدين ودائن معاً",IF(N(G806)+N(H806)=0,"بدون قيمة","OK")))))</f>
        <v>فارغ</v>
      </c>
      <c r="N806" s="55" t="str">
        <f aca="false">IF(AND(E806&lt;&gt;"",E806='كشف حساب مشروع'!$C$6,I806="مرحل ✔"),COUNTIFS($E$11:E806,'كشف حساب مشروع'!$C$6,$I$11:I806,"مرحل ✔"),"")</f>
        <v/>
      </c>
      <c r="O806" s="55" t="str">
        <f aca="false">IF(AND(C806&lt;&gt;"",C806='دفتر الأستاذ'!$C$6,I806="مرحل ✔"),COUNTIFS($C$11:C806,'دفتر الأستاذ'!$C$6,$I$11:I806,"مرحل ✔"),"")</f>
        <v/>
      </c>
    </row>
    <row r="807" customFormat="false" ht="15" hidden="false" customHeight="false" outlineLevel="0" collapsed="false">
      <c r="A807" s="49"/>
      <c r="B807" s="50"/>
      <c r="C807" s="49"/>
      <c r="D807" s="51" t="str">
        <f aca="false">IF(C807="","",IFERROR(INDEX('شجرة الحسابات'!$B$9:$B$208,MATCH(C807,'شجرة الحسابات'!$A$9:$A$208,0)),"⚠ حساب غير معرف"))</f>
        <v/>
      </c>
      <c r="E807" s="52"/>
      <c r="F807" s="52"/>
      <c r="G807" s="53"/>
      <c r="H807" s="53"/>
      <c r="I807" s="54" t="str">
        <f aca="false">IF(A807="",IF(M807="فارغ","","✖ بدون رقم قيد"),IF(COUNTIFS('قيود اليومية'!$A$11:$A$1010,A807,'قيود اليومية'!$M$11:$M$1010,"&lt;&gt;OK",'قيود اليومية'!$M$11:$M$1010,"&lt;&gt;فارغ")&gt;0,"✖ خطأ بالحساب",IF(ROUND(SUMIFS('قيود اليومية'!$G$11:$G$1010,'قيود اليومية'!$A$11:$A$1010,A807)-SUMIFS('قيود اليومية'!$H$11:$H$1010,'قيود اليومية'!$A$11:$A$1010,A807),2)&lt;&gt;0,"✖ غير متوازن","مرحل ✔")))</f>
        <v/>
      </c>
      <c r="J807" s="55" t="str">
        <f aca="false">IF(C807="","",IFERROR(INDEX('شجرة الحسابات'!$E$9:$E$208,MATCH(C807,'شجرة الحسابات'!$A$9:$A$208,0))&amp;"",""))</f>
        <v/>
      </c>
      <c r="K807" s="55" t="str">
        <f aca="false">IF(C807="","",IFERROR(INDEX('شجرة الحسابات'!$I$9:$I$208,MATCH(C807,'شجرة الحسابات'!$A$9:$A$208,0))&amp;"",""))</f>
        <v/>
      </c>
      <c r="L807" s="55" t="str">
        <f aca="false">IF(C807="","",IFERROR(INDEX('شجرة الحسابات'!$C$9:$C$208,MATCH(C807,'شجرة الحسابات'!$A$9:$A$208,0))&amp;"",""))</f>
        <v/>
      </c>
      <c r="M807" s="55" t="str">
        <f aca="false">IF(AND(C807="",G807="",H807=""),"فارغ",IF(ISNA(MATCH(C807,'شجرة الحسابات'!$A$9:$A$208,0)),"حساب غير معرف",IF(L807&lt;&gt;"تحليلي","حساب تجميعي",IF(AND(N(G807)&gt;0,N(H807)&gt;0),"مدين ودائن معاً",IF(N(G807)+N(H807)=0,"بدون قيمة","OK")))))</f>
        <v>فارغ</v>
      </c>
      <c r="N807" s="55" t="str">
        <f aca="false">IF(AND(E807&lt;&gt;"",E807='كشف حساب مشروع'!$C$6,I807="مرحل ✔"),COUNTIFS($E$11:E807,'كشف حساب مشروع'!$C$6,$I$11:I807,"مرحل ✔"),"")</f>
        <v/>
      </c>
      <c r="O807" s="55" t="str">
        <f aca="false">IF(AND(C807&lt;&gt;"",C807='دفتر الأستاذ'!$C$6,I807="مرحل ✔"),COUNTIFS($C$11:C807,'دفتر الأستاذ'!$C$6,$I$11:I807,"مرحل ✔"),"")</f>
        <v/>
      </c>
    </row>
    <row r="808" customFormat="false" ht="15" hidden="false" customHeight="false" outlineLevel="0" collapsed="false">
      <c r="A808" s="49"/>
      <c r="B808" s="50"/>
      <c r="C808" s="49"/>
      <c r="D808" s="51" t="str">
        <f aca="false">IF(C808="","",IFERROR(INDEX('شجرة الحسابات'!$B$9:$B$208,MATCH(C808,'شجرة الحسابات'!$A$9:$A$208,0)),"⚠ حساب غير معرف"))</f>
        <v/>
      </c>
      <c r="E808" s="52"/>
      <c r="F808" s="52"/>
      <c r="G808" s="53"/>
      <c r="H808" s="53"/>
      <c r="I808" s="54" t="str">
        <f aca="false">IF(A808="",IF(M808="فارغ","","✖ بدون رقم قيد"),IF(COUNTIFS('قيود اليومية'!$A$11:$A$1010,A808,'قيود اليومية'!$M$11:$M$1010,"&lt;&gt;OK",'قيود اليومية'!$M$11:$M$1010,"&lt;&gt;فارغ")&gt;0,"✖ خطأ بالحساب",IF(ROUND(SUMIFS('قيود اليومية'!$G$11:$G$1010,'قيود اليومية'!$A$11:$A$1010,A808)-SUMIFS('قيود اليومية'!$H$11:$H$1010,'قيود اليومية'!$A$11:$A$1010,A808),2)&lt;&gt;0,"✖ غير متوازن","مرحل ✔")))</f>
        <v/>
      </c>
      <c r="J808" s="55" t="str">
        <f aca="false">IF(C808="","",IFERROR(INDEX('شجرة الحسابات'!$E$9:$E$208,MATCH(C808,'شجرة الحسابات'!$A$9:$A$208,0))&amp;"",""))</f>
        <v/>
      </c>
      <c r="K808" s="55" t="str">
        <f aca="false">IF(C808="","",IFERROR(INDEX('شجرة الحسابات'!$I$9:$I$208,MATCH(C808,'شجرة الحسابات'!$A$9:$A$208,0))&amp;"",""))</f>
        <v/>
      </c>
      <c r="L808" s="55" t="str">
        <f aca="false">IF(C808="","",IFERROR(INDEX('شجرة الحسابات'!$C$9:$C$208,MATCH(C808,'شجرة الحسابات'!$A$9:$A$208,0))&amp;"",""))</f>
        <v/>
      </c>
      <c r="M808" s="55" t="str">
        <f aca="false">IF(AND(C808="",G808="",H808=""),"فارغ",IF(ISNA(MATCH(C808,'شجرة الحسابات'!$A$9:$A$208,0)),"حساب غير معرف",IF(L808&lt;&gt;"تحليلي","حساب تجميعي",IF(AND(N(G808)&gt;0,N(H808)&gt;0),"مدين ودائن معاً",IF(N(G808)+N(H808)=0,"بدون قيمة","OK")))))</f>
        <v>فارغ</v>
      </c>
      <c r="N808" s="55" t="str">
        <f aca="false">IF(AND(E808&lt;&gt;"",E808='كشف حساب مشروع'!$C$6,I808="مرحل ✔"),COUNTIFS($E$11:E808,'كشف حساب مشروع'!$C$6,$I$11:I808,"مرحل ✔"),"")</f>
        <v/>
      </c>
      <c r="O808" s="55" t="str">
        <f aca="false">IF(AND(C808&lt;&gt;"",C808='دفتر الأستاذ'!$C$6,I808="مرحل ✔"),COUNTIFS($C$11:C808,'دفتر الأستاذ'!$C$6,$I$11:I808,"مرحل ✔"),"")</f>
        <v/>
      </c>
    </row>
    <row r="809" customFormat="false" ht="15" hidden="false" customHeight="false" outlineLevel="0" collapsed="false">
      <c r="A809" s="49"/>
      <c r="B809" s="50"/>
      <c r="C809" s="49"/>
      <c r="D809" s="51" t="str">
        <f aca="false">IF(C809="","",IFERROR(INDEX('شجرة الحسابات'!$B$9:$B$208,MATCH(C809,'شجرة الحسابات'!$A$9:$A$208,0)),"⚠ حساب غير معرف"))</f>
        <v/>
      </c>
      <c r="E809" s="52"/>
      <c r="F809" s="52"/>
      <c r="G809" s="53"/>
      <c r="H809" s="53"/>
      <c r="I809" s="54" t="str">
        <f aca="false">IF(A809="",IF(M809="فارغ","","✖ بدون رقم قيد"),IF(COUNTIFS('قيود اليومية'!$A$11:$A$1010,A809,'قيود اليومية'!$M$11:$M$1010,"&lt;&gt;OK",'قيود اليومية'!$M$11:$M$1010,"&lt;&gt;فارغ")&gt;0,"✖ خطأ بالحساب",IF(ROUND(SUMIFS('قيود اليومية'!$G$11:$G$1010,'قيود اليومية'!$A$11:$A$1010,A809)-SUMIFS('قيود اليومية'!$H$11:$H$1010,'قيود اليومية'!$A$11:$A$1010,A809),2)&lt;&gt;0,"✖ غير متوازن","مرحل ✔")))</f>
        <v/>
      </c>
      <c r="J809" s="55" t="str">
        <f aca="false">IF(C809="","",IFERROR(INDEX('شجرة الحسابات'!$E$9:$E$208,MATCH(C809,'شجرة الحسابات'!$A$9:$A$208,0))&amp;"",""))</f>
        <v/>
      </c>
      <c r="K809" s="55" t="str">
        <f aca="false">IF(C809="","",IFERROR(INDEX('شجرة الحسابات'!$I$9:$I$208,MATCH(C809,'شجرة الحسابات'!$A$9:$A$208,0))&amp;"",""))</f>
        <v/>
      </c>
      <c r="L809" s="55" t="str">
        <f aca="false">IF(C809="","",IFERROR(INDEX('شجرة الحسابات'!$C$9:$C$208,MATCH(C809,'شجرة الحسابات'!$A$9:$A$208,0))&amp;"",""))</f>
        <v/>
      </c>
      <c r="M809" s="55" t="str">
        <f aca="false">IF(AND(C809="",G809="",H809=""),"فارغ",IF(ISNA(MATCH(C809,'شجرة الحسابات'!$A$9:$A$208,0)),"حساب غير معرف",IF(L809&lt;&gt;"تحليلي","حساب تجميعي",IF(AND(N(G809)&gt;0,N(H809)&gt;0),"مدين ودائن معاً",IF(N(G809)+N(H809)=0,"بدون قيمة","OK")))))</f>
        <v>فارغ</v>
      </c>
      <c r="N809" s="55" t="str">
        <f aca="false">IF(AND(E809&lt;&gt;"",E809='كشف حساب مشروع'!$C$6,I809="مرحل ✔"),COUNTIFS($E$11:E809,'كشف حساب مشروع'!$C$6,$I$11:I809,"مرحل ✔"),"")</f>
        <v/>
      </c>
      <c r="O809" s="55" t="str">
        <f aca="false">IF(AND(C809&lt;&gt;"",C809='دفتر الأستاذ'!$C$6,I809="مرحل ✔"),COUNTIFS($C$11:C809,'دفتر الأستاذ'!$C$6,$I$11:I809,"مرحل ✔"),"")</f>
        <v/>
      </c>
    </row>
    <row r="810" customFormat="false" ht="15" hidden="false" customHeight="false" outlineLevel="0" collapsed="false">
      <c r="A810" s="49"/>
      <c r="B810" s="50"/>
      <c r="C810" s="49"/>
      <c r="D810" s="51" t="str">
        <f aca="false">IF(C810="","",IFERROR(INDEX('شجرة الحسابات'!$B$9:$B$208,MATCH(C810,'شجرة الحسابات'!$A$9:$A$208,0)),"⚠ حساب غير معرف"))</f>
        <v/>
      </c>
      <c r="E810" s="52"/>
      <c r="F810" s="52"/>
      <c r="G810" s="53"/>
      <c r="H810" s="53"/>
      <c r="I810" s="54" t="str">
        <f aca="false">IF(A810="",IF(M810="فارغ","","✖ بدون رقم قيد"),IF(COUNTIFS('قيود اليومية'!$A$11:$A$1010,A810,'قيود اليومية'!$M$11:$M$1010,"&lt;&gt;OK",'قيود اليومية'!$M$11:$M$1010,"&lt;&gt;فارغ")&gt;0,"✖ خطأ بالحساب",IF(ROUND(SUMIFS('قيود اليومية'!$G$11:$G$1010,'قيود اليومية'!$A$11:$A$1010,A810)-SUMIFS('قيود اليومية'!$H$11:$H$1010,'قيود اليومية'!$A$11:$A$1010,A810),2)&lt;&gt;0,"✖ غير متوازن","مرحل ✔")))</f>
        <v/>
      </c>
      <c r="J810" s="55" t="str">
        <f aca="false">IF(C810="","",IFERROR(INDEX('شجرة الحسابات'!$E$9:$E$208,MATCH(C810,'شجرة الحسابات'!$A$9:$A$208,0))&amp;"",""))</f>
        <v/>
      </c>
      <c r="K810" s="55" t="str">
        <f aca="false">IF(C810="","",IFERROR(INDEX('شجرة الحسابات'!$I$9:$I$208,MATCH(C810,'شجرة الحسابات'!$A$9:$A$208,0))&amp;"",""))</f>
        <v/>
      </c>
      <c r="L810" s="55" t="str">
        <f aca="false">IF(C810="","",IFERROR(INDEX('شجرة الحسابات'!$C$9:$C$208,MATCH(C810,'شجرة الحسابات'!$A$9:$A$208,0))&amp;"",""))</f>
        <v/>
      </c>
      <c r="M810" s="55" t="str">
        <f aca="false">IF(AND(C810="",G810="",H810=""),"فارغ",IF(ISNA(MATCH(C810,'شجرة الحسابات'!$A$9:$A$208,0)),"حساب غير معرف",IF(L810&lt;&gt;"تحليلي","حساب تجميعي",IF(AND(N(G810)&gt;0,N(H810)&gt;0),"مدين ودائن معاً",IF(N(G810)+N(H810)=0,"بدون قيمة","OK")))))</f>
        <v>فارغ</v>
      </c>
      <c r="N810" s="55" t="str">
        <f aca="false">IF(AND(E810&lt;&gt;"",E810='كشف حساب مشروع'!$C$6,I810="مرحل ✔"),COUNTIFS($E$11:E810,'كشف حساب مشروع'!$C$6,$I$11:I810,"مرحل ✔"),"")</f>
        <v/>
      </c>
      <c r="O810" s="55" t="str">
        <f aca="false">IF(AND(C810&lt;&gt;"",C810='دفتر الأستاذ'!$C$6,I810="مرحل ✔"),COUNTIFS($C$11:C810,'دفتر الأستاذ'!$C$6,$I$11:I810,"مرحل ✔"),"")</f>
        <v/>
      </c>
    </row>
    <row r="811" customFormat="false" ht="15" hidden="false" customHeight="false" outlineLevel="0" collapsed="false">
      <c r="A811" s="49"/>
      <c r="B811" s="50"/>
      <c r="C811" s="49"/>
      <c r="D811" s="51" t="str">
        <f aca="false">IF(C811="","",IFERROR(INDEX('شجرة الحسابات'!$B$9:$B$208,MATCH(C811,'شجرة الحسابات'!$A$9:$A$208,0)),"⚠ حساب غير معرف"))</f>
        <v/>
      </c>
      <c r="E811" s="52"/>
      <c r="F811" s="52"/>
      <c r="G811" s="53"/>
      <c r="H811" s="53"/>
      <c r="I811" s="54" t="str">
        <f aca="false">IF(A811="",IF(M811="فارغ","","✖ بدون رقم قيد"),IF(COUNTIFS('قيود اليومية'!$A$11:$A$1010,A811,'قيود اليومية'!$M$11:$M$1010,"&lt;&gt;OK",'قيود اليومية'!$M$11:$M$1010,"&lt;&gt;فارغ")&gt;0,"✖ خطأ بالحساب",IF(ROUND(SUMIFS('قيود اليومية'!$G$11:$G$1010,'قيود اليومية'!$A$11:$A$1010,A811)-SUMIFS('قيود اليومية'!$H$11:$H$1010,'قيود اليومية'!$A$11:$A$1010,A811),2)&lt;&gt;0,"✖ غير متوازن","مرحل ✔")))</f>
        <v/>
      </c>
      <c r="J811" s="55" t="str">
        <f aca="false">IF(C811="","",IFERROR(INDEX('شجرة الحسابات'!$E$9:$E$208,MATCH(C811,'شجرة الحسابات'!$A$9:$A$208,0))&amp;"",""))</f>
        <v/>
      </c>
      <c r="K811" s="55" t="str">
        <f aca="false">IF(C811="","",IFERROR(INDEX('شجرة الحسابات'!$I$9:$I$208,MATCH(C811,'شجرة الحسابات'!$A$9:$A$208,0))&amp;"",""))</f>
        <v/>
      </c>
      <c r="L811" s="55" t="str">
        <f aca="false">IF(C811="","",IFERROR(INDEX('شجرة الحسابات'!$C$9:$C$208,MATCH(C811,'شجرة الحسابات'!$A$9:$A$208,0))&amp;"",""))</f>
        <v/>
      </c>
      <c r="M811" s="55" t="str">
        <f aca="false">IF(AND(C811="",G811="",H811=""),"فارغ",IF(ISNA(MATCH(C811,'شجرة الحسابات'!$A$9:$A$208,0)),"حساب غير معرف",IF(L811&lt;&gt;"تحليلي","حساب تجميعي",IF(AND(N(G811)&gt;0,N(H811)&gt;0),"مدين ودائن معاً",IF(N(G811)+N(H811)=0,"بدون قيمة","OK")))))</f>
        <v>فارغ</v>
      </c>
      <c r="N811" s="55" t="str">
        <f aca="false">IF(AND(E811&lt;&gt;"",E811='كشف حساب مشروع'!$C$6,I811="مرحل ✔"),COUNTIFS($E$11:E811,'كشف حساب مشروع'!$C$6,$I$11:I811,"مرحل ✔"),"")</f>
        <v/>
      </c>
      <c r="O811" s="55" t="str">
        <f aca="false">IF(AND(C811&lt;&gt;"",C811='دفتر الأستاذ'!$C$6,I811="مرحل ✔"),COUNTIFS($C$11:C811,'دفتر الأستاذ'!$C$6,$I$11:I811,"مرحل ✔"),"")</f>
        <v/>
      </c>
    </row>
    <row r="812" customFormat="false" ht="15" hidden="false" customHeight="false" outlineLevel="0" collapsed="false">
      <c r="A812" s="49"/>
      <c r="B812" s="50"/>
      <c r="C812" s="49"/>
      <c r="D812" s="51" t="str">
        <f aca="false">IF(C812="","",IFERROR(INDEX('شجرة الحسابات'!$B$9:$B$208,MATCH(C812,'شجرة الحسابات'!$A$9:$A$208,0)),"⚠ حساب غير معرف"))</f>
        <v/>
      </c>
      <c r="E812" s="52"/>
      <c r="F812" s="52"/>
      <c r="G812" s="53"/>
      <c r="H812" s="53"/>
      <c r="I812" s="54" t="str">
        <f aca="false">IF(A812="",IF(M812="فارغ","","✖ بدون رقم قيد"),IF(COUNTIFS('قيود اليومية'!$A$11:$A$1010,A812,'قيود اليومية'!$M$11:$M$1010,"&lt;&gt;OK",'قيود اليومية'!$M$11:$M$1010,"&lt;&gt;فارغ")&gt;0,"✖ خطأ بالحساب",IF(ROUND(SUMIFS('قيود اليومية'!$G$11:$G$1010,'قيود اليومية'!$A$11:$A$1010,A812)-SUMIFS('قيود اليومية'!$H$11:$H$1010,'قيود اليومية'!$A$11:$A$1010,A812),2)&lt;&gt;0,"✖ غير متوازن","مرحل ✔")))</f>
        <v/>
      </c>
      <c r="J812" s="55" t="str">
        <f aca="false">IF(C812="","",IFERROR(INDEX('شجرة الحسابات'!$E$9:$E$208,MATCH(C812,'شجرة الحسابات'!$A$9:$A$208,0))&amp;"",""))</f>
        <v/>
      </c>
      <c r="K812" s="55" t="str">
        <f aca="false">IF(C812="","",IFERROR(INDEX('شجرة الحسابات'!$I$9:$I$208,MATCH(C812,'شجرة الحسابات'!$A$9:$A$208,0))&amp;"",""))</f>
        <v/>
      </c>
      <c r="L812" s="55" t="str">
        <f aca="false">IF(C812="","",IFERROR(INDEX('شجرة الحسابات'!$C$9:$C$208,MATCH(C812,'شجرة الحسابات'!$A$9:$A$208,0))&amp;"",""))</f>
        <v/>
      </c>
      <c r="M812" s="55" t="str">
        <f aca="false">IF(AND(C812="",G812="",H812=""),"فارغ",IF(ISNA(MATCH(C812,'شجرة الحسابات'!$A$9:$A$208,0)),"حساب غير معرف",IF(L812&lt;&gt;"تحليلي","حساب تجميعي",IF(AND(N(G812)&gt;0,N(H812)&gt;0),"مدين ودائن معاً",IF(N(G812)+N(H812)=0,"بدون قيمة","OK")))))</f>
        <v>فارغ</v>
      </c>
      <c r="N812" s="55" t="str">
        <f aca="false">IF(AND(E812&lt;&gt;"",E812='كشف حساب مشروع'!$C$6,I812="مرحل ✔"),COUNTIFS($E$11:E812,'كشف حساب مشروع'!$C$6,$I$11:I812,"مرحل ✔"),"")</f>
        <v/>
      </c>
      <c r="O812" s="55" t="str">
        <f aca="false">IF(AND(C812&lt;&gt;"",C812='دفتر الأستاذ'!$C$6,I812="مرحل ✔"),COUNTIFS($C$11:C812,'دفتر الأستاذ'!$C$6,$I$11:I812,"مرحل ✔"),"")</f>
        <v/>
      </c>
    </row>
    <row r="813" customFormat="false" ht="15" hidden="false" customHeight="false" outlineLevel="0" collapsed="false">
      <c r="A813" s="49"/>
      <c r="B813" s="50"/>
      <c r="C813" s="49"/>
      <c r="D813" s="51" t="str">
        <f aca="false">IF(C813="","",IFERROR(INDEX('شجرة الحسابات'!$B$9:$B$208,MATCH(C813,'شجرة الحسابات'!$A$9:$A$208,0)),"⚠ حساب غير معرف"))</f>
        <v/>
      </c>
      <c r="E813" s="52"/>
      <c r="F813" s="52"/>
      <c r="G813" s="53"/>
      <c r="H813" s="53"/>
      <c r="I813" s="54" t="str">
        <f aca="false">IF(A813="",IF(M813="فارغ","","✖ بدون رقم قيد"),IF(COUNTIFS('قيود اليومية'!$A$11:$A$1010,A813,'قيود اليومية'!$M$11:$M$1010,"&lt;&gt;OK",'قيود اليومية'!$M$11:$M$1010,"&lt;&gt;فارغ")&gt;0,"✖ خطأ بالحساب",IF(ROUND(SUMIFS('قيود اليومية'!$G$11:$G$1010,'قيود اليومية'!$A$11:$A$1010,A813)-SUMIFS('قيود اليومية'!$H$11:$H$1010,'قيود اليومية'!$A$11:$A$1010,A813),2)&lt;&gt;0,"✖ غير متوازن","مرحل ✔")))</f>
        <v/>
      </c>
      <c r="J813" s="55" t="str">
        <f aca="false">IF(C813="","",IFERROR(INDEX('شجرة الحسابات'!$E$9:$E$208,MATCH(C813,'شجرة الحسابات'!$A$9:$A$208,0))&amp;"",""))</f>
        <v/>
      </c>
      <c r="K813" s="55" t="str">
        <f aca="false">IF(C813="","",IFERROR(INDEX('شجرة الحسابات'!$I$9:$I$208,MATCH(C813,'شجرة الحسابات'!$A$9:$A$208,0))&amp;"",""))</f>
        <v/>
      </c>
      <c r="L813" s="55" t="str">
        <f aca="false">IF(C813="","",IFERROR(INDEX('شجرة الحسابات'!$C$9:$C$208,MATCH(C813,'شجرة الحسابات'!$A$9:$A$208,0))&amp;"",""))</f>
        <v/>
      </c>
      <c r="M813" s="55" t="str">
        <f aca="false">IF(AND(C813="",G813="",H813=""),"فارغ",IF(ISNA(MATCH(C813,'شجرة الحسابات'!$A$9:$A$208,0)),"حساب غير معرف",IF(L813&lt;&gt;"تحليلي","حساب تجميعي",IF(AND(N(G813)&gt;0,N(H813)&gt;0),"مدين ودائن معاً",IF(N(G813)+N(H813)=0,"بدون قيمة","OK")))))</f>
        <v>فارغ</v>
      </c>
      <c r="N813" s="55" t="str">
        <f aca="false">IF(AND(E813&lt;&gt;"",E813='كشف حساب مشروع'!$C$6,I813="مرحل ✔"),COUNTIFS($E$11:E813,'كشف حساب مشروع'!$C$6,$I$11:I813,"مرحل ✔"),"")</f>
        <v/>
      </c>
      <c r="O813" s="55" t="str">
        <f aca="false">IF(AND(C813&lt;&gt;"",C813='دفتر الأستاذ'!$C$6,I813="مرحل ✔"),COUNTIFS($C$11:C813,'دفتر الأستاذ'!$C$6,$I$11:I813,"مرحل ✔"),"")</f>
        <v/>
      </c>
    </row>
    <row r="814" customFormat="false" ht="15" hidden="false" customHeight="false" outlineLevel="0" collapsed="false">
      <c r="A814" s="49"/>
      <c r="B814" s="50"/>
      <c r="C814" s="49"/>
      <c r="D814" s="51" t="str">
        <f aca="false">IF(C814="","",IFERROR(INDEX('شجرة الحسابات'!$B$9:$B$208,MATCH(C814,'شجرة الحسابات'!$A$9:$A$208,0)),"⚠ حساب غير معرف"))</f>
        <v/>
      </c>
      <c r="E814" s="52"/>
      <c r="F814" s="52"/>
      <c r="G814" s="53"/>
      <c r="H814" s="53"/>
      <c r="I814" s="54" t="str">
        <f aca="false">IF(A814="",IF(M814="فارغ","","✖ بدون رقم قيد"),IF(COUNTIFS('قيود اليومية'!$A$11:$A$1010,A814,'قيود اليومية'!$M$11:$M$1010,"&lt;&gt;OK",'قيود اليومية'!$M$11:$M$1010,"&lt;&gt;فارغ")&gt;0,"✖ خطأ بالحساب",IF(ROUND(SUMIFS('قيود اليومية'!$G$11:$G$1010,'قيود اليومية'!$A$11:$A$1010,A814)-SUMIFS('قيود اليومية'!$H$11:$H$1010,'قيود اليومية'!$A$11:$A$1010,A814),2)&lt;&gt;0,"✖ غير متوازن","مرحل ✔")))</f>
        <v/>
      </c>
      <c r="J814" s="55" t="str">
        <f aca="false">IF(C814="","",IFERROR(INDEX('شجرة الحسابات'!$E$9:$E$208,MATCH(C814,'شجرة الحسابات'!$A$9:$A$208,0))&amp;"",""))</f>
        <v/>
      </c>
      <c r="K814" s="55" t="str">
        <f aca="false">IF(C814="","",IFERROR(INDEX('شجرة الحسابات'!$I$9:$I$208,MATCH(C814,'شجرة الحسابات'!$A$9:$A$208,0))&amp;"",""))</f>
        <v/>
      </c>
      <c r="L814" s="55" t="str">
        <f aca="false">IF(C814="","",IFERROR(INDEX('شجرة الحسابات'!$C$9:$C$208,MATCH(C814,'شجرة الحسابات'!$A$9:$A$208,0))&amp;"",""))</f>
        <v/>
      </c>
      <c r="M814" s="55" t="str">
        <f aca="false">IF(AND(C814="",G814="",H814=""),"فارغ",IF(ISNA(MATCH(C814,'شجرة الحسابات'!$A$9:$A$208,0)),"حساب غير معرف",IF(L814&lt;&gt;"تحليلي","حساب تجميعي",IF(AND(N(G814)&gt;0,N(H814)&gt;0),"مدين ودائن معاً",IF(N(G814)+N(H814)=0,"بدون قيمة","OK")))))</f>
        <v>فارغ</v>
      </c>
      <c r="N814" s="55" t="str">
        <f aca="false">IF(AND(E814&lt;&gt;"",E814='كشف حساب مشروع'!$C$6,I814="مرحل ✔"),COUNTIFS($E$11:E814,'كشف حساب مشروع'!$C$6,$I$11:I814,"مرحل ✔"),"")</f>
        <v/>
      </c>
      <c r="O814" s="55" t="str">
        <f aca="false">IF(AND(C814&lt;&gt;"",C814='دفتر الأستاذ'!$C$6,I814="مرحل ✔"),COUNTIFS($C$11:C814,'دفتر الأستاذ'!$C$6,$I$11:I814,"مرحل ✔"),"")</f>
        <v/>
      </c>
    </row>
    <row r="815" customFormat="false" ht="15" hidden="false" customHeight="false" outlineLevel="0" collapsed="false">
      <c r="A815" s="49"/>
      <c r="B815" s="50"/>
      <c r="C815" s="49"/>
      <c r="D815" s="51" t="str">
        <f aca="false">IF(C815="","",IFERROR(INDEX('شجرة الحسابات'!$B$9:$B$208,MATCH(C815,'شجرة الحسابات'!$A$9:$A$208,0)),"⚠ حساب غير معرف"))</f>
        <v/>
      </c>
      <c r="E815" s="52"/>
      <c r="F815" s="52"/>
      <c r="G815" s="53"/>
      <c r="H815" s="53"/>
      <c r="I815" s="54" t="str">
        <f aca="false">IF(A815="",IF(M815="فارغ","","✖ بدون رقم قيد"),IF(COUNTIFS('قيود اليومية'!$A$11:$A$1010,A815,'قيود اليومية'!$M$11:$M$1010,"&lt;&gt;OK",'قيود اليومية'!$M$11:$M$1010,"&lt;&gt;فارغ")&gt;0,"✖ خطأ بالحساب",IF(ROUND(SUMIFS('قيود اليومية'!$G$11:$G$1010,'قيود اليومية'!$A$11:$A$1010,A815)-SUMIFS('قيود اليومية'!$H$11:$H$1010,'قيود اليومية'!$A$11:$A$1010,A815),2)&lt;&gt;0,"✖ غير متوازن","مرحل ✔")))</f>
        <v/>
      </c>
      <c r="J815" s="55" t="str">
        <f aca="false">IF(C815="","",IFERROR(INDEX('شجرة الحسابات'!$E$9:$E$208,MATCH(C815,'شجرة الحسابات'!$A$9:$A$208,0))&amp;"",""))</f>
        <v/>
      </c>
      <c r="K815" s="55" t="str">
        <f aca="false">IF(C815="","",IFERROR(INDEX('شجرة الحسابات'!$I$9:$I$208,MATCH(C815,'شجرة الحسابات'!$A$9:$A$208,0))&amp;"",""))</f>
        <v/>
      </c>
      <c r="L815" s="55" t="str">
        <f aca="false">IF(C815="","",IFERROR(INDEX('شجرة الحسابات'!$C$9:$C$208,MATCH(C815,'شجرة الحسابات'!$A$9:$A$208,0))&amp;"",""))</f>
        <v/>
      </c>
      <c r="M815" s="55" t="str">
        <f aca="false">IF(AND(C815="",G815="",H815=""),"فارغ",IF(ISNA(MATCH(C815,'شجرة الحسابات'!$A$9:$A$208,0)),"حساب غير معرف",IF(L815&lt;&gt;"تحليلي","حساب تجميعي",IF(AND(N(G815)&gt;0,N(H815)&gt;0),"مدين ودائن معاً",IF(N(G815)+N(H815)=0,"بدون قيمة","OK")))))</f>
        <v>فارغ</v>
      </c>
      <c r="N815" s="55" t="str">
        <f aca="false">IF(AND(E815&lt;&gt;"",E815='كشف حساب مشروع'!$C$6,I815="مرحل ✔"),COUNTIFS($E$11:E815,'كشف حساب مشروع'!$C$6,$I$11:I815,"مرحل ✔"),"")</f>
        <v/>
      </c>
      <c r="O815" s="55" t="str">
        <f aca="false">IF(AND(C815&lt;&gt;"",C815='دفتر الأستاذ'!$C$6,I815="مرحل ✔"),COUNTIFS($C$11:C815,'دفتر الأستاذ'!$C$6,$I$11:I815,"مرحل ✔"),"")</f>
        <v/>
      </c>
    </row>
    <row r="816" customFormat="false" ht="15" hidden="false" customHeight="false" outlineLevel="0" collapsed="false">
      <c r="A816" s="49"/>
      <c r="B816" s="50"/>
      <c r="C816" s="49"/>
      <c r="D816" s="51" t="str">
        <f aca="false">IF(C816="","",IFERROR(INDEX('شجرة الحسابات'!$B$9:$B$208,MATCH(C816,'شجرة الحسابات'!$A$9:$A$208,0)),"⚠ حساب غير معرف"))</f>
        <v/>
      </c>
      <c r="E816" s="52"/>
      <c r="F816" s="52"/>
      <c r="G816" s="53"/>
      <c r="H816" s="53"/>
      <c r="I816" s="54" t="str">
        <f aca="false">IF(A816="",IF(M816="فارغ","","✖ بدون رقم قيد"),IF(COUNTIFS('قيود اليومية'!$A$11:$A$1010,A816,'قيود اليومية'!$M$11:$M$1010,"&lt;&gt;OK",'قيود اليومية'!$M$11:$M$1010,"&lt;&gt;فارغ")&gt;0,"✖ خطأ بالحساب",IF(ROUND(SUMIFS('قيود اليومية'!$G$11:$G$1010,'قيود اليومية'!$A$11:$A$1010,A816)-SUMIFS('قيود اليومية'!$H$11:$H$1010,'قيود اليومية'!$A$11:$A$1010,A816),2)&lt;&gt;0,"✖ غير متوازن","مرحل ✔")))</f>
        <v/>
      </c>
      <c r="J816" s="55" t="str">
        <f aca="false">IF(C816="","",IFERROR(INDEX('شجرة الحسابات'!$E$9:$E$208,MATCH(C816,'شجرة الحسابات'!$A$9:$A$208,0))&amp;"",""))</f>
        <v/>
      </c>
      <c r="K816" s="55" t="str">
        <f aca="false">IF(C816="","",IFERROR(INDEX('شجرة الحسابات'!$I$9:$I$208,MATCH(C816,'شجرة الحسابات'!$A$9:$A$208,0))&amp;"",""))</f>
        <v/>
      </c>
      <c r="L816" s="55" t="str">
        <f aca="false">IF(C816="","",IFERROR(INDEX('شجرة الحسابات'!$C$9:$C$208,MATCH(C816,'شجرة الحسابات'!$A$9:$A$208,0))&amp;"",""))</f>
        <v/>
      </c>
      <c r="M816" s="55" t="str">
        <f aca="false">IF(AND(C816="",G816="",H816=""),"فارغ",IF(ISNA(MATCH(C816,'شجرة الحسابات'!$A$9:$A$208,0)),"حساب غير معرف",IF(L816&lt;&gt;"تحليلي","حساب تجميعي",IF(AND(N(G816)&gt;0,N(H816)&gt;0),"مدين ودائن معاً",IF(N(G816)+N(H816)=0,"بدون قيمة","OK")))))</f>
        <v>فارغ</v>
      </c>
      <c r="N816" s="55" t="str">
        <f aca="false">IF(AND(E816&lt;&gt;"",E816='كشف حساب مشروع'!$C$6,I816="مرحل ✔"),COUNTIFS($E$11:E816,'كشف حساب مشروع'!$C$6,$I$11:I816,"مرحل ✔"),"")</f>
        <v/>
      </c>
      <c r="O816" s="55" t="str">
        <f aca="false">IF(AND(C816&lt;&gt;"",C816='دفتر الأستاذ'!$C$6,I816="مرحل ✔"),COUNTIFS($C$11:C816,'دفتر الأستاذ'!$C$6,$I$11:I816,"مرحل ✔"),"")</f>
        <v/>
      </c>
    </row>
    <row r="817" customFormat="false" ht="15" hidden="false" customHeight="false" outlineLevel="0" collapsed="false">
      <c r="A817" s="49"/>
      <c r="B817" s="50"/>
      <c r="C817" s="49"/>
      <c r="D817" s="51" t="str">
        <f aca="false">IF(C817="","",IFERROR(INDEX('شجرة الحسابات'!$B$9:$B$208,MATCH(C817,'شجرة الحسابات'!$A$9:$A$208,0)),"⚠ حساب غير معرف"))</f>
        <v/>
      </c>
      <c r="E817" s="52"/>
      <c r="F817" s="52"/>
      <c r="G817" s="53"/>
      <c r="H817" s="53"/>
      <c r="I817" s="54" t="str">
        <f aca="false">IF(A817="",IF(M817="فارغ","","✖ بدون رقم قيد"),IF(COUNTIFS('قيود اليومية'!$A$11:$A$1010,A817,'قيود اليومية'!$M$11:$M$1010,"&lt;&gt;OK",'قيود اليومية'!$M$11:$M$1010,"&lt;&gt;فارغ")&gt;0,"✖ خطأ بالحساب",IF(ROUND(SUMIFS('قيود اليومية'!$G$11:$G$1010,'قيود اليومية'!$A$11:$A$1010,A817)-SUMIFS('قيود اليومية'!$H$11:$H$1010,'قيود اليومية'!$A$11:$A$1010,A817),2)&lt;&gt;0,"✖ غير متوازن","مرحل ✔")))</f>
        <v/>
      </c>
      <c r="J817" s="55" t="str">
        <f aca="false">IF(C817="","",IFERROR(INDEX('شجرة الحسابات'!$E$9:$E$208,MATCH(C817,'شجرة الحسابات'!$A$9:$A$208,0))&amp;"",""))</f>
        <v/>
      </c>
      <c r="K817" s="55" t="str">
        <f aca="false">IF(C817="","",IFERROR(INDEX('شجرة الحسابات'!$I$9:$I$208,MATCH(C817,'شجرة الحسابات'!$A$9:$A$208,0))&amp;"",""))</f>
        <v/>
      </c>
      <c r="L817" s="55" t="str">
        <f aca="false">IF(C817="","",IFERROR(INDEX('شجرة الحسابات'!$C$9:$C$208,MATCH(C817,'شجرة الحسابات'!$A$9:$A$208,0))&amp;"",""))</f>
        <v/>
      </c>
      <c r="M817" s="55" t="str">
        <f aca="false">IF(AND(C817="",G817="",H817=""),"فارغ",IF(ISNA(MATCH(C817,'شجرة الحسابات'!$A$9:$A$208,0)),"حساب غير معرف",IF(L817&lt;&gt;"تحليلي","حساب تجميعي",IF(AND(N(G817)&gt;0,N(H817)&gt;0),"مدين ودائن معاً",IF(N(G817)+N(H817)=0,"بدون قيمة","OK")))))</f>
        <v>فارغ</v>
      </c>
      <c r="N817" s="55" t="str">
        <f aca="false">IF(AND(E817&lt;&gt;"",E817='كشف حساب مشروع'!$C$6,I817="مرحل ✔"),COUNTIFS($E$11:E817,'كشف حساب مشروع'!$C$6,$I$11:I817,"مرحل ✔"),"")</f>
        <v/>
      </c>
      <c r="O817" s="55" t="str">
        <f aca="false">IF(AND(C817&lt;&gt;"",C817='دفتر الأستاذ'!$C$6,I817="مرحل ✔"),COUNTIFS($C$11:C817,'دفتر الأستاذ'!$C$6,$I$11:I817,"مرحل ✔"),"")</f>
        <v/>
      </c>
    </row>
    <row r="818" customFormat="false" ht="15" hidden="false" customHeight="false" outlineLevel="0" collapsed="false">
      <c r="A818" s="49"/>
      <c r="B818" s="50"/>
      <c r="C818" s="49"/>
      <c r="D818" s="51" t="str">
        <f aca="false">IF(C818="","",IFERROR(INDEX('شجرة الحسابات'!$B$9:$B$208,MATCH(C818,'شجرة الحسابات'!$A$9:$A$208,0)),"⚠ حساب غير معرف"))</f>
        <v/>
      </c>
      <c r="E818" s="52"/>
      <c r="F818" s="52"/>
      <c r="G818" s="53"/>
      <c r="H818" s="53"/>
      <c r="I818" s="54" t="str">
        <f aca="false">IF(A818="",IF(M818="فارغ","","✖ بدون رقم قيد"),IF(COUNTIFS('قيود اليومية'!$A$11:$A$1010,A818,'قيود اليومية'!$M$11:$M$1010,"&lt;&gt;OK",'قيود اليومية'!$M$11:$M$1010,"&lt;&gt;فارغ")&gt;0,"✖ خطأ بالحساب",IF(ROUND(SUMIFS('قيود اليومية'!$G$11:$G$1010,'قيود اليومية'!$A$11:$A$1010,A818)-SUMIFS('قيود اليومية'!$H$11:$H$1010,'قيود اليومية'!$A$11:$A$1010,A818),2)&lt;&gt;0,"✖ غير متوازن","مرحل ✔")))</f>
        <v/>
      </c>
      <c r="J818" s="55" t="str">
        <f aca="false">IF(C818="","",IFERROR(INDEX('شجرة الحسابات'!$E$9:$E$208,MATCH(C818,'شجرة الحسابات'!$A$9:$A$208,0))&amp;"",""))</f>
        <v/>
      </c>
      <c r="K818" s="55" t="str">
        <f aca="false">IF(C818="","",IFERROR(INDEX('شجرة الحسابات'!$I$9:$I$208,MATCH(C818,'شجرة الحسابات'!$A$9:$A$208,0))&amp;"",""))</f>
        <v/>
      </c>
      <c r="L818" s="55" t="str">
        <f aca="false">IF(C818="","",IFERROR(INDEX('شجرة الحسابات'!$C$9:$C$208,MATCH(C818,'شجرة الحسابات'!$A$9:$A$208,0))&amp;"",""))</f>
        <v/>
      </c>
      <c r="M818" s="55" t="str">
        <f aca="false">IF(AND(C818="",G818="",H818=""),"فارغ",IF(ISNA(MATCH(C818,'شجرة الحسابات'!$A$9:$A$208,0)),"حساب غير معرف",IF(L818&lt;&gt;"تحليلي","حساب تجميعي",IF(AND(N(G818)&gt;0,N(H818)&gt;0),"مدين ودائن معاً",IF(N(G818)+N(H818)=0,"بدون قيمة","OK")))))</f>
        <v>فارغ</v>
      </c>
      <c r="N818" s="55" t="str">
        <f aca="false">IF(AND(E818&lt;&gt;"",E818='كشف حساب مشروع'!$C$6,I818="مرحل ✔"),COUNTIFS($E$11:E818,'كشف حساب مشروع'!$C$6,$I$11:I818,"مرحل ✔"),"")</f>
        <v/>
      </c>
      <c r="O818" s="55" t="str">
        <f aca="false">IF(AND(C818&lt;&gt;"",C818='دفتر الأستاذ'!$C$6,I818="مرحل ✔"),COUNTIFS($C$11:C818,'دفتر الأستاذ'!$C$6,$I$11:I818,"مرحل ✔"),"")</f>
        <v/>
      </c>
    </row>
    <row r="819" customFormat="false" ht="15" hidden="false" customHeight="false" outlineLevel="0" collapsed="false">
      <c r="A819" s="49"/>
      <c r="B819" s="50"/>
      <c r="C819" s="49"/>
      <c r="D819" s="51" t="str">
        <f aca="false">IF(C819="","",IFERROR(INDEX('شجرة الحسابات'!$B$9:$B$208,MATCH(C819,'شجرة الحسابات'!$A$9:$A$208,0)),"⚠ حساب غير معرف"))</f>
        <v/>
      </c>
      <c r="E819" s="52"/>
      <c r="F819" s="52"/>
      <c r="G819" s="53"/>
      <c r="H819" s="53"/>
      <c r="I819" s="54" t="str">
        <f aca="false">IF(A819="",IF(M819="فارغ","","✖ بدون رقم قيد"),IF(COUNTIFS('قيود اليومية'!$A$11:$A$1010,A819,'قيود اليومية'!$M$11:$M$1010,"&lt;&gt;OK",'قيود اليومية'!$M$11:$M$1010,"&lt;&gt;فارغ")&gt;0,"✖ خطأ بالحساب",IF(ROUND(SUMIFS('قيود اليومية'!$G$11:$G$1010,'قيود اليومية'!$A$11:$A$1010,A819)-SUMIFS('قيود اليومية'!$H$11:$H$1010,'قيود اليومية'!$A$11:$A$1010,A819),2)&lt;&gt;0,"✖ غير متوازن","مرحل ✔")))</f>
        <v/>
      </c>
      <c r="J819" s="55" t="str">
        <f aca="false">IF(C819="","",IFERROR(INDEX('شجرة الحسابات'!$E$9:$E$208,MATCH(C819,'شجرة الحسابات'!$A$9:$A$208,0))&amp;"",""))</f>
        <v/>
      </c>
      <c r="K819" s="55" t="str">
        <f aca="false">IF(C819="","",IFERROR(INDEX('شجرة الحسابات'!$I$9:$I$208,MATCH(C819,'شجرة الحسابات'!$A$9:$A$208,0))&amp;"",""))</f>
        <v/>
      </c>
      <c r="L819" s="55" t="str">
        <f aca="false">IF(C819="","",IFERROR(INDEX('شجرة الحسابات'!$C$9:$C$208,MATCH(C819,'شجرة الحسابات'!$A$9:$A$208,0))&amp;"",""))</f>
        <v/>
      </c>
      <c r="M819" s="55" t="str">
        <f aca="false">IF(AND(C819="",G819="",H819=""),"فارغ",IF(ISNA(MATCH(C819,'شجرة الحسابات'!$A$9:$A$208,0)),"حساب غير معرف",IF(L819&lt;&gt;"تحليلي","حساب تجميعي",IF(AND(N(G819)&gt;0,N(H819)&gt;0),"مدين ودائن معاً",IF(N(G819)+N(H819)=0,"بدون قيمة","OK")))))</f>
        <v>فارغ</v>
      </c>
      <c r="N819" s="55" t="str">
        <f aca="false">IF(AND(E819&lt;&gt;"",E819='كشف حساب مشروع'!$C$6,I819="مرحل ✔"),COUNTIFS($E$11:E819,'كشف حساب مشروع'!$C$6,$I$11:I819,"مرحل ✔"),"")</f>
        <v/>
      </c>
      <c r="O819" s="55" t="str">
        <f aca="false">IF(AND(C819&lt;&gt;"",C819='دفتر الأستاذ'!$C$6,I819="مرحل ✔"),COUNTIFS($C$11:C819,'دفتر الأستاذ'!$C$6,$I$11:I819,"مرحل ✔"),"")</f>
        <v/>
      </c>
    </row>
    <row r="820" customFormat="false" ht="15" hidden="false" customHeight="false" outlineLevel="0" collapsed="false">
      <c r="A820" s="49"/>
      <c r="B820" s="50"/>
      <c r="C820" s="49"/>
      <c r="D820" s="51" t="str">
        <f aca="false">IF(C820="","",IFERROR(INDEX('شجرة الحسابات'!$B$9:$B$208,MATCH(C820,'شجرة الحسابات'!$A$9:$A$208,0)),"⚠ حساب غير معرف"))</f>
        <v/>
      </c>
      <c r="E820" s="52"/>
      <c r="F820" s="52"/>
      <c r="G820" s="53"/>
      <c r="H820" s="53"/>
      <c r="I820" s="54" t="str">
        <f aca="false">IF(A820="",IF(M820="فارغ","","✖ بدون رقم قيد"),IF(COUNTIFS('قيود اليومية'!$A$11:$A$1010,A820,'قيود اليومية'!$M$11:$M$1010,"&lt;&gt;OK",'قيود اليومية'!$M$11:$M$1010,"&lt;&gt;فارغ")&gt;0,"✖ خطأ بالحساب",IF(ROUND(SUMIFS('قيود اليومية'!$G$11:$G$1010,'قيود اليومية'!$A$11:$A$1010,A820)-SUMIFS('قيود اليومية'!$H$11:$H$1010,'قيود اليومية'!$A$11:$A$1010,A820),2)&lt;&gt;0,"✖ غير متوازن","مرحل ✔")))</f>
        <v/>
      </c>
      <c r="J820" s="55" t="str">
        <f aca="false">IF(C820="","",IFERROR(INDEX('شجرة الحسابات'!$E$9:$E$208,MATCH(C820,'شجرة الحسابات'!$A$9:$A$208,0))&amp;"",""))</f>
        <v/>
      </c>
      <c r="K820" s="55" t="str">
        <f aca="false">IF(C820="","",IFERROR(INDEX('شجرة الحسابات'!$I$9:$I$208,MATCH(C820,'شجرة الحسابات'!$A$9:$A$208,0))&amp;"",""))</f>
        <v/>
      </c>
      <c r="L820" s="55" t="str">
        <f aca="false">IF(C820="","",IFERROR(INDEX('شجرة الحسابات'!$C$9:$C$208,MATCH(C820,'شجرة الحسابات'!$A$9:$A$208,0))&amp;"",""))</f>
        <v/>
      </c>
      <c r="M820" s="55" t="str">
        <f aca="false">IF(AND(C820="",G820="",H820=""),"فارغ",IF(ISNA(MATCH(C820,'شجرة الحسابات'!$A$9:$A$208,0)),"حساب غير معرف",IF(L820&lt;&gt;"تحليلي","حساب تجميعي",IF(AND(N(G820)&gt;0,N(H820)&gt;0),"مدين ودائن معاً",IF(N(G820)+N(H820)=0,"بدون قيمة","OK")))))</f>
        <v>فارغ</v>
      </c>
      <c r="N820" s="55" t="str">
        <f aca="false">IF(AND(E820&lt;&gt;"",E820='كشف حساب مشروع'!$C$6,I820="مرحل ✔"),COUNTIFS($E$11:E820,'كشف حساب مشروع'!$C$6,$I$11:I820,"مرحل ✔"),"")</f>
        <v/>
      </c>
      <c r="O820" s="55" t="str">
        <f aca="false">IF(AND(C820&lt;&gt;"",C820='دفتر الأستاذ'!$C$6,I820="مرحل ✔"),COUNTIFS($C$11:C820,'دفتر الأستاذ'!$C$6,$I$11:I820,"مرحل ✔"),"")</f>
        <v/>
      </c>
    </row>
    <row r="821" customFormat="false" ht="15" hidden="false" customHeight="false" outlineLevel="0" collapsed="false">
      <c r="A821" s="49"/>
      <c r="B821" s="50"/>
      <c r="C821" s="49"/>
      <c r="D821" s="51" t="str">
        <f aca="false">IF(C821="","",IFERROR(INDEX('شجرة الحسابات'!$B$9:$B$208,MATCH(C821,'شجرة الحسابات'!$A$9:$A$208,0)),"⚠ حساب غير معرف"))</f>
        <v/>
      </c>
      <c r="E821" s="52"/>
      <c r="F821" s="52"/>
      <c r="G821" s="53"/>
      <c r="H821" s="53"/>
      <c r="I821" s="54" t="str">
        <f aca="false">IF(A821="",IF(M821="فارغ","","✖ بدون رقم قيد"),IF(COUNTIFS('قيود اليومية'!$A$11:$A$1010,A821,'قيود اليومية'!$M$11:$M$1010,"&lt;&gt;OK",'قيود اليومية'!$M$11:$M$1010,"&lt;&gt;فارغ")&gt;0,"✖ خطأ بالحساب",IF(ROUND(SUMIFS('قيود اليومية'!$G$11:$G$1010,'قيود اليومية'!$A$11:$A$1010,A821)-SUMIFS('قيود اليومية'!$H$11:$H$1010,'قيود اليومية'!$A$11:$A$1010,A821),2)&lt;&gt;0,"✖ غير متوازن","مرحل ✔")))</f>
        <v/>
      </c>
      <c r="J821" s="55" t="str">
        <f aca="false">IF(C821="","",IFERROR(INDEX('شجرة الحسابات'!$E$9:$E$208,MATCH(C821,'شجرة الحسابات'!$A$9:$A$208,0))&amp;"",""))</f>
        <v/>
      </c>
      <c r="K821" s="55" t="str">
        <f aca="false">IF(C821="","",IFERROR(INDEX('شجرة الحسابات'!$I$9:$I$208,MATCH(C821,'شجرة الحسابات'!$A$9:$A$208,0))&amp;"",""))</f>
        <v/>
      </c>
      <c r="L821" s="55" t="str">
        <f aca="false">IF(C821="","",IFERROR(INDEX('شجرة الحسابات'!$C$9:$C$208,MATCH(C821,'شجرة الحسابات'!$A$9:$A$208,0))&amp;"",""))</f>
        <v/>
      </c>
      <c r="M821" s="55" t="str">
        <f aca="false">IF(AND(C821="",G821="",H821=""),"فارغ",IF(ISNA(MATCH(C821,'شجرة الحسابات'!$A$9:$A$208,0)),"حساب غير معرف",IF(L821&lt;&gt;"تحليلي","حساب تجميعي",IF(AND(N(G821)&gt;0,N(H821)&gt;0),"مدين ودائن معاً",IF(N(G821)+N(H821)=0,"بدون قيمة","OK")))))</f>
        <v>فارغ</v>
      </c>
      <c r="N821" s="55" t="str">
        <f aca="false">IF(AND(E821&lt;&gt;"",E821='كشف حساب مشروع'!$C$6,I821="مرحل ✔"),COUNTIFS($E$11:E821,'كشف حساب مشروع'!$C$6,$I$11:I821,"مرحل ✔"),"")</f>
        <v/>
      </c>
      <c r="O821" s="55" t="str">
        <f aca="false">IF(AND(C821&lt;&gt;"",C821='دفتر الأستاذ'!$C$6,I821="مرحل ✔"),COUNTIFS($C$11:C821,'دفتر الأستاذ'!$C$6,$I$11:I821,"مرحل ✔"),"")</f>
        <v/>
      </c>
    </row>
    <row r="822" customFormat="false" ht="15" hidden="false" customHeight="false" outlineLevel="0" collapsed="false">
      <c r="A822" s="49"/>
      <c r="B822" s="50"/>
      <c r="C822" s="49"/>
      <c r="D822" s="51" t="str">
        <f aca="false">IF(C822="","",IFERROR(INDEX('شجرة الحسابات'!$B$9:$B$208,MATCH(C822,'شجرة الحسابات'!$A$9:$A$208,0)),"⚠ حساب غير معرف"))</f>
        <v/>
      </c>
      <c r="E822" s="52"/>
      <c r="F822" s="52"/>
      <c r="G822" s="53"/>
      <c r="H822" s="53"/>
      <c r="I822" s="54" t="str">
        <f aca="false">IF(A822="",IF(M822="فارغ","","✖ بدون رقم قيد"),IF(COUNTIFS('قيود اليومية'!$A$11:$A$1010,A822,'قيود اليومية'!$M$11:$M$1010,"&lt;&gt;OK",'قيود اليومية'!$M$11:$M$1010,"&lt;&gt;فارغ")&gt;0,"✖ خطأ بالحساب",IF(ROUND(SUMIFS('قيود اليومية'!$G$11:$G$1010,'قيود اليومية'!$A$11:$A$1010,A822)-SUMIFS('قيود اليومية'!$H$11:$H$1010,'قيود اليومية'!$A$11:$A$1010,A822),2)&lt;&gt;0,"✖ غير متوازن","مرحل ✔")))</f>
        <v/>
      </c>
      <c r="J822" s="55" t="str">
        <f aca="false">IF(C822="","",IFERROR(INDEX('شجرة الحسابات'!$E$9:$E$208,MATCH(C822,'شجرة الحسابات'!$A$9:$A$208,0))&amp;"",""))</f>
        <v/>
      </c>
      <c r="K822" s="55" t="str">
        <f aca="false">IF(C822="","",IFERROR(INDEX('شجرة الحسابات'!$I$9:$I$208,MATCH(C822,'شجرة الحسابات'!$A$9:$A$208,0))&amp;"",""))</f>
        <v/>
      </c>
      <c r="L822" s="55" t="str">
        <f aca="false">IF(C822="","",IFERROR(INDEX('شجرة الحسابات'!$C$9:$C$208,MATCH(C822,'شجرة الحسابات'!$A$9:$A$208,0))&amp;"",""))</f>
        <v/>
      </c>
      <c r="M822" s="55" t="str">
        <f aca="false">IF(AND(C822="",G822="",H822=""),"فارغ",IF(ISNA(MATCH(C822,'شجرة الحسابات'!$A$9:$A$208,0)),"حساب غير معرف",IF(L822&lt;&gt;"تحليلي","حساب تجميعي",IF(AND(N(G822)&gt;0,N(H822)&gt;0),"مدين ودائن معاً",IF(N(G822)+N(H822)=0,"بدون قيمة","OK")))))</f>
        <v>فارغ</v>
      </c>
      <c r="N822" s="55" t="str">
        <f aca="false">IF(AND(E822&lt;&gt;"",E822='كشف حساب مشروع'!$C$6,I822="مرحل ✔"),COUNTIFS($E$11:E822,'كشف حساب مشروع'!$C$6,$I$11:I822,"مرحل ✔"),"")</f>
        <v/>
      </c>
      <c r="O822" s="55" t="str">
        <f aca="false">IF(AND(C822&lt;&gt;"",C822='دفتر الأستاذ'!$C$6,I822="مرحل ✔"),COUNTIFS($C$11:C822,'دفتر الأستاذ'!$C$6,$I$11:I822,"مرحل ✔"),"")</f>
        <v/>
      </c>
    </row>
    <row r="823" customFormat="false" ht="15" hidden="false" customHeight="false" outlineLevel="0" collapsed="false">
      <c r="A823" s="49"/>
      <c r="B823" s="50"/>
      <c r="C823" s="49"/>
      <c r="D823" s="51" t="str">
        <f aca="false">IF(C823="","",IFERROR(INDEX('شجرة الحسابات'!$B$9:$B$208,MATCH(C823,'شجرة الحسابات'!$A$9:$A$208,0)),"⚠ حساب غير معرف"))</f>
        <v/>
      </c>
      <c r="E823" s="52"/>
      <c r="F823" s="52"/>
      <c r="G823" s="53"/>
      <c r="H823" s="53"/>
      <c r="I823" s="54" t="str">
        <f aca="false">IF(A823="",IF(M823="فارغ","","✖ بدون رقم قيد"),IF(COUNTIFS('قيود اليومية'!$A$11:$A$1010,A823,'قيود اليومية'!$M$11:$M$1010,"&lt;&gt;OK",'قيود اليومية'!$M$11:$M$1010,"&lt;&gt;فارغ")&gt;0,"✖ خطأ بالحساب",IF(ROUND(SUMIFS('قيود اليومية'!$G$11:$G$1010,'قيود اليومية'!$A$11:$A$1010,A823)-SUMIFS('قيود اليومية'!$H$11:$H$1010,'قيود اليومية'!$A$11:$A$1010,A823),2)&lt;&gt;0,"✖ غير متوازن","مرحل ✔")))</f>
        <v/>
      </c>
      <c r="J823" s="55" t="str">
        <f aca="false">IF(C823="","",IFERROR(INDEX('شجرة الحسابات'!$E$9:$E$208,MATCH(C823,'شجرة الحسابات'!$A$9:$A$208,0))&amp;"",""))</f>
        <v/>
      </c>
      <c r="K823" s="55" t="str">
        <f aca="false">IF(C823="","",IFERROR(INDEX('شجرة الحسابات'!$I$9:$I$208,MATCH(C823,'شجرة الحسابات'!$A$9:$A$208,0))&amp;"",""))</f>
        <v/>
      </c>
      <c r="L823" s="55" t="str">
        <f aca="false">IF(C823="","",IFERROR(INDEX('شجرة الحسابات'!$C$9:$C$208,MATCH(C823,'شجرة الحسابات'!$A$9:$A$208,0))&amp;"",""))</f>
        <v/>
      </c>
      <c r="M823" s="55" t="str">
        <f aca="false">IF(AND(C823="",G823="",H823=""),"فارغ",IF(ISNA(MATCH(C823,'شجرة الحسابات'!$A$9:$A$208,0)),"حساب غير معرف",IF(L823&lt;&gt;"تحليلي","حساب تجميعي",IF(AND(N(G823)&gt;0,N(H823)&gt;0),"مدين ودائن معاً",IF(N(G823)+N(H823)=0,"بدون قيمة","OK")))))</f>
        <v>فارغ</v>
      </c>
      <c r="N823" s="55" t="str">
        <f aca="false">IF(AND(E823&lt;&gt;"",E823='كشف حساب مشروع'!$C$6,I823="مرحل ✔"),COUNTIFS($E$11:E823,'كشف حساب مشروع'!$C$6,$I$11:I823,"مرحل ✔"),"")</f>
        <v/>
      </c>
      <c r="O823" s="55" t="str">
        <f aca="false">IF(AND(C823&lt;&gt;"",C823='دفتر الأستاذ'!$C$6,I823="مرحل ✔"),COUNTIFS($C$11:C823,'دفتر الأستاذ'!$C$6,$I$11:I823,"مرحل ✔"),"")</f>
        <v/>
      </c>
    </row>
    <row r="824" customFormat="false" ht="15" hidden="false" customHeight="false" outlineLevel="0" collapsed="false">
      <c r="A824" s="49"/>
      <c r="B824" s="50"/>
      <c r="C824" s="49"/>
      <c r="D824" s="51" t="str">
        <f aca="false">IF(C824="","",IFERROR(INDEX('شجرة الحسابات'!$B$9:$B$208,MATCH(C824,'شجرة الحسابات'!$A$9:$A$208,0)),"⚠ حساب غير معرف"))</f>
        <v/>
      </c>
      <c r="E824" s="52"/>
      <c r="F824" s="52"/>
      <c r="G824" s="53"/>
      <c r="H824" s="53"/>
      <c r="I824" s="54" t="str">
        <f aca="false">IF(A824="",IF(M824="فارغ","","✖ بدون رقم قيد"),IF(COUNTIFS('قيود اليومية'!$A$11:$A$1010,A824,'قيود اليومية'!$M$11:$M$1010,"&lt;&gt;OK",'قيود اليومية'!$M$11:$M$1010,"&lt;&gt;فارغ")&gt;0,"✖ خطأ بالحساب",IF(ROUND(SUMIFS('قيود اليومية'!$G$11:$G$1010,'قيود اليومية'!$A$11:$A$1010,A824)-SUMIFS('قيود اليومية'!$H$11:$H$1010,'قيود اليومية'!$A$11:$A$1010,A824),2)&lt;&gt;0,"✖ غير متوازن","مرحل ✔")))</f>
        <v/>
      </c>
      <c r="J824" s="55" t="str">
        <f aca="false">IF(C824="","",IFERROR(INDEX('شجرة الحسابات'!$E$9:$E$208,MATCH(C824,'شجرة الحسابات'!$A$9:$A$208,0))&amp;"",""))</f>
        <v/>
      </c>
      <c r="K824" s="55" t="str">
        <f aca="false">IF(C824="","",IFERROR(INDEX('شجرة الحسابات'!$I$9:$I$208,MATCH(C824,'شجرة الحسابات'!$A$9:$A$208,0))&amp;"",""))</f>
        <v/>
      </c>
      <c r="L824" s="55" t="str">
        <f aca="false">IF(C824="","",IFERROR(INDEX('شجرة الحسابات'!$C$9:$C$208,MATCH(C824,'شجرة الحسابات'!$A$9:$A$208,0))&amp;"",""))</f>
        <v/>
      </c>
      <c r="M824" s="55" t="str">
        <f aca="false">IF(AND(C824="",G824="",H824=""),"فارغ",IF(ISNA(MATCH(C824,'شجرة الحسابات'!$A$9:$A$208,0)),"حساب غير معرف",IF(L824&lt;&gt;"تحليلي","حساب تجميعي",IF(AND(N(G824)&gt;0,N(H824)&gt;0),"مدين ودائن معاً",IF(N(G824)+N(H824)=0,"بدون قيمة","OK")))))</f>
        <v>فارغ</v>
      </c>
      <c r="N824" s="55" t="str">
        <f aca="false">IF(AND(E824&lt;&gt;"",E824='كشف حساب مشروع'!$C$6,I824="مرحل ✔"),COUNTIFS($E$11:E824,'كشف حساب مشروع'!$C$6,$I$11:I824,"مرحل ✔"),"")</f>
        <v/>
      </c>
      <c r="O824" s="55" t="str">
        <f aca="false">IF(AND(C824&lt;&gt;"",C824='دفتر الأستاذ'!$C$6,I824="مرحل ✔"),COUNTIFS($C$11:C824,'دفتر الأستاذ'!$C$6,$I$11:I824,"مرحل ✔"),"")</f>
        <v/>
      </c>
    </row>
    <row r="825" customFormat="false" ht="15" hidden="false" customHeight="false" outlineLevel="0" collapsed="false">
      <c r="A825" s="49"/>
      <c r="B825" s="50"/>
      <c r="C825" s="49"/>
      <c r="D825" s="51" t="str">
        <f aca="false">IF(C825="","",IFERROR(INDEX('شجرة الحسابات'!$B$9:$B$208,MATCH(C825,'شجرة الحسابات'!$A$9:$A$208,0)),"⚠ حساب غير معرف"))</f>
        <v/>
      </c>
      <c r="E825" s="52"/>
      <c r="F825" s="52"/>
      <c r="G825" s="53"/>
      <c r="H825" s="53"/>
      <c r="I825" s="54" t="str">
        <f aca="false">IF(A825="",IF(M825="فارغ","","✖ بدون رقم قيد"),IF(COUNTIFS('قيود اليومية'!$A$11:$A$1010,A825,'قيود اليومية'!$M$11:$M$1010,"&lt;&gt;OK",'قيود اليومية'!$M$11:$M$1010,"&lt;&gt;فارغ")&gt;0,"✖ خطأ بالحساب",IF(ROUND(SUMIFS('قيود اليومية'!$G$11:$G$1010,'قيود اليومية'!$A$11:$A$1010,A825)-SUMIFS('قيود اليومية'!$H$11:$H$1010,'قيود اليومية'!$A$11:$A$1010,A825),2)&lt;&gt;0,"✖ غير متوازن","مرحل ✔")))</f>
        <v/>
      </c>
      <c r="J825" s="55" t="str">
        <f aca="false">IF(C825="","",IFERROR(INDEX('شجرة الحسابات'!$E$9:$E$208,MATCH(C825,'شجرة الحسابات'!$A$9:$A$208,0))&amp;"",""))</f>
        <v/>
      </c>
      <c r="K825" s="55" t="str">
        <f aca="false">IF(C825="","",IFERROR(INDEX('شجرة الحسابات'!$I$9:$I$208,MATCH(C825,'شجرة الحسابات'!$A$9:$A$208,0))&amp;"",""))</f>
        <v/>
      </c>
      <c r="L825" s="55" t="str">
        <f aca="false">IF(C825="","",IFERROR(INDEX('شجرة الحسابات'!$C$9:$C$208,MATCH(C825,'شجرة الحسابات'!$A$9:$A$208,0))&amp;"",""))</f>
        <v/>
      </c>
      <c r="M825" s="55" t="str">
        <f aca="false">IF(AND(C825="",G825="",H825=""),"فارغ",IF(ISNA(MATCH(C825,'شجرة الحسابات'!$A$9:$A$208,0)),"حساب غير معرف",IF(L825&lt;&gt;"تحليلي","حساب تجميعي",IF(AND(N(G825)&gt;0,N(H825)&gt;0),"مدين ودائن معاً",IF(N(G825)+N(H825)=0,"بدون قيمة","OK")))))</f>
        <v>فارغ</v>
      </c>
      <c r="N825" s="55" t="str">
        <f aca="false">IF(AND(E825&lt;&gt;"",E825='كشف حساب مشروع'!$C$6,I825="مرحل ✔"),COUNTIFS($E$11:E825,'كشف حساب مشروع'!$C$6,$I$11:I825,"مرحل ✔"),"")</f>
        <v/>
      </c>
      <c r="O825" s="55" t="str">
        <f aca="false">IF(AND(C825&lt;&gt;"",C825='دفتر الأستاذ'!$C$6,I825="مرحل ✔"),COUNTIFS($C$11:C825,'دفتر الأستاذ'!$C$6,$I$11:I825,"مرحل ✔"),"")</f>
        <v/>
      </c>
    </row>
    <row r="826" customFormat="false" ht="15" hidden="false" customHeight="false" outlineLevel="0" collapsed="false">
      <c r="A826" s="49"/>
      <c r="B826" s="50"/>
      <c r="C826" s="49"/>
      <c r="D826" s="51" t="str">
        <f aca="false">IF(C826="","",IFERROR(INDEX('شجرة الحسابات'!$B$9:$B$208,MATCH(C826,'شجرة الحسابات'!$A$9:$A$208,0)),"⚠ حساب غير معرف"))</f>
        <v/>
      </c>
      <c r="E826" s="52"/>
      <c r="F826" s="52"/>
      <c r="G826" s="53"/>
      <c r="H826" s="53"/>
      <c r="I826" s="54" t="str">
        <f aca="false">IF(A826="",IF(M826="فارغ","","✖ بدون رقم قيد"),IF(COUNTIFS('قيود اليومية'!$A$11:$A$1010,A826,'قيود اليومية'!$M$11:$M$1010,"&lt;&gt;OK",'قيود اليومية'!$M$11:$M$1010,"&lt;&gt;فارغ")&gt;0,"✖ خطأ بالحساب",IF(ROUND(SUMIFS('قيود اليومية'!$G$11:$G$1010,'قيود اليومية'!$A$11:$A$1010,A826)-SUMIFS('قيود اليومية'!$H$11:$H$1010,'قيود اليومية'!$A$11:$A$1010,A826),2)&lt;&gt;0,"✖ غير متوازن","مرحل ✔")))</f>
        <v/>
      </c>
      <c r="J826" s="55" t="str">
        <f aca="false">IF(C826="","",IFERROR(INDEX('شجرة الحسابات'!$E$9:$E$208,MATCH(C826,'شجرة الحسابات'!$A$9:$A$208,0))&amp;"",""))</f>
        <v/>
      </c>
      <c r="K826" s="55" t="str">
        <f aca="false">IF(C826="","",IFERROR(INDEX('شجرة الحسابات'!$I$9:$I$208,MATCH(C826,'شجرة الحسابات'!$A$9:$A$208,0))&amp;"",""))</f>
        <v/>
      </c>
      <c r="L826" s="55" t="str">
        <f aca="false">IF(C826="","",IFERROR(INDEX('شجرة الحسابات'!$C$9:$C$208,MATCH(C826,'شجرة الحسابات'!$A$9:$A$208,0))&amp;"",""))</f>
        <v/>
      </c>
      <c r="M826" s="55" t="str">
        <f aca="false">IF(AND(C826="",G826="",H826=""),"فارغ",IF(ISNA(MATCH(C826,'شجرة الحسابات'!$A$9:$A$208,0)),"حساب غير معرف",IF(L826&lt;&gt;"تحليلي","حساب تجميعي",IF(AND(N(G826)&gt;0,N(H826)&gt;0),"مدين ودائن معاً",IF(N(G826)+N(H826)=0,"بدون قيمة","OK")))))</f>
        <v>فارغ</v>
      </c>
      <c r="N826" s="55" t="str">
        <f aca="false">IF(AND(E826&lt;&gt;"",E826='كشف حساب مشروع'!$C$6,I826="مرحل ✔"),COUNTIFS($E$11:E826,'كشف حساب مشروع'!$C$6,$I$11:I826,"مرحل ✔"),"")</f>
        <v/>
      </c>
      <c r="O826" s="55" t="str">
        <f aca="false">IF(AND(C826&lt;&gt;"",C826='دفتر الأستاذ'!$C$6,I826="مرحل ✔"),COUNTIFS($C$11:C826,'دفتر الأستاذ'!$C$6,$I$11:I826,"مرحل ✔"),"")</f>
        <v/>
      </c>
    </row>
    <row r="827" customFormat="false" ht="15" hidden="false" customHeight="false" outlineLevel="0" collapsed="false">
      <c r="A827" s="49"/>
      <c r="B827" s="50"/>
      <c r="C827" s="49"/>
      <c r="D827" s="51" t="str">
        <f aca="false">IF(C827="","",IFERROR(INDEX('شجرة الحسابات'!$B$9:$B$208,MATCH(C827,'شجرة الحسابات'!$A$9:$A$208,0)),"⚠ حساب غير معرف"))</f>
        <v/>
      </c>
      <c r="E827" s="52"/>
      <c r="F827" s="52"/>
      <c r="G827" s="53"/>
      <c r="H827" s="53"/>
      <c r="I827" s="54" t="str">
        <f aca="false">IF(A827="",IF(M827="فارغ","","✖ بدون رقم قيد"),IF(COUNTIFS('قيود اليومية'!$A$11:$A$1010,A827,'قيود اليومية'!$M$11:$M$1010,"&lt;&gt;OK",'قيود اليومية'!$M$11:$M$1010,"&lt;&gt;فارغ")&gt;0,"✖ خطأ بالحساب",IF(ROUND(SUMIFS('قيود اليومية'!$G$11:$G$1010,'قيود اليومية'!$A$11:$A$1010,A827)-SUMIFS('قيود اليومية'!$H$11:$H$1010,'قيود اليومية'!$A$11:$A$1010,A827),2)&lt;&gt;0,"✖ غير متوازن","مرحل ✔")))</f>
        <v/>
      </c>
      <c r="J827" s="55" t="str">
        <f aca="false">IF(C827="","",IFERROR(INDEX('شجرة الحسابات'!$E$9:$E$208,MATCH(C827,'شجرة الحسابات'!$A$9:$A$208,0))&amp;"",""))</f>
        <v/>
      </c>
      <c r="K827" s="55" t="str">
        <f aca="false">IF(C827="","",IFERROR(INDEX('شجرة الحسابات'!$I$9:$I$208,MATCH(C827,'شجرة الحسابات'!$A$9:$A$208,0))&amp;"",""))</f>
        <v/>
      </c>
      <c r="L827" s="55" t="str">
        <f aca="false">IF(C827="","",IFERROR(INDEX('شجرة الحسابات'!$C$9:$C$208,MATCH(C827,'شجرة الحسابات'!$A$9:$A$208,0))&amp;"",""))</f>
        <v/>
      </c>
      <c r="M827" s="55" t="str">
        <f aca="false">IF(AND(C827="",G827="",H827=""),"فارغ",IF(ISNA(MATCH(C827,'شجرة الحسابات'!$A$9:$A$208,0)),"حساب غير معرف",IF(L827&lt;&gt;"تحليلي","حساب تجميعي",IF(AND(N(G827)&gt;0,N(H827)&gt;0),"مدين ودائن معاً",IF(N(G827)+N(H827)=0,"بدون قيمة","OK")))))</f>
        <v>فارغ</v>
      </c>
      <c r="N827" s="55" t="str">
        <f aca="false">IF(AND(E827&lt;&gt;"",E827='كشف حساب مشروع'!$C$6,I827="مرحل ✔"),COUNTIFS($E$11:E827,'كشف حساب مشروع'!$C$6,$I$11:I827,"مرحل ✔"),"")</f>
        <v/>
      </c>
      <c r="O827" s="55" t="str">
        <f aca="false">IF(AND(C827&lt;&gt;"",C827='دفتر الأستاذ'!$C$6,I827="مرحل ✔"),COUNTIFS($C$11:C827,'دفتر الأستاذ'!$C$6,$I$11:I827,"مرحل ✔"),"")</f>
        <v/>
      </c>
    </row>
    <row r="828" customFormat="false" ht="15" hidden="false" customHeight="false" outlineLevel="0" collapsed="false">
      <c r="A828" s="49"/>
      <c r="B828" s="50"/>
      <c r="C828" s="49"/>
      <c r="D828" s="51" t="str">
        <f aca="false">IF(C828="","",IFERROR(INDEX('شجرة الحسابات'!$B$9:$B$208,MATCH(C828,'شجرة الحسابات'!$A$9:$A$208,0)),"⚠ حساب غير معرف"))</f>
        <v/>
      </c>
      <c r="E828" s="52"/>
      <c r="F828" s="52"/>
      <c r="G828" s="53"/>
      <c r="H828" s="53"/>
      <c r="I828" s="54" t="str">
        <f aca="false">IF(A828="",IF(M828="فارغ","","✖ بدون رقم قيد"),IF(COUNTIFS('قيود اليومية'!$A$11:$A$1010,A828,'قيود اليومية'!$M$11:$M$1010,"&lt;&gt;OK",'قيود اليومية'!$M$11:$M$1010,"&lt;&gt;فارغ")&gt;0,"✖ خطأ بالحساب",IF(ROUND(SUMIFS('قيود اليومية'!$G$11:$G$1010,'قيود اليومية'!$A$11:$A$1010,A828)-SUMIFS('قيود اليومية'!$H$11:$H$1010,'قيود اليومية'!$A$11:$A$1010,A828),2)&lt;&gt;0,"✖ غير متوازن","مرحل ✔")))</f>
        <v/>
      </c>
      <c r="J828" s="55" t="str">
        <f aca="false">IF(C828="","",IFERROR(INDEX('شجرة الحسابات'!$E$9:$E$208,MATCH(C828,'شجرة الحسابات'!$A$9:$A$208,0))&amp;"",""))</f>
        <v/>
      </c>
      <c r="K828" s="55" t="str">
        <f aca="false">IF(C828="","",IFERROR(INDEX('شجرة الحسابات'!$I$9:$I$208,MATCH(C828,'شجرة الحسابات'!$A$9:$A$208,0))&amp;"",""))</f>
        <v/>
      </c>
      <c r="L828" s="55" t="str">
        <f aca="false">IF(C828="","",IFERROR(INDEX('شجرة الحسابات'!$C$9:$C$208,MATCH(C828,'شجرة الحسابات'!$A$9:$A$208,0))&amp;"",""))</f>
        <v/>
      </c>
      <c r="M828" s="55" t="str">
        <f aca="false">IF(AND(C828="",G828="",H828=""),"فارغ",IF(ISNA(MATCH(C828,'شجرة الحسابات'!$A$9:$A$208,0)),"حساب غير معرف",IF(L828&lt;&gt;"تحليلي","حساب تجميعي",IF(AND(N(G828)&gt;0,N(H828)&gt;0),"مدين ودائن معاً",IF(N(G828)+N(H828)=0,"بدون قيمة","OK")))))</f>
        <v>فارغ</v>
      </c>
      <c r="N828" s="55" t="str">
        <f aca="false">IF(AND(E828&lt;&gt;"",E828='كشف حساب مشروع'!$C$6,I828="مرحل ✔"),COUNTIFS($E$11:E828,'كشف حساب مشروع'!$C$6,$I$11:I828,"مرحل ✔"),"")</f>
        <v/>
      </c>
      <c r="O828" s="55" t="str">
        <f aca="false">IF(AND(C828&lt;&gt;"",C828='دفتر الأستاذ'!$C$6,I828="مرحل ✔"),COUNTIFS($C$11:C828,'دفتر الأستاذ'!$C$6,$I$11:I828,"مرحل ✔"),"")</f>
        <v/>
      </c>
    </row>
    <row r="829" customFormat="false" ht="15" hidden="false" customHeight="false" outlineLevel="0" collapsed="false">
      <c r="A829" s="49"/>
      <c r="B829" s="50"/>
      <c r="C829" s="49"/>
      <c r="D829" s="51" t="str">
        <f aca="false">IF(C829="","",IFERROR(INDEX('شجرة الحسابات'!$B$9:$B$208,MATCH(C829,'شجرة الحسابات'!$A$9:$A$208,0)),"⚠ حساب غير معرف"))</f>
        <v/>
      </c>
      <c r="E829" s="52"/>
      <c r="F829" s="52"/>
      <c r="G829" s="53"/>
      <c r="H829" s="53"/>
      <c r="I829" s="54" t="str">
        <f aca="false">IF(A829="",IF(M829="فارغ","","✖ بدون رقم قيد"),IF(COUNTIFS('قيود اليومية'!$A$11:$A$1010,A829,'قيود اليومية'!$M$11:$M$1010,"&lt;&gt;OK",'قيود اليومية'!$M$11:$M$1010,"&lt;&gt;فارغ")&gt;0,"✖ خطأ بالحساب",IF(ROUND(SUMIFS('قيود اليومية'!$G$11:$G$1010,'قيود اليومية'!$A$11:$A$1010,A829)-SUMIFS('قيود اليومية'!$H$11:$H$1010,'قيود اليومية'!$A$11:$A$1010,A829),2)&lt;&gt;0,"✖ غير متوازن","مرحل ✔")))</f>
        <v/>
      </c>
      <c r="J829" s="55" t="str">
        <f aca="false">IF(C829="","",IFERROR(INDEX('شجرة الحسابات'!$E$9:$E$208,MATCH(C829,'شجرة الحسابات'!$A$9:$A$208,0))&amp;"",""))</f>
        <v/>
      </c>
      <c r="K829" s="55" t="str">
        <f aca="false">IF(C829="","",IFERROR(INDEX('شجرة الحسابات'!$I$9:$I$208,MATCH(C829,'شجرة الحسابات'!$A$9:$A$208,0))&amp;"",""))</f>
        <v/>
      </c>
      <c r="L829" s="55" t="str">
        <f aca="false">IF(C829="","",IFERROR(INDEX('شجرة الحسابات'!$C$9:$C$208,MATCH(C829,'شجرة الحسابات'!$A$9:$A$208,0))&amp;"",""))</f>
        <v/>
      </c>
      <c r="M829" s="55" t="str">
        <f aca="false">IF(AND(C829="",G829="",H829=""),"فارغ",IF(ISNA(MATCH(C829,'شجرة الحسابات'!$A$9:$A$208,0)),"حساب غير معرف",IF(L829&lt;&gt;"تحليلي","حساب تجميعي",IF(AND(N(G829)&gt;0,N(H829)&gt;0),"مدين ودائن معاً",IF(N(G829)+N(H829)=0,"بدون قيمة","OK")))))</f>
        <v>فارغ</v>
      </c>
      <c r="N829" s="55" t="str">
        <f aca="false">IF(AND(E829&lt;&gt;"",E829='كشف حساب مشروع'!$C$6,I829="مرحل ✔"),COUNTIFS($E$11:E829,'كشف حساب مشروع'!$C$6,$I$11:I829,"مرحل ✔"),"")</f>
        <v/>
      </c>
      <c r="O829" s="55" t="str">
        <f aca="false">IF(AND(C829&lt;&gt;"",C829='دفتر الأستاذ'!$C$6,I829="مرحل ✔"),COUNTIFS($C$11:C829,'دفتر الأستاذ'!$C$6,$I$11:I829,"مرحل ✔"),"")</f>
        <v/>
      </c>
    </row>
    <row r="830" customFormat="false" ht="15" hidden="false" customHeight="false" outlineLevel="0" collapsed="false">
      <c r="A830" s="49"/>
      <c r="B830" s="50"/>
      <c r="C830" s="49"/>
      <c r="D830" s="51" t="str">
        <f aca="false">IF(C830="","",IFERROR(INDEX('شجرة الحسابات'!$B$9:$B$208,MATCH(C830,'شجرة الحسابات'!$A$9:$A$208,0)),"⚠ حساب غير معرف"))</f>
        <v/>
      </c>
      <c r="E830" s="52"/>
      <c r="F830" s="52"/>
      <c r="G830" s="53"/>
      <c r="H830" s="53"/>
      <c r="I830" s="54" t="str">
        <f aca="false">IF(A830="",IF(M830="فارغ","","✖ بدون رقم قيد"),IF(COUNTIFS('قيود اليومية'!$A$11:$A$1010,A830,'قيود اليومية'!$M$11:$M$1010,"&lt;&gt;OK",'قيود اليومية'!$M$11:$M$1010,"&lt;&gt;فارغ")&gt;0,"✖ خطأ بالحساب",IF(ROUND(SUMIFS('قيود اليومية'!$G$11:$G$1010,'قيود اليومية'!$A$11:$A$1010,A830)-SUMIFS('قيود اليومية'!$H$11:$H$1010,'قيود اليومية'!$A$11:$A$1010,A830),2)&lt;&gt;0,"✖ غير متوازن","مرحل ✔")))</f>
        <v/>
      </c>
      <c r="J830" s="55" t="str">
        <f aca="false">IF(C830="","",IFERROR(INDEX('شجرة الحسابات'!$E$9:$E$208,MATCH(C830,'شجرة الحسابات'!$A$9:$A$208,0))&amp;"",""))</f>
        <v/>
      </c>
      <c r="K830" s="55" t="str">
        <f aca="false">IF(C830="","",IFERROR(INDEX('شجرة الحسابات'!$I$9:$I$208,MATCH(C830,'شجرة الحسابات'!$A$9:$A$208,0))&amp;"",""))</f>
        <v/>
      </c>
      <c r="L830" s="55" t="str">
        <f aca="false">IF(C830="","",IFERROR(INDEX('شجرة الحسابات'!$C$9:$C$208,MATCH(C830,'شجرة الحسابات'!$A$9:$A$208,0))&amp;"",""))</f>
        <v/>
      </c>
      <c r="M830" s="55" t="str">
        <f aca="false">IF(AND(C830="",G830="",H830=""),"فارغ",IF(ISNA(MATCH(C830,'شجرة الحسابات'!$A$9:$A$208,0)),"حساب غير معرف",IF(L830&lt;&gt;"تحليلي","حساب تجميعي",IF(AND(N(G830)&gt;0,N(H830)&gt;0),"مدين ودائن معاً",IF(N(G830)+N(H830)=0,"بدون قيمة","OK")))))</f>
        <v>فارغ</v>
      </c>
      <c r="N830" s="55" t="str">
        <f aca="false">IF(AND(E830&lt;&gt;"",E830='كشف حساب مشروع'!$C$6,I830="مرحل ✔"),COUNTIFS($E$11:E830,'كشف حساب مشروع'!$C$6,$I$11:I830,"مرحل ✔"),"")</f>
        <v/>
      </c>
      <c r="O830" s="55" t="str">
        <f aca="false">IF(AND(C830&lt;&gt;"",C830='دفتر الأستاذ'!$C$6,I830="مرحل ✔"),COUNTIFS($C$11:C830,'دفتر الأستاذ'!$C$6,$I$11:I830,"مرحل ✔"),"")</f>
        <v/>
      </c>
    </row>
    <row r="831" customFormat="false" ht="15" hidden="false" customHeight="false" outlineLevel="0" collapsed="false">
      <c r="A831" s="49"/>
      <c r="B831" s="50"/>
      <c r="C831" s="49"/>
      <c r="D831" s="51" t="str">
        <f aca="false">IF(C831="","",IFERROR(INDEX('شجرة الحسابات'!$B$9:$B$208,MATCH(C831,'شجرة الحسابات'!$A$9:$A$208,0)),"⚠ حساب غير معرف"))</f>
        <v/>
      </c>
      <c r="E831" s="52"/>
      <c r="F831" s="52"/>
      <c r="G831" s="53"/>
      <c r="H831" s="53"/>
      <c r="I831" s="54" t="str">
        <f aca="false">IF(A831="",IF(M831="فارغ","","✖ بدون رقم قيد"),IF(COUNTIFS('قيود اليومية'!$A$11:$A$1010,A831,'قيود اليومية'!$M$11:$M$1010,"&lt;&gt;OK",'قيود اليومية'!$M$11:$M$1010,"&lt;&gt;فارغ")&gt;0,"✖ خطأ بالحساب",IF(ROUND(SUMIFS('قيود اليومية'!$G$11:$G$1010,'قيود اليومية'!$A$11:$A$1010,A831)-SUMIFS('قيود اليومية'!$H$11:$H$1010,'قيود اليومية'!$A$11:$A$1010,A831),2)&lt;&gt;0,"✖ غير متوازن","مرحل ✔")))</f>
        <v/>
      </c>
      <c r="J831" s="55" t="str">
        <f aca="false">IF(C831="","",IFERROR(INDEX('شجرة الحسابات'!$E$9:$E$208,MATCH(C831,'شجرة الحسابات'!$A$9:$A$208,0))&amp;"",""))</f>
        <v/>
      </c>
      <c r="K831" s="55" t="str">
        <f aca="false">IF(C831="","",IFERROR(INDEX('شجرة الحسابات'!$I$9:$I$208,MATCH(C831,'شجرة الحسابات'!$A$9:$A$208,0))&amp;"",""))</f>
        <v/>
      </c>
      <c r="L831" s="55" t="str">
        <f aca="false">IF(C831="","",IFERROR(INDEX('شجرة الحسابات'!$C$9:$C$208,MATCH(C831,'شجرة الحسابات'!$A$9:$A$208,0))&amp;"",""))</f>
        <v/>
      </c>
      <c r="M831" s="55" t="str">
        <f aca="false">IF(AND(C831="",G831="",H831=""),"فارغ",IF(ISNA(MATCH(C831,'شجرة الحسابات'!$A$9:$A$208,0)),"حساب غير معرف",IF(L831&lt;&gt;"تحليلي","حساب تجميعي",IF(AND(N(G831)&gt;0,N(H831)&gt;0),"مدين ودائن معاً",IF(N(G831)+N(H831)=0,"بدون قيمة","OK")))))</f>
        <v>فارغ</v>
      </c>
      <c r="N831" s="55" t="str">
        <f aca="false">IF(AND(E831&lt;&gt;"",E831='كشف حساب مشروع'!$C$6,I831="مرحل ✔"),COUNTIFS($E$11:E831,'كشف حساب مشروع'!$C$6,$I$11:I831,"مرحل ✔"),"")</f>
        <v/>
      </c>
      <c r="O831" s="55" t="str">
        <f aca="false">IF(AND(C831&lt;&gt;"",C831='دفتر الأستاذ'!$C$6,I831="مرحل ✔"),COUNTIFS($C$11:C831,'دفتر الأستاذ'!$C$6,$I$11:I831,"مرحل ✔"),"")</f>
        <v/>
      </c>
    </row>
    <row r="832" customFormat="false" ht="15" hidden="false" customHeight="false" outlineLevel="0" collapsed="false">
      <c r="A832" s="49"/>
      <c r="B832" s="50"/>
      <c r="C832" s="49"/>
      <c r="D832" s="51" t="str">
        <f aca="false">IF(C832="","",IFERROR(INDEX('شجرة الحسابات'!$B$9:$B$208,MATCH(C832,'شجرة الحسابات'!$A$9:$A$208,0)),"⚠ حساب غير معرف"))</f>
        <v/>
      </c>
      <c r="E832" s="52"/>
      <c r="F832" s="52"/>
      <c r="G832" s="53"/>
      <c r="H832" s="53"/>
      <c r="I832" s="54" t="str">
        <f aca="false">IF(A832="",IF(M832="فارغ","","✖ بدون رقم قيد"),IF(COUNTIFS('قيود اليومية'!$A$11:$A$1010,A832,'قيود اليومية'!$M$11:$M$1010,"&lt;&gt;OK",'قيود اليومية'!$M$11:$M$1010,"&lt;&gt;فارغ")&gt;0,"✖ خطأ بالحساب",IF(ROUND(SUMIFS('قيود اليومية'!$G$11:$G$1010,'قيود اليومية'!$A$11:$A$1010,A832)-SUMIFS('قيود اليومية'!$H$11:$H$1010,'قيود اليومية'!$A$11:$A$1010,A832),2)&lt;&gt;0,"✖ غير متوازن","مرحل ✔")))</f>
        <v/>
      </c>
      <c r="J832" s="55" t="str">
        <f aca="false">IF(C832="","",IFERROR(INDEX('شجرة الحسابات'!$E$9:$E$208,MATCH(C832,'شجرة الحسابات'!$A$9:$A$208,0))&amp;"",""))</f>
        <v/>
      </c>
      <c r="K832" s="55" t="str">
        <f aca="false">IF(C832="","",IFERROR(INDEX('شجرة الحسابات'!$I$9:$I$208,MATCH(C832,'شجرة الحسابات'!$A$9:$A$208,0))&amp;"",""))</f>
        <v/>
      </c>
      <c r="L832" s="55" t="str">
        <f aca="false">IF(C832="","",IFERROR(INDEX('شجرة الحسابات'!$C$9:$C$208,MATCH(C832,'شجرة الحسابات'!$A$9:$A$208,0))&amp;"",""))</f>
        <v/>
      </c>
      <c r="M832" s="55" t="str">
        <f aca="false">IF(AND(C832="",G832="",H832=""),"فارغ",IF(ISNA(MATCH(C832,'شجرة الحسابات'!$A$9:$A$208,0)),"حساب غير معرف",IF(L832&lt;&gt;"تحليلي","حساب تجميعي",IF(AND(N(G832)&gt;0,N(H832)&gt;0),"مدين ودائن معاً",IF(N(G832)+N(H832)=0,"بدون قيمة","OK")))))</f>
        <v>فارغ</v>
      </c>
      <c r="N832" s="55" t="str">
        <f aca="false">IF(AND(E832&lt;&gt;"",E832='كشف حساب مشروع'!$C$6,I832="مرحل ✔"),COUNTIFS($E$11:E832,'كشف حساب مشروع'!$C$6,$I$11:I832,"مرحل ✔"),"")</f>
        <v/>
      </c>
      <c r="O832" s="55" t="str">
        <f aca="false">IF(AND(C832&lt;&gt;"",C832='دفتر الأستاذ'!$C$6,I832="مرحل ✔"),COUNTIFS($C$11:C832,'دفتر الأستاذ'!$C$6,$I$11:I832,"مرحل ✔"),"")</f>
        <v/>
      </c>
    </row>
    <row r="833" customFormat="false" ht="15" hidden="false" customHeight="false" outlineLevel="0" collapsed="false">
      <c r="A833" s="49"/>
      <c r="B833" s="50"/>
      <c r="C833" s="49"/>
      <c r="D833" s="51" t="str">
        <f aca="false">IF(C833="","",IFERROR(INDEX('شجرة الحسابات'!$B$9:$B$208,MATCH(C833,'شجرة الحسابات'!$A$9:$A$208,0)),"⚠ حساب غير معرف"))</f>
        <v/>
      </c>
      <c r="E833" s="52"/>
      <c r="F833" s="52"/>
      <c r="G833" s="53"/>
      <c r="H833" s="53"/>
      <c r="I833" s="54" t="str">
        <f aca="false">IF(A833="",IF(M833="فارغ","","✖ بدون رقم قيد"),IF(COUNTIFS('قيود اليومية'!$A$11:$A$1010,A833,'قيود اليومية'!$M$11:$M$1010,"&lt;&gt;OK",'قيود اليومية'!$M$11:$M$1010,"&lt;&gt;فارغ")&gt;0,"✖ خطأ بالحساب",IF(ROUND(SUMIFS('قيود اليومية'!$G$11:$G$1010,'قيود اليومية'!$A$11:$A$1010,A833)-SUMIFS('قيود اليومية'!$H$11:$H$1010,'قيود اليومية'!$A$11:$A$1010,A833),2)&lt;&gt;0,"✖ غير متوازن","مرحل ✔")))</f>
        <v/>
      </c>
      <c r="J833" s="55" t="str">
        <f aca="false">IF(C833="","",IFERROR(INDEX('شجرة الحسابات'!$E$9:$E$208,MATCH(C833,'شجرة الحسابات'!$A$9:$A$208,0))&amp;"",""))</f>
        <v/>
      </c>
      <c r="K833" s="55" t="str">
        <f aca="false">IF(C833="","",IFERROR(INDEX('شجرة الحسابات'!$I$9:$I$208,MATCH(C833,'شجرة الحسابات'!$A$9:$A$208,0))&amp;"",""))</f>
        <v/>
      </c>
      <c r="L833" s="55" t="str">
        <f aca="false">IF(C833="","",IFERROR(INDEX('شجرة الحسابات'!$C$9:$C$208,MATCH(C833,'شجرة الحسابات'!$A$9:$A$208,0))&amp;"",""))</f>
        <v/>
      </c>
      <c r="M833" s="55" t="str">
        <f aca="false">IF(AND(C833="",G833="",H833=""),"فارغ",IF(ISNA(MATCH(C833,'شجرة الحسابات'!$A$9:$A$208,0)),"حساب غير معرف",IF(L833&lt;&gt;"تحليلي","حساب تجميعي",IF(AND(N(G833)&gt;0,N(H833)&gt;0),"مدين ودائن معاً",IF(N(G833)+N(H833)=0,"بدون قيمة","OK")))))</f>
        <v>فارغ</v>
      </c>
      <c r="N833" s="55" t="str">
        <f aca="false">IF(AND(E833&lt;&gt;"",E833='كشف حساب مشروع'!$C$6,I833="مرحل ✔"),COUNTIFS($E$11:E833,'كشف حساب مشروع'!$C$6,$I$11:I833,"مرحل ✔"),"")</f>
        <v/>
      </c>
      <c r="O833" s="55" t="str">
        <f aca="false">IF(AND(C833&lt;&gt;"",C833='دفتر الأستاذ'!$C$6,I833="مرحل ✔"),COUNTIFS($C$11:C833,'دفتر الأستاذ'!$C$6,$I$11:I833,"مرحل ✔"),"")</f>
        <v/>
      </c>
    </row>
    <row r="834" customFormat="false" ht="15" hidden="false" customHeight="false" outlineLevel="0" collapsed="false">
      <c r="A834" s="49"/>
      <c r="B834" s="50"/>
      <c r="C834" s="49"/>
      <c r="D834" s="51" t="str">
        <f aca="false">IF(C834="","",IFERROR(INDEX('شجرة الحسابات'!$B$9:$B$208,MATCH(C834,'شجرة الحسابات'!$A$9:$A$208,0)),"⚠ حساب غير معرف"))</f>
        <v/>
      </c>
      <c r="E834" s="52"/>
      <c r="F834" s="52"/>
      <c r="G834" s="53"/>
      <c r="H834" s="53"/>
      <c r="I834" s="54" t="str">
        <f aca="false">IF(A834="",IF(M834="فارغ","","✖ بدون رقم قيد"),IF(COUNTIFS('قيود اليومية'!$A$11:$A$1010,A834,'قيود اليومية'!$M$11:$M$1010,"&lt;&gt;OK",'قيود اليومية'!$M$11:$M$1010,"&lt;&gt;فارغ")&gt;0,"✖ خطأ بالحساب",IF(ROUND(SUMIFS('قيود اليومية'!$G$11:$G$1010,'قيود اليومية'!$A$11:$A$1010,A834)-SUMIFS('قيود اليومية'!$H$11:$H$1010,'قيود اليومية'!$A$11:$A$1010,A834),2)&lt;&gt;0,"✖ غير متوازن","مرحل ✔")))</f>
        <v/>
      </c>
      <c r="J834" s="55" t="str">
        <f aca="false">IF(C834="","",IFERROR(INDEX('شجرة الحسابات'!$E$9:$E$208,MATCH(C834,'شجرة الحسابات'!$A$9:$A$208,0))&amp;"",""))</f>
        <v/>
      </c>
      <c r="K834" s="55" t="str">
        <f aca="false">IF(C834="","",IFERROR(INDEX('شجرة الحسابات'!$I$9:$I$208,MATCH(C834,'شجرة الحسابات'!$A$9:$A$208,0))&amp;"",""))</f>
        <v/>
      </c>
      <c r="L834" s="55" t="str">
        <f aca="false">IF(C834="","",IFERROR(INDEX('شجرة الحسابات'!$C$9:$C$208,MATCH(C834,'شجرة الحسابات'!$A$9:$A$208,0))&amp;"",""))</f>
        <v/>
      </c>
      <c r="M834" s="55" t="str">
        <f aca="false">IF(AND(C834="",G834="",H834=""),"فارغ",IF(ISNA(MATCH(C834,'شجرة الحسابات'!$A$9:$A$208,0)),"حساب غير معرف",IF(L834&lt;&gt;"تحليلي","حساب تجميعي",IF(AND(N(G834)&gt;0,N(H834)&gt;0),"مدين ودائن معاً",IF(N(G834)+N(H834)=0,"بدون قيمة","OK")))))</f>
        <v>فارغ</v>
      </c>
      <c r="N834" s="55" t="str">
        <f aca="false">IF(AND(E834&lt;&gt;"",E834='كشف حساب مشروع'!$C$6,I834="مرحل ✔"),COUNTIFS($E$11:E834,'كشف حساب مشروع'!$C$6,$I$11:I834,"مرحل ✔"),"")</f>
        <v/>
      </c>
      <c r="O834" s="55" t="str">
        <f aca="false">IF(AND(C834&lt;&gt;"",C834='دفتر الأستاذ'!$C$6,I834="مرحل ✔"),COUNTIFS($C$11:C834,'دفتر الأستاذ'!$C$6,$I$11:I834,"مرحل ✔"),"")</f>
        <v/>
      </c>
    </row>
    <row r="835" customFormat="false" ht="15" hidden="false" customHeight="false" outlineLevel="0" collapsed="false">
      <c r="A835" s="49"/>
      <c r="B835" s="50"/>
      <c r="C835" s="49"/>
      <c r="D835" s="51" t="str">
        <f aca="false">IF(C835="","",IFERROR(INDEX('شجرة الحسابات'!$B$9:$B$208,MATCH(C835,'شجرة الحسابات'!$A$9:$A$208,0)),"⚠ حساب غير معرف"))</f>
        <v/>
      </c>
      <c r="E835" s="52"/>
      <c r="F835" s="52"/>
      <c r="G835" s="53"/>
      <c r="H835" s="53"/>
      <c r="I835" s="54" t="str">
        <f aca="false">IF(A835="",IF(M835="فارغ","","✖ بدون رقم قيد"),IF(COUNTIFS('قيود اليومية'!$A$11:$A$1010,A835,'قيود اليومية'!$M$11:$M$1010,"&lt;&gt;OK",'قيود اليومية'!$M$11:$M$1010,"&lt;&gt;فارغ")&gt;0,"✖ خطأ بالحساب",IF(ROUND(SUMIFS('قيود اليومية'!$G$11:$G$1010,'قيود اليومية'!$A$11:$A$1010,A835)-SUMIFS('قيود اليومية'!$H$11:$H$1010,'قيود اليومية'!$A$11:$A$1010,A835),2)&lt;&gt;0,"✖ غير متوازن","مرحل ✔")))</f>
        <v/>
      </c>
      <c r="J835" s="55" t="str">
        <f aca="false">IF(C835="","",IFERROR(INDEX('شجرة الحسابات'!$E$9:$E$208,MATCH(C835,'شجرة الحسابات'!$A$9:$A$208,0))&amp;"",""))</f>
        <v/>
      </c>
      <c r="K835" s="55" t="str">
        <f aca="false">IF(C835="","",IFERROR(INDEX('شجرة الحسابات'!$I$9:$I$208,MATCH(C835,'شجرة الحسابات'!$A$9:$A$208,0))&amp;"",""))</f>
        <v/>
      </c>
      <c r="L835" s="55" t="str">
        <f aca="false">IF(C835="","",IFERROR(INDEX('شجرة الحسابات'!$C$9:$C$208,MATCH(C835,'شجرة الحسابات'!$A$9:$A$208,0))&amp;"",""))</f>
        <v/>
      </c>
      <c r="M835" s="55" t="str">
        <f aca="false">IF(AND(C835="",G835="",H835=""),"فارغ",IF(ISNA(MATCH(C835,'شجرة الحسابات'!$A$9:$A$208,0)),"حساب غير معرف",IF(L835&lt;&gt;"تحليلي","حساب تجميعي",IF(AND(N(G835)&gt;0,N(H835)&gt;0),"مدين ودائن معاً",IF(N(G835)+N(H835)=0,"بدون قيمة","OK")))))</f>
        <v>فارغ</v>
      </c>
      <c r="N835" s="55" t="str">
        <f aca="false">IF(AND(E835&lt;&gt;"",E835='كشف حساب مشروع'!$C$6,I835="مرحل ✔"),COUNTIFS($E$11:E835,'كشف حساب مشروع'!$C$6,$I$11:I835,"مرحل ✔"),"")</f>
        <v/>
      </c>
      <c r="O835" s="55" t="str">
        <f aca="false">IF(AND(C835&lt;&gt;"",C835='دفتر الأستاذ'!$C$6,I835="مرحل ✔"),COUNTIFS($C$11:C835,'دفتر الأستاذ'!$C$6,$I$11:I835,"مرحل ✔"),"")</f>
        <v/>
      </c>
    </row>
    <row r="836" customFormat="false" ht="15" hidden="false" customHeight="false" outlineLevel="0" collapsed="false">
      <c r="A836" s="49"/>
      <c r="B836" s="50"/>
      <c r="C836" s="49"/>
      <c r="D836" s="51" t="str">
        <f aca="false">IF(C836="","",IFERROR(INDEX('شجرة الحسابات'!$B$9:$B$208,MATCH(C836,'شجرة الحسابات'!$A$9:$A$208,0)),"⚠ حساب غير معرف"))</f>
        <v/>
      </c>
      <c r="E836" s="52"/>
      <c r="F836" s="52"/>
      <c r="G836" s="53"/>
      <c r="H836" s="53"/>
      <c r="I836" s="54" t="str">
        <f aca="false">IF(A836="",IF(M836="فارغ","","✖ بدون رقم قيد"),IF(COUNTIFS('قيود اليومية'!$A$11:$A$1010,A836,'قيود اليومية'!$M$11:$M$1010,"&lt;&gt;OK",'قيود اليومية'!$M$11:$M$1010,"&lt;&gt;فارغ")&gt;0,"✖ خطأ بالحساب",IF(ROUND(SUMIFS('قيود اليومية'!$G$11:$G$1010,'قيود اليومية'!$A$11:$A$1010,A836)-SUMIFS('قيود اليومية'!$H$11:$H$1010,'قيود اليومية'!$A$11:$A$1010,A836),2)&lt;&gt;0,"✖ غير متوازن","مرحل ✔")))</f>
        <v/>
      </c>
      <c r="J836" s="55" t="str">
        <f aca="false">IF(C836="","",IFERROR(INDEX('شجرة الحسابات'!$E$9:$E$208,MATCH(C836,'شجرة الحسابات'!$A$9:$A$208,0))&amp;"",""))</f>
        <v/>
      </c>
      <c r="K836" s="55" t="str">
        <f aca="false">IF(C836="","",IFERROR(INDEX('شجرة الحسابات'!$I$9:$I$208,MATCH(C836,'شجرة الحسابات'!$A$9:$A$208,0))&amp;"",""))</f>
        <v/>
      </c>
      <c r="L836" s="55" t="str">
        <f aca="false">IF(C836="","",IFERROR(INDEX('شجرة الحسابات'!$C$9:$C$208,MATCH(C836,'شجرة الحسابات'!$A$9:$A$208,0))&amp;"",""))</f>
        <v/>
      </c>
      <c r="M836" s="55" t="str">
        <f aca="false">IF(AND(C836="",G836="",H836=""),"فارغ",IF(ISNA(MATCH(C836,'شجرة الحسابات'!$A$9:$A$208,0)),"حساب غير معرف",IF(L836&lt;&gt;"تحليلي","حساب تجميعي",IF(AND(N(G836)&gt;0,N(H836)&gt;0),"مدين ودائن معاً",IF(N(G836)+N(H836)=0,"بدون قيمة","OK")))))</f>
        <v>فارغ</v>
      </c>
      <c r="N836" s="55" t="str">
        <f aca="false">IF(AND(E836&lt;&gt;"",E836='كشف حساب مشروع'!$C$6,I836="مرحل ✔"),COUNTIFS($E$11:E836,'كشف حساب مشروع'!$C$6,$I$11:I836,"مرحل ✔"),"")</f>
        <v/>
      </c>
      <c r="O836" s="55" t="str">
        <f aca="false">IF(AND(C836&lt;&gt;"",C836='دفتر الأستاذ'!$C$6,I836="مرحل ✔"),COUNTIFS($C$11:C836,'دفتر الأستاذ'!$C$6,$I$11:I836,"مرحل ✔"),"")</f>
        <v/>
      </c>
    </row>
    <row r="837" customFormat="false" ht="15" hidden="false" customHeight="false" outlineLevel="0" collapsed="false">
      <c r="A837" s="49"/>
      <c r="B837" s="50"/>
      <c r="C837" s="49"/>
      <c r="D837" s="51" t="str">
        <f aca="false">IF(C837="","",IFERROR(INDEX('شجرة الحسابات'!$B$9:$B$208,MATCH(C837,'شجرة الحسابات'!$A$9:$A$208,0)),"⚠ حساب غير معرف"))</f>
        <v/>
      </c>
      <c r="E837" s="52"/>
      <c r="F837" s="52"/>
      <c r="G837" s="53"/>
      <c r="H837" s="53"/>
      <c r="I837" s="54" t="str">
        <f aca="false">IF(A837="",IF(M837="فارغ","","✖ بدون رقم قيد"),IF(COUNTIFS('قيود اليومية'!$A$11:$A$1010,A837,'قيود اليومية'!$M$11:$M$1010,"&lt;&gt;OK",'قيود اليومية'!$M$11:$M$1010,"&lt;&gt;فارغ")&gt;0,"✖ خطأ بالحساب",IF(ROUND(SUMIFS('قيود اليومية'!$G$11:$G$1010,'قيود اليومية'!$A$11:$A$1010,A837)-SUMIFS('قيود اليومية'!$H$11:$H$1010,'قيود اليومية'!$A$11:$A$1010,A837),2)&lt;&gt;0,"✖ غير متوازن","مرحل ✔")))</f>
        <v/>
      </c>
      <c r="J837" s="55" t="str">
        <f aca="false">IF(C837="","",IFERROR(INDEX('شجرة الحسابات'!$E$9:$E$208,MATCH(C837,'شجرة الحسابات'!$A$9:$A$208,0))&amp;"",""))</f>
        <v/>
      </c>
      <c r="K837" s="55" t="str">
        <f aca="false">IF(C837="","",IFERROR(INDEX('شجرة الحسابات'!$I$9:$I$208,MATCH(C837,'شجرة الحسابات'!$A$9:$A$208,0))&amp;"",""))</f>
        <v/>
      </c>
      <c r="L837" s="55" t="str">
        <f aca="false">IF(C837="","",IFERROR(INDEX('شجرة الحسابات'!$C$9:$C$208,MATCH(C837,'شجرة الحسابات'!$A$9:$A$208,0))&amp;"",""))</f>
        <v/>
      </c>
      <c r="M837" s="55" t="str">
        <f aca="false">IF(AND(C837="",G837="",H837=""),"فارغ",IF(ISNA(MATCH(C837,'شجرة الحسابات'!$A$9:$A$208,0)),"حساب غير معرف",IF(L837&lt;&gt;"تحليلي","حساب تجميعي",IF(AND(N(G837)&gt;0,N(H837)&gt;0),"مدين ودائن معاً",IF(N(G837)+N(H837)=0,"بدون قيمة","OK")))))</f>
        <v>فارغ</v>
      </c>
      <c r="N837" s="55" t="str">
        <f aca="false">IF(AND(E837&lt;&gt;"",E837='كشف حساب مشروع'!$C$6,I837="مرحل ✔"),COUNTIFS($E$11:E837,'كشف حساب مشروع'!$C$6,$I$11:I837,"مرحل ✔"),"")</f>
        <v/>
      </c>
      <c r="O837" s="55" t="str">
        <f aca="false">IF(AND(C837&lt;&gt;"",C837='دفتر الأستاذ'!$C$6,I837="مرحل ✔"),COUNTIFS($C$11:C837,'دفتر الأستاذ'!$C$6,$I$11:I837,"مرحل ✔"),"")</f>
        <v/>
      </c>
    </row>
    <row r="838" customFormat="false" ht="15" hidden="false" customHeight="false" outlineLevel="0" collapsed="false">
      <c r="A838" s="49"/>
      <c r="B838" s="50"/>
      <c r="C838" s="49"/>
      <c r="D838" s="51" t="str">
        <f aca="false">IF(C838="","",IFERROR(INDEX('شجرة الحسابات'!$B$9:$B$208,MATCH(C838,'شجرة الحسابات'!$A$9:$A$208,0)),"⚠ حساب غير معرف"))</f>
        <v/>
      </c>
      <c r="E838" s="52"/>
      <c r="F838" s="52"/>
      <c r="G838" s="53"/>
      <c r="H838" s="53"/>
      <c r="I838" s="54" t="str">
        <f aca="false">IF(A838="",IF(M838="فارغ","","✖ بدون رقم قيد"),IF(COUNTIFS('قيود اليومية'!$A$11:$A$1010,A838,'قيود اليومية'!$M$11:$M$1010,"&lt;&gt;OK",'قيود اليومية'!$M$11:$M$1010,"&lt;&gt;فارغ")&gt;0,"✖ خطأ بالحساب",IF(ROUND(SUMIFS('قيود اليومية'!$G$11:$G$1010,'قيود اليومية'!$A$11:$A$1010,A838)-SUMIFS('قيود اليومية'!$H$11:$H$1010,'قيود اليومية'!$A$11:$A$1010,A838),2)&lt;&gt;0,"✖ غير متوازن","مرحل ✔")))</f>
        <v/>
      </c>
      <c r="J838" s="55" t="str">
        <f aca="false">IF(C838="","",IFERROR(INDEX('شجرة الحسابات'!$E$9:$E$208,MATCH(C838,'شجرة الحسابات'!$A$9:$A$208,0))&amp;"",""))</f>
        <v/>
      </c>
      <c r="K838" s="55" t="str">
        <f aca="false">IF(C838="","",IFERROR(INDEX('شجرة الحسابات'!$I$9:$I$208,MATCH(C838,'شجرة الحسابات'!$A$9:$A$208,0))&amp;"",""))</f>
        <v/>
      </c>
      <c r="L838" s="55" t="str">
        <f aca="false">IF(C838="","",IFERROR(INDEX('شجرة الحسابات'!$C$9:$C$208,MATCH(C838,'شجرة الحسابات'!$A$9:$A$208,0))&amp;"",""))</f>
        <v/>
      </c>
      <c r="M838" s="55" t="str">
        <f aca="false">IF(AND(C838="",G838="",H838=""),"فارغ",IF(ISNA(MATCH(C838,'شجرة الحسابات'!$A$9:$A$208,0)),"حساب غير معرف",IF(L838&lt;&gt;"تحليلي","حساب تجميعي",IF(AND(N(G838)&gt;0,N(H838)&gt;0),"مدين ودائن معاً",IF(N(G838)+N(H838)=0,"بدون قيمة","OK")))))</f>
        <v>فارغ</v>
      </c>
      <c r="N838" s="55" t="str">
        <f aca="false">IF(AND(E838&lt;&gt;"",E838='كشف حساب مشروع'!$C$6,I838="مرحل ✔"),COUNTIFS($E$11:E838,'كشف حساب مشروع'!$C$6,$I$11:I838,"مرحل ✔"),"")</f>
        <v/>
      </c>
      <c r="O838" s="55" t="str">
        <f aca="false">IF(AND(C838&lt;&gt;"",C838='دفتر الأستاذ'!$C$6,I838="مرحل ✔"),COUNTIFS($C$11:C838,'دفتر الأستاذ'!$C$6,$I$11:I838,"مرحل ✔"),"")</f>
        <v/>
      </c>
    </row>
    <row r="839" customFormat="false" ht="15" hidden="false" customHeight="false" outlineLevel="0" collapsed="false">
      <c r="A839" s="49"/>
      <c r="B839" s="50"/>
      <c r="C839" s="49"/>
      <c r="D839" s="51" t="str">
        <f aca="false">IF(C839="","",IFERROR(INDEX('شجرة الحسابات'!$B$9:$B$208,MATCH(C839,'شجرة الحسابات'!$A$9:$A$208,0)),"⚠ حساب غير معرف"))</f>
        <v/>
      </c>
      <c r="E839" s="52"/>
      <c r="F839" s="52"/>
      <c r="G839" s="53"/>
      <c r="H839" s="53"/>
      <c r="I839" s="54" t="str">
        <f aca="false">IF(A839="",IF(M839="فارغ","","✖ بدون رقم قيد"),IF(COUNTIFS('قيود اليومية'!$A$11:$A$1010,A839,'قيود اليومية'!$M$11:$M$1010,"&lt;&gt;OK",'قيود اليومية'!$M$11:$M$1010,"&lt;&gt;فارغ")&gt;0,"✖ خطأ بالحساب",IF(ROUND(SUMIFS('قيود اليومية'!$G$11:$G$1010,'قيود اليومية'!$A$11:$A$1010,A839)-SUMIFS('قيود اليومية'!$H$11:$H$1010,'قيود اليومية'!$A$11:$A$1010,A839),2)&lt;&gt;0,"✖ غير متوازن","مرحل ✔")))</f>
        <v/>
      </c>
      <c r="J839" s="55" t="str">
        <f aca="false">IF(C839="","",IFERROR(INDEX('شجرة الحسابات'!$E$9:$E$208,MATCH(C839,'شجرة الحسابات'!$A$9:$A$208,0))&amp;"",""))</f>
        <v/>
      </c>
      <c r="K839" s="55" t="str">
        <f aca="false">IF(C839="","",IFERROR(INDEX('شجرة الحسابات'!$I$9:$I$208,MATCH(C839,'شجرة الحسابات'!$A$9:$A$208,0))&amp;"",""))</f>
        <v/>
      </c>
      <c r="L839" s="55" t="str">
        <f aca="false">IF(C839="","",IFERROR(INDEX('شجرة الحسابات'!$C$9:$C$208,MATCH(C839,'شجرة الحسابات'!$A$9:$A$208,0))&amp;"",""))</f>
        <v/>
      </c>
      <c r="M839" s="55" t="str">
        <f aca="false">IF(AND(C839="",G839="",H839=""),"فارغ",IF(ISNA(MATCH(C839,'شجرة الحسابات'!$A$9:$A$208,0)),"حساب غير معرف",IF(L839&lt;&gt;"تحليلي","حساب تجميعي",IF(AND(N(G839)&gt;0,N(H839)&gt;0),"مدين ودائن معاً",IF(N(G839)+N(H839)=0,"بدون قيمة","OK")))))</f>
        <v>فارغ</v>
      </c>
      <c r="N839" s="55" t="str">
        <f aca="false">IF(AND(E839&lt;&gt;"",E839='كشف حساب مشروع'!$C$6,I839="مرحل ✔"),COUNTIFS($E$11:E839,'كشف حساب مشروع'!$C$6,$I$11:I839,"مرحل ✔"),"")</f>
        <v/>
      </c>
      <c r="O839" s="55" t="str">
        <f aca="false">IF(AND(C839&lt;&gt;"",C839='دفتر الأستاذ'!$C$6,I839="مرحل ✔"),COUNTIFS($C$11:C839,'دفتر الأستاذ'!$C$6,$I$11:I839,"مرحل ✔"),"")</f>
        <v/>
      </c>
    </row>
    <row r="840" customFormat="false" ht="15" hidden="false" customHeight="false" outlineLevel="0" collapsed="false">
      <c r="A840" s="49"/>
      <c r="B840" s="50"/>
      <c r="C840" s="49"/>
      <c r="D840" s="51" t="str">
        <f aca="false">IF(C840="","",IFERROR(INDEX('شجرة الحسابات'!$B$9:$B$208,MATCH(C840,'شجرة الحسابات'!$A$9:$A$208,0)),"⚠ حساب غير معرف"))</f>
        <v/>
      </c>
      <c r="E840" s="52"/>
      <c r="F840" s="52"/>
      <c r="G840" s="53"/>
      <c r="H840" s="53"/>
      <c r="I840" s="54" t="str">
        <f aca="false">IF(A840="",IF(M840="فارغ","","✖ بدون رقم قيد"),IF(COUNTIFS('قيود اليومية'!$A$11:$A$1010,A840,'قيود اليومية'!$M$11:$M$1010,"&lt;&gt;OK",'قيود اليومية'!$M$11:$M$1010,"&lt;&gt;فارغ")&gt;0,"✖ خطأ بالحساب",IF(ROUND(SUMIFS('قيود اليومية'!$G$11:$G$1010,'قيود اليومية'!$A$11:$A$1010,A840)-SUMIFS('قيود اليومية'!$H$11:$H$1010,'قيود اليومية'!$A$11:$A$1010,A840),2)&lt;&gt;0,"✖ غير متوازن","مرحل ✔")))</f>
        <v/>
      </c>
      <c r="J840" s="55" t="str">
        <f aca="false">IF(C840="","",IFERROR(INDEX('شجرة الحسابات'!$E$9:$E$208,MATCH(C840,'شجرة الحسابات'!$A$9:$A$208,0))&amp;"",""))</f>
        <v/>
      </c>
      <c r="K840" s="55" t="str">
        <f aca="false">IF(C840="","",IFERROR(INDEX('شجرة الحسابات'!$I$9:$I$208,MATCH(C840,'شجرة الحسابات'!$A$9:$A$208,0))&amp;"",""))</f>
        <v/>
      </c>
      <c r="L840" s="55" t="str">
        <f aca="false">IF(C840="","",IFERROR(INDEX('شجرة الحسابات'!$C$9:$C$208,MATCH(C840,'شجرة الحسابات'!$A$9:$A$208,0))&amp;"",""))</f>
        <v/>
      </c>
      <c r="M840" s="55" t="str">
        <f aca="false">IF(AND(C840="",G840="",H840=""),"فارغ",IF(ISNA(MATCH(C840,'شجرة الحسابات'!$A$9:$A$208,0)),"حساب غير معرف",IF(L840&lt;&gt;"تحليلي","حساب تجميعي",IF(AND(N(G840)&gt;0,N(H840)&gt;0),"مدين ودائن معاً",IF(N(G840)+N(H840)=0,"بدون قيمة","OK")))))</f>
        <v>فارغ</v>
      </c>
      <c r="N840" s="55" t="str">
        <f aca="false">IF(AND(E840&lt;&gt;"",E840='كشف حساب مشروع'!$C$6,I840="مرحل ✔"),COUNTIFS($E$11:E840,'كشف حساب مشروع'!$C$6,$I$11:I840,"مرحل ✔"),"")</f>
        <v/>
      </c>
      <c r="O840" s="55" t="str">
        <f aca="false">IF(AND(C840&lt;&gt;"",C840='دفتر الأستاذ'!$C$6,I840="مرحل ✔"),COUNTIFS($C$11:C840,'دفتر الأستاذ'!$C$6,$I$11:I840,"مرحل ✔"),"")</f>
        <v/>
      </c>
    </row>
    <row r="841" customFormat="false" ht="15" hidden="false" customHeight="false" outlineLevel="0" collapsed="false">
      <c r="A841" s="49"/>
      <c r="B841" s="50"/>
      <c r="C841" s="49"/>
      <c r="D841" s="51" t="str">
        <f aca="false">IF(C841="","",IFERROR(INDEX('شجرة الحسابات'!$B$9:$B$208,MATCH(C841,'شجرة الحسابات'!$A$9:$A$208,0)),"⚠ حساب غير معرف"))</f>
        <v/>
      </c>
      <c r="E841" s="52"/>
      <c r="F841" s="52"/>
      <c r="G841" s="53"/>
      <c r="H841" s="53"/>
      <c r="I841" s="54" t="str">
        <f aca="false">IF(A841="",IF(M841="فارغ","","✖ بدون رقم قيد"),IF(COUNTIFS('قيود اليومية'!$A$11:$A$1010,A841,'قيود اليومية'!$M$11:$M$1010,"&lt;&gt;OK",'قيود اليومية'!$M$11:$M$1010,"&lt;&gt;فارغ")&gt;0,"✖ خطأ بالحساب",IF(ROUND(SUMIFS('قيود اليومية'!$G$11:$G$1010,'قيود اليومية'!$A$11:$A$1010,A841)-SUMIFS('قيود اليومية'!$H$11:$H$1010,'قيود اليومية'!$A$11:$A$1010,A841),2)&lt;&gt;0,"✖ غير متوازن","مرحل ✔")))</f>
        <v/>
      </c>
      <c r="J841" s="55" t="str">
        <f aca="false">IF(C841="","",IFERROR(INDEX('شجرة الحسابات'!$E$9:$E$208,MATCH(C841,'شجرة الحسابات'!$A$9:$A$208,0))&amp;"",""))</f>
        <v/>
      </c>
      <c r="K841" s="55" t="str">
        <f aca="false">IF(C841="","",IFERROR(INDEX('شجرة الحسابات'!$I$9:$I$208,MATCH(C841,'شجرة الحسابات'!$A$9:$A$208,0))&amp;"",""))</f>
        <v/>
      </c>
      <c r="L841" s="55" t="str">
        <f aca="false">IF(C841="","",IFERROR(INDEX('شجرة الحسابات'!$C$9:$C$208,MATCH(C841,'شجرة الحسابات'!$A$9:$A$208,0))&amp;"",""))</f>
        <v/>
      </c>
      <c r="M841" s="55" t="str">
        <f aca="false">IF(AND(C841="",G841="",H841=""),"فارغ",IF(ISNA(MATCH(C841,'شجرة الحسابات'!$A$9:$A$208,0)),"حساب غير معرف",IF(L841&lt;&gt;"تحليلي","حساب تجميعي",IF(AND(N(G841)&gt;0,N(H841)&gt;0),"مدين ودائن معاً",IF(N(G841)+N(H841)=0,"بدون قيمة","OK")))))</f>
        <v>فارغ</v>
      </c>
      <c r="N841" s="55" t="str">
        <f aca="false">IF(AND(E841&lt;&gt;"",E841='كشف حساب مشروع'!$C$6,I841="مرحل ✔"),COUNTIFS($E$11:E841,'كشف حساب مشروع'!$C$6,$I$11:I841,"مرحل ✔"),"")</f>
        <v/>
      </c>
      <c r="O841" s="55" t="str">
        <f aca="false">IF(AND(C841&lt;&gt;"",C841='دفتر الأستاذ'!$C$6,I841="مرحل ✔"),COUNTIFS($C$11:C841,'دفتر الأستاذ'!$C$6,$I$11:I841,"مرحل ✔"),"")</f>
        <v/>
      </c>
    </row>
    <row r="842" customFormat="false" ht="15" hidden="false" customHeight="false" outlineLevel="0" collapsed="false">
      <c r="A842" s="49"/>
      <c r="B842" s="50"/>
      <c r="C842" s="49"/>
      <c r="D842" s="51" t="str">
        <f aca="false">IF(C842="","",IFERROR(INDEX('شجرة الحسابات'!$B$9:$B$208,MATCH(C842,'شجرة الحسابات'!$A$9:$A$208,0)),"⚠ حساب غير معرف"))</f>
        <v/>
      </c>
      <c r="E842" s="52"/>
      <c r="F842" s="52"/>
      <c r="G842" s="53"/>
      <c r="H842" s="53"/>
      <c r="I842" s="54" t="str">
        <f aca="false">IF(A842="",IF(M842="فارغ","","✖ بدون رقم قيد"),IF(COUNTIFS('قيود اليومية'!$A$11:$A$1010,A842,'قيود اليومية'!$M$11:$M$1010,"&lt;&gt;OK",'قيود اليومية'!$M$11:$M$1010,"&lt;&gt;فارغ")&gt;0,"✖ خطأ بالحساب",IF(ROUND(SUMIFS('قيود اليومية'!$G$11:$G$1010,'قيود اليومية'!$A$11:$A$1010,A842)-SUMIFS('قيود اليومية'!$H$11:$H$1010,'قيود اليومية'!$A$11:$A$1010,A842),2)&lt;&gt;0,"✖ غير متوازن","مرحل ✔")))</f>
        <v/>
      </c>
      <c r="J842" s="55" t="str">
        <f aca="false">IF(C842="","",IFERROR(INDEX('شجرة الحسابات'!$E$9:$E$208,MATCH(C842,'شجرة الحسابات'!$A$9:$A$208,0))&amp;"",""))</f>
        <v/>
      </c>
      <c r="K842" s="55" t="str">
        <f aca="false">IF(C842="","",IFERROR(INDEX('شجرة الحسابات'!$I$9:$I$208,MATCH(C842,'شجرة الحسابات'!$A$9:$A$208,0))&amp;"",""))</f>
        <v/>
      </c>
      <c r="L842" s="55" t="str">
        <f aca="false">IF(C842="","",IFERROR(INDEX('شجرة الحسابات'!$C$9:$C$208,MATCH(C842,'شجرة الحسابات'!$A$9:$A$208,0))&amp;"",""))</f>
        <v/>
      </c>
      <c r="M842" s="55" t="str">
        <f aca="false">IF(AND(C842="",G842="",H842=""),"فارغ",IF(ISNA(MATCH(C842,'شجرة الحسابات'!$A$9:$A$208,0)),"حساب غير معرف",IF(L842&lt;&gt;"تحليلي","حساب تجميعي",IF(AND(N(G842)&gt;0,N(H842)&gt;0),"مدين ودائن معاً",IF(N(G842)+N(H842)=0,"بدون قيمة","OK")))))</f>
        <v>فارغ</v>
      </c>
      <c r="N842" s="55" t="str">
        <f aca="false">IF(AND(E842&lt;&gt;"",E842='كشف حساب مشروع'!$C$6,I842="مرحل ✔"),COUNTIFS($E$11:E842,'كشف حساب مشروع'!$C$6,$I$11:I842,"مرحل ✔"),"")</f>
        <v/>
      </c>
      <c r="O842" s="55" t="str">
        <f aca="false">IF(AND(C842&lt;&gt;"",C842='دفتر الأستاذ'!$C$6,I842="مرحل ✔"),COUNTIFS($C$11:C842,'دفتر الأستاذ'!$C$6,$I$11:I842,"مرحل ✔"),"")</f>
        <v/>
      </c>
    </row>
    <row r="843" customFormat="false" ht="15" hidden="false" customHeight="false" outlineLevel="0" collapsed="false">
      <c r="A843" s="49"/>
      <c r="B843" s="50"/>
      <c r="C843" s="49"/>
      <c r="D843" s="51" t="str">
        <f aca="false">IF(C843="","",IFERROR(INDEX('شجرة الحسابات'!$B$9:$B$208,MATCH(C843,'شجرة الحسابات'!$A$9:$A$208,0)),"⚠ حساب غير معرف"))</f>
        <v/>
      </c>
      <c r="E843" s="52"/>
      <c r="F843" s="52"/>
      <c r="G843" s="53"/>
      <c r="H843" s="53"/>
      <c r="I843" s="54" t="str">
        <f aca="false">IF(A843="",IF(M843="فارغ","","✖ بدون رقم قيد"),IF(COUNTIFS('قيود اليومية'!$A$11:$A$1010,A843,'قيود اليومية'!$M$11:$M$1010,"&lt;&gt;OK",'قيود اليومية'!$M$11:$M$1010,"&lt;&gt;فارغ")&gt;0,"✖ خطأ بالحساب",IF(ROUND(SUMIFS('قيود اليومية'!$G$11:$G$1010,'قيود اليومية'!$A$11:$A$1010,A843)-SUMIFS('قيود اليومية'!$H$11:$H$1010,'قيود اليومية'!$A$11:$A$1010,A843),2)&lt;&gt;0,"✖ غير متوازن","مرحل ✔")))</f>
        <v/>
      </c>
      <c r="J843" s="55" t="str">
        <f aca="false">IF(C843="","",IFERROR(INDEX('شجرة الحسابات'!$E$9:$E$208,MATCH(C843,'شجرة الحسابات'!$A$9:$A$208,0))&amp;"",""))</f>
        <v/>
      </c>
      <c r="K843" s="55" t="str">
        <f aca="false">IF(C843="","",IFERROR(INDEX('شجرة الحسابات'!$I$9:$I$208,MATCH(C843,'شجرة الحسابات'!$A$9:$A$208,0))&amp;"",""))</f>
        <v/>
      </c>
      <c r="L843" s="55" t="str">
        <f aca="false">IF(C843="","",IFERROR(INDEX('شجرة الحسابات'!$C$9:$C$208,MATCH(C843,'شجرة الحسابات'!$A$9:$A$208,0))&amp;"",""))</f>
        <v/>
      </c>
      <c r="M843" s="55" t="str">
        <f aca="false">IF(AND(C843="",G843="",H843=""),"فارغ",IF(ISNA(MATCH(C843,'شجرة الحسابات'!$A$9:$A$208,0)),"حساب غير معرف",IF(L843&lt;&gt;"تحليلي","حساب تجميعي",IF(AND(N(G843)&gt;0,N(H843)&gt;0),"مدين ودائن معاً",IF(N(G843)+N(H843)=0,"بدون قيمة","OK")))))</f>
        <v>فارغ</v>
      </c>
      <c r="N843" s="55" t="str">
        <f aca="false">IF(AND(E843&lt;&gt;"",E843='كشف حساب مشروع'!$C$6,I843="مرحل ✔"),COUNTIFS($E$11:E843,'كشف حساب مشروع'!$C$6,$I$11:I843,"مرحل ✔"),"")</f>
        <v/>
      </c>
      <c r="O843" s="55" t="str">
        <f aca="false">IF(AND(C843&lt;&gt;"",C843='دفتر الأستاذ'!$C$6,I843="مرحل ✔"),COUNTIFS($C$11:C843,'دفتر الأستاذ'!$C$6,$I$11:I843,"مرحل ✔"),"")</f>
        <v/>
      </c>
    </row>
    <row r="844" customFormat="false" ht="15" hidden="false" customHeight="false" outlineLevel="0" collapsed="false">
      <c r="A844" s="49"/>
      <c r="B844" s="50"/>
      <c r="C844" s="49"/>
      <c r="D844" s="51" t="str">
        <f aca="false">IF(C844="","",IFERROR(INDEX('شجرة الحسابات'!$B$9:$B$208,MATCH(C844,'شجرة الحسابات'!$A$9:$A$208,0)),"⚠ حساب غير معرف"))</f>
        <v/>
      </c>
      <c r="E844" s="52"/>
      <c r="F844" s="52"/>
      <c r="G844" s="53"/>
      <c r="H844" s="53"/>
      <c r="I844" s="54" t="str">
        <f aca="false">IF(A844="",IF(M844="فارغ","","✖ بدون رقم قيد"),IF(COUNTIFS('قيود اليومية'!$A$11:$A$1010,A844,'قيود اليومية'!$M$11:$M$1010,"&lt;&gt;OK",'قيود اليومية'!$M$11:$M$1010,"&lt;&gt;فارغ")&gt;0,"✖ خطأ بالحساب",IF(ROUND(SUMIFS('قيود اليومية'!$G$11:$G$1010,'قيود اليومية'!$A$11:$A$1010,A844)-SUMIFS('قيود اليومية'!$H$11:$H$1010,'قيود اليومية'!$A$11:$A$1010,A844),2)&lt;&gt;0,"✖ غير متوازن","مرحل ✔")))</f>
        <v/>
      </c>
      <c r="J844" s="55" t="str">
        <f aca="false">IF(C844="","",IFERROR(INDEX('شجرة الحسابات'!$E$9:$E$208,MATCH(C844,'شجرة الحسابات'!$A$9:$A$208,0))&amp;"",""))</f>
        <v/>
      </c>
      <c r="K844" s="55" t="str">
        <f aca="false">IF(C844="","",IFERROR(INDEX('شجرة الحسابات'!$I$9:$I$208,MATCH(C844,'شجرة الحسابات'!$A$9:$A$208,0))&amp;"",""))</f>
        <v/>
      </c>
      <c r="L844" s="55" t="str">
        <f aca="false">IF(C844="","",IFERROR(INDEX('شجرة الحسابات'!$C$9:$C$208,MATCH(C844,'شجرة الحسابات'!$A$9:$A$208,0))&amp;"",""))</f>
        <v/>
      </c>
      <c r="M844" s="55" t="str">
        <f aca="false">IF(AND(C844="",G844="",H844=""),"فارغ",IF(ISNA(MATCH(C844,'شجرة الحسابات'!$A$9:$A$208,0)),"حساب غير معرف",IF(L844&lt;&gt;"تحليلي","حساب تجميعي",IF(AND(N(G844)&gt;0,N(H844)&gt;0),"مدين ودائن معاً",IF(N(G844)+N(H844)=0,"بدون قيمة","OK")))))</f>
        <v>فارغ</v>
      </c>
      <c r="N844" s="55" t="str">
        <f aca="false">IF(AND(E844&lt;&gt;"",E844='كشف حساب مشروع'!$C$6,I844="مرحل ✔"),COUNTIFS($E$11:E844,'كشف حساب مشروع'!$C$6,$I$11:I844,"مرحل ✔"),"")</f>
        <v/>
      </c>
      <c r="O844" s="55" t="str">
        <f aca="false">IF(AND(C844&lt;&gt;"",C844='دفتر الأستاذ'!$C$6,I844="مرحل ✔"),COUNTIFS($C$11:C844,'دفتر الأستاذ'!$C$6,$I$11:I844,"مرحل ✔"),"")</f>
        <v/>
      </c>
    </row>
    <row r="845" customFormat="false" ht="15" hidden="false" customHeight="false" outlineLevel="0" collapsed="false">
      <c r="A845" s="49"/>
      <c r="B845" s="50"/>
      <c r="C845" s="49"/>
      <c r="D845" s="51" t="str">
        <f aca="false">IF(C845="","",IFERROR(INDEX('شجرة الحسابات'!$B$9:$B$208,MATCH(C845,'شجرة الحسابات'!$A$9:$A$208,0)),"⚠ حساب غير معرف"))</f>
        <v/>
      </c>
      <c r="E845" s="52"/>
      <c r="F845" s="52"/>
      <c r="G845" s="53"/>
      <c r="H845" s="53"/>
      <c r="I845" s="54" t="str">
        <f aca="false">IF(A845="",IF(M845="فارغ","","✖ بدون رقم قيد"),IF(COUNTIFS('قيود اليومية'!$A$11:$A$1010,A845,'قيود اليومية'!$M$11:$M$1010,"&lt;&gt;OK",'قيود اليومية'!$M$11:$M$1010,"&lt;&gt;فارغ")&gt;0,"✖ خطأ بالحساب",IF(ROUND(SUMIFS('قيود اليومية'!$G$11:$G$1010,'قيود اليومية'!$A$11:$A$1010,A845)-SUMIFS('قيود اليومية'!$H$11:$H$1010,'قيود اليومية'!$A$11:$A$1010,A845),2)&lt;&gt;0,"✖ غير متوازن","مرحل ✔")))</f>
        <v/>
      </c>
      <c r="J845" s="55" t="str">
        <f aca="false">IF(C845="","",IFERROR(INDEX('شجرة الحسابات'!$E$9:$E$208,MATCH(C845,'شجرة الحسابات'!$A$9:$A$208,0))&amp;"",""))</f>
        <v/>
      </c>
      <c r="K845" s="55" t="str">
        <f aca="false">IF(C845="","",IFERROR(INDEX('شجرة الحسابات'!$I$9:$I$208,MATCH(C845,'شجرة الحسابات'!$A$9:$A$208,0))&amp;"",""))</f>
        <v/>
      </c>
      <c r="L845" s="55" t="str">
        <f aca="false">IF(C845="","",IFERROR(INDEX('شجرة الحسابات'!$C$9:$C$208,MATCH(C845,'شجرة الحسابات'!$A$9:$A$208,0))&amp;"",""))</f>
        <v/>
      </c>
      <c r="M845" s="55" t="str">
        <f aca="false">IF(AND(C845="",G845="",H845=""),"فارغ",IF(ISNA(MATCH(C845,'شجرة الحسابات'!$A$9:$A$208,0)),"حساب غير معرف",IF(L845&lt;&gt;"تحليلي","حساب تجميعي",IF(AND(N(G845)&gt;0,N(H845)&gt;0),"مدين ودائن معاً",IF(N(G845)+N(H845)=0,"بدون قيمة","OK")))))</f>
        <v>فارغ</v>
      </c>
      <c r="N845" s="55" t="str">
        <f aca="false">IF(AND(E845&lt;&gt;"",E845='كشف حساب مشروع'!$C$6,I845="مرحل ✔"),COUNTIFS($E$11:E845,'كشف حساب مشروع'!$C$6,$I$11:I845,"مرحل ✔"),"")</f>
        <v/>
      </c>
      <c r="O845" s="55" t="str">
        <f aca="false">IF(AND(C845&lt;&gt;"",C845='دفتر الأستاذ'!$C$6,I845="مرحل ✔"),COUNTIFS($C$11:C845,'دفتر الأستاذ'!$C$6,$I$11:I845,"مرحل ✔"),"")</f>
        <v/>
      </c>
    </row>
    <row r="846" customFormat="false" ht="15" hidden="false" customHeight="false" outlineLevel="0" collapsed="false">
      <c r="A846" s="49"/>
      <c r="B846" s="50"/>
      <c r="C846" s="49"/>
      <c r="D846" s="51" t="str">
        <f aca="false">IF(C846="","",IFERROR(INDEX('شجرة الحسابات'!$B$9:$B$208,MATCH(C846,'شجرة الحسابات'!$A$9:$A$208,0)),"⚠ حساب غير معرف"))</f>
        <v/>
      </c>
      <c r="E846" s="52"/>
      <c r="F846" s="52"/>
      <c r="G846" s="53"/>
      <c r="H846" s="53"/>
      <c r="I846" s="54" t="str">
        <f aca="false">IF(A846="",IF(M846="فارغ","","✖ بدون رقم قيد"),IF(COUNTIFS('قيود اليومية'!$A$11:$A$1010,A846,'قيود اليومية'!$M$11:$M$1010,"&lt;&gt;OK",'قيود اليومية'!$M$11:$M$1010,"&lt;&gt;فارغ")&gt;0,"✖ خطأ بالحساب",IF(ROUND(SUMIFS('قيود اليومية'!$G$11:$G$1010,'قيود اليومية'!$A$11:$A$1010,A846)-SUMIFS('قيود اليومية'!$H$11:$H$1010,'قيود اليومية'!$A$11:$A$1010,A846),2)&lt;&gt;0,"✖ غير متوازن","مرحل ✔")))</f>
        <v/>
      </c>
      <c r="J846" s="55" t="str">
        <f aca="false">IF(C846="","",IFERROR(INDEX('شجرة الحسابات'!$E$9:$E$208,MATCH(C846,'شجرة الحسابات'!$A$9:$A$208,0))&amp;"",""))</f>
        <v/>
      </c>
      <c r="K846" s="55" t="str">
        <f aca="false">IF(C846="","",IFERROR(INDEX('شجرة الحسابات'!$I$9:$I$208,MATCH(C846,'شجرة الحسابات'!$A$9:$A$208,0))&amp;"",""))</f>
        <v/>
      </c>
      <c r="L846" s="55" t="str">
        <f aca="false">IF(C846="","",IFERROR(INDEX('شجرة الحسابات'!$C$9:$C$208,MATCH(C846,'شجرة الحسابات'!$A$9:$A$208,0))&amp;"",""))</f>
        <v/>
      </c>
      <c r="M846" s="55" t="str">
        <f aca="false">IF(AND(C846="",G846="",H846=""),"فارغ",IF(ISNA(MATCH(C846,'شجرة الحسابات'!$A$9:$A$208,0)),"حساب غير معرف",IF(L846&lt;&gt;"تحليلي","حساب تجميعي",IF(AND(N(G846)&gt;0,N(H846)&gt;0),"مدين ودائن معاً",IF(N(G846)+N(H846)=0,"بدون قيمة","OK")))))</f>
        <v>فارغ</v>
      </c>
      <c r="N846" s="55" t="str">
        <f aca="false">IF(AND(E846&lt;&gt;"",E846='كشف حساب مشروع'!$C$6,I846="مرحل ✔"),COUNTIFS($E$11:E846,'كشف حساب مشروع'!$C$6,$I$11:I846,"مرحل ✔"),"")</f>
        <v/>
      </c>
      <c r="O846" s="55" t="str">
        <f aca="false">IF(AND(C846&lt;&gt;"",C846='دفتر الأستاذ'!$C$6,I846="مرحل ✔"),COUNTIFS($C$11:C846,'دفتر الأستاذ'!$C$6,$I$11:I846,"مرحل ✔"),"")</f>
        <v/>
      </c>
    </row>
    <row r="847" customFormat="false" ht="15" hidden="false" customHeight="false" outlineLevel="0" collapsed="false">
      <c r="A847" s="49"/>
      <c r="B847" s="50"/>
      <c r="C847" s="49"/>
      <c r="D847" s="51" t="str">
        <f aca="false">IF(C847="","",IFERROR(INDEX('شجرة الحسابات'!$B$9:$B$208,MATCH(C847,'شجرة الحسابات'!$A$9:$A$208,0)),"⚠ حساب غير معرف"))</f>
        <v/>
      </c>
      <c r="E847" s="52"/>
      <c r="F847" s="52"/>
      <c r="G847" s="53"/>
      <c r="H847" s="53"/>
      <c r="I847" s="54" t="str">
        <f aca="false">IF(A847="",IF(M847="فارغ","","✖ بدون رقم قيد"),IF(COUNTIFS('قيود اليومية'!$A$11:$A$1010,A847,'قيود اليومية'!$M$11:$M$1010,"&lt;&gt;OK",'قيود اليومية'!$M$11:$M$1010,"&lt;&gt;فارغ")&gt;0,"✖ خطأ بالحساب",IF(ROUND(SUMIFS('قيود اليومية'!$G$11:$G$1010,'قيود اليومية'!$A$11:$A$1010,A847)-SUMIFS('قيود اليومية'!$H$11:$H$1010,'قيود اليومية'!$A$11:$A$1010,A847),2)&lt;&gt;0,"✖ غير متوازن","مرحل ✔")))</f>
        <v/>
      </c>
      <c r="J847" s="55" t="str">
        <f aca="false">IF(C847="","",IFERROR(INDEX('شجرة الحسابات'!$E$9:$E$208,MATCH(C847,'شجرة الحسابات'!$A$9:$A$208,0))&amp;"",""))</f>
        <v/>
      </c>
      <c r="K847" s="55" t="str">
        <f aca="false">IF(C847="","",IFERROR(INDEX('شجرة الحسابات'!$I$9:$I$208,MATCH(C847,'شجرة الحسابات'!$A$9:$A$208,0))&amp;"",""))</f>
        <v/>
      </c>
      <c r="L847" s="55" t="str">
        <f aca="false">IF(C847="","",IFERROR(INDEX('شجرة الحسابات'!$C$9:$C$208,MATCH(C847,'شجرة الحسابات'!$A$9:$A$208,0))&amp;"",""))</f>
        <v/>
      </c>
      <c r="M847" s="55" t="str">
        <f aca="false">IF(AND(C847="",G847="",H847=""),"فارغ",IF(ISNA(MATCH(C847,'شجرة الحسابات'!$A$9:$A$208,0)),"حساب غير معرف",IF(L847&lt;&gt;"تحليلي","حساب تجميعي",IF(AND(N(G847)&gt;0,N(H847)&gt;0),"مدين ودائن معاً",IF(N(G847)+N(H847)=0,"بدون قيمة","OK")))))</f>
        <v>فارغ</v>
      </c>
      <c r="N847" s="55" t="str">
        <f aca="false">IF(AND(E847&lt;&gt;"",E847='كشف حساب مشروع'!$C$6,I847="مرحل ✔"),COUNTIFS($E$11:E847,'كشف حساب مشروع'!$C$6,$I$11:I847,"مرحل ✔"),"")</f>
        <v/>
      </c>
      <c r="O847" s="55" t="str">
        <f aca="false">IF(AND(C847&lt;&gt;"",C847='دفتر الأستاذ'!$C$6,I847="مرحل ✔"),COUNTIFS($C$11:C847,'دفتر الأستاذ'!$C$6,$I$11:I847,"مرحل ✔"),"")</f>
        <v/>
      </c>
    </row>
    <row r="848" customFormat="false" ht="15" hidden="false" customHeight="false" outlineLevel="0" collapsed="false">
      <c r="A848" s="49"/>
      <c r="B848" s="50"/>
      <c r="C848" s="49"/>
      <c r="D848" s="51" t="str">
        <f aca="false">IF(C848="","",IFERROR(INDEX('شجرة الحسابات'!$B$9:$B$208,MATCH(C848,'شجرة الحسابات'!$A$9:$A$208,0)),"⚠ حساب غير معرف"))</f>
        <v/>
      </c>
      <c r="E848" s="52"/>
      <c r="F848" s="52"/>
      <c r="G848" s="53"/>
      <c r="H848" s="53"/>
      <c r="I848" s="54" t="str">
        <f aca="false">IF(A848="",IF(M848="فارغ","","✖ بدون رقم قيد"),IF(COUNTIFS('قيود اليومية'!$A$11:$A$1010,A848,'قيود اليومية'!$M$11:$M$1010,"&lt;&gt;OK",'قيود اليومية'!$M$11:$M$1010,"&lt;&gt;فارغ")&gt;0,"✖ خطأ بالحساب",IF(ROUND(SUMIFS('قيود اليومية'!$G$11:$G$1010,'قيود اليومية'!$A$11:$A$1010,A848)-SUMIFS('قيود اليومية'!$H$11:$H$1010,'قيود اليومية'!$A$11:$A$1010,A848),2)&lt;&gt;0,"✖ غير متوازن","مرحل ✔")))</f>
        <v/>
      </c>
      <c r="J848" s="55" t="str">
        <f aca="false">IF(C848="","",IFERROR(INDEX('شجرة الحسابات'!$E$9:$E$208,MATCH(C848,'شجرة الحسابات'!$A$9:$A$208,0))&amp;"",""))</f>
        <v/>
      </c>
      <c r="K848" s="55" t="str">
        <f aca="false">IF(C848="","",IFERROR(INDEX('شجرة الحسابات'!$I$9:$I$208,MATCH(C848,'شجرة الحسابات'!$A$9:$A$208,0))&amp;"",""))</f>
        <v/>
      </c>
      <c r="L848" s="55" t="str">
        <f aca="false">IF(C848="","",IFERROR(INDEX('شجرة الحسابات'!$C$9:$C$208,MATCH(C848,'شجرة الحسابات'!$A$9:$A$208,0))&amp;"",""))</f>
        <v/>
      </c>
      <c r="M848" s="55" t="str">
        <f aca="false">IF(AND(C848="",G848="",H848=""),"فارغ",IF(ISNA(MATCH(C848,'شجرة الحسابات'!$A$9:$A$208,0)),"حساب غير معرف",IF(L848&lt;&gt;"تحليلي","حساب تجميعي",IF(AND(N(G848)&gt;0,N(H848)&gt;0),"مدين ودائن معاً",IF(N(G848)+N(H848)=0,"بدون قيمة","OK")))))</f>
        <v>فارغ</v>
      </c>
      <c r="N848" s="55" t="str">
        <f aca="false">IF(AND(E848&lt;&gt;"",E848='كشف حساب مشروع'!$C$6,I848="مرحل ✔"),COUNTIFS($E$11:E848,'كشف حساب مشروع'!$C$6,$I$11:I848,"مرحل ✔"),"")</f>
        <v/>
      </c>
      <c r="O848" s="55" t="str">
        <f aca="false">IF(AND(C848&lt;&gt;"",C848='دفتر الأستاذ'!$C$6,I848="مرحل ✔"),COUNTIFS($C$11:C848,'دفتر الأستاذ'!$C$6,$I$11:I848,"مرحل ✔"),"")</f>
        <v/>
      </c>
    </row>
    <row r="849" customFormat="false" ht="15" hidden="false" customHeight="false" outlineLevel="0" collapsed="false">
      <c r="A849" s="49"/>
      <c r="B849" s="50"/>
      <c r="C849" s="49"/>
      <c r="D849" s="51" t="str">
        <f aca="false">IF(C849="","",IFERROR(INDEX('شجرة الحسابات'!$B$9:$B$208,MATCH(C849,'شجرة الحسابات'!$A$9:$A$208,0)),"⚠ حساب غير معرف"))</f>
        <v/>
      </c>
      <c r="E849" s="52"/>
      <c r="F849" s="52"/>
      <c r="G849" s="53"/>
      <c r="H849" s="53"/>
      <c r="I849" s="54" t="str">
        <f aca="false">IF(A849="",IF(M849="فارغ","","✖ بدون رقم قيد"),IF(COUNTIFS('قيود اليومية'!$A$11:$A$1010,A849,'قيود اليومية'!$M$11:$M$1010,"&lt;&gt;OK",'قيود اليومية'!$M$11:$M$1010,"&lt;&gt;فارغ")&gt;0,"✖ خطأ بالحساب",IF(ROUND(SUMIFS('قيود اليومية'!$G$11:$G$1010,'قيود اليومية'!$A$11:$A$1010,A849)-SUMIFS('قيود اليومية'!$H$11:$H$1010,'قيود اليومية'!$A$11:$A$1010,A849),2)&lt;&gt;0,"✖ غير متوازن","مرحل ✔")))</f>
        <v/>
      </c>
      <c r="J849" s="55" t="str">
        <f aca="false">IF(C849="","",IFERROR(INDEX('شجرة الحسابات'!$E$9:$E$208,MATCH(C849,'شجرة الحسابات'!$A$9:$A$208,0))&amp;"",""))</f>
        <v/>
      </c>
      <c r="K849" s="55" t="str">
        <f aca="false">IF(C849="","",IFERROR(INDEX('شجرة الحسابات'!$I$9:$I$208,MATCH(C849,'شجرة الحسابات'!$A$9:$A$208,0))&amp;"",""))</f>
        <v/>
      </c>
      <c r="L849" s="55" t="str">
        <f aca="false">IF(C849="","",IFERROR(INDEX('شجرة الحسابات'!$C$9:$C$208,MATCH(C849,'شجرة الحسابات'!$A$9:$A$208,0))&amp;"",""))</f>
        <v/>
      </c>
      <c r="M849" s="55" t="str">
        <f aca="false">IF(AND(C849="",G849="",H849=""),"فارغ",IF(ISNA(MATCH(C849,'شجرة الحسابات'!$A$9:$A$208,0)),"حساب غير معرف",IF(L849&lt;&gt;"تحليلي","حساب تجميعي",IF(AND(N(G849)&gt;0,N(H849)&gt;0),"مدين ودائن معاً",IF(N(G849)+N(H849)=0,"بدون قيمة","OK")))))</f>
        <v>فارغ</v>
      </c>
      <c r="N849" s="55" t="str">
        <f aca="false">IF(AND(E849&lt;&gt;"",E849='كشف حساب مشروع'!$C$6,I849="مرحل ✔"),COUNTIFS($E$11:E849,'كشف حساب مشروع'!$C$6,$I$11:I849,"مرحل ✔"),"")</f>
        <v/>
      </c>
      <c r="O849" s="55" t="str">
        <f aca="false">IF(AND(C849&lt;&gt;"",C849='دفتر الأستاذ'!$C$6,I849="مرحل ✔"),COUNTIFS($C$11:C849,'دفتر الأستاذ'!$C$6,$I$11:I849,"مرحل ✔"),"")</f>
        <v/>
      </c>
    </row>
    <row r="850" customFormat="false" ht="15" hidden="false" customHeight="false" outlineLevel="0" collapsed="false">
      <c r="A850" s="49"/>
      <c r="B850" s="50"/>
      <c r="C850" s="49"/>
      <c r="D850" s="51" t="str">
        <f aca="false">IF(C850="","",IFERROR(INDEX('شجرة الحسابات'!$B$9:$B$208,MATCH(C850,'شجرة الحسابات'!$A$9:$A$208,0)),"⚠ حساب غير معرف"))</f>
        <v/>
      </c>
      <c r="E850" s="52"/>
      <c r="F850" s="52"/>
      <c r="G850" s="53"/>
      <c r="H850" s="53"/>
      <c r="I850" s="54" t="str">
        <f aca="false">IF(A850="",IF(M850="فارغ","","✖ بدون رقم قيد"),IF(COUNTIFS('قيود اليومية'!$A$11:$A$1010,A850,'قيود اليومية'!$M$11:$M$1010,"&lt;&gt;OK",'قيود اليومية'!$M$11:$M$1010,"&lt;&gt;فارغ")&gt;0,"✖ خطأ بالحساب",IF(ROUND(SUMIFS('قيود اليومية'!$G$11:$G$1010,'قيود اليومية'!$A$11:$A$1010,A850)-SUMIFS('قيود اليومية'!$H$11:$H$1010,'قيود اليومية'!$A$11:$A$1010,A850),2)&lt;&gt;0,"✖ غير متوازن","مرحل ✔")))</f>
        <v/>
      </c>
      <c r="J850" s="55" t="str">
        <f aca="false">IF(C850="","",IFERROR(INDEX('شجرة الحسابات'!$E$9:$E$208,MATCH(C850,'شجرة الحسابات'!$A$9:$A$208,0))&amp;"",""))</f>
        <v/>
      </c>
      <c r="K850" s="55" t="str">
        <f aca="false">IF(C850="","",IFERROR(INDEX('شجرة الحسابات'!$I$9:$I$208,MATCH(C850,'شجرة الحسابات'!$A$9:$A$208,0))&amp;"",""))</f>
        <v/>
      </c>
      <c r="L850" s="55" t="str">
        <f aca="false">IF(C850="","",IFERROR(INDEX('شجرة الحسابات'!$C$9:$C$208,MATCH(C850,'شجرة الحسابات'!$A$9:$A$208,0))&amp;"",""))</f>
        <v/>
      </c>
      <c r="M850" s="55" t="str">
        <f aca="false">IF(AND(C850="",G850="",H850=""),"فارغ",IF(ISNA(MATCH(C850,'شجرة الحسابات'!$A$9:$A$208,0)),"حساب غير معرف",IF(L850&lt;&gt;"تحليلي","حساب تجميعي",IF(AND(N(G850)&gt;0,N(H850)&gt;0),"مدين ودائن معاً",IF(N(G850)+N(H850)=0,"بدون قيمة","OK")))))</f>
        <v>فارغ</v>
      </c>
      <c r="N850" s="55" t="str">
        <f aca="false">IF(AND(E850&lt;&gt;"",E850='كشف حساب مشروع'!$C$6,I850="مرحل ✔"),COUNTIFS($E$11:E850,'كشف حساب مشروع'!$C$6,$I$11:I850,"مرحل ✔"),"")</f>
        <v/>
      </c>
      <c r="O850" s="55" t="str">
        <f aca="false">IF(AND(C850&lt;&gt;"",C850='دفتر الأستاذ'!$C$6,I850="مرحل ✔"),COUNTIFS($C$11:C850,'دفتر الأستاذ'!$C$6,$I$11:I850,"مرحل ✔"),"")</f>
        <v/>
      </c>
    </row>
    <row r="851" customFormat="false" ht="15" hidden="false" customHeight="false" outlineLevel="0" collapsed="false">
      <c r="A851" s="49"/>
      <c r="B851" s="50"/>
      <c r="C851" s="49"/>
      <c r="D851" s="51" t="str">
        <f aca="false">IF(C851="","",IFERROR(INDEX('شجرة الحسابات'!$B$9:$B$208,MATCH(C851,'شجرة الحسابات'!$A$9:$A$208,0)),"⚠ حساب غير معرف"))</f>
        <v/>
      </c>
      <c r="E851" s="52"/>
      <c r="F851" s="52"/>
      <c r="G851" s="53"/>
      <c r="H851" s="53"/>
      <c r="I851" s="54" t="str">
        <f aca="false">IF(A851="",IF(M851="فارغ","","✖ بدون رقم قيد"),IF(COUNTIFS('قيود اليومية'!$A$11:$A$1010,A851,'قيود اليومية'!$M$11:$M$1010,"&lt;&gt;OK",'قيود اليومية'!$M$11:$M$1010,"&lt;&gt;فارغ")&gt;0,"✖ خطأ بالحساب",IF(ROUND(SUMIFS('قيود اليومية'!$G$11:$G$1010,'قيود اليومية'!$A$11:$A$1010,A851)-SUMIFS('قيود اليومية'!$H$11:$H$1010,'قيود اليومية'!$A$11:$A$1010,A851),2)&lt;&gt;0,"✖ غير متوازن","مرحل ✔")))</f>
        <v/>
      </c>
      <c r="J851" s="55" t="str">
        <f aca="false">IF(C851="","",IFERROR(INDEX('شجرة الحسابات'!$E$9:$E$208,MATCH(C851,'شجرة الحسابات'!$A$9:$A$208,0))&amp;"",""))</f>
        <v/>
      </c>
      <c r="K851" s="55" t="str">
        <f aca="false">IF(C851="","",IFERROR(INDEX('شجرة الحسابات'!$I$9:$I$208,MATCH(C851,'شجرة الحسابات'!$A$9:$A$208,0))&amp;"",""))</f>
        <v/>
      </c>
      <c r="L851" s="55" t="str">
        <f aca="false">IF(C851="","",IFERROR(INDEX('شجرة الحسابات'!$C$9:$C$208,MATCH(C851,'شجرة الحسابات'!$A$9:$A$208,0))&amp;"",""))</f>
        <v/>
      </c>
      <c r="M851" s="55" t="str">
        <f aca="false">IF(AND(C851="",G851="",H851=""),"فارغ",IF(ISNA(MATCH(C851,'شجرة الحسابات'!$A$9:$A$208,0)),"حساب غير معرف",IF(L851&lt;&gt;"تحليلي","حساب تجميعي",IF(AND(N(G851)&gt;0,N(H851)&gt;0),"مدين ودائن معاً",IF(N(G851)+N(H851)=0,"بدون قيمة","OK")))))</f>
        <v>فارغ</v>
      </c>
      <c r="N851" s="55" t="str">
        <f aca="false">IF(AND(E851&lt;&gt;"",E851='كشف حساب مشروع'!$C$6,I851="مرحل ✔"),COUNTIFS($E$11:E851,'كشف حساب مشروع'!$C$6,$I$11:I851,"مرحل ✔"),"")</f>
        <v/>
      </c>
      <c r="O851" s="55" t="str">
        <f aca="false">IF(AND(C851&lt;&gt;"",C851='دفتر الأستاذ'!$C$6,I851="مرحل ✔"),COUNTIFS($C$11:C851,'دفتر الأستاذ'!$C$6,$I$11:I851,"مرحل ✔"),"")</f>
        <v/>
      </c>
    </row>
    <row r="852" customFormat="false" ht="15" hidden="false" customHeight="false" outlineLevel="0" collapsed="false">
      <c r="A852" s="49"/>
      <c r="B852" s="50"/>
      <c r="C852" s="49"/>
      <c r="D852" s="51" t="str">
        <f aca="false">IF(C852="","",IFERROR(INDEX('شجرة الحسابات'!$B$9:$B$208,MATCH(C852,'شجرة الحسابات'!$A$9:$A$208,0)),"⚠ حساب غير معرف"))</f>
        <v/>
      </c>
      <c r="E852" s="52"/>
      <c r="F852" s="52"/>
      <c r="G852" s="53"/>
      <c r="H852" s="53"/>
      <c r="I852" s="54" t="str">
        <f aca="false">IF(A852="",IF(M852="فارغ","","✖ بدون رقم قيد"),IF(COUNTIFS('قيود اليومية'!$A$11:$A$1010,A852,'قيود اليومية'!$M$11:$M$1010,"&lt;&gt;OK",'قيود اليومية'!$M$11:$M$1010,"&lt;&gt;فارغ")&gt;0,"✖ خطأ بالحساب",IF(ROUND(SUMIFS('قيود اليومية'!$G$11:$G$1010,'قيود اليومية'!$A$11:$A$1010,A852)-SUMIFS('قيود اليومية'!$H$11:$H$1010,'قيود اليومية'!$A$11:$A$1010,A852),2)&lt;&gt;0,"✖ غير متوازن","مرحل ✔")))</f>
        <v/>
      </c>
      <c r="J852" s="55" t="str">
        <f aca="false">IF(C852="","",IFERROR(INDEX('شجرة الحسابات'!$E$9:$E$208,MATCH(C852,'شجرة الحسابات'!$A$9:$A$208,0))&amp;"",""))</f>
        <v/>
      </c>
      <c r="K852" s="55" t="str">
        <f aca="false">IF(C852="","",IFERROR(INDEX('شجرة الحسابات'!$I$9:$I$208,MATCH(C852,'شجرة الحسابات'!$A$9:$A$208,0))&amp;"",""))</f>
        <v/>
      </c>
      <c r="L852" s="55" t="str">
        <f aca="false">IF(C852="","",IFERROR(INDEX('شجرة الحسابات'!$C$9:$C$208,MATCH(C852,'شجرة الحسابات'!$A$9:$A$208,0))&amp;"",""))</f>
        <v/>
      </c>
      <c r="M852" s="55" t="str">
        <f aca="false">IF(AND(C852="",G852="",H852=""),"فارغ",IF(ISNA(MATCH(C852,'شجرة الحسابات'!$A$9:$A$208,0)),"حساب غير معرف",IF(L852&lt;&gt;"تحليلي","حساب تجميعي",IF(AND(N(G852)&gt;0,N(H852)&gt;0),"مدين ودائن معاً",IF(N(G852)+N(H852)=0,"بدون قيمة","OK")))))</f>
        <v>فارغ</v>
      </c>
      <c r="N852" s="55" t="str">
        <f aca="false">IF(AND(E852&lt;&gt;"",E852='كشف حساب مشروع'!$C$6,I852="مرحل ✔"),COUNTIFS($E$11:E852,'كشف حساب مشروع'!$C$6,$I$11:I852,"مرحل ✔"),"")</f>
        <v/>
      </c>
      <c r="O852" s="55" t="str">
        <f aca="false">IF(AND(C852&lt;&gt;"",C852='دفتر الأستاذ'!$C$6,I852="مرحل ✔"),COUNTIFS($C$11:C852,'دفتر الأستاذ'!$C$6,$I$11:I852,"مرحل ✔"),"")</f>
        <v/>
      </c>
    </row>
    <row r="853" customFormat="false" ht="15" hidden="false" customHeight="false" outlineLevel="0" collapsed="false">
      <c r="A853" s="49"/>
      <c r="B853" s="50"/>
      <c r="C853" s="49"/>
      <c r="D853" s="51" t="str">
        <f aca="false">IF(C853="","",IFERROR(INDEX('شجرة الحسابات'!$B$9:$B$208,MATCH(C853,'شجرة الحسابات'!$A$9:$A$208,0)),"⚠ حساب غير معرف"))</f>
        <v/>
      </c>
      <c r="E853" s="52"/>
      <c r="F853" s="52"/>
      <c r="G853" s="53"/>
      <c r="H853" s="53"/>
      <c r="I853" s="54" t="str">
        <f aca="false">IF(A853="",IF(M853="فارغ","","✖ بدون رقم قيد"),IF(COUNTIFS('قيود اليومية'!$A$11:$A$1010,A853,'قيود اليومية'!$M$11:$M$1010,"&lt;&gt;OK",'قيود اليومية'!$M$11:$M$1010,"&lt;&gt;فارغ")&gt;0,"✖ خطأ بالحساب",IF(ROUND(SUMIFS('قيود اليومية'!$G$11:$G$1010,'قيود اليومية'!$A$11:$A$1010,A853)-SUMIFS('قيود اليومية'!$H$11:$H$1010,'قيود اليومية'!$A$11:$A$1010,A853),2)&lt;&gt;0,"✖ غير متوازن","مرحل ✔")))</f>
        <v/>
      </c>
      <c r="J853" s="55" t="str">
        <f aca="false">IF(C853="","",IFERROR(INDEX('شجرة الحسابات'!$E$9:$E$208,MATCH(C853,'شجرة الحسابات'!$A$9:$A$208,0))&amp;"",""))</f>
        <v/>
      </c>
      <c r="K853" s="55" t="str">
        <f aca="false">IF(C853="","",IFERROR(INDEX('شجرة الحسابات'!$I$9:$I$208,MATCH(C853,'شجرة الحسابات'!$A$9:$A$208,0))&amp;"",""))</f>
        <v/>
      </c>
      <c r="L853" s="55" t="str">
        <f aca="false">IF(C853="","",IFERROR(INDEX('شجرة الحسابات'!$C$9:$C$208,MATCH(C853,'شجرة الحسابات'!$A$9:$A$208,0))&amp;"",""))</f>
        <v/>
      </c>
      <c r="M853" s="55" t="str">
        <f aca="false">IF(AND(C853="",G853="",H853=""),"فارغ",IF(ISNA(MATCH(C853,'شجرة الحسابات'!$A$9:$A$208,0)),"حساب غير معرف",IF(L853&lt;&gt;"تحليلي","حساب تجميعي",IF(AND(N(G853)&gt;0,N(H853)&gt;0),"مدين ودائن معاً",IF(N(G853)+N(H853)=0,"بدون قيمة","OK")))))</f>
        <v>فارغ</v>
      </c>
      <c r="N853" s="55" t="str">
        <f aca="false">IF(AND(E853&lt;&gt;"",E853='كشف حساب مشروع'!$C$6,I853="مرحل ✔"),COUNTIFS($E$11:E853,'كشف حساب مشروع'!$C$6,$I$11:I853,"مرحل ✔"),"")</f>
        <v/>
      </c>
      <c r="O853" s="55" t="str">
        <f aca="false">IF(AND(C853&lt;&gt;"",C853='دفتر الأستاذ'!$C$6,I853="مرحل ✔"),COUNTIFS($C$11:C853,'دفتر الأستاذ'!$C$6,$I$11:I853,"مرحل ✔"),"")</f>
        <v/>
      </c>
    </row>
    <row r="854" customFormat="false" ht="15" hidden="false" customHeight="false" outlineLevel="0" collapsed="false">
      <c r="A854" s="49"/>
      <c r="B854" s="50"/>
      <c r="C854" s="49"/>
      <c r="D854" s="51" t="str">
        <f aca="false">IF(C854="","",IFERROR(INDEX('شجرة الحسابات'!$B$9:$B$208,MATCH(C854,'شجرة الحسابات'!$A$9:$A$208,0)),"⚠ حساب غير معرف"))</f>
        <v/>
      </c>
      <c r="E854" s="52"/>
      <c r="F854" s="52"/>
      <c r="G854" s="53"/>
      <c r="H854" s="53"/>
      <c r="I854" s="54" t="str">
        <f aca="false">IF(A854="",IF(M854="فارغ","","✖ بدون رقم قيد"),IF(COUNTIFS('قيود اليومية'!$A$11:$A$1010,A854,'قيود اليومية'!$M$11:$M$1010,"&lt;&gt;OK",'قيود اليومية'!$M$11:$M$1010,"&lt;&gt;فارغ")&gt;0,"✖ خطأ بالحساب",IF(ROUND(SUMIFS('قيود اليومية'!$G$11:$G$1010,'قيود اليومية'!$A$11:$A$1010,A854)-SUMIFS('قيود اليومية'!$H$11:$H$1010,'قيود اليومية'!$A$11:$A$1010,A854),2)&lt;&gt;0,"✖ غير متوازن","مرحل ✔")))</f>
        <v/>
      </c>
      <c r="J854" s="55" t="str">
        <f aca="false">IF(C854="","",IFERROR(INDEX('شجرة الحسابات'!$E$9:$E$208,MATCH(C854,'شجرة الحسابات'!$A$9:$A$208,0))&amp;"",""))</f>
        <v/>
      </c>
      <c r="K854" s="55" t="str">
        <f aca="false">IF(C854="","",IFERROR(INDEX('شجرة الحسابات'!$I$9:$I$208,MATCH(C854,'شجرة الحسابات'!$A$9:$A$208,0))&amp;"",""))</f>
        <v/>
      </c>
      <c r="L854" s="55" t="str">
        <f aca="false">IF(C854="","",IFERROR(INDEX('شجرة الحسابات'!$C$9:$C$208,MATCH(C854,'شجرة الحسابات'!$A$9:$A$208,0))&amp;"",""))</f>
        <v/>
      </c>
      <c r="M854" s="55" t="str">
        <f aca="false">IF(AND(C854="",G854="",H854=""),"فارغ",IF(ISNA(MATCH(C854,'شجرة الحسابات'!$A$9:$A$208,0)),"حساب غير معرف",IF(L854&lt;&gt;"تحليلي","حساب تجميعي",IF(AND(N(G854)&gt;0,N(H854)&gt;0),"مدين ودائن معاً",IF(N(G854)+N(H854)=0,"بدون قيمة","OK")))))</f>
        <v>فارغ</v>
      </c>
      <c r="N854" s="55" t="str">
        <f aca="false">IF(AND(E854&lt;&gt;"",E854='كشف حساب مشروع'!$C$6,I854="مرحل ✔"),COUNTIFS($E$11:E854,'كشف حساب مشروع'!$C$6,$I$11:I854,"مرحل ✔"),"")</f>
        <v/>
      </c>
      <c r="O854" s="55" t="str">
        <f aca="false">IF(AND(C854&lt;&gt;"",C854='دفتر الأستاذ'!$C$6,I854="مرحل ✔"),COUNTIFS($C$11:C854,'دفتر الأستاذ'!$C$6,$I$11:I854,"مرحل ✔"),"")</f>
        <v/>
      </c>
    </row>
    <row r="855" customFormat="false" ht="15" hidden="false" customHeight="false" outlineLevel="0" collapsed="false">
      <c r="A855" s="49"/>
      <c r="B855" s="50"/>
      <c r="C855" s="49"/>
      <c r="D855" s="51" t="str">
        <f aca="false">IF(C855="","",IFERROR(INDEX('شجرة الحسابات'!$B$9:$B$208,MATCH(C855,'شجرة الحسابات'!$A$9:$A$208,0)),"⚠ حساب غير معرف"))</f>
        <v/>
      </c>
      <c r="E855" s="52"/>
      <c r="F855" s="52"/>
      <c r="G855" s="53"/>
      <c r="H855" s="53"/>
      <c r="I855" s="54" t="str">
        <f aca="false">IF(A855="",IF(M855="فارغ","","✖ بدون رقم قيد"),IF(COUNTIFS('قيود اليومية'!$A$11:$A$1010,A855,'قيود اليومية'!$M$11:$M$1010,"&lt;&gt;OK",'قيود اليومية'!$M$11:$M$1010,"&lt;&gt;فارغ")&gt;0,"✖ خطأ بالحساب",IF(ROUND(SUMIFS('قيود اليومية'!$G$11:$G$1010,'قيود اليومية'!$A$11:$A$1010,A855)-SUMIFS('قيود اليومية'!$H$11:$H$1010,'قيود اليومية'!$A$11:$A$1010,A855),2)&lt;&gt;0,"✖ غير متوازن","مرحل ✔")))</f>
        <v/>
      </c>
      <c r="J855" s="55" t="str">
        <f aca="false">IF(C855="","",IFERROR(INDEX('شجرة الحسابات'!$E$9:$E$208,MATCH(C855,'شجرة الحسابات'!$A$9:$A$208,0))&amp;"",""))</f>
        <v/>
      </c>
      <c r="K855" s="55" t="str">
        <f aca="false">IF(C855="","",IFERROR(INDEX('شجرة الحسابات'!$I$9:$I$208,MATCH(C855,'شجرة الحسابات'!$A$9:$A$208,0))&amp;"",""))</f>
        <v/>
      </c>
      <c r="L855" s="55" t="str">
        <f aca="false">IF(C855="","",IFERROR(INDEX('شجرة الحسابات'!$C$9:$C$208,MATCH(C855,'شجرة الحسابات'!$A$9:$A$208,0))&amp;"",""))</f>
        <v/>
      </c>
      <c r="M855" s="55" t="str">
        <f aca="false">IF(AND(C855="",G855="",H855=""),"فارغ",IF(ISNA(MATCH(C855,'شجرة الحسابات'!$A$9:$A$208,0)),"حساب غير معرف",IF(L855&lt;&gt;"تحليلي","حساب تجميعي",IF(AND(N(G855)&gt;0,N(H855)&gt;0),"مدين ودائن معاً",IF(N(G855)+N(H855)=0,"بدون قيمة","OK")))))</f>
        <v>فارغ</v>
      </c>
      <c r="N855" s="55" t="str">
        <f aca="false">IF(AND(E855&lt;&gt;"",E855='كشف حساب مشروع'!$C$6,I855="مرحل ✔"),COUNTIFS($E$11:E855,'كشف حساب مشروع'!$C$6,$I$11:I855,"مرحل ✔"),"")</f>
        <v/>
      </c>
      <c r="O855" s="55" t="str">
        <f aca="false">IF(AND(C855&lt;&gt;"",C855='دفتر الأستاذ'!$C$6,I855="مرحل ✔"),COUNTIFS($C$11:C855,'دفتر الأستاذ'!$C$6,$I$11:I855,"مرحل ✔"),"")</f>
        <v/>
      </c>
    </row>
    <row r="856" customFormat="false" ht="15" hidden="false" customHeight="false" outlineLevel="0" collapsed="false">
      <c r="A856" s="49"/>
      <c r="B856" s="50"/>
      <c r="C856" s="49"/>
      <c r="D856" s="51" t="str">
        <f aca="false">IF(C856="","",IFERROR(INDEX('شجرة الحسابات'!$B$9:$B$208,MATCH(C856,'شجرة الحسابات'!$A$9:$A$208,0)),"⚠ حساب غير معرف"))</f>
        <v/>
      </c>
      <c r="E856" s="52"/>
      <c r="F856" s="52"/>
      <c r="G856" s="53"/>
      <c r="H856" s="53"/>
      <c r="I856" s="54" t="str">
        <f aca="false">IF(A856="",IF(M856="فارغ","","✖ بدون رقم قيد"),IF(COUNTIFS('قيود اليومية'!$A$11:$A$1010,A856,'قيود اليومية'!$M$11:$M$1010,"&lt;&gt;OK",'قيود اليومية'!$M$11:$M$1010,"&lt;&gt;فارغ")&gt;0,"✖ خطأ بالحساب",IF(ROUND(SUMIFS('قيود اليومية'!$G$11:$G$1010,'قيود اليومية'!$A$11:$A$1010,A856)-SUMIFS('قيود اليومية'!$H$11:$H$1010,'قيود اليومية'!$A$11:$A$1010,A856),2)&lt;&gt;0,"✖ غير متوازن","مرحل ✔")))</f>
        <v/>
      </c>
      <c r="J856" s="55" t="str">
        <f aca="false">IF(C856="","",IFERROR(INDEX('شجرة الحسابات'!$E$9:$E$208,MATCH(C856,'شجرة الحسابات'!$A$9:$A$208,0))&amp;"",""))</f>
        <v/>
      </c>
      <c r="K856" s="55" t="str">
        <f aca="false">IF(C856="","",IFERROR(INDEX('شجرة الحسابات'!$I$9:$I$208,MATCH(C856,'شجرة الحسابات'!$A$9:$A$208,0))&amp;"",""))</f>
        <v/>
      </c>
      <c r="L856" s="55" t="str">
        <f aca="false">IF(C856="","",IFERROR(INDEX('شجرة الحسابات'!$C$9:$C$208,MATCH(C856,'شجرة الحسابات'!$A$9:$A$208,0))&amp;"",""))</f>
        <v/>
      </c>
      <c r="M856" s="55" t="str">
        <f aca="false">IF(AND(C856="",G856="",H856=""),"فارغ",IF(ISNA(MATCH(C856,'شجرة الحسابات'!$A$9:$A$208,0)),"حساب غير معرف",IF(L856&lt;&gt;"تحليلي","حساب تجميعي",IF(AND(N(G856)&gt;0,N(H856)&gt;0),"مدين ودائن معاً",IF(N(G856)+N(H856)=0,"بدون قيمة","OK")))))</f>
        <v>فارغ</v>
      </c>
      <c r="N856" s="55" t="str">
        <f aca="false">IF(AND(E856&lt;&gt;"",E856='كشف حساب مشروع'!$C$6,I856="مرحل ✔"),COUNTIFS($E$11:E856,'كشف حساب مشروع'!$C$6,$I$11:I856,"مرحل ✔"),"")</f>
        <v/>
      </c>
      <c r="O856" s="55" t="str">
        <f aca="false">IF(AND(C856&lt;&gt;"",C856='دفتر الأستاذ'!$C$6,I856="مرحل ✔"),COUNTIFS($C$11:C856,'دفتر الأستاذ'!$C$6,$I$11:I856,"مرحل ✔"),"")</f>
        <v/>
      </c>
    </row>
    <row r="857" customFormat="false" ht="15" hidden="false" customHeight="false" outlineLevel="0" collapsed="false">
      <c r="A857" s="49"/>
      <c r="B857" s="50"/>
      <c r="C857" s="49"/>
      <c r="D857" s="51" t="str">
        <f aca="false">IF(C857="","",IFERROR(INDEX('شجرة الحسابات'!$B$9:$B$208,MATCH(C857,'شجرة الحسابات'!$A$9:$A$208,0)),"⚠ حساب غير معرف"))</f>
        <v/>
      </c>
      <c r="E857" s="52"/>
      <c r="F857" s="52"/>
      <c r="G857" s="53"/>
      <c r="H857" s="53"/>
      <c r="I857" s="54" t="str">
        <f aca="false">IF(A857="",IF(M857="فارغ","","✖ بدون رقم قيد"),IF(COUNTIFS('قيود اليومية'!$A$11:$A$1010,A857,'قيود اليومية'!$M$11:$M$1010,"&lt;&gt;OK",'قيود اليومية'!$M$11:$M$1010,"&lt;&gt;فارغ")&gt;0,"✖ خطأ بالحساب",IF(ROUND(SUMIFS('قيود اليومية'!$G$11:$G$1010,'قيود اليومية'!$A$11:$A$1010,A857)-SUMIFS('قيود اليومية'!$H$11:$H$1010,'قيود اليومية'!$A$11:$A$1010,A857),2)&lt;&gt;0,"✖ غير متوازن","مرحل ✔")))</f>
        <v/>
      </c>
      <c r="J857" s="55" t="str">
        <f aca="false">IF(C857="","",IFERROR(INDEX('شجرة الحسابات'!$E$9:$E$208,MATCH(C857,'شجرة الحسابات'!$A$9:$A$208,0))&amp;"",""))</f>
        <v/>
      </c>
      <c r="K857" s="55" t="str">
        <f aca="false">IF(C857="","",IFERROR(INDEX('شجرة الحسابات'!$I$9:$I$208,MATCH(C857,'شجرة الحسابات'!$A$9:$A$208,0))&amp;"",""))</f>
        <v/>
      </c>
      <c r="L857" s="55" t="str">
        <f aca="false">IF(C857="","",IFERROR(INDEX('شجرة الحسابات'!$C$9:$C$208,MATCH(C857,'شجرة الحسابات'!$A$9:$A$208,0))&amp;"",""))</f>
        <v/>
      </c>
      <c r="M857" s="55" t="str">
        <f aca="false">IF(AND(C857="",G857="",H857=""),"فارغ",IF(ISNA(MATCH(C857,'شجرة الحسابات'!$A$9:$A$208,0)),"حساب غير معرف",IF(L857&lt;&gt;"تحليلي","حساب تجميعي",IF(AND(N(G857)&gt;0,N(H857)&gt;0),"مدين ودائن معاً",IF(N(G857)+N(H857)=0,"بدون قيمة","OK")))))</f>
        <v>فارغ</v>
      </c>
      <c r="N857" s="55" t="str">
        <f aca="false">IF(AND(E857&lt;&gt;"",E857='كشف حساب مشروع'!$C$6,I857="مرحل ✔"),COUNTIFS($E$11:E857,'كشف حساب مشروع'!$C$6,$I$11:I857,"مرحل ✔"),"")</f>
        <v/>
      </c>
      <c r="O857" s="55" t="str">
        <f aca="false">IF(AND(C857&lt;&gt;"",C857='دفتر الأستاذ'!$C$6,I857="مرحل ✔"),COUNTIFS($C$11:C857,'دفتر الأستاذ'!$C$6,$I$11:I857,"مرحل ✔"),"")</f>
        <v/>
      </c>
    </row>
    <row r="858" customFormat="false" ht="15" hidden="false" customHeight="false" outlineLevel="0" collapsed="false">
      <c r="A858" s="49"/>
      <c r="B858" s="50"/>
      <c r="C858" s="49"/>
      <c r="D858" s="51" t="str">
        <f aca="false">IF(C858="","",IFERROR(INDEX('شجرة الحسابات'!$B$9:$B$208,MATCH(C858,'شجرة الحسابات'!$A$9:$A$208,0)),"⚠ حساب غير معرف"))</f>
        <v/>
      </c>
      <c r="E858" s="52"/>
      <c r="F858" s="52"/>
      <c r="G858" s="53"/>
      <c r="H858" s="53"/>
      <c r="I858" s="54" t="str">
        <f aca="false">IF(A858="",IF(M858="فارغ","","✖ بدون رقم قيد"),IF(COUNTIFS('قيود اليومية'!$A$11:$A$1010,A858,'قيود اليومية'!$M$11:$M$1010,"&lt;&gt;OK",'قيود اليومية'!$M$11:$M$1010,"&lt;&gt;فارغ")&gt;0,"✖ خطأ بالحساب",IF(ROUND(SUMIFS('قيود اليومية'!$G$11:$G$1010,'قيود اليومية'!$A$11:$A$1010,A858)-SUMIFS('قيود اليومية'!$H$11:$H$1010,'قيود اليومية'!$A$11:$A$1010,A858),2)&lt;&gt;0,"✖ غير متوازن","مرحل ✔")))</f>
        <v/>
      </c>
      <c r="J858" s="55" t="str">
        <f aca="false">IF(C858="","",IFERROR(INDEX('شجرة الحسابات'!$E$9:$E$208,MATCH(C858,'شجرة الحسابات'!$A$9:$A$208,0))&amp;"",""))</f>
        <v/>
      </c>
      <c r="K858" s="55" t="str">
        <f aca="false">IF(C858="","",IFERROR(INDEX('شجرة الحسابات'!$I$9:$I$208,MATCH(C858,'شجرة الحسابات'!$A$9:$A$208,0))&amp;"",""))</f>
        <v/>
      </c>
      <c r="L858" s="55" t="str">
        <f aca="false">IF(C858="","",IFERROR(INDEX('شجرة الحسابات'!$C$9:$C$208,MATCH(C858,'شجرة الحسابات'!$A$9:$A$208,0))&amp;"",""))</f>
        <v/>
      </c>
      <c r="M858" s="55" t="str">
        <f aca="false">IF(AND(C858="",G858="",H858=""),"فارغ",IF(ISNA(MATCH(C858,'شجرة الحسابات'!$A$9:$A$208,0)),"حساب غير معرف",IF(L858&lt;&gt;"تحليلي","حساب تجميعي",IF(AND(N(G858)&gt;0,N(H858)&gt;0),"مدين ودائن معاً",IF(N(G858)+N(H858)=0,"بدون قيمة","OK")))))</f>
        <v>فارغ</v>
      </c>
      <c r="N858" s="55" t="str">
        <f aca="false">IF(AND(E858&lt;&gt;"",E858='كشف حساب مشروع'!$C$6,I858="مرحل ✔"),COUNTIFS($E$11:E858,'كشف حساب مشروع'!$C$6,$I$11:I858,"مرحل ✔"),"")</f>
        <v/>
      </c>
      <c r="O858" s="55" t="str">
        <f aca="false">IF(AND(C858&lt;&gt;"",C858='دفتر الأستاذ'!$C$6,I858="مرحل ✔"),COUNTIFS($C$11:C858,'دفتر الأستاذ'!$C$6,$I$11:I858,"مرحل ✔"),"")</f>
        <v/>
      </c>
    </row>
    <row r="859" customFormat="false" ht="15" hidden="false" customHeight="false" outlineLevel="0" collapsed="false">
      <c r="A859" s="49"/>
      <c r="B859" s="50"/>
      <c r="C859" s="49"/>
      <c r="D859" s="51" t="str">
        <f aca="false">IF(C859="","",IFERROR(INDEX('شجرة الحسابات'!$B$9:$B$208,MATCH(C859,'شجرة الحسابات'!$A$9:$A$208,0)),"⚠ حساب غير معرف"))</f>
        <v/>
      </c>
      <c r="E859" s="52"/>
      <c r="F859" s="52"/>
      <c r="G859" s="53"/>
      <c r="H859" s="53"/>
      <c r="I859" s="54" t="str">
        <f aca="false">IF(A859="",IF(M859="فارغ","","✖ بدون رقم قيد"),IF(COUNTIFS('قيود اليومية'!$A$11:$A$1010,A859,'قيود اليومية'!$M$11:$M$1010,"&lt;&gt;OK",'قيود اليومية'!$M$11:$M$1010,"&lt;&gt;فارغ")&gt;0,"✖ خطأ بالحساب",IF(ROUND(SUMIFS('قيود اليومية'!$G$11:$G$1010,'قيود اليومية'!$A$11:$A$1010,A859)-SUMIFS('قيود اليومية'!$H$11:$H$1010,'قيود اليومية'!$A$11:$A$1010,A859),2)&lt;&gt;0,"✖ غير متوازن","مرحل ✔")))</f>
        <v/>
      </c>
      <c r="J859" s="55" t="str">
        <f aca="false">IF(C859="","",IFERROR(INDEX('شجرة الحسابات'!$E$9:$E$208,MATCH(C859,'شجرة الحسابات'!$A$9:$A$208,0))&amp;"",""))</f>
        <v/>
      </c>
      <c r="K859" s="55" t="str">
        <f aca="false">IF(C859="","",IFERROR(INDEX('شجرة الحسابات'!$I$9:$I$208,MATCH(C859,'شجرة الحسابات'!$A$9:$A$208,0))&amp;"",""))</f>
        <v/>
      </c>
      <c r="L859" s="55" t="str">
        <f aca="false">IF(C859="","",IFERROR(INDEX('شجرة الحسابات'!$C$9:$C$208,MATCH(C859,'شجرة الحسابات'!$A$9:$A$208,0))&amp;"",""))</f>
        <v/>
      </c>
      <c r="M859" s="55" t="str">
        <f aca="false">IF(AND(C859="",G859="",H859=""),"فارغ",IF(ISNA(MATCH(C859,'شجرة الحسابات'!$A$9:$A$208,0)),"حساب غير معرف",IF(L859&lt;&gt;"تحليلي","حساب تجميعي",IF(AND(N(G859)&gt;0,N(H859)&gt;0),"مدين ودائن معاً",IF(N(G859)+N(H859)=0,"بدون قيمة","OK")))))</f>
        <v>فارغ</v>
      </c>
      <c r="N859" s="55" t="str">
        <f aca="false">IF(AND(E859&lt;&gt;"",E859='كشف حساب مشروع'!$C$6,I859="مرحل ✔"),COUNTIFS($E$11:E859,'كشف حساب مشروع'!$C$6,$I$11:I859,"مرحل ✔"),"")</f>
        <v/>
      </c>
      <c r="O859" s="55" t="str">
        <f aca="false">IF(AND(C859&lt;&gt;"",C859='دفتر الأستاذ'!$C$6,I859="مرحل ✔"),COUNTIFS($C$11:C859,'دفتر الأستاذ'!$C$6,$I$11:I859,"مرحل ✔"),"")</f>
        <v/>
      </c>
    </row>
    <row r="860" customFormat="false" ht="15" hidden="false" customHeight="false" outlineLevel="0" collapsed="false">
      <c r="A860" s="49"/>
      <c r="B860" s="50"/>
      <c r="C860" s="49"/>
      <c r="D860" s="51" t="str">
        <f aca="false">IF(C860="","",IFERROR(INDEX('شجرة الحسابات'!$B$9:$B$208,MATCH(C860,'شجرة الحسابات'!$A$9:$A$208,0)),"⚠ حساب غير معرف"))</f>
        <v/>
      </c>
      <c r="E860" s="52"/>
      <c r="F860" s="52"/>
      <c r="G860" s="53"/>
      <c r="H860" s="53"/>
      <c r="I860" s="54" t="str">
        <f aca="false">IF(A860="",IF(M860="فارغ","","✖ بدون رقم قيد"),IF(COUNTIFS('قيود اليومية'!$A$11:$A$1010,A860,'قيود اليومية'!$M$11:$M$1010,"&lt;&gt;OK",'قيود اليومية'!$M$11:$M$1010,"&lt;&gt;فارغ")&gt;0,"✖ خطأ بالحساب",IF(ROUND(SUMIFS('قيود اليومية'!$G$11:$G$1010,'قيود اليومية'!$A$11:$A$1010,A860)-SUMIFS('قيود اليومية'!$H$11:$H$1010,'قيود اليومية'!$A$11:$A$1010,A860),2)&lt;&gt;0,"✖ غير متوازن","مرحل ✔")))</f>
        <v/>
      </c>
      <c r="J860" s="55" t="str">
        <f aca="false">IF(C860="","",IFERROR(INDEX('شجرة الحسابات'!$E$9:$E$208,MATCH(C860,'شجرة الحسابات'!$A$9:$A$208,0))&amp;"",""))</f>
        <v/>
      </c>
      <c r="K860" s="55" t="str">
        <f aca="false">IF(C860="","",IFERROR(INDEX('شجرة الحسابات'!$I$9:$I$208,MATCH(C860,'شجرة الحسابات'!$A$9:$A$208,0))&amp;"",""))</f>
        <v/>
      </c>
      <c r="L860" s="55" t="str">
        <f aca="false">IF(C860="","",IFERROR(INDEX('شجرة الحسابات'!$C$9:$C$208,MATCH(C860,'شجرة الحسابات'!$A$9:$A$208,0))&amp;"",""))</f>
        <v/>
      </c>
      <c r="M860" s="55" t="str">
        <f aca="false">IF(AND(C860="",G860="",H860=""),"فارغ",IF(ISNA(MATCH(C860,'شجرة الحسابات'!$A$9:$A$208,0)),"حساب غير معرف",IF(L860&lt;&gt;"تحليلي","حساب تجميعي",IF(AND(N(G860)&gt;0,N(H860)&gt;0),"مدين ودائن معاً",IF(N(G860)+N(H860)=0,"بدون قيمة","OK")))))</f>
        <v>فارغ</v>
      </c>
      <c r="N860" s="55" t="str">
        <f aca="false">IF(AND(E860&lt;&gt;"",E860='كشف حساب مشروع'!$C$6,I860="مرحل ✔"),COUNTIFS($E$11:E860,'كشف حساب مشروع'!$C$6,$I$11:I860,"مرحل ✔"),"")</f>
        <v/>
      </c>
      <c r="O860" s="55" t="str">
        <f aca="false">IF(AND(C860&lt;&gt;"",C860='دفتر الأستاذ'!$C$6,I860="مرحل ✔"),COUNTIFS($C$11:C860,'دفتر الأستاذ'!$C$6,$I$11:I860,"مرحل ✔"),"")</f>
        <v/>
      </c>
    </row>
    <row r="861" customFormat="false" ht="15" hidden="false" customHeight="false" outlineLevel="0" collapsed="false">
      <c r="A861" s="49"/>
      <c r="B861" s="50"/>
      <c r="C861" s="49"/>
      <c r="D861" s="51" t="str">
        <f aca="false">IF(C861="","",IFERROR(INDEX('شجرة الحسابات'!$B$9:$B$208,MATCH(C861,'شجرة الحسابات'!$A$9:$A$208,0)),"⚠ حساب غير معرف"))</f>
        <v/>
      </c>
      <c r="E861" s="52"/>
      <c r="F861" s="52"/>
      <c r="G861" s="53"/>
      <c r="H861" s="53"/>
      <c r="I861" s="54" t="str">
        <f aca="false">IF(A861="",IF(M861="فارغ","","✖ بدون رقم قيد"),IF(COUNTIFS('قيود اليومية'!$A$11:$A$1010,A861,'قيود اليومية'!$M$11:$M$1010,"&lt;&gt;OK",'قيود اليومية'!$M$11:$M$1010,"&lt;&gt;فارغ")&gt;0,"✖ خطأ بالحساب",IF(ROUND(SUMIFS('قيود اليومية'!$G$11:$G$1010,'قيود اليومية'!$A$11:$A$1010,A861)-SUMIFS('قيود اليومية'!$H$11:$H$1010,'قيود اليومية'!$A$11:$A$1010,A861),2)&lt;&gt;0,"✖ غير متوازن","مرحل ✔")))</f>
        <v/>
      </c>
      <c r="J861" s="55" t="str">
        <f aca="false">IF(C861="","",IFERROR(INDEX('شجرة الحسابات'!$E$9:$E$208,MATCH(C861,'شجرة الحسابات'!$A$9:$A$208,0))&amp;"",""))</f>
        <v/>
      </c>
      <c r="K861" s="55" t="str">
        <f aca="false">IF(C861="","",IFERROR(INDEX('شجرة الحسابات'!$I$9:$I$208,MATCH(C861,'شجرة الحسابات'!$A$9:$A$208,0))&amp;"",""))</f>
        <v/>
      </c>
      <c r="L861" s="55" t="str">
        <f aca="false">IF(C861="","",IFERROR(INDEX('شجرة الحسابات'!$C$9:$C$208,MATCH(C861,'شجرة الحسابات'!$A$9:$A$208,0))&amp;"",""))</f>
        <v/>
      </c>
      <c r="M861" s="55" t="str">
        <f aca="false">IF(AND(C861="",G861="",H861=""),"فارغ",IF(ISNA(MATCH(C861,'شجرة الحسابات'!$A$9:$A$208,0)),"حساب غير معرف",IF(L861&lt;&gt;"تحليلي","حساب تجميعي",IF(AND(N(G861)&gt;0,N(H861)&gt;0),"مدين ودائن معاً",IF(N(G861)+N(H861)=0,"بدون قيمة","OK")))))</f>
        <v>فارغ</v>
      </c>
      <c r="N861" s="55" t="str">
        <f aca="false">IF(AND(E861&lt;&gt;"",E861='كشف حساب مشروع'!$C$6,I861="مرحل ✔"),COUNTIFS($E$11:E861,'كشف حساب مشروع'!$C$6,$I$11:I861,"مرحل ✔"),"")</f>
        <v/>
      </c>
      <c r="O861" s="55" t="str">
        <f aca="false">IF(AND(C861&lt;&gt;"",C861='دفتر الأستاذ'!$C$6,I861="مرحل ✔"),COUNTIFS($C$11:C861,'دفتر الأستاذ'!$C$6,$I$11:I861,"مرحل ✔"),"")</f>
        <v/>
      </c>
    </row>
    <row r="862" customFormat="false" ht="15" hidden="false" customHeight="false" outlineLevel="0" collapsed="false">
      <c r="A862" s="49"/>
      <c r="B862" s="50"/>
      <c r="C862" s="49"/>
      <c r="D862" s="51" t="str">
        <f aca="false">IF(C862="","",IFERROR(INDEX('شجرة الحسابات'!$B$9:$B$208,MATCH(C862,'شجرة الحسابات'!$A$9:$A$208,0)),"⚠ حساب غير معرف"))</f>
        <v/>
      </c>
      <c r="E862" s="52"/>
      <c r="F862" s="52"/>
      <c r="G862" s="53"/>
      <c r="H862" s="53"/>
      <c r="I862" s="54" t="str">
        <f aca="false">IF(A862="",IF(M862="فارغ","","✖ بدون رقم قيد"),IF(COUNTIFS('قيود اليومية'!$A$11:$A$1010,A862,'قيود اليومية'!$M$11:$M$1010,"&lt;&gt;OK",'قيود اليومية'!$M$11:$M$1010,"&lt;&gt;فارغ")&gt;0,"✖ خطأ بالحساب",IF(ROUND(SUMIFS('قيود اليومية'!$G$11:$G$1010,'قيود اليومية'!$A$11:$A$1010,A862)-SUMIFS('قيود اليومية'!$H$11:$H$1010,'قيود اليومية'!$A$11:$A$1010,A862),2)&lt;&gt;0,"✖ غير متوازن","مرحل ✔")))</f>
        <v/>
      </c>
      <c r="J862" s="55" t="str">
        <f aca="false">IF(C862="","",IFERROR(INDEX('شجرة الحسابات'!$E$9:$E$208,MATCH(C862,'شجرة الحسابات'!$A$9:$A$208,0))&amp;"",""))</f>
        <v/>
      </c>
      <c r="K862" s="55" t="str">
        <f aca="false">IF(C862="","",IFERROR(INDEX('شجرة الحسابات'!$I$9:$I$208,MATCH(C862,'شجرة الحسابات'!$A$9:$A$208,0))&amp;"",""))</f>
        <v/>
      </c>
      <c r="L862" s="55" t="str">
        <f aca="false">IF(C862="","",IFERROR(INDEX('شجرة الحسابات'!$C$9:$C$208,MATCH(C862,'شجرة الحسابات'!$A$9:$A$208,0))&amp;"",""))</f>
        <v/>
      </c>
      <c r="M862" s="55" t="str">
        <f aca="false">IF(AND(C862="",G862="",H862=""),"فارغ",IF(ISNA(MATCH(C862,'شجرة الحسابات'!$A$9:$A$208,0)),"حساب غير معرف",IF(L862&lt;&gt;"تحليلي","حساب تجميعي",IF(AND(N(G862)&gt;0,N(H862)&gt;0),"مدين ودائن معاً",IF(N(G862)+N(H862)=0,"بدون قيمة","OK")))))</f>
        <v>فارغ</v>
      </c>
      <c r="N862" s="55" t="str">
        <f aca="false">IF(AND(E862&lt;&gt;"",E862='كشف حساب مشروع'!$C$6,I862="مرحل ✔"),COUNTIFS($E$11:E862,'كشف حساب مشروع'!$C$6,$I$11:I862,"مرحل ✔"),"")</f>
        <v/>
      </c>
      <c r="O862" s="55" t="str">
        <f aca="false">IF(AND(C862&lt;&gt;"",C862='دفتر الأستاذ'!$C$6,I862="مرحل ✔"),COUNTIFS($C$11:C862,'دفتر الأستاذ'!$C$6,$I$11:I862,"مرحل ✔"),"")</f>
        <v/>
      </c>
    </row>
    <row r="863" customFormat="false" ht="15" hidden="false" customHeight="false" outlineLevel="0" collapsed="false">
      <c r="A863" s="49"/>
      <c r="B863" s="50"/>
      <c r="C863" s="49"/>
      <c r="D863" s="51" t="str">
        <f aca="false">IF(C863="","",IFERROR(INDEX('شجرة الحسابات'!$B$9:$B$208,MATCH(C863,'شجرة الحسابات'!$A$9:$A$208,0)),"⚠ حساب غير معرف"))</f>
        <v/>
      </c>
      <c r="E863" s="52"/>
      <c r="F863" s="52"/>
      <c r="G863" s="53"/>
      <c r="H863" s="53"/>
      <c r="I863" s="54" t="str">
        <f aca="false">IF(A863="",IF(M863="فارغ","","✖ بدون رقم قيد"),IF(COUNTIFS('قيود اليومية'!$A$11:$A$1010,A863,'قيود اليومية'!$M$11:$M$1010,"&lt;&gt;OK",'قيود اليومية'!$M$11:$M$1010,"&lt;&gt;فارغ")&gt;0,"✖ خطأ بالحساب",IF(ROUND(SUMIFS('قيود اليومية'!$G$11:$G$1010,'قيود اليومية'!$A$11:$A$1010,A863)-SUMIFS('قيود اليومية'!$H$11:$H$1010,'قيود اليومية'!$A$11:$A$1010,A863),2)&lt;&gt;0,"✖ غير متوازن","مرحل ✔")))</f>
        <v/>
      </c>
      <c r="J863" s="55" t="str">
        <f aca="false">IF(C863="","",IFERROR(INDEX('شجرة الحسابات'!$E$9:$E$208,MATCH(C863,'شجرة الحسابات'!$A$9:$A$208,0))&amp;"",""))</f>
        <v/>
      </c>
      <c r="K863" s="55" t="str">
        <f aca="false">IF(C863="","",IFERROR(INDEX('شجرة الحسابات'!$I$9:$I$208,MATCH(C863,'شجرة الحسابات'!$A$9:$A$208,0))&amp;"",""))</f>
        <v/>
      </c>
      <c r="L863" s="55" t="str">
        <f aca="false">IF(C863="","",IFERROR(INDEX('شجرة الحسابات'!$C$9:$C$208,MATCH(C863,'شجرة الحسابات'!$A$9:$A$208,0))&amp;"",""))</f>
        <v/>
      </c>
      <c r="M863" s="55" t="str">
        <f aca="false">IF(AND(C863="",G863="",H863=""),"فارغ",IF(ISNA(MATCH(C863,'شجرة الحسابات'!$A$9:$A$208,0)),"حساب غير معرف",IF(L863&lt;&gt;"تحليلي","حساب تجميعي",IF(AND(N(G863)&gt;0,N(H863)&gt;0),"مدين ودائن معاً",IF(N(G863)+N(H863)=0,"بدون قيمة","OK")))))</f>
        <v>فارغ</v>
      </c>
      <c r="N863" s="55" t="str">
        <f aca="false">IF(AND(E863&lt;&gt;"",E863='كشف حساب مشروع'!$C$6,I863="مرحل ✔"),COUNTIFS($E$11:E863,'كشف حساب مشروع'!$C$6,$I$11:I863,"مرحل ✔"),"")</f>
        <v/>
      </c>
      <c r="O863" s="55" t="str">
        <f aca="false">IF(AND(C863&lt;&gt;"",C863='دفتر الأستاذ'!$C$6,I863="مرحل ✔"),COUNTIFS($C$11:C863,'دفتر الأستاذ'!$C$6,$I$11:I863,"مرحل ✔"),"")</f>
        <v/>
      </c>
    </row>
    <row r="864" customFormat="false" ht="15" hidden="false" customHeight="false" outlineLevel="0" collapsed="false">
      <c r="A864" s="49"/>
      <c r="B864" s="50"/>
      <c r="C864" s="49"/>
      <c r="D864" s="51" t="str">
        <f aca="false">IF(C864="","",IFERROR(INDEX('شجرة الحسابات'!$B$9:$B$208,MATCH(C864,'شجرة الحسابات'!$A$9:$A$208,0)),"⚠ حساب غير معرف"))</f>
        <v/>
      </c>
      <c r="E864" s="52"/>
      <c r="F864" s="52"/>
      <c r="G864" s="53"/>
      <c r="H864" s="53"/>
      <c r="I864" s="54" t="str">
        <f aca="false">IF(A864="",IF(M864="فارغ","","✖ بدون رقم قيد"),IF(COUNTIFS('قيود اليومية'!$A$11:$A$1010,A864,'قيود اليومية'!$M$11:$M$1010,"&lt;&gt;OK",'قيود اليومية'!$M$11:$M$1010,"&lt;&gt;فارغ")&gt;0,"✖ خطأ بالحساب",IF(ROUND(SUMIFS('قيود اليومية'!$G$11:$G$1010,'قيود اليومية'!$A$11:$A$1010,A864)-SUMIFS('قيود اليومية'!$H$11:$H$1010,'قيود اليومية'!$A$11:$A$1010,A864),2)&lt;&gt;0,"✖ غير متوازن","مرحل ✔")))</f>
        <v/>
      </c>
      <c r="J864" s="55" t="str">
        <f aca="false">IF(C864="","",IFERROR(INDEX('شجرة الحسابات'!$E$9:$E$208,MATCH(C864,'شجرة الحسابات'!$A$9:$A$208,0))&amp;"",""))</f>
        <v/>
      </c>
      <c r="K864" s="55" t="str">
        <f aca="false">IF(C864="","",IFERROR(INDEX('شجرة الحسابات'!$I$9:$I$208,MATCH(C864,'شجرة الحسابات'!$A$9:$A$208,0))&amp;"",""))</f>
        <v/>
      </c>
      <c r="L864" s="55" t="str">
        <f aca="false">IF(C864="","",IFERROR(INDEX('شجرة الحسابات'!$C$9:$C$208,MATCH(C864,'شجرة الحسابات'!$A$9:$A$208,0))&amp;"",""))</f>
        <v/>
      </c>
      <c r="M864" s="55" t="str">
        <f aca="false">IF(AND(C864="",G864="",H864=""),"فارغ",IF(ISNA(MATCH(C864,'شجرة الحسابات'!$A$9:$A$208,0)),"حساب غير معرف",IF(L864&lt;&gt;"تحليلي","حساب تجميعي",IF(AND(N(G864)&gt;0,N(H864)&gt;0),"مدين ودائن معاً",IF(N(G864)+N(H864)=0,"بدون قيمة","OK")))))</f>
        <v>فارغ</v>
      </c>
      <c r="N864" s="55" t="str">
        <f aca="false">IF(AND(E864&lt;&gt;"",E864='كشف حساب مشروع'!$C$6,I864="مرحل ✔"),COUNTIFS($E$11:E864,'كشف حساب مشروع'!$C$6,$I$11:I864,"مرحل ✔"),"")</f>
        <v/>
      </c>
      <c r="O864" s="55" t="str">
        <f aca="false">IF(AND(C864&lt;&gt;"",C864='دفتر الأستاذ'!$C$6,I864="مرحل ✔"),COUNTIFS($C$11:C864,'دفتر الأستاذ'!$C$6,$I$11:I864,"مرحل ✔"),"")</f>
        <v/>
      </c>
    </row>
    <row r="865" customFormat="false" ht="15" hidden="false" customHeight="false" outlineLevel="0" collapsed="false">
      <c r="A865" s="49"/>
      <c r="B865" s="50"/>
      <c r="C865" s="49"/>
      <c r="D865" s="51" t="str">
        <f aca="false">IF(C865="","",IFERROR(INDEX('شجرة الحسابات'!$B$9:$B$208,MATCH(C865,'شجرة الحسابات'!$A$9:$A$208,0)),"⚠ حساب غير معرف"))</f>
        <v/>
      </c>
      <c r="E865" s="52"/>
      <c r="F865" s="52"/>
      <c r="G865" s="53"/>
      <c r="H865" s="53"/>
      <c r="I865" s="54" t="str">
        <f aca="false">IF(A865="",IF(M865="فارغ","","✖ بدون رقم قيد"),IF(COUNTIFS('قيود اليومية'!$A$11:$A$1010,A865,'قيود اليومية'!$M$11:$M$1010,"&lt;&gt;OK",'قيود اليومية'!$M$11:$M$1010,"&lt;&gt;فارغ")&gt;0,"✖ خطأ بالحساب",IF(ROUND(SUMIFS('قيود اليومية'!$G$11:$G$1010,'قيود اليومية'!$A$11:$A$1010,A865)-SUMIFS('قيود اليومية'!$H$11:$H$1010,'قيود اليومية'!$A$11:$A$1010,A865),2)&lt;&gt;0,"✖ غير متوازن","مرحل ✔")))</f>
        <v/>
      </c>
      <c r="J865" s="55" t="str">
        <f aca="false">IF(C865="","",IFERROR(INDEX('شجرة الحسابات'!$E$9:$E$208,MATCH(C865,'شجرة الحسابات'!$A$9:$A$208,0))&amp;"",""))</f>
        <v/>
      </c>
      <c r="K865" s="55" t="str">
        <f aca="false">IF(C865="","",IFERROR(INDEX('شجرة الحسابات'!$I$9:$I$208,MATCH(C865,'شجرة الحسابات'!$A$9:$A$208,0))&amp;"",""))</f>
        <v/>
      </c>
      <c r="L865" s="55" t="str">
        <f aca="false">IF(C865="","",IFERROR(INDEX('شجرة الحسابات'!$C$9:$C$208,MATCH(C865,'شجرة الحسابات'!$A$9:$A$208,0))&amp;"",""))</f>
        <v/>
      </c>
      <c r="M865" s="55" t="str">
        <f aca="false">IF(AND(C865="",G865="",H865=""),"فارغ",IF(ISNA(MATCH(C865,'شجرة الحسابات'!$A$9:$A$208,0)),"حساب غير معرف",IF(L865&lt;&gt;"تحليلي","حساب تجميعي",IF(AND(N(G865)&gt;0,N(H865)&gt;0),"مدين ودائن معاً",IF(N(G865)+N(H865)=0,"بدون قيمة","OK")))))</f>
        <v>فارغ</v>
      </c>
      <c r="N865" s="55" t="str">
        <f aca="false">IF(AND(E865&lt;&gt;"",E865='كشف حساب مشروع'!$C$6,I865="مرحل ✔"),COUNTIFS($E$11:E865,'كشف حساب مشروع'!$C$6,$I$11:I865,"مرحل ✔"),"")</f>
        <v/>
      </c>
      <c r="O865" s="55" t="str">
        <f aca="false">IF(AND(C865&lt;&gt;"",C865='دفتر الأستاذ'!$C$6,I865="مرحل ✔"),COUNTIFS($C$11:C865,'دفتر الأستاذ'!$C$6,$I$11:I865,"مرحل ✔"),"")</f>
        <v/>
      </c>
    </row>
    <row r="866" customFormat="false" ht="15" hidden="false" customHeight="false" outlineLevel="0" collapsed="false">
      <c r="A866" s="49"/>
      <c r="B866" s="50"/>
      <c r="C866" s="49"/>
      <c r="D866" s="51" t="str">
        <f aca="false">IF(C866="","",IFERROR(INDEX('شجرة الحسابات'!$B$9:$B$208,MATCH(C866,'شجرة الحسابات'!$A$9:$A$208,0)),"⚠ حساب غير معرف"))</f>
        <v/>
      </c>
      <c r="E866" s="52"/>
      <c r="F866" s="52"/>
      <c r="G866" s="53"/>
      <c r="H866" s="53"/>
      <c r="I866" s="54" t="str">
        <f aca="false">IF(A866="",IF(M866="فارغ","","✖ بدون رقم قيد"),IF(COUNTIFS('قيود اليومية'!$A$11:$A$1010,A866,'قيود اليومية'!$M$11:$M$1010,"&lt;&gt;OK",'قيود اليومية'!$M$11:$M$1010,"&lt;&gt;فارغ")&gt;0,"✖ خطأ بالحساب",IF(ROUND(SUMIFS('قيود اليومية'!$G$11:$G$1010,'قيود اليومية'!$A$11:$A$1010,A866)-SUMIFS('قيود اليومية'!$H$11:$H$1010,'قيود اليومية'!$A$11:$A$1010,A866),2)&lt;&gt;0,"✖ غير متوازن","مرحل ✔")))</f>
        <v/>
      </c>
      <c r="J866" s="55" t="str">
        <f aca="false">IF(C866="","",IFERROR(INDEX('شجرة الحسابات'!$E$9:$E$208,MATCH(C866,'شجرة الحسابات'!$A$9:$A$208,0))&amp;"",""))</f>
        <v/>
      </c>
      <c r="K866" s="55" t="str">
        <f aca="false">IF(C866="","",IFERROR(INDEX('شجرة الحسابات'!$I$9:$I$208,MATCH(C866,'شجرة الحسابات'!$A$9:$A$208,0))&amp;"",""))</f>
        <v/>
      </c>
      <c r="L866" s="55" t="str">
        <f aca="false">IF(C866="","",IFERROR(INDEX('شجرة الحسابات'!$C$9:$C$208,MATCH(C866,'شجرة الحسابات'!$A$9:$A$208,0))&amp;"",""))</f>
        <v/>
      </c>
      <c r="M866" s="55" t="str">
        <f aca="false">IF(AND(C866="",G866="",H866=""),"فارغ",IF(ISNA(MATCH(C866,'شجرة الحسابات'!$A$9:$A$208,0)),"حساب غير معرف",IF(L866&lt;&gt;"تحليلي","حساب تجميعي",IF(AND(N(G866)&gt;0,N(H866)&gt;0),"مدين ودائن معاً",IF(N(G866)+N(H866)=0,"بدون قيمة","OK")))))</f>
        <v>فارغ</v>
      </c>
      <c r="N866" s="55" t="str">
        <f aca="false">IF(AND(E866&lt;&gt;"",E866='كشف حساب مشروع'!$C$6,I866="مرحل ✔"),COUNTIFS($E$11:E866,'كشف حساب مشروع'!$C$6,$I$11:I866,"مرحل ✔"),"")</f>
        <v/>
      </c>
      <c r="O866" s="55" t="str">
        <f aca="false">IF(AND(C866&lt;&gt;"",C866='دفتر الأستاذ'!$C$6,I866="مرحل ✔"),COUNTIFS($C$11:C866,'دفتر الأستاذ'!$C$6,$I$11:I866,"مرحل ✔"),"")</f>
        <v/>
      </c>
    </row>
    <row r="867" customFormat="false" ht="15" hidden="false" customHeight="false" outlineLevel="0" collapsed="false">
      <c r="A867" s="49"/>
      <c r="B867" s="50"/>
      <c r="C867" s="49"/>
      <c r="D867" s="51" t="str">
        <f aca="false">IF(C867="","",IFERROR(INDEX('شجرة الحسابات'!$B$9:$B$208,MATCH(C867,'شجرة الحسابات'!$A$9:$A$208,0)),"⚠ حساب غير معرف"))</f>
        <v/>
      </c>
      <c r="E867" s="52"/>
      <c r="F867" s="52"/>
      <c r="G867" s="53"/>
      <c r="H867" s="53"/>
      <c r="I867" s="54" t="str">
        <f aca="false">IF(A867="",IF(M867="فارغ","","✖ بدون رقم قيد"),IF(COUNTIFS('قيود اليومية'!$A$11:$A$1010,A867,'قيود اليومية'!$M$11:$M$1010,"&lt;&gt;OK",'قيود اليومية'!$M$11:$M$1010,"&lt;&gt;فارغ")&gt;0,"✖ خطأ بالحساب",IF(ROUND(SUMIFS('قيود اليومية'!$G$11:$G$1010,'قيود اليومية'!$A$11:$A$1010,A867)-SUMIFS('قيود اليومية'!$H$11:$H$1010,'قيود اليومية'!$A$11:$A$1010,A867),2)&lt;&gt;0,"✖ غير متوازن","مرحل ✔")))</f>
        <v/>
      </c>
      <c r="J867" s="55" t="str">
        <f aca="false">IF(C867="","",IFERROR(INDEX('شجرة الحسابات'!$E$9:$E$208,MATCH(C867,'شجرة الحسابات'!$A$9:$A$208,0))&amp;"",""))</f>
        <v/>
      </c>
      <c r="K867" s="55" t="str">
        <f aca="false">IF(C867="","",IFERROR(INDEX('شجرة الحسابات'!$I$9:$I$208,MATCH(C867,'شجرة الحسابات'!$A$9:$A$208,0))&amp;"",""))</f>
        <v/>
      </c>
      <c r="L867" s="55" t="str">
        <f aca="false">IF(C867="","",IFERROR(INDEX('شجرة الحسابات'!$C$9:$C$208,MATCH(C867,'شجرة الحسابات'!$A$9:$A$208,0))&amp;"",""))</f>
        <v/>
      </c>
      <c r="M867" s="55" t="str">
        <f aca="false">IF(AND(C867="",G867="",H867=""),"فارغ",IF(ISNA(MATCH(C867,'شجرة الحسابات'!$A$9:$A$208,0)),"حساب غير معرف",IF(L867&lt;&gt;"تحليلي","حساب تجميعي",IF(AND(N(G867)&gt;0,N(H867)&gt;0),"مدين ودائن معاً",IF(N(G867)+N(H867)=0,"بدون قيمة","OK")))))</f>
        <v>فارغ</v>
      </c>
      <c r="N867" s="55" t="str">
        <f aca="false">IF(AND(E867&lt;&gt;"",E867='كشف حساب مشروع'!$C$6,I867="مرحل ✔"),COUNTIFS($E$11:E867,'كشف حساب مشروع'!$C$6,$I$11:I867,"مرحل ✔"),"")</f>
        <v/>
      </c>
      <c r="O867" s="55" t="str">
        <f aca="false">IF(AND(C867&lt;&gt;"",C867='دفتر الأستاذ'!$C$6,I867="مرحل ✔"),COUNTIFS($C$11:C867,'دفتر الأستاذ'!$C$6,$I$11:I867,"مرحل ✔"),"")</f>
        <v/>
      </c>
    </row>
    <row r="868" customFormat="false" ht="15" hidden="false" customHeight="false" outlineLevel="0" collapsed="false">
      <c r="A868" s="49"/>
      <c r="B868" s="50"/>
      <c r="C868" s="49"/>
      <c r="D868" s="51" t="str">
        <f aca="false">IF(C868="","",IFERROR(INDEX('شجرة الحسابات'!$B$9:$B$208,MATCH(C868,'شجرة الحسابات'!$A$9:$A$208,0)),"⚠ حساب غير معرف"))</f>
        <v/>
      </c>
      <c r="E868" s="52"/>
      <c r="F868" s="52"/>
      <c r="G868" s="53"/>
      <c r="H868" s="53"/>
      <c r="I868" s="54" t="str">
        <f aca="false">IF(A868="",IF(M868="فارغ","","✖ بدون رقم قيد"),IF(COUNTIFS('قيود اليومية'!$A$11:$A$1010,A868,'قيود اليومية'!$M$11:$M$1010,"&lt;&gt;OK",'قيود اليومية'!$M$11:$M$1010,"&lt;&gt;فارغ")&gt;0,"✖ خطأ بالحساب",IF(ROUND(SUMIFS('قيود اليومية'!$G$11:$G$1010,'قيود اليومية'!$A$11:$A$1010,A868)-SUMIFS('قيود اليومية'!$H$11:$H$1010,'قيود اليومية'!$A$11:$A$1010,A868),2)&lt;&gt;0,"✖ غير متوازن","مرحل ✔")))</f>
        <v/>
      </c>
      <c r="J868" s="55" t="str">
        <f aca="false">IF(C868="","",IFERROR(INDEX('شجرة الحسابات'!$E$9:$E$208,MATCH(C868,'شجرة الحسابات'!$A$9:$A$208,0))&amp;"",""))</f>
        <v/>
      </c>
      <c r="K868" s="55" t="str">
        <f aca="false">IF(C868="","",IFERROR(INDEX('شجرة الحسابات'!$I$9:$I$208,MATCH(C868,'شجرة الحسابات'!$A$9:$A$208,0))&amp;"",""))</f>
        <v/>
      </c>
      <c r="L868" s="55" t="str">
        <f aca="false">IF(C868="","",IFERROR(INDEX('شجرة الحسابات'!$C$9:$C$208,MATCH(C868,'شجرة الحسابات'!$A$9:$A$208,0))&amp;"",""))</f>
        <v/>
      </c>
      <c r="M868" s="55" t="str">
        <f aca="false">IF(AND(C868="",G868="",H868=""),"فارغ",IF(ISNA(MATCH(C868,'شجرة الحسابات'!$A$9:$A$208,0)),"حساب غير معرف",IF(L868&lt;&gt;"تحليلي","حساب تجميعي",IF(AND(N(G868)&gt;0,N(H868)&gt;0),"مدين ودائن معاً",IF(N(G868)+N(H868)=0,"بدون قيمة","OK")))))</f>
        <v>فارغ</v>
      </c>
      <c r="N868" s="55" t="str">
        <f aca="false">IF(AND(E868&lt;&gt;"",E868='كشف حساب مشروع'!$C$6,I868="مرحل ✔"),COUNTIFS($E$11:E868,'كشف حساب مشروع'!$C$6,$I$11:I868,"مرحل ✔"),"")</f>
        <v/>
      </c>
      <c r="O868" s="55" t="str">
        <f aca="false">IF(AND(C868&lt;&gt;"",C868='دفتر الأستاذ'!$C$6,I868="مرحل ✔"),COUNTIFS($C$11:C868,'دفتر الأستاذ'!$C$6,$I$11:I868,"مرحل ✔"),"")</f>
        <v/>
      </c>
    </row>
    <row r="869" customFormat="false" ht="15" hidden="false" customHeight="false" outlineLevel="0" collapsed="false">
      <c r="A869" s="49"/>
      <c r="B869" s="50"/>
      <c r="C869" s="49"/>
      <c r="D869" s="51" t="str">
        <f aca="false">IF(C869="","",IFERROR(INDEX('شجرة الحسابات'!$B$9:$B$208,MATCH(C869,'شجرة الحسابات'!$A$9:$A$208,0)),"⚠ حساب غير معرف"))</f>
        <v/>
      </c>
      <c r="E869" s="52"/>
      <c r="F869" s="52"/>
      <c r="G869" s="53"/>
      <c r="H869" s="53"/>
      <c r="I869" s="54" t="str">
        <f aca="false">IF(A869="",IF(M869="فارغ","","✖ بدون رقم قيد"),IF(COUNTIFS('قيود اليومية'!$A$11:$A$1010,A869,'قيود اليومية'!$M$11:$M$1010,"&lt;&gt;OK",'قيود اليومية'!$M$11:$M$1010,"&lt;&gt;فارغ")&gt;0,"✖ خطأ بالحساب",IF(ROUND(SUMIFS('قيود اليومية'!$G$11:$G$1010,'قيود اليومية'!$A$11:$A$1010,A869)-SUMIFS('قيود اليومية'!$H$11:$H$1010,'قيود اليومية'!$A$11:$A$1010,A869),2)&lt;&gt;0,"✖ غير متوازن","مرحل ✔")))</f>
        <v/>
      </c>
      <c r="J869" s="55" t="str">
        <f aca="false">IF(C869="","",IFERROR(INDEX('شجرة الحسابات'!$E$9:$E$208,MATCH(C869,'شجرة الحسابات'!$A$9:$A$208,0))&amp;"",""))</f>
        <v/>
      </c>
      <c r="K869" s="55" t="str">
        <f aca="false">IF(C869="","",IFERROR(INDEX('شجرة الحسابات'!$I$9:$I$208,MATCH(C869,'شجرة الحسابات'!$A$9:$A$208,0))&amp;"",""))</f>
        <v/>
      </c>
      <c r="L869" s="55" t="str">
        <f aca="false">IF(C869="","",IFERROR(INDEX('شجرة الحسابات'!$C$9:$C$208,MATCH(C869,'شجرة الحسابات'!$A$9:$A$208,0))&amp;"",""))</f>
        <v/>
      </c>
      <c r="M869" s="55" t="str">
        <f aca="false">IF(AND(C869="",G869="",H869=""),"فارغ",IF(ISNA(MATCH(C869,'شجرة الحسابات'!$A$9:$A$208,0)),"حساب غير معرف",IF(L869&lt;&gt;"تحليلي","حساب تجميعي",IF(AND(N(G869)&gt;0,N(H869)&gt;0),"مدين ودائن معاً",IF(N(G869)+N(H869)=0,"بدون قيمة","OK")))))</f>
        <v>فارغ</v>
      </c>
      <c r="N869" s="55" t="str">
        <f aca="false">IF(AND(E869&lt;&gt;"",E869='كشف حساب مشروع'!$C$6,I869="مرحل ✔"),COUNTIFS($E$11:E869,'كشف حساب مشروع'!$C$6,$I$11:I869,"مرحل ✔"),"")</f>
        <v/>
      </c>
      <c r="O869" s="55" t="str">
        <f aca="false">IF(AND(C869&lt;&gt;"",C869='دفتر الأستاذ'!$C$6,I869="مرحل ✔"),COUNTIFS($C$11:C869,'دفتر الأستاذ'!$C$6,$I$11:I869,"مرحل ✔"),"")</f>
        <v/>
      </c>
    </row>
    <row r="870" customFormat="false" ht="15" hidden="false" customHeight="false" outlineLevel="0" collapsed="false">
      <c r="A870" s="49"/>
      <c r="B870" s="50"/>
      <c r="C870" s="49"/>
      <c r="D870" s="51" t="str">
        <f aca="false">IF(C870="","",IFERROR(INDEX('شجرة الحسابات'!$B$9:$B$208,MATCH(C870,'شجرة الحسابات'!$A$9:$A$208,0)),"⚠ حساب غير معرف"))</f>
        <v/>
      </c>
      <c r="E870" s="52"/>
      <c r="F870" s="52"/>
      <c r="G870" s="53"/>
      <c r="H870" s="53"/>
      <c r="I870" s="54" t="str">
        <f aca="false">IF(A870="",IF(M870="فارغ","","✖ بدون رقم قيد"),IF(COUNTIFS('قيود اليومية'!$A$11:$A$1010,A870,'قيود اليومية'!$M$11:$M$1010,"&lt;&gt;OK",'قيود اليومية'!$M$11:$M$1010,"&lt;&gt;فارغ")&gt;0,"✖ خطأ بالحساب",IF(ROUND(SUMIFS('قيود اليومية'!$G$11:$G$1010,'قيود اليومية'!$A$11:$A$1010,A870)-SUMIFS('قيود اليومية'!$H$11:$H$1010,'قيود اليومية'!$A$11:$A$1010,A870),2)&lt;&gt;0,"✖ غير متوازن","مرحل ✔")))</f>
        <v/>
      </c>
      <c r="J870" s="55" t="str">
        <f aca="false">IF(C870="","",IFERROR(INDEX('شجرة الحسابات'!$E$9:$E$208,MATCH(C870,'شجرة الحسابات'!$A$9:$A$208,0))&amp;"",""))</f>
        <v/>
      </c>
      <c r="K870" s="55" t="str">
        <f aca="false">IF(C870="","",IFERROR(INDEX('شجرة الحسابات'!$I$9:$I$208,MATCH(C870,'شجرة الحسابات'!$A$9:$A$208,0))&amp;"",""))</f>
        <v/>
      </c>
      <c r="L870" s="55" t="str">
        <f aca="false">IF(C870="","",IFERROR(INDEX('شجرة الحسابات'!$C$9:$C$208,MATCH(C870,'شجرة الحسابات'!$A$9:$A$208,0))&amp;"",""))</f>
        <v/>
      </c>
      <c r="M870" s="55" t="str">
        <f aca="false">IF(AND(C870="",G870="",H870=""),"فارغ",IF(ISNA(MATCH(C870,'شجرة الحسابات'!$A$9:$A$208,0)),"حساب غير معرف",IF(L870&lt;&gt;"تحليلي","حساب تجميعي",IF(AND(N(G870)&gt;0,N(H870)&gt;0),"مدين ودائن معاً",IF(N(G870)+N(H870)=0,"بدون قيمة","OK")))))</f>
        <v>فارغ</v>
      </c>
      <c r="N870" s="55" t="str">
        <f aca="false">IF(AND(E870&lt;&gt;"",E870='كشف حساب مشروع'!$C$6,I870="مرحل ✔"),COUNTIFS($E$11:E870,'كشف حساب مشروع'!$C$6,$I$11:I870,"مرحل ✔"),"")</f>
        <v/>
      </c>
      <c r="O870" s="55" t="str">
        <f aca="false">IF(AND(C870&lt;&gt;"",C870='دفتر الأستاذ'!$C$6,I870="مرحل ✔"),COUNTIFS($C$11:C870,'دفتر الأستاذ'!$C$6,$I$11:I870,"مرحل ✔"),"")</f>
        <v/>
      </c>
    </row>
    <row r="871" customFormat="false" ht="15" hidden="false" customHeight="false" outlineLevel="0" collapsed="false">
      <c r="A871" s="49"/>
      <c r="B871" s="50"/>
      <c r="C871" s="49"/>
      <c r="D871" s="51" t="str">
        <f aca="false">IF(C871="","",IFERROR(INDEX('شجرة الحسابات'!$B$9:$B$208,MATCH(C871,'شجرة الحسابات'!$A$9:$A$208,0)),"⚠ حساب غير معرف"))</f>
        <v/>
      </c>
      <c r="E871" s="52"/>
      <c r="F871" s="52"/>
      <c r="G871" s="53"/>
      <c r="H871" s="53"/>
      <c r="I871" s="54" t="str">
        <f aca="false">IF(A871="",IF(M871="فارغ","","✖ بدون رقم قيد"),IF(COUNTIFS('قيود اليومية'!$A$11:$A$1010,A871,'قيود اليومية'!$M$11:$M$1010,"&lt;&gt;OK",'قيود اليومية'!$M$11:$M$1010,"&lt;&gt;فارغ")&gt;0,"✖ خطأ بالحساب",IF(ROUND(SUMIFS('قيود اليومية'!$G$11:$G$1010,'قيود اليومية'!$A$11:$A$1010,A871)-SUMIFS('قيود اليومية'!$H$11:$H$1010,'قيود اليومية'!$A$11:$A$1010,A871),2)&lt;&gt;0,"✖ غير متوازن","مرحل ✔")))</f>
        <v/>
      </c>
      <c r="J871" s="55" t="str">
        <f aca="false">IF(C871="","",IFERROR(INDEX('شجرة الحسابات'!$E$9:$E$208,MATCH(C871,'شجرة الحسابات'!$A$9:$A$208,0))&amp;"",""))</f>
        <v/>
      </c>
      <c r="K871" s="55" t="str">
        <f aca="false">IF(C871="","",IFERROR(INDEX('شجرة الحسابات'!$I$9:$I$208,MATCH(C871,'شجرة الحسابات'!$A$9:$A$208,0))&amp;"",""))</f>
        <v/>
      </c>
      <c r="L871" s="55" t="str">
        <f aca="false">IF(C871="","",IFERROR(INDEX('شجرة الحسابات'!$C$9:$C$208,MATCH(C871,'شجرة الحسابات'!$A$9:$A$208,0))&amp;"",""))</f>
        <v/>
      </c>
      <c r="M871" s="55" t="str">
        <f aca="false">IF(AND(C871="",G871="",H871=""),"فارغ",IF(ISNA(MATCH(C871,'شجرة الحسابات'!$A$9:$A$208,0)),"حساب غير معرف",IF(L871&lt;&gt;"تحليلي","حساب تجميعي",IF(AND(N(G871)&gt;0,N(H871)&gt;0),"مدين ودائن معاً",IF(N(G871)+N(H871)=0,"بدون قيمة","OK")))))</f>
        <v>فارغ</v>
      </c>
      <c r="N871" s="55" t="str">
        <f aca="false">IF(AND(E871&lt;&gt;"",E871='كشف حساب مشروع'!$C$6,I871="مرحل ✔"),COUNTIFS($E$11:E871,'كشف حساب مشروع'!$C$6,$I$11:I871,"مرحل ✔"),"")</f>
        <v/>
      </c>
      <c r="O871" s="55" t="str">
        <f aca="false">IF(AND(C871&lt;&gt;"",C871='دفتر الأستاذ'!$C$6,I871="مرحل ✔"),COUNTIFS($C$11:C871,'دفتر الأستاذ'!$C$6,$I$11:I871,"مرحل ✔"),"")</f>
        <v/>
      </c>
    </row>
    <row r="872" customFormat="false" ht="15" hidden="false" customHeight="false" outlineLevel="0" collapsed="false">
      <c r="A872" s="49"/>
      <c r="B872" s="50"/>
      <c r="C872" s="49"/>
      <c r="D872" s="51" t="str">
        <f aca="false">IF(C872="","",IFERROR(INDEX('شجرة الحسابات'!$B$9:$B$208,MATCH(C872,'شجرة الحسابات'!$A$9:$A$208,0)),"⚠ حساب غير معرف"))</f>
        <v/>
      </c>
      <c r="E872" s="52"/>
      <c r="F872" s="52"/>
      <c r="G872" s="53"/>
      <c r="H872" s="53"/>
      <c r="I872" s="54" t="str">
        <f aca="false">IF(A872="",IF(M872="فارغ","","✖ بدون رقم قيد"),IF(COUNTIFS('قيود اليومية'!$A$11:$A$1010,A872,'قيود اليومية'!$M$11:$M$1010,"&lt;&gt;OK",'قيود اليومية'!$M$11:$M$1010,"&lt;&gt;فارغ")&gt;0,"✖ خطأ بالحساب",IF(ROUND(SUMIFS('قيود اليومية'!$G$11:$G$1010,'قيود اليومية'!$A$11:$A$1010,A872)-SUMIFS('قيود اليومية'!$H$11:$H$1010,'قيود اليومية'!$A$11:$A$1010,A872),2)&lt;&gt;0,"✖ غير متوازن","مرحل ✔")))</f>
        <v/>
      </c>
      <c r="J872" s="55" t="str">
        <f aca="false">IF(C872="","",IFERROR(INDEX('شجرة الحسابات'!$E$9:$E$208,MATCH(C872,'شجرة الحسابات'!$A$9:$A$208,0))&amp;"",""))</f>
        <v/>
      </c>
      <c r="K872" s="55" t="str">
        <f aca="false">IF(C872="","",IFERROR(INDEX('شجرة الحسابات'!$I$9:$I$208,MATCH(C872,'شجرة الحسابات'!$A$9:$A$208,0))&amp;"",""))</f>
        <v/>
      </c>
      <c r="L872" s="55" t="str">
        <f aca="false">IF(C872="","",IFERROR(INDEX('شجرة الحسابات'!$C$9:$C$208,MATCH(C872,'شجرة الحسابات'!$A$9:$A$208,0))&amp;"",""))</f>
        <v/>
      </c>
      <c r="M872" s="55" t="str">
        <f aca="false">IF(AND(C872="",G872="",H872=""),"فارغ",IF(ISNA(MATCH(C872,'شجرة الحسابات'!$A$9:$A$208,0)),"حساب غير معرف",IF(L872&lt;&gt;"تحليلي","حساب تجميعي",IF(AND(N(G872)&gt;0,N(H872)&gt;0),"مدين ودائن معاً",IF(N(G872)+N(H872)=0,"بدون قيمة","OK")))))</f>
        <v>فارغ</v>
      </c>
      <c r="N872" s="55" t="str">
        <f aca="false">IF(AND(E872&lt;&gt;"",E872='كشف حساب مشروع'!$C$6,I872="مرحل ✔"),COUNTIFS($E$11:E872,'كشف حساب مشروع'!$C$6,$I$11:I872,"مرحل ✔"),"")</f>
        <v/>
      </c>
      <c r="O872" s="55" t="str">
        <f aca="false">IF(AND(C872&lt;&gt;"",C872='دفتر الأستاذ'!$C$6,I872="مرحل ✔"),COUNTIFS($C$11:C872,'دفتر الأستاذ'!$C$6,$I$11:I872,"مرحل ✔"),"")</f>
        <v/>
      </c>
    </row>
    <row r="873" customFormat="false" ht="15" hidden="false" customHeight="false" outlineLevel="0" collapsed="false">
      <c r="A873" s="49"/>
      <c r="B873" s="50"/>
      <c r="C873" s="49"/>
      <c r="D873" s="51" t="str">
        <f aca="false">IF(C873="","",IFERROR(INDEX('شجرة الحسابات'!$B$9:$B$208,MATCH(C873,'شجرة الحسابات'!$A$9:$A$208,0)),"⚠ حساب غير معرف"))</f>
        <v/>
      </c>
      <c r="E873" s="52"/>
      <c r="F873" s="52"/>
      <c r="G873" s="53"/>
      <c r="H873" s="53"/>
      <c r="I873" s="54" t="str">
        <f aca="false">IF(A873="",IF(M873="فارغ","","✖ بدون رقم قيد"),IF(COUNTIFS('قيود اليومية'!$A$11:$A$1010,A873,'قيود اليومية'!$M$11:$M$1010,"&lt;&gt;OK",'قيود اليومية'!$M$11:$M$1010,"&lt;&gt;فارغ")&gt;0,"✖ خطأ بالحساب",IF(ROUND(SUMIFS('قيود اليومية'!$G$11:$G$1010,'قيود اليومية'!$A$11:$A$1010,A873)-SUMIFS('قيود اليومية'!$H$11:$H$1010,'قيود اليومية'!$A$11:$A$1010,A873),2)&lt;&gt;0,"✖ غير متوازن","مرحل ✔")))</f>
        <v/>
      </c>
      <c r="J873" s="55" t="str">
        <f aca="false">IF(C873="","",IFERROR(INDEX('شجرة الحسابات'!$E$9:$E$208,MATCH(C873,'شجرة الحسابات'!$A$9:$A$208,0))&amp;"",""))</f>
        <v/>
      </c>
      <c r="K873" s="55" t="str">
        <f aca="false">IF(C873="","",IFERROR(INDEX('شجرة الحسابات'!$I$9:$I$208,MATCH(C873,'شجرة الحسابات'!$A$9:$A$208,0))&amp;"",""))</f>
        <v/>
      </c>
      <c r="L873" s="55" t="str">
        <f aca="false">IF(C873="","",IFERROR(INDEX('شجرة الحسابات'!$C$9:$C$208,MATCH(C873,'شجرة الحسابات'!$A$9:$A$208,0))&amp;"",""))</f>
        <v/>
      </c>
      <c r="M873" s="55" t="str">
        <f aca="false">IF(AND(C873="",G873="",H873=""),"فارغ",IF(ISNA(MATCH(C873,'شجرة الحسابات'!$A$9:$A$208,0)),"حساب غير معرف",IF(L873&lt;&gt;"تحليلي","حساب تجميعي",IF(AND(N(G873)&gt;0,N(H873)&gt;0),"مدين ودائن معاً",IF(N(G873)+N(H873)=0,"بدون قيمة","OK")))))</f>
        <v>فارغ</v>
      </c>
      <c r="N873" s="55" t="str">
        <f aca="false">IF(AND(E873&lt;&gt;"",E873='كشف حساب مشروع'!$C$6,I873="مرحل ✔"),COUNTIFS($E$11:E873,'كشف حساب مشروع'!$C$6,$I$11:I873,"مرحل ✔"),"")</f>
        <v/>
      </c>
      <c r="O873" s="55" t="str">
        <f aca="false">IF(AND(C873&lt;&gt;"",C873='دفتر الأستاذ'!$C$6,I873="مرحل ✔"),COUNTIFS($C$11:C873,'دفتر الأستاذ'!$C$6,$I$11:I873,"مرحل ✔"),"")</f>
        <v/>
      </c>
    </row>
    <row r="874" customFormat="false" ht="15" hidden="false" customHeight="false" outlineLevel="0" collapsed="false">
      <c r="A874" s="49"/>
      <c r="B874" s="50"/>
      <c r="C874" s="49"/>
      <c r="D874" s="51" t="str">
        <f aca="false">IF(C874="","",IFERROR(INDEX('شجرة الحسابات'!$B$9:$B$208,MATCH(C874,'شجرة الحسابات'!$A$9:$A$208,0)),"⚠ حساب غير معرف"))</f>
        <v/>
      </c>
      <c r="E874" s="52"/>
      <c r="F874" s="52"/>
      <c r="G874" s="53"/>
      <c r="H874" s="53"/>
      <c r="I874" s="54" t="str">
        <f aca="false">IF(A874="",IF(M874="فارغ","","✖ بدون رقم قيد"),IF(COUNTIFS('قيود اليومية'!$A$11:$A$1010,A874,'قيود اليومية'!$M$11:$M$1010,"&lt;&gt;OK",'قيود اليومية'!$M$11:$M$1010,"&lt;&gt;فارغ")&gt;0,"✖ خطأ بالحساب",IF(ROUND(SUMIFS('قيود اليومية'!$G$11:$G$1010,'قيود اليومية'!$A$11:$A$1010,A874)-SUMIFS('قيود اليومية'!$H$11:$H$1010,'قيود اليومية'!$A$11:$A$1010,A874),2)&lt;&gt;0,"✖ غير متوازن","مرحل ✔")))</f>
        <v/>
      </c>
      <c r="J874" s="55" t="str">
        <f aca="false">IF(C874="","",IFERROR(INDEX('شجرة الحسابات'!$E$9:$E$208,MATCH(C874,'شجرة الحسابات'!$A$9:$A$208,0))&amp;"",""))</f>
        <v/>
      </c>
      <c r="K874" s="55" t="str">
        <f aca="false">IF(C874="","",IFERROR(INDEX('شجرة الحسابات'!$I$9:$I$208,MATCH(C874,'شجرة الحسابات'!$A$9:$A$208,0))&amp;"",""))</f>
        <v/>
      </c>
      <c r="L874" s="55" t="str">
        <f aca="false">IF(C874="","",IFERROR(INDEX('شجرة الحسابات'!$C$9:$C$208,MATCH(C874,'شجرة الحسابات'!$A$9:$A$208,0))&amp;"",""))</f>
        <v/>
      </c>
      <c r="M874" s="55" t="str">
        <f aca="false">IF(AND(C874="",G874="",H874=""),"فارغ",IF(ISNA(MATCH(C874,'شجرة الحسابات'!$A$9:$A$208,0)),"حساب غير معرف",IF(L874&lt;&gt;"تحليلي","حساب تجميعي",IF(AND(N(G874)&gt;0,N(H874)&gt;0),"مدين ودائن معاً",IF(N(G874)+N(H874)=0,"بدون قيمة","OK")))))</f>
        <v>فارغ</v>
      </c>
      <c r="N874" s="55" t="str">
        <f aca="false">IF(AND(E874&lt;&gt;"",E874='كشف حساب مشروع'!$C$6,I874="مرحل ✔"),COUNTIFS($E$11:E874,'كشف حساب مشروع'!$C$6,$I$11:I874,"مرحل ✔"),"")</f>
        <v/>
      </c>
      <c r="O874" s="55" t="str">
        <f aca="false">IF(AND(C874&lt;&gt;"",C874='دفتر الأستاذ'!$C$6,I874="مرحل ✔"),COUNTIFS($C$11:C874,'دفتر الأستاذ'!$C$6,$I$11:I874,"مرحل ✔"),"")</f>
        <v/>
      </c>
    </row>
    <row r="875" customFormat="false" ht="15" hidden="false" customHeight="false" outlineLevel="0" collapsed="false">
      <c r="A875" s="49"/>
      <c r="B875" s="50"/>
      <c r="C875" s="49"/>
      <c r="D875" s="51" t="str">
        <f aca="false">IF(C875="","",IFERROR(INDEX('شجرة الحسابات'!$B$9:$B$208,MATCH(C875,'شجرة الحسابات'!$A$9:$A$208,0)),"⚠ حساب غير معرف"))</f>
        <v/>
      </c>
      <c r="E875" s="52"/>
      <c r="F875" s="52"/>
      <c r="G875" s="53"/>
      <c r="H875" s="53"/>
      <c r="I875" s="54" t="str">
        <f aca="false">IF(A875="",IF(M875="فارغ","","✖ بدون رقم قيد"),IF(COUNTIFS('قيود اليومية'!$A$11:$A$1010,A875,'قيود اليومية'!$M$11:$M$1010,"&lt;&gt;OK",'قيود اليومية'!$M$11:$M$1010,"&lt;&gt;فارغ")&gt;0,"✖ خطأ بالحساب",IF(ROUND(SUMIFS('قيود اليومية'!$G$11:$G$1010,'قيود اليومية'!$A$11:$A$1010,A875)-SUMIFS('قيود اليومية'!$H$11:$H$1010,'قيود اليومية'!$A$11:$A$1010,A875),2)&lt;&gt;0,"✖ غير متوازن","مرحل ✔")))</f>
        <v/>
      </c>
      <c r="J875" s="55" t="str">
        <f aca="false">IF(C875="","",IFERROR(INDEX('شجرة الحسابات'!$E$9:$E$208,MATCH(C875,'شجرة الحسابات'!$A$9:$A$208,0))&amp;"",""))</f>
        <v/>
      </c>
      <c r="K875" s="55" t="str">
        <f aca="false">IF(C875="","",IFERROR(INDEX('شجرة الحسابات'!$I$9:$I$208,MATCH(C875,'شجرة الحسابات'!$A$9:$A$208,0))&amp;"",""))</f>
        <v/>
      </c>
      <c r="L875" s="55" t="str">
        <f aca="false">IF(C875="","",IFERROR(INDEX('شجرة الحسابات'!$C$9:$C$208,MATCH(C875,'شجرة الحسابات'!$A$9:$A$208,0))&amp;"",""))</f>
        <v/>
      </c>
      <c r="M875" s="55" t="str">
        <f aca="false">IF(AND(C875="",G875="",H875=""),"فارغ",IF(ISNA(MATCH(C875,'شجرة الحسابات'!$A$9:$A$208,0)),"حساب غير معرف",IF(L875&lt;&gt;"تحليلي","حساب تجميعي",IF(AND(N(G875)&gt;0,N(H875)&gt;0),"مدين ودائن معاً",IF(N(G875)+N(H875)=0,"بدون قيمة","OK")))))</f>
        <v>فارغ</v>
      </c>
      <c r="N875" s="55" t="str">
        <f aca="false">IF(AND(E875&lt;&gt;"",E875='كشف حساب مشروع'!$C$6,I875="مرحل ✔"),COUNTIFS($E$11:E875,'كشف حساب مشروع'!$C$6,$I$11:I875,"مرحل ✔"),"")</f>
        <v/>
      </c>
      <c r="O875" s="55" t="str">
        <f aca="false">IF(AND(C875&lt;&gt;"",C875='دفتر الأستاذ'!$C$6,I875="مرحل ✔"),COUNTIFS($C$11:C875,'دفتر الأستاذ'!$C$6,$I$11:I875,"مرحل ✔"),"")</f>
        <v/>
      </c>
    </row>
    <row r="876" customFormat="false" ht="15" hidden="false" customHeight="false" outlineLevel="0" collapsed="false">
      <c r="A876" s="49"/>
      <c r="B876" s="50"/>
      <c r="C876" s="49"/>
      <c r="D876" s="51" t="str">
        <f aca="false">IF(C876="","",IFERROR(INDEX('شجرة الحسابات'!$B$9:$B$208,MATCH(C876,'شجرة الحسابات'!$A$9:$A$208,0)),"⚠ حساب غير معرف"))</f>
        <v/>
      </c>
      <c r="E876" s="52"/>
      <c r="F876" s="52"/>
      <c r="G876" s="53"/>
      <c r="H876" s="53"/>
      <c r="I876" s="54" t="str">
        <f aca="false">IF(A876="",IF(M876="فارغ","","✖ بدون رقم قيد"),IF(COUNTIFS('قيود اليومية'!$A$11:$A$1010,A876,'قيود اليومية'!$M$11:$M$1010,"&lt;&gt;OK",'قيود اليومية'!$M$11:$M$1010,"&lt;&gt;فارغ")&gt;0,"✖ خطأ بالحساب",IF(ROUND(SUMIFS('قيود اليومية'!$G$11:$G$1010,'قيود اليومية'!$A$11:$A$1010,A876)-SUMIFS('قيود اليومية'!$H$11:$H$1010,'قيود اليومية'!$A$11:$A$1010,A876),2)&lt;&gt;0,"✖ غير متوازن","مرحل ✔")))</f>
        <v/>
      </c>
      <c r="J876" s="55" t="str">
        <f aca="false">IF(C876="","",IFERROR(INDEX('شجرة الحسابات'!$E$9:$E$208,MATCH(C876,'شجرة الحسابات'!$A$9:$A$208,0))&amp;"",""))</f>
        <v/>
      </c>
      <c r="K876" s="55" t="str">
        <f aca="false">IF(C876="","",IFERROR(INDEX('شجرة الحسابات'!$I$9:$I$208,MATCH(C876,'شجرة الحسابات'!$A$9:$A$208,0))&amp;"",""))</f>
        <v/>
      </c>
      <c r="L876" s="55" t="str">
        <f aca="false">IF(C876="","",IFERROR(INDEX('شجرة الحسابات'!$C$9:$C$208,MATCH(C876,'شجرة الحسابات'!$A$9:$A$208,0))&amp;"",""))</f>
        <v/>
      </c>
      <c r="M876" s="55" t="str">
        <f aca="false">IF(AND(C876="",G876="",H876=""),"فارغ",IF(ISNA(MATCH(C876,'شجرة الحسابات'!$A$9:$A$208,0)),"حساب غير معرف",IF(L876&lt;&gt;"تحليلي","حساب تجميعي",IF(AND(N(G876)&gt;0,N(H876)&gt;0),"مدين ودائن معاً",IF(N(G876)+N(H876)=0,"بدون قيمة","OK")))))</f>
        <v>فارغ</v>
      </c>
      <c r="N876" s="55" t="str">
        <f aca="false">IF(AND(E876&lt;&gt;"",E876='كشف حساب مشروع'!$C$6,I876="مرحل ✔"),COUNTIFS($E$11:E876,'كشف حساب مشروع'!$C$6,$I$11:I876,"مرحل ✔"),"")</f>
        <v/>
      </c>
      <c r="O876" s="55" t="str">
        <f aca="false">IF(AND(C876&lt;&gt;"",C876='دفتر الأستاذ'!$C$6,I876="مرحل ✔"),COUNTIFS($C$11:C876,'دفتر الأستاذ'!$C$6,$I$11:I876,"مرحل ✔"),"")</f>
        <v/>
      </c>
    </row>
    <row r="877" customFormat="false" ht="15" hidden="false" customHeight="false" outlineLevel="0" collapsed="false">
      <c r="A877" s="49"/>
      <c r="B877" s="50"/>
      <c r="C877" s="49"/>
      <c r="D877" s="51" t="str">
        <f aca="false">IF(C877="","",IFERROR(INDEX('شجرة الحسابات'!$B$9:$B$208,MATCH(C877,'شجرة الحسابات'!$A$9:$A$208,0)),"⚠ حساب غير معرف"))</f>
        <v/>
      </c>
      <c r="E877" s="52"/>
      <c r="F877" s="52"/>
      <c r="G877" s="53"/>
      <c r="H877" s="53"/>
      <c r="I877" s="54" t="str">
        <f aca="false">IF(A877="",IF(M877="فارغ","","✖ بدون رقم قيد"),IF(COUNTIFS('قيود اليومية'!$A$11:$A$1010,A877,'قيود اليومية'!$M$11:$M$1010,"&lt;&gt;OK",'قيود اليومية'!$M$11:$M$1010,"&lt;&gt;فارغ")&gt;0,"✖ خطأ بالحساب",IF(ROUND(SUMIFS('قيود اليومية'!$G$11:$G$1010,'قيود اليومية'!$A$11:$A$1010,A877)-SUMIFS('قيود اليومية'!$H$11:$H$1010,'قيود اليومية'!$A$11:$A$1010,A877),2)&lt;&gt;0,"✖ غير متوازن","مرحل ✔")))</f>
        <v/>
      </c>
      <c r="J877" s="55" t="str">
        <f aca="false">IF(C877="","",IFERROR(INDEX('شجرة الحسابات'!$E$9:$E$208,MATCH(C877,'شجرة الحسابات'!$A$9:$A$208,0))&amp;"",""))</f>
        <v/>
      </c>
      <c r="K877" s="55" t="str">
        <f aca="false">IF(C877="","",IFERROR(INDEX('شجرة الحسابات'!$I$9:$I$208,MATCH(C877,'شجرة الحسابات'!$A$9:$A$208,0))&amp;"",""))</f>
        <v/>
      </c>
      <c r="L877" s="55" t="str">
        <f aca="false">IF(C877="","",IFERROR(INDEX('شجرة الحسابات'!$C$9:$C$208,MATCH(C877,'شجرة الحسابات'!$A$9:$A$208,0))&amp;"",""))</f>
        <v/>
      </c>
      <c r="M877" s="55" t="str">
        <f aca="false">IF(AND(C877="",G877="",H877=""),"فارغ",IF(ISNA(MATCH(C877,'شجرة الحسابات'!$A$9:$A$208,0)),"حساب غير معرف",IF(L877&lt;&gt;"تحليلي","حساب تجميعي",IF(AND(N(G877)&gt;0,N(H877)&gt;0),"مدين ودائن معاً",IF(N(G877)+N(H877)=0,"بدون قيمة","OK")))))</f>
        <v>فارغ</v>
      </c>
      <c r="N877" s="55" t="str">
        <f aca="false">IF(AND(E877&lt;&gt;"",E877='كشف حساب مشروع'!$C$6,I877="مرحل ✔"),COUNTIFS($E$11:E877,'كشف حساب مشروع'!$C$6,$I$11:I877,"مرحل ✔"),"")</f>
        <v/>
      </c>
      <c r="O877" s="55" t="str">
        <f aca="false">IF(AND(C877&lt;&gt;"",C877='دفتر الأستاذ'!$C$6,I877="مرحل ✔"),COUNTIFS($C$11:C877,'دفتر الأستاذ'!$C$6,$I$11:I877,"مرحل ✔"),"")</f>
        <v/>
      </c>
    </row>
    <row r="878" customFormat="false" ht="15" hidden="false" customHeight="false" outlineLevel="0" collapsed="false">
      <c r="A878" s="49"/>
      <c r="B878" s="50"/>
      <c r="C878" s="49"/>
      <c r="D878" s="51" t="str">
        <f aca="false">IF(C878="","",IFERROR(INDEX('شجرة الحسابات'!$B$9:$B$208,MATCH(C878,'شجرة الحسابات'!$A$9:$A$208,0)),"⚠ حساب غير معرف"))</f>
        <v/>
      </c>
      <c r="E878" s="52"/>
      <c r="F878" s="52"/>
      <c r="G878" s="53"/>
      <c r="H878" s="53"/>
      <c r="I878" s="54" t="str">
        <f aca="false">IF(A878="",IF(M878="فارغ","","✖ بدون رقم قيد"),IF(COUNTIFS('قيود اليومية'!$A$11:$A$1010,A878,'قيود اليومية'!$M$11:$M$1010,"&lt;&gt;OK",'قيود اليومية'!$M$11:$M$1010,"&lt;&gt;فارغ")&gt;0,"✖ خطأ بالحساب",IF(ROUND(SUMIFS('قيود اليومية'!$G$11:$G$1010,'قيود اليومية'!$A$11:$A$1010,A878)-SUMIFS('قيود اليومية'!$H$11:$H$1010,'قيود اليومية'!$A$11:$A$1010,A878),2)&lt;&gt;0,"✖ غير متوازن","مرحل ✔")))</f>
        <v/>
      </c>
      <c r="J878" s="55" t="str">
        <f aca="false">IF(C878="","",IFERROR(INDEX('شجرة الحسابات'!$E$9:$E$208,MATCH(C878,'شجرة الحسابات'!$A$9:$A$208,0))&amp;"",""))</f>
        <v/>
      </c>
      <c r="K878" s="55" t="str">
        <f aca="false">IF(C878="","",IFERROR(INDEX('شجرة الحسابات'!$I$9:$I$208,MATCH(C878,'شجرة الحسابات'!$A$9:$A$208,0))&amp;"",""))</f>
        <v/>
      </c>
      <c r="L878" s="55" t="str">
        <f aca="false">IF(C878="","",IFERROR(INDEX('شجرة الحسابات'!$C$9:$C$208,MATCH(C878,'شجرة الحسابات'!$A$9:$A$208,0))&amp;"",""))</f>
        <v/>
      </c>
      <c r="M878" s="55" t="str">
        <f aca="false">IF(AND(C878="",G878="",H878=""),"فارغ",IF(ISNA(MATCH(C878,'شجرة الحسابات'!$A$9:$A$208,0)),"حساب غير معرف",IF(L878&lt;&gt;"تحليلي","حساب تجميعي",IF(AND(N(G878)&gt;0,N(H878)&gt;0),"مدين ودائن معاً",IF(N(G878)+N(H878)=0,"بدون قيمة","OK")))))</f>
        <v>فارغ</v>
      </c>
      <c r="N878" s="55" t="str">
        <f aca="false">IF(AND(E878&lt;&gt;"",E878='كشف حساب مشروع'!$C$6,I878="مرحل ✔"),COUNTIFS($E$11:E878,'كشف حساب مشروع'!$C$6,$I$11:I878,"مرحل ✔"),"")</f>
        <v/>
      </c>
      <c r="O878" s="55" t="str">
        <f aca="false">IF(AND(C878&lt;&gt;"",C878='دفتر الأستاذ'!$C$6,I878="مرحل ✔"),COUNTIFS($C$11:C878,'دفتر الأستاذ'!$C$6,$I$11:I878,"مرحل ✔"),"")</f>
        <v/>
      </c>
    </row>
    <row r="879" customFormat="false" ht="15" hidden="false" customHeight="false" outlineLevel="0" collapsed="false">
      <c r="A879" s="49"/>
      <c r="B879" s="50"/>
      <c r="C879" s="49"/>
      <c r="D879" s="51" t="str">
        <f aca="false">IF(C879="","",IFERROR(INDEX('شجرة الحسابات'!$B$9:$B$208,MATCH(C879,'شجرة الحسابات'!$A$9:$A$208,0)),"⚠ حساب غير معرف"))</f>
        <v/>
      </c>
      <c r="E879" s="52"/>
      <c r="F879" s="52"/>
      <c r="G879" s="53"/>
      <c r="H879" s="53"/>
      <c r="I879" s="54" t="str">
        <f aca="false">IF(A879="",IF(M879="فارغ","","✖ بدون رقم قيد"),IF(COUNTIFS('قيود اليومية'!$A$11:$A$1010,A879,'قيود اليومية'!$M$11:$M$1010,"&lt;&gt;OK",'قيود اليومية'!$M$11:$M$1010,"&lt;&gt;فارغ")&gt;0,"✖ خطأ بالحساب",IF(ROUND(SUMIFS('قيود اليومية'!$G$11:$G$1010,'قيود اليومية'!$A$11:$A$1010,A879)-SUMIFS('قيود اليومية'!$H$11:$H$1010,'قيود اليومية'!$A$11:$A$1010,A879),2)&lt;&gt;0,"✖ غير متوازن","مرحل ✔")))</f>
        <v/>
      </c>
      <c r="J879" s="55" t="str">
        <f aca="false">IF(C879="","",IFERROR(INDEX('شجرة الحسابات'!$E$9:$E$208,MATCH(C879,'شجرة الحسابات'!$A$9:$A$208,0))&amp;"",""))</f>
        <v/>
      </c>
      <c r="K879" s="55" t="str">
        <f aca="false">IF(C879="","",IFERROR(INDEX('شجرة الحسابات'!$I$9:$I$208,MATCH(C879,'شجرة الحسابات'!$A$9:$A$208,0))&amp;"",""))</f>
        <v/>
      </c>
      <c r="L879" s="55" t="str">
        <f aca="false">IF(C879="","",IFERROR(INDEX('شجرة الحسابات'!$C$9:$C$208,MATCH(C879,'شجرة الحسابات'!$A$9:$A$208,0))&amp;"",""))</f>
        <v/>
      </c>
      <c r="M879" s="55" t="str">
        <f aca="false">IF(AND(C879="",G879="",H879=""),"فارغ",IF(ISNA(MATCH(C879,'شجرة الحسابات'!$A$9:$A$208,0)),"حساب غير معرف",IF(L879&lt;&gt;"تحليلي","حساب تجميعي",IF(AND(N(G879)&gt;0,N(H879)&gt;0),"مدين ودائن معاً",IF(N(G879)+N(H879)=0,"بدون قيمة","OK")))))</f>
        <v>فارغ</v>
      </c>
      <c r="N879" s="55" t="str">
        <f aca="false">IF(AND(E879&lt;&gt;"",E879='كشف حساب مشروع'!$C$6,I879="مرحل ✔"),COUNTIFS($E$11:E879,'كشف حساب مشروع'!$C$6,$I$11:I879,"مرحل ✔"),"")</f>
        <v/>
      </c>
      <c r="O879" s="55" t="str">
        <f aca="false">IF(AND(C879&lt;&gt;"",C879='دفتر الأستاذ'!$C$6,I879="مرحل ✔"),COUNTIFS($C$11:C879,'دفتر الأستاذ'!$C$6,$I$11:I879,"مرحل ✔"),"")</f>
        <v/>
      </c>
    </row>
    <row r="880" customFormat="false" ht="15" hidden="false" customHeight="false" outlineLevel="0" collapsed="false">
      <c r="A880" s="49"/>
      <c r="B880" s="50"/>
      <c r="C880" s="49"/>
      <c r="D880" s="51" t="str">
        <f aca="false">IF(C880="","",IFERROR(INDEX('شجرة الحسابات'!$B$9:$B$208,MATCH(C880,'شجرة الحسابات'!$A$9:$A$208,0)),"⚠ حساب غير معرف"))</f>
        <v/>
      </c>
      <c r="E880" s="52"/>
      <c r="F880" s="52"/>
      <c r="G880" s="53"/>
      <c r="H880" s="53"/>
      <c r="I880" s="54" t="str">
        <f aca="false">IF(A880="",IF(M880="فارغ","","✖ بدون رقم قيد"),IF(COUNTIFS('قيود اليومية'!$A$11:$A$1010,A880,'قيود اليومية'!$M$11:$M$1010,"&lt;&gt;OK",'قيود اليومية'!$M$11:$M$1010,"&lt;&gt;فارغ")&gt;0,"✖ خطأ بالحساب",IF(ROUND(SUMIFS('قيود اليومية'!$G$11:$G$1010,'قيود اليومية'!$A$11:$A$1010,A880)-SUMIFS('قيود اليومية'!$H$11:$H$1010,'قيود اليومية'!$A$11:$A$1010,A880),2)&lt;&gt;0,"✖ غير متوازن","مرحل ✔")))</f>
        <v/>
      </c>
      <c r="J880" s="55" t="str">
        <f aca="false">IF(C880="","",IFERROR(INDEX('شجرة الحسابات'!$E$9:$E$208,MATCH(C880,'شجرة الحسابات'!$A$9:$A$208,0))&amp;"",""))</f>
        <v/>
      </c>
      <c r="K880" s="55" t="str">
        <f aca="false">IF(C880="","",IFERROR(INDEX('شجرة الحسابات'!$I$9:$I$208,MATCH(C880,'شجرة الحسابات'!$A$9:$A$208,0))&amp;"",""))</f>
        <v/>
      </c>
      <c r="L880" s="55" t="str">
        <f aca="false">IF(C880="","",IFERROR(INDEX('شجرة الحسابات'!$C$9:$C$208,MATCH(C880,'شجرة الحسابات'!$A$9:$A$208,0))&amp;"",""))</f>
        <v/>
      </c>
      <c r="M880" s="55" t="str">
        <f aca="false">IF(AND(C880="",G880="",H880=""),"فارغ",IF(ISNA(MATCH(C880,'شجرة الحسابات'!$A$9:$A$208,0)),"حساب غير معرف",IF(L880&lt;&gt;"تحليلي","حساب تجميعي",IF(AND(N(G880)&gt;0,N(H880)&gt;0),"مدين ودائن معاً",IF(N(G880)+N(H880)=0,"بدون قيمة","OK")))))</f>
        <v>فارغ</v>
      </c>
      <c r="N880" s="55" t="str">
        <f aca="false">IF(AND(E880&lt;&gt;"",E880='كشف حساب مشروع'!$C$6,I880="مرحل ✔"),COUNTIFS($E$11:E880,'كشف حساب مشروع'!$C$6,$I$11:I880,"مرحل ✔"),"")</f>
        <v/>
      </c>
      <c r="O880" s="55" t="str">
        <f aca="false">IF(AND(C880&lt;&gt;"",C880='دفتر الأستاذ'!$C$6,I880="مرحل ✔"),COUNTIFS($C$11:C880,'دفتر الأستاذ'!$C$6,$I$11:I880,"مرحل ✔"),"")</f>
        <v/>
      </c>
    </row>
    <row r="881" customFormat="false" ht="15" hidden="false" customHeight="false" outlineLevel="0" collapsed="false">
      <c r="A881" s="49"/>
      <c r="B881" s="50"/>
      <c r="C881" s="49"/>
      <c r="D881" s="51" t="str">
        <f aca="false">IF(C881="","",IFERROR(INDEX('شجرة الحسابات'!$B$9:$B$208,MATCH(C881,'شجرة الحسابات'!$A$9:$A$208,0)),"⚠ حساب غير معرف"))</f>
        <v/>
      </c>
      <c r="E881" s="52"/>
      <c r="F881" s="52"/>
      <c r="G881" s="53"/>
      <c r="H881" s="53"/>
      <c r="I881" s="54" t="str">
        <f aca="false">IF(A881="",IF(M881="فارغ","","✖ بدون رقم قيد"),IF(COUNTIFS('قيود اليومية'!$A$11:$A$1010,A881,'قيود اليومية'!$M$11:$M$1010,"&lt;&gt;OK",'قيود اليومية'!$M$11:$M$1010,"&lt;&gt;فارغ")&gt;0,"✖ خطأ بالحساب",IF(ROUND(SUMIFS('قيود اليومية'!$G$11:$G$1010,'قيود اليومية'!$A$11:$A$1010,A881)-SUMIFS('قيود اليومية'!$H$11:$H$1010,'قيود اليومية'!$A$11:$A$1010,A881),2)&lt;&gt;0,"✖ غير متوازن","مرحل ✔")))</f>
        <v/>
      </c>
      <c r="J881" s="55" t="str">
        <f aca="false">IF(C881="","",IFERROR(INDEX('شجرة الحسابات'!$E$9:$E$208,MATCH(C881,'شجرة الحسابات'!$A$9:$A$208,0))&amp;"",""))</f>
        <v/>
      </c>
      <c r="K881" s="55" t="str">
        <f aca="false">IF(C881="","",IFERROR(INDEX('شجرة الحسابات'!$I$9:$I$208,MATCH(C881,'شجرة الحسابات'!$A$9:$A$208,0))&amp;"",""))</f>
        <v/>
      </c>
      <c r="L881" s="55" t="str">
        <f aca="false">IF(C881="","",IFERROR(INDEX('شجرة الحسابات'!$C$9:$C$208,MATCH(C881,'شجرة الحسابات'!$A$9:$A$208,0))&amp;"",""))</f>
        <v/>
      </c>
      <c r="M881" s="55" t="str">
        <f aca="false">IF(AND(C881="",G881="",H881=""),"فارغ",IF(ISNA(MATCH(C881,'شجرة الحسابات'!$A$9:$A$208,0)),"حساب غير معرف",IF(L881&lt;&gt;"تحليلي","حساب تجميعي",IF(AND(N(G881)&gt;0,N(H881)&gt;0),"مدين ودائن معاً",IF(N(G881)+N(H881)=0,"بدون قيمة","OK")))))</f>
        <v>فارغ</v>
      </c>
      <c r="N881" s="55" t="str">
        <f aca="false">IF(AND(E881&lt;&gt;"",E881='كشف حساب مشروع'!$C$6,I881="مرحل ✔"),COUNTIFS($E$11:E881,'كشف حساب مشروع'!$C$6,$I$11:I881,"مرحل ✔"),"")</f>
        <v/>
      </c>
      <c r="O881" s="55" t="str">
        <f aca="false">IF(AND(C881&lt;&gt;"",C881='دفتر الأستاذ'!$C$6,I881="مرحل ✔"),COUNTIFS($C$11:C881,'دفتر الأستاذ'!$C$6,$I$11:I881,"مرحل ✔"),"")</f>
        <v/>
      </c>
    </row>
    <row r="882" customFormat="false" ht="15" hidden="false" customHeight="false" outlineLevel="0" collapsed="false">
      <c r="A882" s="49"/>
      <c r="B882" s="50"/>
      <c r="C882" s="49"/>
      <c r="D882" s="51" t="str">
        <f aca="false">IF(C882="","",IFERROR(INDEX('شجرة الحسابات'!$B$9:$B$208,MATCH(C882,'شجرة الحسابات'!$A$9:$A$208,0)),"⚠ حساب غير معرف"))</f>
        <v/>
      </c>
      <c r="E882" s="52"/>
      <c r="F882" s="52"/>
      <c r="G882" s="53"/>
      <c r="H882" s="53"/>
      <c r="I882" s="54" t="str">
        <f aca="false">IF(A882="",IF(M882="فارغ","","✖ بدون رقم قيد"),IF(COUNTIFS('قيود اليومية'!$A$11:$A$1010,A882,'قيود اليومية'!$M$11:$M$1010,"&lt;&gt;OK",'قيود اليومية'!$M$11:$M$1010,"&lt;&gt;فارغ")&gt;0,"✖ خطأ بالحساب",IF(ROUND(SUMIFS('قيود اليومية'!$G$11:$G$1010,'قيود اليومية'!$A$11:$A$1010,A882)-SUMIFS('قيود اليومية'!$H$11:$H$1010,'قيود اليومية'!$A$11:$A$1010,A882),2)&lt;&gt;0,"✖ غير متوازن","مرحل ✔")))</f>
        <v/>
      </c>
      <c r="J882" s="55" t="str">
        <f aca="false">IF(C882="","",IFERROR(INDEX('شجرة الحسابات'!$E$9:$E$208,MATCH(C882,'شجرة الحسابات'!$A$9:$A$208,0))&amp;"",""))</f>
        <v/>
      </c>
      <c r="K882" s="55" t="str">
        <f aca="false">IF(C882="","",IFERROR(INDEX('شجرة الحسابات'!$I$9:$I$208,MATCH(C882,'شجرة الحسابات'!$A$9:$A$208,0))&amp;"",""))</f>
        <v/>
      </c>
      <c r="L882" s="55" t="str">
        <f aca="false">IF(C882="","",IFERROR(INDEX('شجرة الحسابات'!$C$9:$C$208,MATCH(C882,'شجرة الحسابات'!$A$9:$A$208,0))&amp;"",""))</f>
        <v/>
      </c>
      <c r="M882" s="55" t="str">
        <f aca="false">IF(AND(C882="",G882="",H882=""),"فارغ",IF(ISNA(MATCH(C882,'شجرة الحسابات'!$A$9:$A$208,0)),"حساب غير معرف",IF(L882&lt;&gt;"تحليلي","حساب تجميعي",IF(AND(N(G882)&gt;0,N(H882)&gt;0),"مدين ودائن معاً",IF(N(G882)+N(H882)=0,"بدون قيمة","OK")))))</f>
        <v>فارغ</v>
      </c>
      <c r="N882" s="55" t="str">
        <f aca="false">IF(AND(E882&lt;&gt;"",E882='كشف حساب مشروع'!$C$6,I882="مرحل ✔"),COUNTIFS($E$11:E882,'كشف حساب مشروع'!$C$6,$I$11:I882,"مرحل ✔"),"")</f>
        <v/>
      </c>
      <c r="O882" s="55" t="str">
        <f aca="false">IF(AND(C882&lt;&gt;"",C882='دفتر الأستاذ'!$C$6,I882="مرحل ✔"),COUNTIFS($C$11:C882,'دفتر الأستاذ'!$C$6,$I$11:I882,"مرحل ✔"),"")</f>
        <v/>
      </c>
    </row>
    <row r="883" customFormat="false" ht="15" hidden="false" customHeight="false" outlineLevel="0" collapsed="false">
      <c r="A883" s="49"/>
      <c r="B883" s="50"/>
      <c r="C883" s="49"/>
      <c r="D883" s="51" t="str">
        <f aca="false">IF(C883="","",IFERROR(INDEX('شجرة الحسابات'!$B$9:$B$208,MATCH(C883,'شجرة الحسابات'!$A$9:$A$208,0)),"⚠ حساب غير معرف"))</f>
        <v/>
      </c>
      <c r="E883" s="52"/>
      <c r="F883" s="52"/>
      <c r="G883" s="53"/>
      <c r="H883" s="53"/>
      <c r="I883" s="54" t="str">
        <f aca="false">IF(A883="",IF(M883="فارغ","","✖ بدون رقم قيد"),IF(COUNTIFS('قيود اليومية'!$A$11:$A$1010,A883,'قيود اليومية'!$M$11:$M$1010,"&lt;&gt;OK",'قيود اليومية'!$M$11:$M$1010,"&lt;&gt;فارغ")&gt;0,"✖ خطأ بالحساب",IF(ROUND(SUMIFS('قيود اليومية'!$G$11:$G$1010,'قيود اليومية'!$A$11:$A$1010,A883)-SUMIFS('قيود اليومية'!$H$11:$H$1010,'قيود اليومية'!$A$11:$A$1010,A883),2)&lt;&gt;0,"✖ غير متوازن","مرحل ✔")))</f>
        <v/>
      </c>
      <c r="J883" s="55" t="str">
        <f aca="false">IF(C883="","",IFERROR(INDEX('شجرة الحسابات'!$E$9:$E$208,MATCH(C883,'شجرة الحسابات'!$A$9:$A$208,0))&amp;"",""))</f>
        <v/>
      </c>
      <c r="K883" s="55" t="str">
        <f aca="false">IF(C883="","",IFERROR(INDEX('شجرة الحسابات'!$I$9:$I$208,MATCH(C883,'شجرة الحسابات'!$A$9:$A$208,0))&amp;"",""))</f>
        <v/>
      </c>
      <c r="L883" s="55" t="str">
        <f aca="false">IF(C883="","",IFERROR(INDEX('شجرة الحسابات'!$C$9:$C$208,MATCH(C883,'شجرة الحسابات'!$A$9:$A$208,0))&amp;"",""))</f>
        <v/>
      </c>
      <c r="M883" s="55" t="str">
        <f aca="false">IF(AND(C883="",G883="",H883=""),"فارغ",IF(ISNA(MATCH(C883,'شجرة الحسابات'!$A$9:$A$208,0)),"حساب غير معرف",IF(L883&lt;&gt;"تحليلي","حساب تجميعي",IF(AND(N(G883)&gt;0,N(H883)&gt;0),"مدين ودائن معاً",IF(N(G883)+N(H883)=0,"بدون قيمة","OK")))))</f>
        <v>فارغ</v>
      </c>
      <c r="N883" s="55" t="str">
        <f aca="false">IF(AND(E883&lt;&gt;"",E883='كشف حساب مشروع'!$C$6,I883="مرحل ✔"),COUNTIFS($E$11:E883,'كشف حساب مشروع'!$C$6,$I$11:I883,"مرحل ✔"),"")</f>
        <v/>
      </c>
      <c r="O883" s="55" t="str">
        <f aca="false">IF(AND(C883&lt;&gt;"",C883='دفتر الأستاذ'!$C$6,I883="مرحل ✔"),COUNTIFS($C$11:C883,'دفتر الأستاذ'!$C$6,$I$11:I883,"مرحل ✔"),"")</f>
        <v/>
      </c>
    </row>
    <row r="884" customFormat="false" ht="15" hidden="false" customHeight="false" outlineLevel="0" collapsed="false">
      <c r="A884" s="49"/>
      <c r="B884" s="50"/>
      <c r="C884" s="49"/>
      <c r="D884" s="51" t="str">
        <f aca="false">IF(C884="","",IFERROR(INDEX('شجرة الحسابات'!$B$9:$B$208,MATCH(C884,'شجرة الحسابات'!$A$9:$A$208,0)),"⚠ حساب غير معرف"))</f>
        <v/>
      </c>
      <c r="E884" s="52"/>
      <c r="F884" s="52"/>
      <c r="G884" s="53"/>
      <c r="H884" s="53"/>
      <c r="I884" s="54" t="str">
        <f aca="false">IF(A884="",IF(M884="فارغ","","✖ بدون رقم قيد"),IF(COUNTIFS('قيود اليومية'!$A$11:$A$1010,A884,'قيود اليومية'!$M$11:$M$1010,"&lt;&gt;OK",'قيود اليومية'!$M$11:$M$1010,"&lt;&gt;فارغ")&gt;0,"✖ خطأ بالحساب",IF(ROUND(SUMIFS('قيود اليومية'!$G$11:$G$1010,'قيود اليومية'!$A$11:$A$1010,A884)-SUMIFS('قيود اليومية'!$H$11:$H$1010,'قيود اليومية'!$A$11:$A$1010,A884),2)&lt;&gt;0,"✖ غير متوازن","مرحل ✔")))</f>
        <v/>
      </c>
      <c r="J884" s="55" t="str">
        <f aca="false">IF(C884="","",IFERROR(INDEX('شجرة الحسابات'!$E$9:$E$208,MATCH(C884,'شجرة الحسابات'!$A$9:$A$208,0))&amp;"",""))</f>
        <v/>
      </c>
      <c r="K884" s="55" t="str">
        <f aca="false">IF(C884="","",IFERROR(INDEX('شجرة الحسابات'!$I$9:$I$208,MATCH(C884,'شجرة الحسابات'!$A$9:$A$208,0))&amp;"",""))</f>
        <v/>
      </c>
      <c r="L884" s="55" t="str">
        <f aca="false">IF(C884="","",IFERROR(INDEX('شجرة الحسابات'!$C$9:$C$208,MATCH(C884,'شجرة الحسابات'!$A$9:$A$208,0))&amp;"",""))</f>
        <v/>
      </c>
      <c r="M884" s="55" t="str">
        <f aca="false">IF(AND(C884="",G884="",H884=""),"فارغ",IF(ISNA(MATCH(C884,'شجرة الحسابات'!$A$9:$A$208,0)),"حساب غير معرف",IF(L884&lt;&gt;"تحليلي","حساب تجميعي",IF(AND(N(G884)&gt;0,N(H884)&gt;0),"مدين ودائن معاً",IF(N(G884)+N(H884)=0,"بدون قيمة","OK")))))</f>
        <v>فارغ</v>
      </c>
      <c r="N884" s="55" t="str">
        <f aca="false">IF(AND(E884&lt;&gt;"",E884='كشف حساب مشروع'!$C$6,I884="مرحل ✔"),COUNTIFS($E$11:E884,'كشف حساب مشروع'!$C$6,$I$11:I884,"مرحل ✔"),"")</f>
        <v/>
      </c>
      <c r="O884" s="55" t="str">
        <f aca="false">IF(AND(C884&lt;&gt;"",C884='دفتر الأستاذ'!$C$6,I884="مرحل ✔"),COUNTIFS($C$11:C884,'دفتر الأستاذ'!$C$6,$I$11:I884,"مرحل ✔"),"")</f>
        <v/>
      </c>
    </row>
    <row r="885" customFormat="false" ht="15" hidden="false" customHeight="false" outlineLevel="0" collapsed="false">
      <c r="A885" s="49"/>
      <c r="B885" s="50"/>
      <c r="C885" s="49"/>
      <c r="D885" s="51" t="str">
        <f aca="false">IF(C885="","",IFERROR(INDEX('شجرة الحسابات'!$B$9:$B$208,MATCH(C885,'شجرة الحسابات'!$A$9:$A$208,0)),"⚠ حساب غير معرف"))</f>
        <v/>
      </c>
      <c r="E885" s="52"/>
      <c r="F885" s="52"/>
      <c r="G885" s="53"/>
      <c r="H885" s="53"/>
      <c r="I885" s="54" t="str">
        <f aca="false">IF(A885="",IF(M885="فارغ","","✖ بدون رقم قيد"),IF(COUNTIFS('قيود اليومية'!$A$11:$A$1010,A885,'قيود اليومية'!$M$11:$M$1010,"&lt;&gt;OK",'قيود اليومية'!$M$11:$M$1010,"&lt;&gt;فارغ")&gt;0,"✖ خطأ بالحساب",IF(ROUND(SUMIFS('قيود اليومية'!$G$11:$G$1010,'قيود اليومية'!$A$11:$A$1010,A885)-SUMIFS('قيود اليومية'!$H$11:$H$1010,'قيود اليومية'!$A$11:$A$1010,A885),2)&lt;&gt;0,"✖ غير متوازن","مرحل ✔")))</f>
        <v/>
      </c>
      <c r="J885" s="55" t="str">
        <f aca="false">IF(C885="","",IFERROR(INDEX('شجرة الحسابات'!$E$9:$E$208,MATCH(C885,'شجرة الحسابات'!$A$9:$A$208,0))&amp;"",""))</f>
        <v/>
      </c>
      <c r="K885" s="55" t="str">
        <f aca="false">IF(C885="","",IFERROR(INDEX('شجرة الحسابات'!$I$9:$I$208,MATCH(C885,'شجرة الحسابات'!$A$9:$A$208,0))&amp;"",""))</f>
        <v/>
      </c>
      <c r="L885" s="55" t="str">
        <f aca="false">IF(C885="","",IFERROR(INDEX('شجرة الحسابات'!$C$9:$C$208,MATCH(C885,'شجرة الحسابات'!$A$9:$A$208,0))&amp;"",""))</f>
        <v/>
      </c>
      <c r="M885" s="55" t="str">
        <f aca="false">IF(AND(C885="",G885="",H885=""),"فارغ",IF(ISNA(MATCH(C885,'شجرة الحسابات'!$A$9:$A$208,0)),"حساب غير معرف",IF(L885&lt;&gt;"تحليلي","حساب تجميعي",IF(AND(N(G885)&gt;0,N(H885)&gt;0),"مدين ودائن معاً",IF(N(G885)+N(H885)=0,"بدون قيمة","OK")))))</f>
        <v>فارغ</v>
      </c>
      <c r="N885" s="55" t="str">
        <f aca="false">IF(AND(E885&lt;&gt;"",E885='كشف حساب مشروع'!$C$6,I885="مرحل ✔"),COUNTIFS($E$11:E885,'كشف حساب مشروع'!$C$6,$I$11:I885,"مرحل ✔"),"")</f>
        <v/>
      </c>
      <c r="O885" s="55" t="str">
        <f aca="false">IF(AND(C885&lt;&gt;"",C885='دفتر الأستاذ'!$C$6,I885="مرحل ✔"),COUNTIFS($C$11:C885,'دفتر الأستاذ'!$C$6,$I$11:I885,"مرحل ✔"),"")</f>
        <v/>
      </c>
    </row>
    <row r="886" customFormat="false" ht="15" hidden="false" customHeight="false" outlineLevel="0" collapsed="false">
      <c r="A886" s="49"/>
      <c r="B886" s="50"/>
      <c r="C886" s="49"/>
      <c r="D886" s="51" t="str">
        <f aca="false">IF(C886="","",IFERROR(INDEX('شجرة الحسابات'!$B$9:$B$208,MATCH(C886,'شجرة الحسابات'!$A$9:$A$208,0)),"⚠ حساب غير معرف"))</f>
        <v/>
      </c>
      <c r="E886" s="52"/>
      <c r="F886" s="52"/>
      <c r="G886" s="53"/>
      <c r="H886" s="53"/>
      <c r="I886" s="54" t="str">
        <f aca="false">IF(A886="",IF(M886="فارغ","","✖ بدون رقم قيد"),IF(COUNTIFS('قيود اليومية'!$A$11:$A$1010,A886,'قيود اليومية'!$M$11:$M$1010,"&lt;&gt;OK",'قيود اليومية'!$M$11:$M$1010,"&lt;&gt;فارغ")&gt;0,"✖ خطأ بالحساب",IF(ROUND(SUMIFS('قيود اليومية'!$G$11:$G$1010,'قيود اليومية'!$A$11:$A$1010,A886)-SUMIFS('قيود اليومية'!$H$11:$H$1010,'قيود اليومية'!$A$11:$A$1010,A886),2)&lt;&gt;0,"✖ غير متوازن","مرحل ✔")))</f>
        <v/>
      </c>
      <c r="J886" s="55" t="str">
        <f aca="false">IF(C886="","",IFERROR(INDEX('شجرة الحسابات'!$E$9:$E$208,MATCH(C886,'شجرة الحسابات'!$A$9:$A$208,0))&amp;"",""))</f>
        <v/>
      </c>
      <c r="K886" s="55" t="str">
        <f aca="false">IF(C886="","",IFERROR(INDEX('شجرة الحسابات'!$I$9:$I$208,MATCH(C886,'شجرة الحسابات'!$A$9:$A$208,0))&amp;"",""))</f>
        <v/>
      </c>
      <c r="L886" s="55" t="str">
        <f aca="false">IF(C886="","",IFERROR(INDEX('شجرة الحسابات'!$C$9:$C$208,MATCH(C886,'شجرة الحسابات'!$A$9:$A$208,0))&amp;"",""))</f>
        <v/>
      </c>
      <c r="M886" s="55" t="str">
        <f aca="false">IF(AND(C886="",G886="",H886=""),"فارغ",IF(ISNA(MATCH(C886,'شجرة الحسابات'!$A$9:$A$208,0)),"حساب غير معرف",IF(L886&lt;&gt;"تحليلي","حساب تجميعي",IF(AND(N(G886)&gt;0,N(H886)&gt;0),"مدين ودائن معاً",IF(N(G886)+N(H886)=0,"بدون قيمة","OK")))))</f>
        <v>فارغ</v>
      </c>
      <c r="N886" s="55" t="str">
        <f aca="false">IF(AND(E886&lt;&gt;"",E886='كشف حساب مشروع'!$C$6,I886="مرحل ✔"),COUNTIFS($E$11:E886,'كشف حساب مشروع'!$C$6,$I$11:I886,"مرحل ✔"),"")</f>
        <v/>
      </c>
      <c r="O886" s="55" t="str">
        <f aca="false">IF(AND(C886&lt;&gt;"",C886='دفتر الأستاذ'!$C$6,I886="مرحل ✔"),COUNTIFS($C$11:C886,'دفتر الأستاذ'!$C$6,$I$11:I886,"مرحل ✔"),"")</f>
        <v/>
      </c>
    </row>
    <row r="887" customFormat="false" ht="15" hidden="false" customHeight="false" outlineLevel="0" collapsed="false">
      <c r="A887" s="49"/>
      <c r="B887" s="50"/>
      <c r="C887" s="49"/>
      <c r="D887" s="51" t="str">
        <f aca="false">IF(C887="","",IFERROR(INDEX('شجرة الحسابات'!$B$9:$B$208,MATCH(C887,'شجرة الحسابات'!$A$9:$A$208,0)),"⚠ حساب غير معرف"))</f>
        <v/>
      </c>
      <c r="E887" s="52"/>
      <c r="F887" s="52"/>
      <c r="G887" s="53"/>
      <c r="H887" s="53"/>
      <c r="I887" s="54" t="str">
        <f aca="false">IF(A887="",IF(M887="فارغ","","✖ بدون رقم قيد"),IF(COUNTIFS('قيود اليومية'!$A$11:$A$1010,A887,'قيود اليومية'!$M$11:$M$1010,"&lt;&gt;OK",'قيود اليومية'!$M$11:$M$1010,"&lt;&gt;فارغ")&gt;0,"✖ خطأ بالحساب",IF(ROUND(SUMIFS('قيود اليومية'!$G$11:$G$1010,'قيود اليومية'!$A$11:$A$1010,A887)-SUMIFS('قيود اليومية'!$H$11:$H$1010,'قيود اليومية'!$A$11:$A$1010,A887),2)&lt;&gt;0,"✖ غير متوازن","مرحل ✔")))</f>
        <v/>
      </c>
      <c r="J887" s="55" t="str">
        <f aca="false">IF(C887="","",IFERROR(INDEX('شجرة الحسابات'!$E$9:$E$208,MATCH(C887,'شجرة الحسابات'!$A$9:$A$208,0))&amp;"",""))</f>
        <v/>
      </c>
      <c r="K887" s="55" t="str">
        <f aca="false">IF(C887="","",IFERROR(INDEX('شجرة الحسابات'!$I$9:$I$208,MATCH(C887,'شجرة الحسابات'!$A$9:$A$208,0))&amp;"",""))</f>
        <v/>
      </c>
      <c r="L887" s="55" t="str">
        <f aca="false">IF(C887="","",IFERROR(INDEX('شجرة الحسابات'!$C$9:$C$208,MATCH(C887,'شجرة الحسابات'!$A$9:$A$208,0))&amp;"",""))</f>
        <v/>
      </c>
      <c r="M887" s="55" t="str">
        <f aca="false">IF(AND(C887="",G887="",H887=""),"فارغ",IF(ISNA(MATCH(C887,'شجرة الحسابات'!$A$9:$A$208,0)),"حساب غير معرف",IF(L887&lt;&gt;"تحليلي","حساب تجميعي",IF(AND(N(G887)&gt;0,N(H887)&gt;0),"مدين ودائن معاً",IF(N(G887)+N(H887)=0,"بدون قيمة","OK")))))</f>
        <v>فارغ</v>
      </c>
      <c r="N887" s="55" t="str">
        <f aca="false">IF(AND(E887&lt;&gt;"",E887='كشف حساب مشروع'!$C$6,I887="مرحل ✔"),COUNTIFS($E$11:E887,'كشف حساب مشروع'!$C$6,$I$11:I887,"مرحل ✔"),"")</f>
        <v/>
      </c>
      <c r="O887" s="55" t="str">
        <f aca="false">IF(AND(C887&lt;&gt;"",C887='دفتر الأستاذ'!$C$6,I887="مرحل ✔"),COUNTIFS($C$11:C887,'دفتر الأستاذ'!$C$6,$I$11:I887,"مرحل ✔"),"")</f>
        <v/>
      </c>
    </row>
    <row r="888" customFormat="false" ht="15" hidden="false" customHeight="false" outlineLevel="0" collapsed="false">
      <c r="A888" s="49"/>
      <c r="B888" s="50"/>
      <c r="C888" s="49"/>
      <c r="D888" s="51" t="str">
        <f aca="false">IF(C888="","",IFERROR(INDEX('شجرة الحسابات'!$B$9:$B$208,MATCH(C888,'شجرة الحسابات'!$A$9:$A$208,0)),"⚠ حساب غير معرف"))</f>
        <v/>
      </c>
      <c r="E888" s="52"/>
      <c r="F888" s="52"/>
      <c r="G888" s="53"/>
      <c r="H888" s="53"/>
      <c r="I888" s="54" t="str">
        <f aca="false">IF(A888="",IF(M888="فارغ","","✖ بدون رقم قيد"),IF(COUNTIFS('قيود اليومية'!$A$11:$A$1010,A888,'قيود اليومية'!$M$11:$M$1010,"&lt;&gt;OK",'قيود اليومية'!$M$11:$M$1010,"&lt;&gt;فارغ")&gt;0,"✖ خطأ بالحساب",IF(ROUND(SUMIFS('قيود اليومية'!$G$11:$G$1010,'قيود اليومية'!$A$11:$A$1010,A888)-SUMIFS('قيود اليومية'!$H$11:$H$1010,'قيود اليومية'!$A$11:$A$1010,A888),2)&lt;&gt;0,"✖ غير متوازن","مرحل ✔")))</f>
        <v/>
      </c>
      <c r="J888" s="55" t="str">
        <f aca="false">IF(C888="","",IFERROR(INDEX('شجرة الحسابات'!$E$9:$E$208,MATCH(C888,'شجرة الحسابات'!$A$9:$A$208,0))&amp;"",""))</f>
        <v/>
      </c>
      <c r="K888" s="55" t="str">
        <f aca="false">IF(C888="","",IFERROR(INDEX('شجرة الحسابات'!$I$9:$I$208,MATCH(C888,'شجرة الحسابات'!$A$9:$A$208,0))&amp;"",""))</f>
        <v/>
      </c>
      <c r="L888" s="55" t="str">
        <f aca="false">IF(C888="","",IFERROR(INDEX('شجرة الحسابات'!$C$9:$C$208,MATCH(C888,'شجرة الحسابات'!$A$9:$A$208,0))&amp;"",""))</f>
        <v/>
      </c>
      <c r="M888" s="55" t="str">
        <f aca="false">IF(AND(C888="",G888="",H888=""),"فارغ",IF(ISNA(MATCH(C888,'شجرة الحسابات'!$A$9:$A$208,0)),"حساب غير معرف",IF(L888&lt;&gt;"تحليلي","حساب تجميعي",IF(AND(N(G888)&gt;0,N(H888)&gt;0),"مدين ودائن معاً",IF(N(G888)+N(H888)=0,"بدون قيمة","OK")))))</f>
        <v>فارغ</v>
      </c>
      <c r="N888" s="55" t="str">
        <f aca="false">IF(AND(E888&lt;&gt;"",E888='كشف حساب مشروع'!$C$6,I888="مرحل ✔"),COUNTIFS($E$11:E888,'كشف حساب مشروع'!$C$6,$I$11:I888,"مرحل ✔"),"")</f>
        <v/>
      </c>
      <c r="O888" s="55" t="str">
        <f aca="false">IF(AND(C888&lt;&gt;"",C888='دفتر الأستاذ'!$C$6,I888="مرحل ✔"),COUNTIFS($C$11:C888,'دفتر الأستاذ'!$C$6,$I$11:I888,"مرحل ✔"),"")</f>
        <v/>
      </c>
    </row>
    <row r="889" customFormat="false" ht="15" hidden="false" customHeight="false" outlineLevel="0" collapsed="false">
      <c r="A889" s="49"/>
      <c r="B889" s="50"/>
      <c r="C889" s="49"/>
      <c r="D889" s="51" t="str">
        <f aca="false">IF(C889="","",IFERROR(INDEX('شجرة الحسابات'!$B$9:$B$208,MATCH(C889,'شجرة الحسابات'!$A$9:$A$208,0)),"⚠ حساب غير معرف"))</f>
        <v/>
      </c>
      <c r="E889" s="52"/>
      <c r="F889" s="52"/>
      <c r="G889" s="53"/>
      <c r="H889" s="53"/>
      <c r="I889" s="54" t="str">
        <f aca="false">IF(A889="",IF(M889="فارغ","","✖ بدون رقم قيد"),IF(COUNTIFS('قيود اليومية'!$A$11:$A$1010,A889,'قيود اليومية'!$M$11:$M$1010,"&lt;&gt;OK",'قيود اليومية'!$M$11:$M$1010,"&lt;&gt;فارغ")&gt;0,"✖ خطأ بالحساب",IF(ROUND(SUMIFS('قيود اليومية'!$G$11:$G$1010,'قيود اليومية'!$A$11:$A$1010,A889)-SUMIFS('قيود اليومية'!$H$11:$H$1010,'قيود اليومية'!$A$11:$A$1010,A889),2)&lt;&gt;0,"✖ غير متوازن","مرحل ✔")))</f>
        <v/>
      </c>
      <c r="J889" s="55" t="str">
        <f aca="false">IF(C889="","",IFERROR(INDEX('شجرة الحسابات'!$E$9:$E$208,MATCH(C889,'شجرة الحسابات'!$A$9:$A$208,0))&amp;"",""))</f>
        <v/>
      </c>
      <c r="K889" s="55" t="str">
        <f aca="false">IF(C889="","",IFERROR(INDEX('شجرة الحسابات'!$I$9:$I$208,MATCH(C889,'شجرة الحسابات'!$A$9:$A$208,0))&amp;"",""))</f>
        <v/>
      </c>
      <c r="L889" s="55" t="str">
        <f aca="false">IF(C889="","",IFERROR(INDEX('شجرة الحسابات'!$C$9:$C$208,MATCH(C889,'شجرة الحسابات'!$A$9:$A$208,0))&amp;"",""))</f>
        <v/>
      </c>
      <c r="M889" s="55" t="str">
        <f aca="false">IF(AND(C889="",G889="",H889=""),"فارغ",IF(ISNA(MATCH(C889,'شجرة الحسابات'!$A$9:$A$208,0)),"حساب غير معرف",IF(L889&lt;&gt;"تحليلي","حساب تجميعي",IF(AND(N(G889)&gt;0,N(H889)&gt;0),"مدين ودائن معاً",IF(N(G889)+N(H889)=0,"بدون قيمة","OK")))))</f>
        <v>فارغ</v>
      </c>
      <c r="N889" s="55" t="str">
        <f aca="false">IF(AND(E889&lt;&gt;"",E889='كشف حساب مشروع'!$C$6,I889="مرحل ✔"),COUNTIFS($E$11:E889,'كشف حساب مشروع'!$C$6,$I$11:I889,"مرحل ✔"),"")</f>
        <v/>
      </c>
      <c r="O889" s="55" t="str">
        <f aca="false">IF(AND(C889&lt;&gt;"",C889='دفتر الأستاذ'!$C$6,I889="مرحل ✔"),COUNTIFS($C$11:C889,'دفتر الأستاذ'!$C$6,$I$11:I889,"مرحل ✔"),"")</f>
        <v/>
      </c>
    </row>
    <row r="890" customFormat="false" ht="15" hidden="false" customHeight="false" outlineLevel="0" collapsed="false">
      <c r="A890" s="49"/>
      <c r="B890" s="50"/>
      <c r="C890" s="49"/>
      <c r="D890" s="51" t="str">
        <f aca="false">IF(C890="","",IFERROR(INDEX('شجرة الحسابات'!$B$9:$B$208,MATCH(C890,'شجرة الحسابات'!$A$9:$A$208,0)),"⚠ حساب غير معرف"))</f>
        <v/>
      </c>
      <c r="E890" s="52"/>
      <c r="F890" s="52"/>
      <c r="G890" s="53"/>
      <c r="H890" s="53"/>
      <c r="I890" s="54" t="str">
        <f aca="false">IF(A890="",IF(M890="فارغ","","✖ بدون رقم قيد"),IF(COUNTIFS('قيود اليومية'!$A$11:$A$1010,A890,'قيود اليومية'!$M$11:$M$1010,"&lt;&gt;OK",'قيود اليومية'!$M$11:$M$1010,"&lt;&gt;فارغ")&gt;0,"✖ خطأ بالحساب",IF(ROUND(SUMIFS('قيود اليومية'!$G$11:$G$1010,'قيود اليومية'!$A$11:$A$1010,A890)-SUMIFS('قيود اليومية'!$H$11:$H$1010,'قيود اليومية'!$A$11:$A$1010,A890),2)&lt;&gt;0,"✖ غير متوازن","مرحل ✔")))</f>
        <v/>
      </c>
      <c r="J890" s="55" t="str">
        <f aca="false">IF(C890="","",IFERROR(INDEX('شجرة الحسابات'!$E$9:$E$208,MATCH(C890,'شجرة الحسابات'!$A$9:$A$208,0))&amp;"",""))</f>
        <v/>
      </c>
      <c r="K890" s="55" t="str">
        <f aca="false">IF(C890="","",IFERROR(INDEX('شجرة الحسابات'!$I$9:$I$208,MATCH(C890,'شجرة الحسابات'!$A$9:$A$208,0))&amp;"",""))</f>
        <v/>
      </c>
      <c r="L890" s="55" t="str">
        <f aca="false">IF(C890="","",IFERROR(INDEX('شجرة الحسابات'!$C$9:$C$208,MATCH(C890,'شجرة الحسابات'!$A$9:$A$208,0))&amp;"",""))</f>
        <v/>
      </c>
      <c r="M890" s="55" t="str">
        <f aca="false">IF(AND(C890="",G890="",H890=""),"فارغ",IF(ISNA(MATCH(C890,'شجرة الحسابات'!$A$9:$A$208,0)),"حساب غير معرف",IF(L890&lt;&gt;"تحليلي","حساب تجميعي",IF(AND(N(G890)&gt;0,N(H890)&gt;0),"مدين ودائن معاً",IF(N(G890)+N(H890)=0,"بدون قيمة","OK")))))</f>
        <v>فارغ</v>
      </c>
      <c r="N890" s="55" t="str">
        <f aca="false">IF(AND(E890&lt;&gt;"",E890='كشف حساب مشروع'!$C$6,I890="مرحل ✔"),COUNTIFS($E$11:E890,'كشف حساب مشروع'!$C$6,$I$11:I890,"مرحل ✔"),"")</f>
        <v/>
      </c>
      <c r="O890" s="55" t="str">
        <f aca="false">IF(AND(C890&lt;&gt;"",C890='دفتر الأستاذ'!$C$6,I890="مرحل ✔"),COUNTIFS($C$11:C890,'دفتر الأستاذ'!$C$6,$I$11:I890,"مرحل ✔"),"")</f>
        <v/>
      </c>
    </row>
    <row r="891" customFormat="false" ht="15" hidden="false" customHeight="false" outlineLevel="0" collapsed="false">
      <c r="A891" s="49"/>
      <c r="B891" s="50"/>
      <c r="C891" s="49"/>
      <c r="D891" s="51" t="str">
        <f aca="false">IF(C891="","",IFERROR(INDEX('شجرة الحسابات'!$B$9:$B$208,MATCH(C891,'شجرة الحسابات'!$A$9:$A$208,0)),"⚠ حساب غير معرف"))</f>
        <v/>
      </c>
      <c r="E891" s="52"/>
      <c r="F891" s="52"/>
      <c r="G891" s="53"/>
      <c r="H891" s="53"/>
      <c r="I891" s="54" t="str">
        <f aca="false">IF(A891="",IF(M891="فارغ","","✖ بدون رقم قيد"),IF(COUNTIFS('قيود اليومية'!$A$11:$A$1010,A891,'قيود اليومية'!$M$11:$M$1010,"&lt;&gt;OK",'قيود اليومية'!$M$11:$M$1010,"&lt;&gt;فارغ")&gt;0,"✖ خطأ بالحساب",IF(ROUND(SUMIFS('قيود اليومية'!$G$11:$G$1010,'قيود اليومية'!$A$11:$A$1010,A891)-SUMIFS('قيود اليومية'!$H$11:$H$1010,'قيود اليومية'!$A$11:$A$1010,A891),2)&lt;&gt;0,"✖ غير متوازن","مرحل ✔")))</f>
        <v/>
      </c>
      <c r="J891" s="55" t="str">
        <f aca="false">IF(C891="","",IFERROR(INDEX('شجرة الحسابات'!$E$9:$E$208,MATCH(C891,'شجرة الحسابات'!$A$9:$A$208,0))&amp;"",""))</f>
        <v/>
      </c>
      <c r="K891" s="55" t="str">
        <f aca="false">IF(C891="","",IFERROR(INDEX('شجرة الحسابات'!$I$9:$I$208,MATCH(C891,'شجرة الحسابات'!$A$9:$A$208,0))&amp;"",""))</f>
        <v/>
      </c>
      <c r="L891" s="55" t="str">
        <f aca="false">IF(C891="","",IFERROR(INDEX('شجرة الحسابات'!$C$9:$C$208,MATCH(C891,'شجرة الحسابات'!$A$9:$A$208,0))&amp;"",""))</f>
        <v/>
      </c>
      <c r="M891" s="55" t="str">
        <f aca="false">IF(AND(C891="",G891="",H891=""),"فارغ",IF(ISNA(MATCH(C891,'شجرة الحسابات'!$A$9:$A$208,0)),"حساب غير معرف",IF(L891&lt;&gt;"تحليلي","حساب تجميعي",IF(AND(N(G891)&gt;0,N(H891)&gt;0),"مدين ودائن معاً",IF(N(G891)+N(H891)=0,"بدون قيمة","OK")))))</f>
        <v>فارغ</v>
      </c>
      <c r="N891" s="55" t="str">
        <f aca="false">IF(AND(E891&lt;&gt;"",E891='كشف حساب مشروع'!$C$6,I891="مرحل ✔"),COUNTIFS($E$11:E891,'كشف حساب مشروع'!$C$6,$I$11:I891,"مرحل ✔"),"")</f>
        <v/>
      </c>
      <c r="O891" s="55" t="str">
        <f aca="false">IF(AND(C891&lt;&gt;"",C891='دفتر الأستاذ'!$C$6,I891="مرحل ✔"),COUNTIFS($C$11:C891,'دفتر الأستاذ'!$C$6,$I$11:I891,"مرحل ✔"),"")</f>
        <v/>
      </c>
    </row>
    <row r="892" customFormat="false" ht="15" hidden="false" customHeight="false" outlineLevel="0" collapsed="false">
      <c r="A892" s="49"/>
      <c r="B892" s="50"/>
      <c r="C892" s="49"/>
      <c r="D892" s="51" t="str">
        <f aca="false">IF(C892="","",IFERROR(INDEX('شجرة الحسابات'!$B$9:$B$208,MATCH(C892,'شجرة الحسابات'!$A$9:$A$208,0)),"⚠ حساب غير معرف"))</f>
        <v/>
      </c>
      <c r="E892" s="52"/>
      <c r="F892" s="52"/>
      <c r="G892" s="53"/>
      <c r="H892" s="53"/>
      <c r="I892" s="54" t="str">
        <f aca="false">IF(A892="",IF(M892="فارغ","","✖ بدون رقم قيد"),IF(COUNTIFS('قيود اليومية'!$A$11:$A$1010,A892,'قيود اليومية'!$M$11:$M$1010,"&lt;&gt;OK",'قيود اليومية'!$M$11:$M$1010,"&lt;&gt;فارغ")&gt;0,"✖ خطأ بالحساب",IF(ROUND(SUMIFS('قيود اليومية'!$G$11:$G$1010,'قيود اليومية'!$A$11:$A$1010,A892)-SUMIFS('قيود اليومية'!$H$11:$H$1010,'قيود اليومية'!$A$11:$A$1010,A892),2)&lt;&gt;0,"✖ غير متوازن","مرحل ✔")))</f>
        <v/>
      </c>
      <c r="J892" s="55" t="str">
        <f aca="false">IF(C892="","",IFERROR(INDEX('شجرة الحسابات'!$E$9:$E$208,MATCH(C892,'شجرة الحسابات'!$A$9:$A$208,0))&amp;"",""))</f>
        <v/>
      </c>
      <c r="K892" s="55" t="str">
        <f aca="false">IF(C892="","",IFERROR(INDEX('شجرة الحسابات'!$I$9:$I$208,MATCH(C892,'شجرة الحسابات'!$A$9:$A$208,0))&amp;"",""))</f>
        <v/>
      </c>
      <c r="L892" s="55" t="str">
        <f aca="false">IF(C892="","",IFERROR(INDEX('شجرة الحسابات'!$C$9:$C$208,MATCH(C892,'شجرة الحسابات'!$A$9:$A$208,0))&amp;"",""))</f>
        <v/>
      </c>
      <c r="M892" s="55" t="str">
        <f aca="false">IF(AND(C892="",G892="",H892=""),"فارغ",IF(ISNA(MATCH(C892,'شجرة الحسابات'!$A$9:$A$208,0)),"حساب غير معرف",IF(L892&lt;&gt;"تحليلي","حساب تجميعي",IF(AND(N(G892)&gt;0,N(H892)&gt;0),"مدين ودائن معاً",IF(N(G892)+N(H892)=0,"بدون قيمة","OK")))))</f>
        <v>فارغ</v>
      </c>
      <c r="N892" s="55" t="str">
        <f aca="false">IF(AND(E892&lt;&gt;"",E892='كشف حساب مشروع'!$C$6,I892="مرحل ✔"),COUNTIFS($E$11:E892,'كشف حساب مشروع'!$C$6,$I$11:I892,"مرحل ✔"),"")</f>
        <v/>
      </c>
      <c r="O892" s="55" t="str">
        <f aca="false">IF(AND(C892&lt;&gt;"",C892='دفتر الأستاذ'!$C$6,I892="مرحل ✔"),COUNTIFS($C$11:C892,'دفتر الأستاذ'!$C$6,$I$11:I892,"مرحل ✔"),"")</f>
        <v/>
      </c>
    </row>
    <row r="893" customFormat="false" ht="15" hidden="false" customHeight="false" outlineLevel="0" collapsed="false">
      <c r="A893" s="49"/>
      <c r="B893" s="50"/>
      <c r="C893" s="49"/>
      <c r="D893" s="51" t="str">
        <f aca="false">IF(C893="","",IFERROR(INDEX('شجرة الحسابات'!$B$9:$B$208,MATCH(C893,'شجرة الحسابات'!$A$9:$A$208,0)),"⚠ حساب غير معرف"))</f>
        <v/>
      </c>
      <c r="E893" s="52"/>
      <c r="F893" s="52"/>
      <c r="G893" s="53"/>
      <c r="H893" s="53"/>
      <c r="I893" s="54" t="str">
        <f aca="false">IF(A893="",IF(M893="فارغ","","✖ بدون رقم قيد"),IF(COUNTIFS('قيود اليومية'!$A$11:$A$1010,A893,'قيود اليومية'!$M$11:$M$1010,"&lt;&gt;OK",'قيود اليومية'!$M$11:$M$1010,"&lt;&gt;فارغ")&gt;0,"✖ خطأ بالحساب",IF(ROUND(SUMIFS('قيود اليومية'!$G$11:$G$1010,'قيود اليومية'!$A$11:$A$1010,A893)-SUMIFS('قيود اليومية'!$H$11:$H$1010,'قيود اليومية'!$A$11:$A$1010,A893),2)&lt;&gt;0,"✖ غير متوازن","مرحل ✔")))</f>
        <v/>
      </c>
      <c r="J893" s="55" t="str">
        <f aca="false">IF(C893="","",IFERROR(INDEX('شجرة الحسابات'!$E$9:$E$208,MATCH(C893,'شجرة الحسابات'!$A$9:$A$208,0))&amp;"",""))</f>
        <v/>
      </c>
      <c r="K893" s="55" t="str">
        <f aca="false">IF(C893="","",IFERROR(INDEX('شجرة الحسابات'!$I$9:$I$208,MATCH(C893,'شجرة الحسابات'!$A$9:$A$208,0))&amp;"",""))</f>
        <v/>
      </c>
      <c r="L893" s="55" t="str">
        <f aca="false">IF(C893="","",IFERROR(INDEX('شجرة الحسابات'!$C$9:$C$208,MATCH(C893,'شجرة الحسابات'!$A$9:$A$208,0))&amp;"",""))</f>
        <v/>
      </c>
      <c r="M893" s="55" t="str">
        <f aca="false">IF(AND(C893="",G893="",H893=""),"فارغ",IF(ISNA(MATCH(C893,'شجرة الحسابات'!$A$9:$A$208,0)),"حساب غير معرف",IF(L893&lt;&gt;"تحليلي","حساب تجميعي",IF(AND(N(G893)&gt;0,N(H893)&gt;0),"مدين ودائن معاً",IF(N(G893)+N(H893)=0,"بدون قيمة","OK")))))</f>
        <v>فارغ</v>
      </c>
      <c r="N893" s="55" t="str">
        <f aca="false">IF(AND(E893&lt;&gt;"",E893='كشف حساب مشروع'!$C$6,I893="مرحل ✔"),COUNTIFS($E$11:E893,'كشف حساب مشروع'!$C$6,$I$11:I893,"مرحل ✔"),"")</f>
        <v/>
      </c>
      <c r="O893" s="55" t="str">
        <f aca="false">IF(AND(C893&lt;&gt;"",C893='دفتر الأستاذ'!$C$6,I893="مرحل ✔"),COUNTIFS($C$11:C893,'دفتر الأستاذ'!$C$6,$I$11:I893,"مرحل ✔"),"")</f>
        <v/>
      </c>
    </row>
    <row r="894" customFormat="false" ht="15" hidden="false" customHeight="false" outlineLevel="0" collapsed="false">
      <c r="A894" s="49"/>
      <c r="B894" s="50"/>
      <c r="C894" s="49"/>
      <c r="D894" s="51" t="str">
        <f aca="false">IF(C894="","",IFERROR(INDEX('شجرة الحسابات'!$B$9:$B$208,MATCH(C894,'شجرة الحسابات'!$A$9:$A$208,0)),"⚠ حساب غير معرف"))</f>
        <v/>
      </c>
      <c r="E894" s="52"/>
      <c r="F894" s="52"/>
      <c r="G894" s="53"/>
      <c r="H894" s="53"/>
      <c r="I894" s="54" t="str">
        <f aca="false">IF(A894="",IF(M894="فارغ","","✖ بدون رقم قيد"),IF(COUNTIFS('قيود اليومية'!$A$11:$A$1010,A894,'قيود اليومية'!$M$11:$M$1010,"&lt;&gt;OK",'قيود اليومية'!$M$11:$M$1010,"&lt;&gt;فارغ")&gt;0,"✖ خطأ بالحساب",IF(ROUND(SUMIFS('قيود اليومية'!$G$11:$G$1010,'قيود اليومية'!$A$11:$A$1010,A894)-SUMIFS('قيود اليومية'!$H$11:$H$1010,'قيود اليومية'!$A$11:$A$1010,A894),2)&lt;&gt;0,"✖ غير متوازن","مرحل ✔")))</f>
        <v/>
      </c>
      <c r="J894" s="55" t="str">
        <f aca="false">IF(C894="","",IFERROR(INDEX('شجرة الحسابات'!$E$9:$E$208,MATCH(C894,'شجرة الحسابات'!$A$9:$A$208,0))&amp;"",""))</f>
        <v/>
      </c>
      <c r="K894" s="55" t="str">
        <f aca="false">IF(C894="","",IFERROR(INDEX('شجرة الحسابات'!$I$9:$I$208,MATCH(C894,'شجرة الحسابات'!$A$9:$A$208,0))&amp;"",""))</f>
        <v/>
      </c>
      <c r="L894" s="55" t="str">
        <f aca="false">IF(C894="","",IFERROR(INDEX('شجرة الحسابات'!$C$9:$C$208,MATCH(C894,'شجرة الحسابات'!$A$9:$A$208,0))&amp;"",""))</f>
        <v/>
      </c>
      <c r="M894" s="55" t="str">
        <f aca="false">IF(AND(C894="",G894="",H894=""),"فارغ",IF(ISNA(MATCH(C894,'شجرة الحسابات'!$A$9:$A$208,0)),"حساب غير معرف",IF(L894&lt;&gt;"تحليلي","حساب تجميعي",IF(AND(N(G894)&gt;0,N(H894)&gt;0),"مدين ودائن معاً",IF(N(G894)+N(H894)=0,"بدون قيمة","OK")))))</f>
        <v>فارغ</v>
      </c>
      <c r="N894" s="55" t="str">
        <f aca="false">IF(AND(E894&lt;&gt;"",E894='كشف حساب مشروع'!$C$6,I894="مرحل ✔"),COUNTIFS($E$11:E894,'كشف حساب مشروع'!$C$6,$I$11:I894,"مرحل ✔"),"")</f>
        <v/>
      </c>
      <c r="O894" s="55" t="str">
        <f aca="false">IF(AND(C894&lt;&gt;"",C894='دفتر الأستاذ'!$C$6,I894="مرحل ✔"),COUNTIFS($C$11:C894,'دفتر الأستاذ'!$C$6,$I$11:I894,"مرحل ✔"),"")</f>
        <v/>
      </c>
    </row>
    <row r="895" customFormat="false" ht="15" hidden="false" customHeight="false" outlineLevel="0" collapsed="false">
      <c r="A895" s="49"/>
      <c r="B895" s="50"/>
      <c r="C895" s="49"/>
      <c r="D895" s="51" t="str">
        <f aca="false">IF(C895="","",IFERROR(INDEX('شجرة الحسابات'!$B$9:$B$208,MATCH(C895,'شجرة الحسابات'!$A$9:$A$208,0)),"⚠ حساب غير معرف"))</f>
        <v/>
      </c>
      <c r="E895" s="52"/>
      <c r="F895" s="52"/>
      <c r="G895" s="53"/>
      <c r="H895" s="53"/>
      <c r="I895" s="54" t="str">
        <f aca="false">IF(A895="",IF(M895="فارغ","","✖ بدون رقم قيد"),IF(COUNTIFS('قيود اليومية'!$A$11:$A$1010,A895,'قيود اليومية'!$M$11:$M$1010,"&lt;&gt;OK",'قيود اليومية'!$M$11:$M$1010,"&lt;&gt;فارغ")&gt;0,"✖ خطأ بالحساب",IF(ROUND(SUMIFS('قيود اليومية'!$G$11:$G$1010,'قيود اليومية'!$A$11:$A$1010,A895)-SUMIFS('قيود اليومية'!$H$11:$H$1010,'قيود اليومية'!$A$11:$A$1010,A895),2)&lt;&gt;0,"✖ غير متوازن","مرحل ✔")))</f>
        <v/>
      </c>
      <c r="J895" s="55" t="str">
        <f aca="false">IF(C895="","",IFERROR(INDEX('شجرة الحسابات'!$E$9:$E$208,MATCH(C895,'شجرة الحسابات'!$A$9:$A$208,0))&amp;"",""))</f>
        <v/>
      </c>
      <c r="K895" s="55" t="str">
        <f aca="false">IF(C895="","",IFERROR(INDEX('شجرة الحسابات'!$I$9:$I$208,MATCH(C895,'شجرة الحسابات'!$A$9:$A$208,0))&amp;"",""))</f>
        <v/>
      </c>
      <c r="L895" s="55" t="str">
        <f aca="false">IF(C895="","",IFERROR(INDEX('شجرة الحسابات'!$C$9:$C$208,MATCH(C895,'شجرة الحسابات'!$A$9:$A$208,0))&amp;"",""))</f>
        <v/>
      </c>
      <c r="M895" s="55" t="str">
        <f aca="false">IF(AND(C895="",G895="",H895=""),"فارغ",IF(ISNA(MATCH(C895,'شجرة الحسابات'!$A$9:$A$208,0)),"حساب غير معرف",IF(L895&lt;&gt;"تحليلي","حساب تجميعي",IF(AND(N(G895)&gt;0,N(H895)&gt;0),"مدين ودائن معاً",IF(N(G895)+N(H895)=0,"بدون قيمة","OK")))))</f>
        <v>فارغ</v>
      </c>
      <c r="N895" s="55" t="str">
        <f aca="false">IF(AND(E895&lt;&gt;"",E895='كشف حساب مشروع'!$C$6,I895="مرحل ✔"),COUNTIFS($E$11:E895,'كشف حساب مشروع'!$C$6,$I$11:I895,"مرحل ✔"),"")</f>
        <v/>
      </c>
      <c r="O895" s="55" t="str">
        <f aca="false">IF(AND(C895&lt;&gt;"",C895='دفتر الأستاذ'!$C$6,I895="مرحل ✔"),COUNTIFS($C$11:C895,'دفتر الأستاذ'!$C$6,$I$11:I895,"مرحل ✔"),"")</f>
        <v/>
      </c>
    </row>
    <row r="896" customFormat="false" ht="15" hidden="false" customHeight="false" outlineLevel="0" collapsed="false">
      <c r="A896" s="49"/>
      <c r="B896" s="50"/>
      <c r="C896" s="49"/>
      <c r="D896" s="51" t="str">
        <f aca="false">IF(C896="","",IFERROR(INDEX('شجرة الحسابات'!$B$9:$B$208,MATCH(C896,'شجرة الحسابات'!$A$9:$A$208,0)),"⚠ حساب غير معرف"))</f>
        <v/>
      </c>
      <c r="E896" s="52"/>
      <c r="F896" s="52"/>
      <c r="G896" s="53"/>
      <c r="H896" s="53"/>
      <c r="I896" s="54" t="str">
        <f aca="false">IF(A896="",IF(M896="فارغ","","✖ بدون رقم قيد"),IF(COUNTIFS('قيود اليومية'!$A$11:$A$1010,A896,'قيود اليومية'!$M$11:$M$1010,"&lt;&gt;OK",'قيود اليومية'!$M$11:$M$1010,"&lt;&gt;فارغ")&gt;0,"✖ خطأ بالحساب",IF(ROUND(SUMIFS('قيود اليومية'!$G$11:$G$1010,'قيود اليومية'!$A$11:$A$1010,A896)-SUMIFS('قيود اليومية'!$H$11:$H$1010,'قيود اليومية'!$A$11:$A$1010,A896),2)&lt;&gt;0,"✖ غير متوازن","مرحل ✔")))</f>
        <v/>
      </c>
      <c r="J896" s="55" t="str">
        <f aca="false">IF(C896="","",IFERROR(INDEX('شجرة الحسابات'!$E$9:$E$208,MATCH(C896,'شجرة الحسابات'!$A$9:$A$208,0))&amp;"",""))</f>
        <v/>
      </c>
      <c r="K896" s="55" t="str">
        <f aca="false">IF(C896="","",IFERROR(INDEX('شجرة الحسابات'!$I$9:$I$208,MATCH(C896,'شجرة الحسابات'!$A$9:$A$208,0))&amp;"",""))</f>
        <v/>
      </c>
      <c r="L896" s="55" t="str">
        <f aca="false">IF(C896="","",IFERROR(INDEX('شجرة الحسابات'!$C$9:$C$208,MATCH(C896,'شجرة الحسابات'!$A$9:$A$208,0))&amp;"",""))</f>
        <v/>
      </c>
      <c r="M896" s="55" t="str">
        <f aca="false">IF(AND(C896="",G896="",H896=""),"فارغ",IF(ISNA(MATCH(C896,'شجرة الحسابات'!$A$9:$A$208,0)),"حساب غير معرف",IF(L896&lt;&gt;"تحليلي","حساب تجميعي",IF(AND(N(G896)&gt;0,N(H896)&gt;0),"مدين ودائن معاً",IF(N(G896)+N(H896)=0,"بدون قيمة","OK")))))</f>
        <v>فارغ</v>
      </c>
      <c r="N896" s="55" t="str">
        <f aca="false">IF(AND(E896&lt;&gt;"",E896='كشف حساب مشروع'!$C$6,I896="مرحل ✔"),COUNTIFS($E$11:E896,'كشف حساب مشروع'!$C$6,$I$11:I896,"مرحل ✔"),"")</f>
        <v/>
      </c>
      <c r="O896" s="55" t="str">
        <f aca="false">IF(AND(C896&lt;&gt;"",C896='دفتر الأستاذ'!$C$6,I896="مرحل ✔"),COUNTIFS($C$11:C896,'دفتر الأستاذ'!$C$6,$I$11:I896,"مرحل ✔"),"")</f>
        <v/>
      </c>
    </row>
    <row r="897" customFormat="false" ht="15" hidden="false" customHeight="false" outlineLevel="0" collapsed="false">
      <c r="A897" s="49"/>
      <c r="B897" s="50"/>
      <c r="C897" s="49"/>
      <c r="D897" s="51" t="str">
        <f aca="false">IF(C897="","",IFERROR(INDEX('شجرة الحسابات'!$B$9:$B$208,MATCH(C897,'شجرة الحسابات'!$A$9:$A$208,0)),"⚠ حساب غير معرف"))</f>
        <v/>
      </c>
      <c r="E897" s="52"/>
      <c r="F897" s="52"/>
      <c r="G897" s="53"/>
      <c r="H897" s="53"/>
      <c r="I897" s="54" t="str">
        <f aca="false">IF(A897="",IF(M897="فارغ","","✖ بدون رقم قيد"),IF(COUNTIFS('قيود اليومية'!$A$11:$A$1010,A897,'قيود اليومية'!$M$11:$M$1010,"&lt;&gt;OK",'قيود اليومية'!$M$11:$M$1010,"&lt;&gt;فارغ")&gt;0,"✖ خطأ بالحساب",IF(ROUND(SUMIFS('قيود اليومية'!$G$11:$G$1010,'قيود اليومية'!$A$11:$A$1010,A897)-SUMIFS('قيود اليومية'!$H$11:$H$1010,'قيود اليومية'!$A$11:$A$1010,A897),2)&lt;&gt;0,"✖ غير متوازن","مرحل ✔")))</f>
        <v/>
      </c>
      <c r="J897" s="55" t="str">
        <f aca="false">IF(C897="","",IFERROR(INDEX('شجرة الحسابات'!$E$9:$E$208,MATCH(C897,'شجرة الحسابات'!$A$9:$A$208,0))&amp;"",""))</f>
        <v/>
      </c>
      <c r="K897" s="55" t="str">
        <f aca="false">IF(C897="","",IFERROR(INDEX('شجرة الحسابات'!$I$9:$I$208,MATCH(C897,'شجرة الحسابات'!$A$9:$A$208,0))&amp;"",""))</f>
        <v/>
      </c>
      <c r="L897" s="55" t="str">
        <f aca="false">IF(C897="","",IFERROR(INDEX('شجرة الحسابات'!$C$9:$C$208,MATCH(C897,'شجرة الحسابات'!$A$9:$A$208,0))&amp;"",""))</f>
        <v/>
      </c>
      <c r="M897" s="55" t="str">
        <f aca="false">IF(AND(C897="",G897="",H897=""),"فارغ",IF(ISNA(MATCH(C897,'شجرة الحسابات'!$A$9:$A$208,0)),"حساب غير معرف",IF(L897&lt;&gt;"تحليلي","حساب تجميعي",IF(AND(N(G897)&gt;0,N(H897)&gt;0),"مدين ودائن معاً",IF(N(G897)+N(H897)=0,"بدون قيمة","OK")))))</f>
        <v>فارغ</v>
      </c>
      <c r="N897" s="55" t="str">
        <f aca="false">IF(AND(E897&lt;&gt;"",E897='كشف حساب مشروع'!$C$6,I897="مرحل ✔"),COUNTIFS($E$11:E897,'كشف حساب مشروع'!$C$6,$I$11:I897,"مرحل ✔"),"")</f>
        <v/>
      </c>
      <c r="O897" s="55" t="str">
        <f aca="false">IF(AND(C897&lt;&gt;"",C897='دفتر الأستاذ'!$C$6,I897="مرحل ✔"),COUNTIFS($C$11:C897,'دفتر الأستاذ'!$C$6,$I$11:I897,"مرحل ✔"),"")</f>
        <v/>
      </c>
    </row>
    <row r="898" customFormat="false" ht="15" hidden="false" customHeight="false" outlineLevel="0" collapsed="false">
      <c r="A898" s="49"/>
      <c r="B898" s="50"/>
      <c r="C898" s="49"/>
      <c r="D898" s="51" t="str">
        <f aca="false">IF(C898="","",IFERROR(INDEX('شجرة الحسابات'!$B$9:$B$208,MATCH(C898,'شجرة الحسابات'!$A$9:$A$208,0)),"⚠ حساب غير معرف"))</f>
        <v/>
      </c>
      <c r="E898" s="52"/>
      <c r="F898" s="52"/>
      <c r="G898" s="53"/>
      <c r="H898" s="53"/>
      <c r="I898" s="54" t="str">
        <f aca="false">IF(A898="",IF(M898="فارغ","","✖ بدون رقم قيد"),IF(COUNTIFS('قيود اليومية'!$A$11:$A$1010,A898,'قيود اليومية'!$M$11:$M$1010,"&lt;&gt;OK",'قيود اليومية'!$M$11:$M$1010,"&lt;&gt;فارغ")&gt;0,"✖ خطأ بالحساب",IF(ROUND(SUMIFS('قيود اليومية'!$G$11:$G$1010,'قيود اليومية'!$A$11:$A$1010,A898)-SUMIFS('قيود اليومية'!$H$11:$H$1010,'قيود اليومية'!$A$11:$A$1010,A898),2)&lt;&gt;0,"✖ غير متوازن","مرحل ✔")))</f>
        <v/>
      </c>
      <c r="J898" s="55" t="str">
        <f aca="false">IF(C898="","",IFERROR(INDEX('شجرة الحسابات'!$E$9:$E$208,MATCH(C898,'شجرة الحسابات'!$A$9:$A$208,0))&amp;"",""))</f>
        <v/>
      </c>
      <c r="K898" s="55" t="str">
        <f aca="false">IF(C898="","",IFERROR(INDEX('شجرة الحسابات'!$I$9:$I$208,MATCH(C898,'شجرة الحسابات'!$A$9:$A$208,0))&amp;"",""))</f>
        <v/>
      </c>
      <c r="L898" s="55" t="str">
        <f aca="false">IF(C898="","",IFERROR(INDEX('شجرة الحسابات'!$C$9:$C$208,MATCH(C898,'شجرة الحسابات'!$A$9:$A$208,0))&amp;"",""))</f>
        <v/>
      </c>
      <c r="M898" s="55" t="str">
        <f aca="false">IF(AND(C898="",G898="",H898=""),"فارغ",IF(ISNA(MATCH(C898,'شجرة الحسابات'!$A$9:$A$208,0)),"حساب غير معرف",IF(L898&lt;&gt;"تحليلي","حساب تجميعي",IF(AND(N(G898)&gt;0,N(H898)&gt;0),"مدين ودائن معاً",IF(N(G898)+N(H898)=0,"بدون قيمة","OK")))))</f>
        <v>فارغ</v>
      </c>
      <c r="N898" s="55" t="str">
        <f aca="false">IF(AND(E898&lt;&gt;"",E898='كشف حساب مشروع'!$C$6,I898="مرحل ✔"),COUNTIFS($E$11:E898,'كشف حساب مشروع'!$C$6,$I$11:I898,"مرحل ✔"),"")</f>
        <v/>
      </c>
      <c r="O898" s="55" t="str">
        <f aca="false">IF(AND(C898&lt;&gt;"",C898='دفتر الأستاذ'!$C$6,I898="مرحل ✔"),COUNTIFS($C$11:C898,'دفتر الأستاذ'!$C$6,$I$11:I898,"مرحل ✔"),"")</f>
        <v/>
      </c>
    </row>
    <row r="899" customFormat="false" ht="15" hidden="false" customHeight="false" outlineLevel="0" collapsed="false">
      <c r="A899" s="49"/>
      <c r="B899" s="50"/>
      <c r="C899" s="49"/>
      <c r="D899" s="51" t="str">
        <f aca="false">IF(C899="","",IFERROR(INDEX('شجرة الحسابات'!$B$9:$B$208,MATCH(C899,'شجرة الحسابات'!$A$9:$A$208,0)),"⚠ حساب غير معرف"))</f>
        <v/>
      </c>
      <c r="E899" s="52"/>
      <c r="F899" s="52"/>
      <c r="G899" s="53"/>
      <c r="H899" s="53"/>
      <c r="I899" s="54" t="str">
        <f aca="false">IF(A899="",IF(M899="فارغ","","✖ بدون رقم قيد"),IF(COUNTIFS('قيود اليومية'!$A$11:$A$1010,A899,'قيود اليومية'!$M$11:$M$1010,"&lt;&gt;OK",'قيود اليومية'!$M$11:$M$1010,"&lt;&gt;فارغ")&gt;0,"✖ خطأ بالحساب",IF(ROUND(SUMIFS('قيود اليومية'!$G$11:$G$1010,'قيود اليومية'!$A$11:$A$1010,A899)-SUMIFS('قيود اليومية'!$H$11:$H$1010,'قيود اليومية'!$A$11:$A$1010,A899),2)&lt;&gt;0,"✖ غير متوازن","مرحل ✔")))</f>
        <v/>
      </c>
      <c r="J899" s="55" t="str">
        <f aca="false">IF(C899="","",IFERROR(INDEX('شجرة الحسابات'!$E$9:$E$208,MATCH(C899,'شجرة الحسابات'!$A$9:$A$208,0))&amp;"",""))</f>
        <v/>
      </c>
      <c r="K899" s="55" t="str">
        <f aca="false">IF(C899="","",IFERROR(INDEX('شجرة الحسابات'!$I$9:$I$208,MATCH(C899,'شجرة الحسابات'!$A$9:$A$208,0))&amp;"",""))</f>
        <v/>
      </c>
      <c r="L899" s="55" t="str">
        <f aca="false">IF(C899="","",IFERROR(INDEX('شجرة الحسابات'!$C$9:$C$208,MATCH(C899,'شجرة الحسابات'!$A$9:$A$208,0))&amp;"",""))</f>
        <v/>
      </c>
      <c r="M899" s="55" t="str">
        <f aca="false">IF(AND(C899="",G899="",H899=""),"فارغ",IF(ISNA(MATCH(C899,'شجرة الحسابات'!$A$9:$A$208,0)),"حساب غير معرف",IF(L899&lt;&gt;"تحليلي","حساب تجميعي",IF(AND(N(G899)&gt;0,N(H899)&gt;0),"مدين ودائن معاً",IF(N(G899)+N(H899)=0,"بدون قيمة","OK")))))</f>
        <v>فارغ</v>
      </c>
      <c r="N899" s="55" t="str">
        <f aca="false">IF(AND(E899&lt;&gt;"",E899='كشف حساب مشروع'!$C$6,I899="مرحل ✔"),COUNTIFS($E$11:E899,'كشف حساب مشروع'!$C$6,$I$11:I899,"مرحل ✔"),"")</f>
        <v/>
      </c>
      <c r="O899" s="55" t="str">
        <f aca="false">IF(AND(C899&lt;&gt;"",C899='دفتر الأستاذ'!$C$6,I899="مرحل ✔"),COUNTIFS($C$11:C899,'دفتر الأستاذ'!$C$6,$I$11:I899,"مرحل ✔"),"")</f>
        <v/>
      </c>
    </row>
    <row r="900" customFormat="false" ht="15" hidden="false" customHeight="false" outlineLevel="0" collapsed="false">
      <c r="A900" s="49"/>
      <c r="B900" s="50"/>
      <c r="C900" s="49"/>
      <c r="D900" s="51" t="str">
        <f aca="false">IF(C900="","",IFERROR(INDEX('شجرة الحسابات'!$B$9:$B$208,MATCH(C900,'شجرة الحسابات'!$A$9:$A$208,0)),"⚠ حساب غير معرف"))</f>
        <v/>
      </c>
      <c r="E900" s="52"/>
      <c r="F900" s="52"/>
      <c r="G900" s="53"/>
      <c r="H900" s="53"/>
      <c r="I900" s="54" t="str">
        <f aca="false">IF(A900="",IF(M900="فارغ","","✖ بدون رقم قيد"),IF(COUNTIFS('قيود اليومية'!$A$11:$A$1010,A900,'قيود اليومية'!$M$11:$M$1010,"&lt;&gt;OK",'قيود اليومية'!$M$11:$M$1010,"&lt;&gt;فارغ")&gt;0,"✖ خطأ بالحساب",IF(ROUND(SUMIFS('قيود اليومية'!$G$11:$G$1010,'قيود اليومية'!$A$11:$A$1010,A900)-SUMIFS('قيود اليومية'!$H$11:$H$1010,'قيود اليومية'!$A$11:$A$1010,A900),2)&lt;&gt;0,"✖ غير متوازن","مرحل ✔")))</f>
        <v/>
      </c>
      <c r="J900" s="55" t="str">
        <f aca="false">IF(C900="","",IFERROR(INDEX('شجرة الحسابات'!$E$9:$E$208,MATCH(C900,'شجرة الحسابات'!$A$9:$A$208,0))&amp;"",""))</f>
        <v/>
      </c>
      <c r="K900" s="55" t="str">
        <f aca="false">IF(C900="","",IFERROR(INDEX('شجرة الحسابات'!$I$9:$I$208,MATCH(C900,'شجرة الحسابات'!$A$9:$A$208,0))&amp;"",""))</f>
        <v/>
      </c>
      <c r="L900" s="55" t="str">
        <f aca="false">IF(C900="","",IFERROR(INDEX('شجرة الحسابات'!$C$9:$C$208,MATCH(C900,'شجرة الحسابات'!$A$9:$A$208,0))&amp;"",""))</f>
        <v/>
      </c>
      <c r="M900" s="55" t="str">
        <f aca="false">IF(AND(C900="",G900="",H900=""),"فارغ",IF(ISNA(MATCH(C900,'شجرة الحسابات'!$A$9:$A$208,0)),"حساب غير معرف",IF(L900&lt;&gt;"تحليلي","حساب تجميعي",IF(AND(N(G900)&gt;0,N(H900)&gt;0),"مدين ودائن معاً",IF(N(G900)+N(H900)=0,"بدون قيمة","OK")))))</f>
        <v>فارغ</v>
      </c>
      <c r="N900" s="55" t="str">
        <f aca="false">IF(AND(E900&lt;&gt;"",E900='كشف حساب مشروع'!$C$6,I900="مرحل ✔"),COUNTIFS($E$11:E900,'كشف حساب مشروع'!$C$6,$I$11:I900,"مرحل ✔"),"")</f>
        <v/>
      </c>
      <c r="O900" s="55" t="str">
        <f aca="false">IF(AND(C900&lt;&gt;"",C900='دفتر الأستاذ'!$C$6,I900="مرحل ✔"),COUNTIFS($C$11:C900,'دفتر الأستاذ'!$C$6,$I$11:I900,"مرحل ✔"),"")</f>
        <v/>
      </c>
    </row>
    <row r="901" customFormat="false" ht="15" hidden="false" customHeight="false" outlineLevel="0" collapsed="false">
      <c r="A901" s="49"/>
      <c r="B901" s="50"/>
      <c r="C901" s="49"/>
      <c r="D901" s="51" t="str">
        <f aca="false">IF(C901="","",IFERROR(INDEX('شجرة الحسابات'!$B$9:$B$208,MATCH(C901,'شجرة الحسابات'!$A$9:$A$208,0)),"⚠ حساب غير معرف"))</f>
        <v/>
      </c>
      <c r="E901" s="52"/>
      <c r="F901" s="52"/>
      <c r="G901" s="53"/>
      <c r="H901" s="53"/>
      <c r="I901" s="54" t="str">
        <f aca="false">IF(A901="",IF(M901="فارغ","","✖ بدون رقم قيد"),IF(COUNTIFS('قيود اليومية'!$A$11:$A$1010,A901,'قيود اليومية'!$M$11:$M$1010,"&lt;&gt;OK",'قيود اليومية'!$M$11:$M$1010,"&lt;&gt;فارغ")&gt;0,"✖ خطأ بالحساب",IF(ROUND(SUMIFS('قيود اليومية'!$G$11:$G$1010,'قيود اليومية'!$A$11:$A$1010,A901)-SUMIFS('قيود اليومية'!$H$11:$H$1010,'قيود اليومية'!$A$11:$A$1010,A901),2)&lt;&gt;0,"✖ غير متوازن","مرحل ✔")))</f>
        <v/>
      </c>
      <c r="J901" s="55" t="str">
        <f aca="false">IF(C901="","",IFERROR(INDEX('شجرة الحسابات'!$E$9:$E$208,MATCH(C901,'شجرة الحسابات'!$A$9:$A$208,0))&amp;"",""))</f>
        <v/>
      </c>
      <c r="K901" s="55" t="str">
        <f aca="false">IF(C901="","",IFERROR(INDEX('شجرة الحسابات'!$I$9:$I$208,MATCH(C901,'شجرة الحسابات'!$A$9:$A$208,0))&amp;"",""))</f>
        <v/>
      </c>
      <c r="L901" s="55" t="str">
        <f aca="false">IF(C901="","",IFERROR(INDEX('شجرة الحسابات'!$C$9:$C$208,MATCH(C901,'شجرة الحسابات'!$A$9:$A$208,0))&amp;"",""))</f>
        <v/>
      </c>
      <c r="M901" s="55" t="str">
        <f aca="false">IF(AND(C901="",G901="",H901=""),"فارغ",IF(ISNA(MATCH(C901,'شجرة الحسابات'!$A$9:$A$208,0)),"حساب غير معرف",IF(L901&lt;&gt;"تحليلي","حساب تجميعي",IF(AND(N(G901)&gt;0,N(H901)&gt;0),"مدين ودائن معاً",IF(N(G901)+N(H901)=0,"بدون قيمة","OK")))))</f>
        <v>فارغ</v>
      </c>
      <c r="N901" s="55" t="str">
        <f aca="false">IF(AND(E901&lt;&gt;"",E901='كشف حساب مشروع'!$C$6,I901="مرحل ✔"),COUNTIFS($E$11:E901,'كشف حساب مشروع'!$C$6,$I$11:I901,"مرحل ✔"),"")</f>
        <v/>
      </c>
      <c r="O901" s="55" t="str">
        <f aca="false">IF(AND(C901&lt;&gt;"",C901='دفتر الأستاذ'!$C$6,I901="مرحل ✔"),COUNTIFS($C$11:C901,'دفتر الأستاذ'!$C$6,$I$11:I901,"مرحل ✔"),"")</f>
        <v/>
      </c>
    </row>
    <row r="902" customFormat="false" ht="15" hidden="false" customHeight="false" outlineLevel="0" collapsed="false">
      <c r="A902" s="49"/>
      <c r="B902" s="50"/>
      <c r="C902" s="49"/>
      <c r="D902" s="51" t="str">
        <f aca="false">IF(C902="","",IFERROR(INDEX('شجرة الحسابات'!$B$9:$B$208,MATCH(C902,'شجرة الحسابات'!$A$9:$A$208,0)),"⚠ حساب غير معرف"))</f>
        <v/>
      </c>
      <c r="E902" s="52"/>
      <c r="F902" s="52"/>
      <c r="G902" s="53"/>
      <c r="H902" s="53"/>
      <c r="I902" s="54" t="str">
        <f aca="false">IF(A902="",IF(M902="فارغ","","✖ بدون رقم قيد"),IF(COUNTIFS('قيود اليومية'!$A$11:$A$1010,A902,'قيود اليومية'!$M$11:$M$1010,"&lt;&gt;OK",'قيود اليومية'!$M$11:$M$1010,"&lt;&gt;فارغ")&gt;0,"✖ خطأ بالحساب",IF(ROUND(SUMIFS('قيود اليومية'!$G$11:$G$1010,'قيود اليومية'!$A$11:$A$1010,A902)-SUMIFS('قيود اليومية'!$H$11:$H$1010,'قيود اليومية'!$A$11:$A$1010,A902),2)&lt;&gt;0,"✖ غير متوازن","مرحل ✔")))</f>
        <v/>
      </c>
      <c r="J902" s="55" t="str">
        <f aca="false">IF(C902="","",IFERROR(INDEX('شجرة الحسابات'!$E$9:$E$208,MATCH(C902,'شجرة الحسابات'!$A$9:$A$208,0))&amp;"",""))</f>
        <v/>
      </c>
      <c r="K902" s="55" t="str">
        <f aca="false">IF(C902="","",IFERROR(INDEX('شجرة الحسابات'!$I$9:$I$208,MATCH(C902,'شجرة الحسابات'!$A$9:$A$208,0))&amp;"",""))</f>
        <v/>
      </c>
      <c r="L902" s="55" t="str">
        <f aca="false">IF(C902="","",IFERROR(INDEX('شجرة الحسابات'!$C$9:$C$208,MATCH(C902,'شجرة الحسابات'!$A$9:$A$208,0))&amp;"",""))</f>
        <v/>
      </c>
      <c r="M902" s="55" t="str">
        <f aca="false">IF(AND(C902="",G902="",H902=""),"فارغ",IF(ISNA(MATCH(C902,'شجرة الحسابات'!$A$9:$A$208,0)),"حساب غير معرف",IF(L902&lt;&gt;"تحليلي","حساب تجميعي",IF(AND(N(G902)&gt;0,N(H902)&gt;0),"مدين ودائن معاً",IF(N(G902)+N(H902)=0,"بدون قيمة","OK")))))</f>
        <v>فارغ</v>
      </c>
      <c r="N902" s="55" t="str">
        <f aca="false">IF(AND(E902&lt;&gt;"",E902='كشف حساب مشروع'!$C$6,I902="مرحل ✔"),COUNTIFS($E$11:E902,'كشف حساب مشروع'!$C$6,$I$11:I902,"مرحل ✔"),"")</f>
        <v/>
      </c>
      <c r="O902" s="55" t="str">
        <f aca="false">IF(AND(C902&lt;&gt;"",C902='دفتر الأستاذ'!$C$6,I902="مرحل ✔"),COUNTIFS($C$11:C902,'دفتر الأستاذ'!$C$6,$I$11:I902,"مرحل ✔"),"")</f>
        <v/>
      </c>
    </row>
    <row r="903" customFormat="false" ht="15" hidden="false" customHeight="false" outlineLevel="0" collapsed="false">
      <c r="A903" s="49"/>
      <c r="B903" s="50"/>
      <c r="C903" s="49"/>
      <c r="D903" s="51" t="str">
        <f aca="false">IF(C903="","",IFERROR(INDEX('شجرة الحسابات'!$B$9:$B$208,MATCH(C903,'شجرة الحسابات'!$A$9:$A$208,0)),"⚠ حساب غير معرف"))</f>
        <v/>
      </c>
      <c r="E903" s="52"/>
      <c r="F903" s="52"/>
      <c r="G903" s="53"/>
      <c r="H903" s="53"/>
      <c r="I903" s="54" t="str">
        <f aca="false">IF(A903="",IF(M903="فارغ","","✖ بدون رقم قيد"),IF(COUNTIFS('قيود اليومية'!$A$11:$A$1010,A903,'قيود اليومية'!$M$11:$M$1010,"&lt;&gt;OK",'قيود اليومية'!$M$11:$M$1010,"&lt;&gt;فارغ")&gt;0,"✖ خطأ بالحساب",IF(ROUND(SUMIFS('قيود اليومية'!$G$11:$G$1010,'قيود اليومية'!$A$11:$A$1010,A903)-SUMIFS('قيود اليومية'!$H$11:$H$1010,'قيود اليومية'!$A$11:$A$1010,A903),2)&lt;&gt;0,"✖ غير متوازن","مرحل ✔")))</f>
        <v/>
      </c>
      <c r="J903" s="55" t="str">
        <f aca="false">IF(C903="","",IFERROR(INDEX('شجرة الحسابات'!$E$9:$E$208,MATCH(C903,'شجرة الحسابات'!$A$9:$A$208,0))&amp;"",""))</f>
        <v/>
      </c>
      <c r="K903" s="55" t="str">
        <f aca="false">IF(C903="","",IFERROR(INDEX('شجرة الحسابات'!$I$9:$I$208,MATCH(C903,'شجرة الحسابات'!$A$9:$A$208,0))&amp;"",""))</f>
        <v/>
      </c>
      <c r="L903" s="55" t="str">
        <f aca="false">IF(C903="","",IFERROR(INDEX('شجرة الحسابات'!$C$9:$C$208,MATCH(C903,'شجرة الحسابات'!$A$9:$A$208,0))&amp;"",""))</f>
        <v/>
      </c>
      <c r="M903" s="55" t="str">
        <f aca="false">IF(AND(C903="",G903="",H903=""),"فارغ",IF(ISNA(MATCH(C903,'شجرة الحسابات'!$A$9:$A$208,0)),"حساب غير معرف",IF(L903&lt;&gt;"تحليلي","حساب تجميعي",IF(AND(N(G903)&gt;0,N(H903)&gt;0),"مدين ودائن معاً",IF(N(G903)+N(H903)=0,"بدون قيمة","OK")))))</f>
        <v>فارغ</v>
      </c>
      <c r="N903" s="55" t="str">
        <f aca="false">IF(AND(E903&lt;&gt;"",E903='كشف حساب مشروع'!$C$6,I903="مرحل ✔"),COUNTIFS($E$11:E903,'كشف حساب مشروع'!$C$6,$I$11:I903,"مرحل ✔"),"")</f>
        <v/>
      </c>
      <c r="O903" s="55" t="str">
        <f aca="false">IF(AND(C903&lt;&gt;"",C903='دفتر الأستاذ'!$C$6,I903="مرحل ✔"),COUNTIFS($C$11:C903,'دفتر الأستاذ'!$C$6,$I$11:I903,"مرحل ✔"),"")</f>
        <v/>
      </c>
    </row>
    <row r="904" customFormat="false" ht="15" hidden="false" customHeight="false" outlineLevel="0" collapsed="false">
      <c r="A904" s="49"/>
      <c r="B904" s="50"/>
      <c r="C904" s="49"/>
      <c r="D904" s="51" t="str">
        <f aca="false">IF(C904="","",IFERROR(INDEX('شجرة الحسابات'!$B$9:$B$208,MATCH(C904,'شجرة الحسابات'!$A$9:$A$208,0)),"⚠ حساب غير معرف"))</f>
        <v/>
      </c>
      <c r="E904" s="52"/>
      <c r="F904" s="52"/>
      <c r="G904" s="53"/>
      <c r="H904" s="53"/>
      <c r="I904" s="54" t="str">
        <f aca="false">IF(A904="",IF(M904="فارغ","","✖ بدون رقم قيد"),IF(COUNTIFS('قيود اليومية'!$A$11:$A$1010,A904,'قيود اليومية'!$M$11:$M$1010,"&lt;&gt;OK",'قيود اليومية'!$M$11:$M$1010,"&lt;&gt;فارغ")&gt;0,"✖ خطأ بالحساب",IF(ROUND(SUMIFS('قيود اليومية'!$G$11:$G$1010,'قيود اليومية'!$A$11:$A$1010,A904)-SUMIFS('قيود اليومية'!$H$11:$H$1010,'قيود اليومية'!$A$11:$A$1010,A904),2)&lt;&gt;0,"✖ غير متوازن","مرحل ✔")))</f>
        <v/>
      </c>
      <c r="J904" s="55" t="str">
        <f aca="false">IF(C904="","",IFERROR(INDEX('شجرة الحسابات'!$E$9:$E$208,MATCH(C904,'شجرة الحسابات'!$A$9:$A$208,0))&amp;"",""))</f>
        <v/>
      </c>
      <c r="K904" s="55" t="str">
        <f aca="false">IF(C904="","",IFERROR(INDEX('شجرة الحسابات'!$I$9:$I$208,MATCH(C904,'شجرة الحسابات'!$A$9:$A$208,0))&amp;"",""))</f>
        <v/>
      </c>
      <c r="L904" s="55" t="str">
        <f aca="false">IF(C904="","",IFERROR(INDEX('شجرة الحسابات'!$C$9:$C$208,MATCH(C904,'شجرة الحسابات'!$A$9:$A$208,0))&amp;"",""))</f>
        <v/>
      </c>
      <c r="M904" s="55" t="str">
        <f aca="false">IF(AND(C904="",G904="",H904=""),"فارغ",IF(ISNA(MATCH(C904,'شجرة الحسابات'!$A$9:$A$208,0)),"حساب غير معرف",IF(L904&lt;&gt;"تحليلي","حساب تجميعي",IF(AND(N(G904)&gt;0,N(H904)&gt;0),"مدين ودائن معاً",IF(N(G904)+N(H904)=0,"بدون قيمة","OK")))))</f>
        <v>فارغ</v>
      </c>
      <c r="N904" s="55" t="str">
        <f aca="false">IF(AND(E904&lt;&gt;"",E904='كشف حساب مشروع'!$C$6,I904="مرحل ✔"),COUNTIFS($E$11:E904,'كشف حساب مشروع'!$C$6,$I$11:I904,"مرحل ✔"),"")</f>
        <v/>
      </c>
      <c r="O904" s="55" t="str">
        <f aca="false">IF(AND(C904&lt;&gt;"",C904='دفتر الأستاذ'!$C$6,I904="مرحل ✔"),COUNTIFS($C$11:C904,'دفتر الأستاذ'!$C$6,$I$11:I904,"مرحل ✔"),"")</f>
        <v/>
      </c>
    </row>
    <row r="905" customFormat="false" ht="15" hidden="false" customHeight="false" outlineLevel="0" collapsed="false">
      <c r="A905" s="49"/>
      <c r="B905" s="50"/>
      <c r="C905" s="49"/>
      <c r="D905" s="51" t="str">
        <f aca="false">IF(C905="","",IFERROR(INDEX('شجرة الحسابات'!$B$9:$B$208,MATCH(C905,'شجرة الحسابات'!$A$9:$A$208,0)),"⚠ حساب غير معرف"))</f>
        <v/>
      </c>
      <c r="E905" s="52"/>
      <c r="F905" s="52"/>
      <c r="G905" s="53"/>
      <c r="H905" s="53"/>
      <c r="I905" s="54" t="str">
        <f aca="false">IF(A905="",IF(M905="فارغ","","✖ بدون رقم قيد"),IF(COUNTIFS('قيود اليومية'!$A$11:$A$1010,A905,'قيود اليومية'!$M$11:$M$1010,"&lt;&gt;OK",'قيود اليومية'!$M$11:$M$1010,"&lt;&gt;فارغ")&gt;0,"✖ خطأ بالحساب",IF(ROUND(SUMIFS('قيود اليومية'!$G$11:$G$1010,'قيود اليومية'!$A$11:$A$1010,A905)-SUMIFS('قيود اليومية'!$H$11:$H$1010,'قيود اليومية'!$A$11:$A$1010,A905),2)&lt;&gt;0,"✖ غير متوازن","مرحل ✔")))</f>
        <v/>
      </c>
      <c r="J905" s="55" t="str">
        <f aca="false">IF(C905="","",IFERROR(INDEX('شجرة الحسابات'!$E$9:$E$208,MATCH(C905,'شجرة الحسابات'!$A$9:$A$208,0))&amp;"",""))</f>
        <v/>
      </c>
      <c r="K905" s="55" t="str">
        <f aca="false">IF(C905="","",IFERROR(INDEX('شجرة الحسابات'!$I$9:$I$208,MATCH(C905,'شجرة الحسابات'!$A$9:$A$208,0))&amp;"",""))</f>
        <v/>
      </c>
      <c r="L905" s="55" t="str">
        <f aca="false">IF(C905="","",IFERROR(INDEX('شجرة الحسابات'!$C$9:$C$208,MATCH(C905,'شجرة الحسابات'!$A$9:$A$208,0))&amp;"",""))</f>
        <v/>
      </c>
      <c r="M905" s="55" t="str">
        <f aca="false">IF(AND(C905="",G905="",H905=""),"فارغ",IF(ISNA(MATCH(C905,'شجرة الحسابات'!$A$9:$A$208,0)),"حساب غير معرف",IF(L905&lt;&gt;"تحليلي","حساب تجميعي",IF(AND(N(G905)&gt;0,N(H905)&gt;0),"مدين ودائن معاً",IF(N(G905)+N(H905)=0,"بدون قيمة","OK")))))</f>
        <v>فارغ</v>
      </c>
      <c r="N905" s="55" t="str">
        <f aca="false">IF(AND(E905&lt;&gt;"",E905='كشف حساب مشروع'!$C$6,I905="مرحل ✔"),COUNTIFS($E$11:E905,'كشف حساب مشروع'!$C$6,$I$11:I905,"مرحل ✔"),"")</f>
        <v/>
      </c>
      <c r="O905" s="55" t="str">
        <f aca="false">IF(AND(C905&lt;&gt;"",C905='دفتر الأستاذ'!$C$6,I905="مرحل ✔"),COUNTIFS($C$11:C905,'دفتر الأستاذ'!$C$6,$I$11:I905,"مرحل ✔"),"")</f>
        <v/>
      </c>
    </row>
    <row r="906" customFormat="false" ht="15" hidden="false" customHeight="false" outlineLevel="0" collapsed="false">
      <c r="A906" s="49"/>
      <c r="B906" s="50"/>
      <c r="C906" s="49"/>
      <c r="D906" s="51" t="str">
        <f aca="false">IF(C906="","",IFERROR(INDEX('شجرة الحسابات'!$B$9:$B$208,MATCH(C906,'شجرة الحسابات'!$A$9:$A$208,0)),"⚠ حساب غير معرف"))</f>
        <v/>
      </c>
      <c r="E906" s="52"/>
      <c r="F906" s="52"/>
      <c r="G906" s="53"/>
      <c r="H906" s="53"/>
      <c r="I906" s="54" t="str">
        <f aca="false">IF(A906="",IF(M906="فارغ","","✖ بدون رقم قيد"),IF(COUNTIFS('قيود اليومية'!$A$11:$A$1010,A906,'قيود اليومية'!$M$11:$M$1010,"&lt;&gt;OK",'قيود اليومية'!$M$11:$M$1010,"&lt;&gt;فارغ")&gt;0,"✖ خطأ بالحساب",IF(ROUND(SUMIFS('قيود اليومية'!$G$11:$G$1010,'قيود اليومية'!$A$11:$A$1010,A906)-SUMIFS('قيود اليومية'!$H$11:$H$1010,'قيود اليومية'!$A$11:$A$1010,A906),2)&lt;&gt;0,"✖ غير متوازن","مرحل ✔")))</f>
        <v/>
      </c>
      <c r="J906" s="55" t="str">
        <f aca="false">IF(C906="","",IFERROR(INDEX('شجرة الحسابات'!$E$9:$E$208,MATCH(C906,'شجرة الحسابات'!$A$9:$A$208,0))&amp;"",""))</f>
        <v/>
      </c>
      <c r="K906" s="55" t="str">
        <f aca="false">IF(C906="","",IFERROR(INDEX('شجرة الحسابات'!$I$9:$I$208,MATCH(C906,'شجرة الحسابات'!$A$9:$A$208,0))&amp;"",""))</f>
        <v/>
      </c>
      <c r="L906" s="55" t="str">
        <f aca="false">IF(C906="","",IFERROR(INDEX('شجرة الحسابات'!$C$9:$C$208,MATCH(C906,'شجرة الحسابات'!$A$9:$A$208,0))&amp;"",""))</f>
        <v/>
      </c>
      <c r="M906" s="55" t="str">
        <f aca="false">IF(AND(C906="",G906="",H906=""),"فارغ",IF(ISNA(MATCH(C906,'شجرة الحسابات'!$A$9:$A$208,0)),"حساب غير معرف",IF(L906&lt;&gt;"تحليلي","حساب تجميعي",IF(AND(N(G906)&gt;0,N(H906)&gt;0),"مدين ودائن معاً",IF(N(G906)+N(H906)=0,"بدون قيمة","OK")))))</f>
        <v>فارغ</v>
      </c>
      <c r="N906" s="55" t="str">
        <f aca="false">IF(AND(E906&lt;&gt;"",E906='كشف حساب مشروع'!$C$6,I906="مرحل ✔"),COUNTIFS($E$11:E906,'كشف حساب مشروع'!$C$6,$I$11:I906,"مرحل ✔"),"")</f>
        <v/>
      </c>
      <c r="O906" s="55" t="str">
        <f aca="false">IF(AND(C906&lt;&gt;"",C906='دفتر الأستاذ'!$C$6,I906="مرحل ✔"),COUNTIFS($C$11:C906,'دفتر الأستاذ'!$C$6,$I$11:I906,"مرحل ✔"),"")</f>
        <v/>
      </c>
    </row>
    <row r="907" customFormat="false" ht="15" hidden="false" customHeight="false" outlineLevel="0" collapsed="false">
      <c r="A907" s="49"/>
      <c r="B907" s="50"/>
      <c r="C907" s="49"/>
      <c r="D907" s="51" t="str">
        <f aca="false">IF(C907="","",IFERROR(INDEX('شجرة الحسابات'!$B$9:$B$208,MATCH(C907,'شجرة الحسابات'!$A$9:$A$208,0)),"⚠ حساب غير معرف"))</f>
        <v/>
      </c>
      <c r="E907" s="52"/>
      <c r="F907" s="52"/>
      <c r="G907" s="53"/>
      <c r="H907" s="53"/>
      <c r="I907" s="54" t="str">
        <f aca="false">IF(A907="",IF(M907="فارغ","","✖ بدون رقم قيد"),IF(COUNTIFS('قيود اليومية'!$A$11:$A$1010,A907,'قيود اليومية'!$M$11:$M$1010,"&lt;&gt;OK",'قيود اليومية'!$M$11:$M$1010,"&lt;&gt;فارغ")&gt;0,"✖ خطأ بالحساب",IF(ROUND(SUMIFS('قيود اليومية'!$G$11:$G$1010,'قيود اليومية'!$A$11:$A$1010,A907)-SUMIFS('قيود اليومية'!$H$11:$H$1010,'قيود اليومية'!$A$11:$A$1010,A907),2)&lt;&gt;0,"✖ غير متوازن","مرحل ✔")))</f>
        <v/>
      </c>
      <c r="J907" s="55" t="str">
        <f aca="false">IF(C907="","",IFERROR(INDEX('شجرة الحسابات'!$E$9:$E$208,MATCH(C907,'شجرة الحسابات'!$A$9:$A$208,0))&amp;"",""))</f>
        <v/>
      </c>
      <c r="K907" s="55" t="str">
        <f aca="false">IF(C907="","",IFERROR(INDEX('شجرة الحسابات'!$I$9:$I$208,MATCH(C907,'شجرة الحسابات'!$A$9:$A$208,0))&amp;"",""))</f>
        <v/>
      </c>
      <c r="L907" s="55" t="str">
        <f aca="false">IF(C907="","",IFERROR(INDEX('شجرة الحسابات'!$C$9:$C$208,MATCH(C907,'شجرة الحسابات'!$A$9:$A$208,0))&amp;"",""))</f>
        <v/>
      </c>
      <c r="M907" s="55" t="str">
        <f aca="false">IF(AND(C907="",G907="",H907=""),"فارغ",IF(ISNA(MATCH(C907,'شجرة الحسابات'!$A$9:$A$208,0)),"حساب غير معرف",IF(L907&lt;&gt;"تحليلي","حساب تجميعي",IF(AND(N(G907)&gt;0,N(H907)&gt;0),"مدين ودائن معاً",IF(N(G907)+N(H907)=0,"بدون قيمة","OK")))))</f>
        <v>فارغ</v>
      </c>
      <c r="N907" s="55" t="str">
        <f aca="false">IF(AND(E907&lt;&gt;"",E907='كشف حساب مشروع'!$C$6,I907="مرحل ✔"),COUNTIFS($E$11:E907,'كشف حساب مشروع'!$C$6,$I$11:I907,"مرحل ✔"),"")</f>
        <v/>
      </c>
      <c r="O907" s="55" t="str">
        <f aca="false">IF(AND(C907&lt;&gt;"",C907='دفتر الأستاذ'!$C$6,I907="مرحل ✔"),COUNTIFS($C$11:C907,'دفتر الأستاذ'!$C$6,$I$11:I907,"مرحل ✔"),"")</f>
        <v/>
      </c>
    </row>
    <row r="908" customFormat="false" ht="15" hidden="false" customHeight="false" outlineLevel="0" collapsed="false">
      <c r="A908" s="49"/>
      <c r="B908" s="50"/>
      <c r="C908" s="49"/>
      <c r="D908" s="51" t="str">
        <f aca="false">IF(C908="","",IFERROR(INDEX('شجرة الحسابات'!$B$9:$B$208,MATCH(C908,'شجرة الحسابات'!$A$9:$A$208,0)),"⚠ حساب غير معرف"))</f>
        <v/>
      </c>
      <c r="E908" s="52"/>
      <c r="F908" s="52"/>
      <c r="G908" s="53"/>
      <c r="H908" s="53"/>
      <c r="I908" s="54" t="str">
        <f aca="false">IF(A908="",IF(M908="فارغ","","✖ بدون رقم قيد"),IF(COUNTIFS('قيود اليومية'!$A$11:$A$1010,A908,'قيود اليومية'!$M$11:$M$1010,"&lt;&gt;OK",'قيود اليومية'!$M$11:$M$1010,"&lt;&gt;فارغ")&gt;0,"✖ خطأ بالحساب",IF(ROUND(SUMIFS('قيود اليومية'!$G$11:$G$1010,'قيود اليومية'!$A$11:$A$1010,A908)-SUMIFS('قيود اليومية'!$H$11:$H$1010,'قيود اليومية'!$A$11:$A$1010,A908),2)&lt;&gt;0,"✖ غير متوازن","مرحل ✔")))</f>
        <v/>
      </c>
      <c r="J908" s="55" t="str">
        <f aca="false">IF(C908="","",IFERROR(INDEX('شجرة الحسابات'!$E$9:$E$208,MATCH(C908,'شجرة الحسابات'!$A$9:$A$208,0))&amp;"",""))</f>
        <v/>
      </c>
      <c r="K908" s="55" t="str">
        <f aca="false">IF(C908="","",IFERROR(INDEX('شجرة الحسابات'!$I$9:$I$208,MATCH(C908,'شجرة الحسابات'!$A$9:$A$208,0))&amp;"",""))</f>
        <v/>
      </c>
      <c r="L908" s="55" t="str">
        <f aca="false">IF(C908="","",IFERROR(INDEX('شجرة الحسابات'!$C$9:$C$208,MATCH(C908,'شجرة الحسابات'!$A$9:$A$208,0))&amp;"",""))</f>
        <v/>
      </c>
      <c r="M908" s="55" t="str">
        <f aca="false">IF(AND(C908="",G908="",H908=""),"فارغ",IF(ISNA(MATCH(C908,'شجرة الحسابات'!$A$9:$A$208,0)),"حساب غير معرف",IF(L908&lt;&gt;"تحليلي","حساب تجميعي",IF(AND(N(G908)&gt;0,N(H908)&gt;0),"مدين ودائن معاً",IF(N(G908)+N(H908)=0,"بدون قيمة","OK")))))</f>
        <v>فارغ</v>
      </c>
      <c r="N908" s="55" t="str">
        <f aca="false">IF(AND(E908&lt;&gt;"",E908='كشف حساب مشروع'!$C$6,I908="مرحل ✔"),COUNTIFS($E$11:E908,'كشف حساب مشروع'!$C$6,$I$11:I908,"مرحل ✔"),"")</f>
        <v/>
      </c>
      <c r="O908" s="55" t="str">
        <f aca="false">IF(AND(C908&lt;&gt;"",C908='دفتر الأستاذ'!$C$6,I908="مرحل ✔"),COUNTIFS($C$11:C908,'دفتر الأستاذ'!$C$6,$I$11:I908,"مرحل ✔"),"")</f>
        <v/>
      </c>
    </row>
    <row r="909" customFormat="false" ht="15" hidden="false" customHeight="false" outlineLevel="0" collapsed="false">
      <c r="A909" s="49"/>
      <c r="B909" s="50"/>
      <c r="C909" s="49"/>
      <c r="D909" s="51" t="str">
        <f aca="false">IF(C909="","",IFERROR(INDEX('شجرة الحسابات'!$B$9:$B$208,MATCH(C909,'شجرة الحسابات'!$A$9:$A$208,0)),"⚠ حساب غير معرف"))</f>
        <v/>
      </c>
      <c r="E909" s="52"/>
      <c r="F909" s="52"/>
      <c r="G909" s="53"/>
      <c r="H909" s="53"/>
      <c r="I909" s="54" t="str">
        <f aca="false">IF(A909="",IF(M909="فارغ","","✖ بدون رقم قيد"),IF(COUNTIFS('قيود اليومية'!$A$11:$A$1010,A909,'قيود اليومية'!$M$11:$M$1010,"&lt;&gt;OK",'قيود اليومية'!$M$11:$M$1010,"&lt;&gt;فارغ")&gt;0,"✖ خطأ بالحساب",IF(ROUND(SUMIFS('قيود اليومية'!$G$11:$G$1010,'قيود اليومية'!$A$11:$A$1010,A909)-SUMIFS('قيود اليومية'!$H$11:$H$1010,'قيود اليومية'!$A$11:$A$1010,A909),2)&lt;&gt;0,"✖ غير متوازن","مرحل ✔")))</f>
        <v/>
      </c>
      <c r="J909" s="55" t="str">
        <f aca="false">IF(C909="","",IFERROR(INDEX('شجرة الحسابات'!$E$9:$E$208,MATCH(C909,'شجرة الحسابات'!$A$9:$A$208,0))&amp;"",""))</f>
        <v/>
      </c>
      <c r="K909" s="55" t="str">
        <f aca="false">IF(C909="","",IFERROR(INDEX('شجرة الحسابات'!$I$9:$I$208,MATCH(C909,'شجرة الحسابات'!$A$9:$A$208,0))&amp;"",""))</f>
        <v/>
      </c>
      <c r="L909" s="55" t="str">
        <f aca="false">IF(C909="","",IFERROR(INDEX('شجرة الحسابات'!$C$9:$C$208,MATCH(C909,'شجرة الحسابات'!$A$9:$A$208,0))&amp;"",""))</f>
        <v/>
      </c>
      <c r="M909" s="55" t="str">
        <f aca="false">IF(AND(C909="",G909="",H909=""),"فارغ",IF(ISNA(MATCH(C909,'شجرة الحسابات'!$A$9:$A$208,0)),"حساب غير معرف",IF(L909&lt;&gt;"تحليلي","حساب تجميعي",IF(AND(N(G909)&gt;0,N(H909)&gt;0),"مدين ودائن معاً",IF(N(G909)+N(H909)=0,"بدون قيمة","OK")))))</f>
        <v>فارغ</v>
      </c>
      <c r="N909" s="55" t="str">
        <f aca="false">IF(AND(E909&lt;&gt;"",E909='كشف حساب مشروع'!$C$6,I909="مرحل ✔"),COUNTIFS($E$11:E909,'كشف حساب مشروع'!$C$6,$I$11:I909,"مرحل ✔"),"")</f>
        <v/>
      </c>
      <c r="O909" s="55" t="str">
        <f aca="false">IF(AND(C909&lt;&gt;"",C909='دفتر الأستاذ'!$C$6,I909="مرحل ✔"),COUNTIFS($C$11:C909,'دفتر الأستاذ'!$C$6,$I$11:I909,"مرحل ✔"),"")</f>
        <v/>
      </c>
    </row>
    <row r="910" customFormat="false" ht="15" hidden="false" customHeight="false" outlineLevel="0" collapsed="false">
      <c r="A910" s="49"/>
      <c r="B910" s="50"/>
      <c r="C910" s="49"/>
      <c r="D910" s="51" t="str">
        <f aca="false">IF(C910="","",IFERROR(INDEX('شجرة الحسابات'!$B$9:$B$208,MATCH(C910,'شجرة الحسابات'!$A$9:$A$208,0)),"⚠ حساب غير معرف"))</f>
        <v/>
      </c>
      <c r="E910" s="52"/>
      <c r="F910" s="52"/>
      <c r="G910" s="53"/>
      <c r="H910" s="53"/>
      <c r="I910" s="54" t="str">
        <f aca="false">IF(A910="",IF(M910="فارغ","","✖ بدون رقم قيد"),IF(COUNTIFS('قيود اليومية'!$A$11:$A$1010,A910,'قيود اليومية'!$M$11:$M$1010,"&lt;&gt;OK",'قيود اليومية'!$M$11:$M$1010,"&lt;&gt;فارغ")&gt;0,"✖ خطأ بالحساب",IF(ROUND(SUMIFS('قيود اليومية'!$G$11:$G$1010,'قيود اليومية'!$A$11:$A$1010,A910)-SUMIFS('قيود اليومية'!$H$11:$H$1010,'قيود اليومية'!$A$11:$A$1010,A910),2)&lt;&gt;0,"✖ غير متوازن","مرحل ✔")))</f>
        <v/>
      </c>
      <c r="J910" s="55" t="str">
        <f aca="false">IF(C910="","",IFERROR(INDEX('شجرة الحسابات'!$E$9:$E$208,MATCH(C910,'شجرة الحسابات'!$A$9:$A$208,0))&amp;"",""))</f>
        <v/>
      </c>
      <c r="K910" s="55" t="str">
        <f aca="false">IF(C910="","",IFERROR(INDEX('شجرة الحسابات'!$I$9:$I$208,MATCH(C910,'شجرة الحسابات'!$A$9:$A$208,0))&amp;"",""))</f>
        <v/>
      </c>
      <c r="L910" s="55" t="str">
        <f aca="false">IF(C910="","",IFERROR(INDEX('شجرة الحسابات'!$C$9:$C$208,MATCH(C910,'شجرة الحسابات'!$A$9:$A$208,0))&amp;"",""))</f>
        <v/>
      </c>
      <c r="M910" s="55" t="str">
        <f aca="false">IF(AND(C910="",G910="",H910=""),"فارغ",IF(ISNA(MATCH(C910,'شجرة الحسابات'!$A$9:$A$208,0)),"حساب غير معرف",IF(L910&lt;&gt;"تحليلي","حساب تجميعي",IF(AND(N(G910)&gt;0,N(H910)&gt;0),"مدين ودائن معاً",IF(N(G910)+N(H910)=0,"بدون قيمة","OK")))))</f>
        <v>فارغ</v>
      </c>
      <c r="N910" s="55" t="str">
        <f aca="false">IF(AND(E910&lt;&gt;"",E910='كشف حساب مشروع'!$C$6,I910="مرحل ✔"),COUNTIFS($E$11:E910,'كشف حساب مشروع'!$C$6,$I$11:I910,"مرحل ✔"),"")</f>
        <v/>
      </c>
      <c r="O910" s="55" t="str">
        <f aca="false">IF(AND(C910&lt;&gt;"",C910='دفتر الأستاذ'!$C$6,I910="مرحل ✔"),COUNTIFS($C$11:C910,'دفتر الأستاذ'!$C$6,$I$11:I910,"مرحل ✔"),"")</f>
        <v/>
      </c>
    </row>
    <row r="911" customFormat="false" ht="15" hidden="false" customHeight="false" outlineLevel="0" collapsed="false">
      <c r="A911" s="49"/>
      <c r="B911" s="50"/>
      <c r="C911" s="49"/>
      <c r="D911" s="51" t="str">
        <f aca="false">IF(C911="","",IFERROR(INDEX('شجرة الحسابات'!$B$9:$B$208,MATCH(C911,'شجرة الحسابات'!$A$9:$A$208,0)),"⚠ حساب غير معرف"))</f>
        <v/>
      </c>
      <c r="E911" s="52"/>
      <c r="F911" s="52"/>
      <c r="G911" s="53"/>
      <c r="H911" s="53"/>
      <c r="I911" s="54" t="str">
        <f aca="false">IF(A911="",IF(M911="فارغ","","✖ بدون رقم قيد"),IF(COUNTIFS('قيود اليومية'!$A$11:$A$1010,A911,'قيود اليومية'!$M$11:$M$1010,"&lt;&gt;OK",'قيود اليومية'!$M$11:$M$1010,"&lt;&gt;فارغ")&gt;0,"✖ خطأ بالحساب",IF(ROUND(SUMIFS('قيود اليومية'!$G$11:$G$1010,'قيود اليومية'!$A$11:$A$1010,A911)-SUMIFS('قيود اليومية'!$H$11:$H$1010,'قيود اليومية'!$A$11:$A$1010,A911),2)&lt;&gt;0,"✖ غير متوازن","مرحل ✔")))</f>
        <v/>
      </c>
      <c r="J911" s="55" t="str">
        <f aca="false">IF(C911="","",IFERROR(INDEX('شجرة الحسابات'!$E$9:$E$208,MATCH(C911,'شجرة الحسابات'!$A$9:$A$208,0))&amp;"",""))</f>
        <v/>
      </c>
      <c r="K911" s="55" t="str">
        <f aca="false">IF(C911="","",IFERROR(INDEX('شجرة الحسابات'!$I$9:$I$208,MATCH(C911,'شجرة الحسابات'!$A$9:$A$208,0))&amp;"",""))</f>
        <v/>
      </c>
      <c r="L911" s="55" t="str">
        <f aca="false">IF(C911="","",IFERROR(INDEX('شجرة الحسابات'!$C$9:$C$208,MATCH(C911,'شجرة الحسابات'!$A$9:$A$208,0))&amp;"",""))</f>
        <v/>
      </c>
      <c r="M911" s="55" t="str">
        <f aca="false">IF(AND(C911="",G911="",H911=""),"فارغ",IF(ISNA(MATCH(C911,'شجرة الحسابات'!$A$9:$A$208,0)),"حساب غير معرف",IF(L911&lt;&gt;"تحليلي","حساب تجميعي",IF(AND(N(G911)&gt;0,N(H911)&gt;0),"مدين ودائن معاً",IF(N(G911)+N(H911)=0,"بدون قيمة","OK")))))</f>
        <v>فارغ</v>
      </c>
      <c r="N911" s="55" t="str">
        <f aca="false">IF(AND(E911&lt;&gt;"",E911='كشف حساب مشروع'!$C$6,I911="مرحل ✔"),COUNTIFS($E$11:E911,'كشف حساب مشروع'!$C$6,$I$11:I911,"مرحل ✔"),"")</f>
        <v/>
      </c>
      <c r="O911" s="55" t="str">
        <f aca="false">IF(AND(C911&lt;&gt;"",C911='دفتر الأستاذ'!$C$6,I911="مرحل ✔"),COUNTIFS($C$11:C911,'دفتر الأستاذ'!$C$6,$I$11:I911,"مرحل ✔"),"")</f>
        <v/>
      </c>
    </row>
    <row r="912" customFormat="false" ht="15" hidden="false" customHeight="false" outlineLevel="0" collapsed="false">
      <c r="A912" s="49"/>
      <c r="B912" s="50"/>
      <c r="C912" s="49"/>
      <c r="D912" s="51" t="str">
        <f aca="false">IF(C912="","",IFERROR(INDEX('شجرة الحسابات'!$B$9:$B$208,MATCH(C912,'شجرة الحسابات'!$A$9:$A$208,0)),"⚠ حساب غير معرف"))</f>
        <v/>
      </c>
      <c r="E912" s="52"/>
      <c r="F912" s="52"/>
      <c r="G912" s="53"/>
      <c r="H912" s="53"/>
      <c r="I912" s="54" t="str">
        <f aca="false">IF(A912="",IF(M912="فارغ","","✖ بدون رقم قيد"),IF(COUNTIFS('قيود اليومية'!$A$11:$A$1010,A912,'قيود اليومية'!$M$11:$M$1010,"&lt;&gt;OK",'قيود اليومية'!$M$11:$M$1010,"&lt;&gt;فارغ")&gt;0,"✖ خطأ بالحساب",IF(ROUND(SUMIFS('قيود اليومية'!$G$11:$G$1010,'قيود اليومية'!$A$11:$A$1010,A912)-SUMIFS('قيود اليومية'!$H$11:$H$1010,'قيود اليومية'!$A$11:$A$1010,A912),2)&lt;&gt;0,"✖ غير متوازن","مرحل ✔")))</f>
        <v/>
      </c>
      <c r="J912" s="55" t="str">
        <f aca="false">IF(C912="","",IFERROR(INDEX('شجرة الحسابات'!$E$9:$E$208,MATCH(C912,'شجرة الحسابات'!$A$9:$A$208,0))&amp;"",""))</f>
        <v/>
      </c>
      <c r="K912" s="55" t="str">
        <f aca="false">IF(C912="","",IFERROR(INDEX('شجرة الحسابات'!$I$9:$I$208,MATCH(C912,'شجرة الحسابات'!$A$9:$A$208,0))&amp;"",""))</f>
        <v/>
      </c>
      <c r="L912" s="55" t="str">
        <f aca="false">IF(C912="","",IFERROR(INDEX('شجرة الحسابات'!$C$9:$C$208,MATCH(C912,'شجرة الحسابات'!$A$9:$A$208,0))&amp;"",""))</f>
        <v/>
      </c>
      <c r="M912" s="55" t="str">
        <f aca="false">IF(AND(C912="",G912="",H912=""),"فارغ",IF(ISNA(MATCH(C912,'شجرة الحسابات'!$A$9:$A$208,0)),"حساب غير معرف",IF(L912&lt;&gt;"تحليلي","حساب تجميعي",IF(AND(N(G912)&gt;0,N(H912)&gt;0),"مدين ودائن معاً",IF(N(G912)+N(H912)=0,"بدون قيمة","OK")))))</f>
        <v>فارغ</v>
      </c>
      <c r="N912" s="55" t="str">
        <f aca="false">IF(AND(E912&lt;&gt;"",E912='كشف حساب مشروع'!$C$6,I912="مرحل ✔"),COUNTIFS($E$11:E912,'كشف حساب مشروع'!$C$6,$I$11:I912,"مرحل ✔"),"")</f>
        <v/>
      </c>
      <c r="O912" s="55" t="str">
        <f aca="false">IF(AND(C912&lt;&gt;"",C912='دفتر الأستاذ'!$C$6,I912="مرحل ✔"),COUNTIFS($C$11:C912,'دفتر الأستاذ'!$C$6,$I$11:I912,"مرحل ✔"),"")</f>
        <v/>
      </c>
    </row>
    <row r="913" customFormat="false" ht="15" hidden="false" customHeight="false" outlineLevel="0" collapsed="false">
      <c r="A913" s="49"/>
      <c r="B913" s="50"/>
      <c r="C913" s="49"/>
      <c r="D913" s="51" t="str">
        <f aca="false">IF(C913="","",IFERROR(INDEX('شجرة الحسابات'!$B$9:$B$208,MATCH(C913,'شجرة الحسابات'!$A$9:$A$208,0)),"⚠ حساب غير معرف"))</f>
        <v/>
      </c>
      <c r="E913" s="52"/>
      <c r="F913" s="52"/>
      <c r="G913" s="53"/>
      <c r="H913" s="53"/>
      <c r="I913" s="54" t="str">
        <f aca="false">IF(A913="",IF(M913="فارغ","","✖ بدون رقم قيد"),IF(COUNTIFS('قيود اليومية'!$A$11:$A$1010,A913,'قيود اليومية'!$M$11:$M$1010,"&lt;&gt;OK",'قيود اليومية'!$M$11:$M$1010,"&lt;&gt;فارغ")&gt;0,"✖ خطأ بالحساب",IF(ROUND(SUMIFS('قيود اليومية'!$G$11:$G$1010,'قيود اليومية'!$A$11:$A$1010,A913)-SUMIFS('قيود اليومية'!$H$11:$H$1010,'قيود اليومية'!$A$11:$A$1010,A913),2)&lt;&gt;0,"✖ غير متوازن","مرحل ✔")))</f>
        <v/>
      </c>
      <c r="J913" s="55" t="str">
        <f aca="false">IF(C913="","",IFERROR(INDEX('شجرة الحسابات'!$E$9:$E$208,MATCH(C913,'شجرة الحسابات'!$A$9:$A$208,0))&amp;"",""))</f>
        <v/>
      </c>
      <c r="K913" s="55" t="str">
        <f aca="false">IF(C913="","",IFERROR(INDEX('شجرة الحسابات'!$I$9:$I$208,MATCH(C913,'شجرة الحسابات'!$A$9:$A$208,0))&amp;"",""))</f>
        <v/>
      </c>
      <c r="L913" s="55" t="str">
        <f aca="false">IF(C913="","",IFERROR(INDEX('شجرة الحسابات'!$C$9:$C$208,MATCH(C913,'شجرة الحسابات'!$A$9:$A$208,0))&amp;"",""))</f>
        <v/>
      </c>
      <c r="M913" s="55" t="str">
        <f aca="false">IF(AND(C913="",G913="",H913=""),"فارغ",IF(ISNA(MATCH(C913,'شجرة الحسابات'!$A$9:$A$208,0)),"حساب غير معرف",IF(L913&lt;&gt;"تحليلي","حساب تجميعي",IF(AND(N(G913)&gt;0,N(H913)&gt;0),"مدين ودائن معاً",IF(N(G913)+N(H913)=0,"بدون قيمة","OK")))))</f>
        <v>فارغ</v>
      </c>
      <c r="N913" s="55" t="str">
        <f aca="false">IF(AND(E913&lt;&gt;"",E913='كشف حساب مشروع'!$C$6,I913="مرحل ✔"),COUNTIFS($E$11:E913,'كشف حساب مشروع'!$C$6,$I$11:I913,"مرحل ✔"),"")</f>
        <v/>
      </c>
      <c r="O913" s="55" t="str">
        <f aca="false">IF(AND(C913&lt;&gt;"",C913='دفتر الأستاذ'!$C$6,I913="مرحل ✔"),COUNTIFS($C$11:C913,'دفتر الأستاذ'!$C$6,$I$11:I913,"مرحل ✔"),"")</f>
        <v/>
      </c>
    </row>
    <row r="914" customFormat="false" ht="15" hidden="false" customHeight="false" outlineLevel="0" collapsed="false">
      <c r="A914" s="49"/>
      <c r="B914" s="50"/>
      <c r="C914" s="49"/>
      <c r="D914" s="51" t="str">
        <f aca="false">IF(C914="","",IFERROR(INDEX('شجرة الحسابات'!$B$9:$B$208,MATCH(C914,'شجرة الحسابات'!$A$9:$A$208,0)),"⚠ حساب غير معرف"))</f>
        <v/>
      </c>
      <c r="E914" s="52"/>
      <c r="F914" s="52"/>
      <c r="G914" s="53"/>
      <c r="H914" s="53"/>
      <c r="I914" s="54" t="str">
        <f aca="false">IF(A914="",IF(M914="فارغ","","✖ بدون رقم قيد"),IF(COUNTIFS('قيود اليومية'!$A$11:$A$1010,A914,'قيود اليومية'!$M$11:$M$1010,"&lt;&gt;OK",'قيود اليومية'!$M$11:$M$1010,"&lt;&gt;فارغ")&gt;0,"✖ خطأ بالحساب",IF(ROUND(SUMIFS('قيود اليومية'!$G$11:$G$1010,'قيود اليومية'!$A$11:$A$1010,A914)-SUMIFS('قيود اليومية'!$H$11:$H$1010,'قيود اليومية'!$A$11:$A$1010,A914),2)&lt;&gt;0,"✖ غير متوازن","مرحل ✔")))</f>
        <v/>
      </c>
      <c r="J914" s="55" t="str">
        <f aca="false">IF(C914="","",IFERROR(INDEX('شجرة الحسابات'!$E$9:$E$208,MATCH(C914,'شجرة الحسابات'!$A$9:$A$208,0))&amp;"",""))</f>
        <v/>
      </c>
      <c r="K914" s="55" t="str">
        <f aca="false">IF(C914="","",IFERROR(INDEX('شجرة الحسابات'!$I$9:$I$208,MATCH(C914,'شجرة الحسابات'!$A$9:$A$208,0))&amp;"",""))</f>
        <v/>
      </c>
      <c r="L914" s="55" t="str">
        <f aca="false">IF(C914="","",IFERROR(INDEX('شجرة الحسابات'!$C$9:$C$208,MATCH(C914,'شجرة الحسابات'!$A$9:$A$208,0))&amp;"",""))</f>
        <v/>
      </c>
      <c r="M914" s="55" t="str">
        <f aca="false">IF(AND(C914="",G914="",H914=""),"فارغ",IF(ISNA(MATCH(C914,'شجرة الحسابات'!$A$9:$A$208,0)),"حساب غير معرف",IF(L914&lt;&gt;"تحليلي","حساب تجميعي",IF(AND(N(G914)&gt;0,N(H914)&gt;0),"مدين ودائن معاً",IF(N(G914)+N(H914)=0,"بدون قيمة","OK")))))</f>
        <v>فارغ</v>
      </c>
      <c r="N914" s="55" t="str">
        <f aca="false">IF(AND(E914&lt;&gt;"",E914='كشف حساب مشروع'!$C$6,I914="مرحل ✔"),COUNTIFS($E$11:E914,'كشف حساب مشروع'!$C$6,$I$11:I914,"مرحل ✔"),"")</f>
        <v/>
      </c>
      <c r="O914" s="55" t="str">
        <f aca="false">IF(AND(C914&lt;&gt;"",C914='دفتر الأستاذ'!$C$6,I914="مرحل ✔"),COUNTIFS($C$11:C914,'دفتر الأستاذ'!$C$6,$I$11:I914,"مرحل ✔"),"")</f>
        <v/>
      </c>
    </row>
    <row r="915" customFormat="false" ht="15" hidden="false" customHeight="false" outlineLevel="0" collapsed="false">
      <c r="A915" s="49"/>
      <c r="B915" s="50"/>
      <c r="C915" s="49"/>
      <c r="D915" s="51" t="str">
        <f aca="false">IF(C915="","",IFERROR(INDEX('شجرة الحسابات'!$B$9:$B$208,MATCH(C915,'شجرة الحسابات'!$A$9:$A$208,0)),"⚠ حساب غير معرف"))</f>
        <v/>
      </c>
      <c r="E915" s="52"/>
      <c r="F915" s="52"/>
      <c r="G915" s="53"/>
      <c r="H915" s="53"/>
      <c r="I915" s="54" t="str">
        <f aca="false">IF(A915="",IF(M915="فارغ","","✖ بدون رقم قيد"),IF(COUNTIFS('قيود اليومية'!$A$11:$A$1010,A915,'قيود اليومية'!$M$11:$M$1010,"&lt;&gt;OK",'قيود اليومية'!$M$11:$M$1010,"&lt;&gt;فارغ")&gt;0,"✖ خطأ بالحساب",IF(ROUND(SUMIFS('قيود اليومية'!$G$11:$G$1010,'قيود اليومية'!$A$11:$A$1010,A915)-SUMIFS('قيود اليومية'!$H$11:$H$1010,'قيود اليومية'!$A$11:$A$1010,A915),2)&lt;&gt;0,"✖ غير متوازن","مرحل ✔")))</f>
        <v/>
      </c>
      <c r="J915" s="55" t="str">
        <f aca="false">IF(C915="","",IFERROR(INDEX('شجرة الحسابات'!$E$9:$E$208,MATCH(C915,'شجرة الحسابات'!$A$9:$A$208,0))&amp;"",""))</f>
        <v/>
      </c>
      <c r="K915" s="55" t="str">
        <f aca="false">IF(C915="","",IFERROR(INDEX('شجرة الحسابات'!$I$9:$I$208,MATCH(C915,'شجرة الحسابات'!$A$9:$A$208,0))&amp;"",""))</f>
        <v/>
      </c>
      <c r="L915" s="55" t="str">
        <f aca="false">IF(C915="","",IFERROR(INDEX('شجرة الحسابات'!$C$9:$C$208,MATCH(C915,'شجرة الحسابات'!$A$9:$A$208,0))&amp;"",""))</f>
        <v/>
      </c>
      <c r="M915" s="55" t="str">
        <f aca="false">IF(AND(C915="",G915="",H915=""),"فارغ",IF(ISNA(MATCH(C915,'شجرة الحسابات'!$A$9:$A$208,0)),"حساب غير معرف",IF(L915&lt;&gt;"تحليلي","حساب تجميعي",IF(AND(N(G915)&gt;0,N(H915)&gt;0),"مدين ودائن معاً",IF(N(G915)+N(H915)=0,"بدون قيمة","OK")))))</f>
        <v>فارغ</v>
      </c>
      <c r="N915" s="55" t="str">
        <f aca="false">IF(AND(E915&lt;&gt;"",E915='كشف حساب مشروع'!$C$6,I915="مرحل ✔"),COUNTIFS($E$11:E915,'كشف حساب مشروع'!$C$6,$I$11:I915,"مرحل ✔"),"")</f>
        <v/>
      </c>
      <c r="O915" s="55" t="str">
        <f aca="false">IF(AND(C915&lt;&gt;"",C915='دفتر الأستاذ'!$C$6,I915="مرحل ✔"),COUNTIFS($C$11:C915,'دفتر الأستاذ'!$C$6,$I$11:I915,"مرحل ✔"),"")</f>
        <v/>
      </c>
    </row>
    <row r="916" customFormat="false" ht="15" hidden="false" customHeight="false" outlineLevel="0" collapsed="false">
      <c r="A916" s="49"/>
      <c r="B916" s="50"/>
      <c r="C916" s="49"/>
      <c r="D916" s="51" t="str">
        <f aca="false">IF(C916="","",IFERROR(INDEX('شجرة الحسابات'!$B$9:$B$208,MATCH(C916,'شجرة الحسابات'!$A$9:$A$208,0)),"⚠ حساب غير معرف"))</f>
        <v/>
      </c>
      <c r="E916" s="52"/>
      <c r="F916" s="52"/>
      <c r="G916" s="53"/>
      <c r="H916" s="53"/>
      <c r="I916" s="54" t="str">
        <f aca="false">IF(A916="",IF(M916="فارغ","","✖ بدون رقم قيد"),IF(COUNTIFS('قيود اليومية'!$A$11:$A$1010,A916,'قيود اليومية'!$M$11:$M$1010,"&lt;&gt;OK",'قيود اليومية'!$M$11:$M$1010,"&lt;&gt;فارغ")&gt;0,"✖ خطأ بالحساب",IF(ROUND(SUMIFS('قيود اليومية'!$G$11:$G$1010,'قيود اليومية'!$A$11:$A$1010,A916)-SUMIFS('قيود اليومية'!$H$11:$H$1010,'قيود اليومية'!$A$11:$A$1010,A916),2)&lt;&gt;0,"✖ غير متوازن","مرحل ✔")))</f>
        <v/>
      </c>
      <c r="J916" s="55" t="str">
        <f aca="false">IF(C916="","",IFERROR(INDEX('شجرة الحسابات'!$E$9:$E$208,MATCH(C916,'شجرة الحسابات'!$A$9:$A$208,0))&amp;"",""))</f>
        <v/>
      </c>
      <c r="K916" s="55" t="str">
        <f aca="false">IF(C916="","",IFERROR(INDEX('شجرة الحسابات'!$I$9:$I$208,MATCH(C916,'شجرة الحسابات'!$A$9:$A$208,0))&amp;"",""))</f>
        <v/>
      </c>
      <c r="L916" s="55" t="str">
        <f aca="false">IF(C916="","",IFERROR(INDEX('شجرة الحسابات'!$C$9:$C$208,MATCH(C916,'شجرة الحسابات'!$A$9:$A$208,0))&amp;"",""))</f>
        <v/>
      </c>
      <c r="M916" s="55" t="str">
        <f aca="false">IF(AND(C916="",G916="",H916=""),"فارغ",IF(ISNA(MATCH(C916,'شجرة الحسابات'!$A$9:$A$208,0)),"حساب غير معرف",IF(L916&lt;&gt;"تحليلي","حساب تجميعي",IF(AND(N(G916)&gt;0,N(H916)&gt;0),"مدين ودائن معاً",IF(N(G916)+N(H916)=0,"بدون قيمة","OK")))))</f>
        <v>فارغ</v>
      </c>
      <c r="N916" s="55" t="str">
        <f aca="false">IF(AND(E916&lt;&gt;"",E916='كشف حساب مشروع'!$C$6,I916="مرحل ✔"),COUNTIFS($E$11:E916,'كشف حساب مشروع'!$C$6,$I$11:I916,"مرحل ✔"),"")</f>
        <v/>
      </c>
      <c r="O916" s="55" t="str">
        <f aca="false">IF(AND(C916&lt;&gt;"",C916='دفتر الأستاذ'!$C$6,I916="مرحل ✔"),COUNTIFS($C$11:C916,'دفتر الأستاذ'!$C$6,$I$11:I916,"مرحل ✔"),"")</f>
        <v/>
      </c>
    </row>
    <row r="917" customFormat="false" ht="15" hidden="false" customHeight="false" outlineLevel="0" collapsed="false">
      <c r="A917" s="49"/>
      <c r="B917" s="50"/>
      <c r="C917" s="49"/>
      <c r="D917" s="51" t="str">
        <f aca="false">IF(C917="","",IFERROR(INDEX('شجرة الحسابات'!$B$9:$B$208,MATCH(C917,'شجرة الحسابات'!$A$9:$A$208,0)),"⚠ حساب غير معرف"))</f>
        <v/>
      </c>
      <c r="E917" s="52"/>
      <c r="F917" s="52"/>
      <c r="G917" s="53"/>
      <c r="H917" s="53"/>
      <c r="I917" s="54" t="str">
        <f aca="false">IF(A917="",IF(M917="فارغ","","✖ بدون رقم قيد"),IF(COUNTIFS('قيود اليومية'!$A$11:$A$1010,A917,'قيود اليومية'!$M$11:$M$1010,"&lt;&gt;OK",'قيود اليومية'!$M$11:$M$1010,"&lt;&gt;فارغ")&gt;0,"✖ خطأ بالحساب",IF(ROUND(SUMIFS('قيود اليومية'!$G$11:$G$1010,'قيود اليومية'!$A$11:$A$1010,A917)-SUMIFS('قيود اليومية'!$H$11:$H$1010,'قيود اليومية'!$A$11:$A$1010,A917),2)&lt;&gt;0,"✖ غير متوازن","مرحل ✔")))</f>
        <v/>
      </c>
      <c r="J917" s="55" t="str">
        <f aca="false">IF(C917="","",IFERROR(INDEX('شجرة الحسابات'!$E$9:$E$208,MATCH(C917,'شجرة الحسابات'!$A$9:$A$208,0))&amp;"",""))</f>
        <v/>
      </c>
      <c r="K917" s="55" t="str">
        <f aca="false">IF(C917="","",IFERROR(INDEX('شجرة الحسابات'!$I$9:$I$208,MATCH(C917,'شجرة الحسابات'!$A$9:$A$208,0))&amp;"",""))</f>
        <v/>
      </c>
      <c r="L917" s="55" t="str">
        <f aca="false">IF(C917="","",IFERROR(INDEX('شجرة الحسابات'!$C$9:$C$208,MATCH(C917,'شجرة الحسابات'!$A$9:$A$208,0))&amp;"",""))</f>
        <v/>
      </c>
      <c r="M917" s="55" t="str">
        <f aca="false">IF(AND(C917="",G917="",H917=""),"فارغ",IF(ISNA(MATCH(C917,'شجرة الحسابات'!$A$9:$A$208,0)),"حساب غير معرف",IF(L917&lt;&gt;"تحليلي","حساب تجميعي",IF(AND(N(G917)&gt;0,N(H917)&gt;0),"مدين ودائن معاً",IF(N(G917)+N(H917)=0,"بدون قيمة","OK")))))</f>
        <v>فارغ</v>
      </c>
      <c r="N917" s="55" t="str">
        <f aca="false">IF(AND(E917&lt;&gt;"",E917='كشف حساب مشروع'!$C$6,I917="مرحل ✔"),COUNTIFS($E$11:E917,'كشف حساب مشروع'!$C$6,$I$11:I917,"مرحل ✔"),"")</f>
        <v/>
      </c>
      <c r="O917" s="55" t="str">
        <f aca="false">IF(AND(C917&lt;&gt;"",C917='دفتر الأستاذ'!$C$6,I917="مرحل ✔"),COUNTIFS($C$11:C917,'دفتر الأستاذ'!$C$6,$I$11:I917,"مرحل ✔"),"")</f>
        <v/>
      </c>
    </row>
    <row r="918" customFormat="false" ht="15" hidden="false" customHeight="false" outlineLevel="0" collapsed="false">
      <c r="A918" s="49"/>
      <c r="B918" s="50"/>
      <c r="C918" s="49"/>
      <c r="D918" s="51" t="str">
        <f aca="false">IF(C918="","",IFERROR(INDEX('شجرة الحسابات'!$B$9:$B$208,MATCH(C918,'شجرة الحسابات'!$A$9:$A$208,0)),"⚠ حساب غير معرف"))</f>
        <v/>
      </c>
      <c r="E918" s="52"/>
      <c r="F918" s="52"/>
      <c r="G918" s="53"/>
      <c r="H918" s="53"/>
      <c r="I918" s="54" t="str">
        <f aca="false">IF(A918="",IF(M918="فارغ","","✖ بدون رقم قيد"),IF(COUNTIFS('قيود اليومية'!$A$11:$A$1010,A918,'قيود اليومية'!$M$11:$M$1010,"&lt;&gt;OK",'قيود اليومية'!$M$11:$M$1010,"&lt;&gt;فارغ")&gt;0,"✖ خطأ بالحساب",IF(ROUND(SUMIFS('قيود اليومية'!$G$11:$G$1010,'قيود اليومية'!$A$11:$A$1010,A918)-SUMIFS('قيود اليومية'!$H$11:$H$1010,'قيود اليومية'!$A$11:$A$1010,A918),2)&lt;&gt;0,"✖ غير متوازن","مرحل ✔")))</f>
        <v/>
      </c>
      <c r="J918" s="55" t="str">
        <f aca="false">IF(C918="","",IFERROR(INDEX('شجرة الحسابات'!$E$9:$E$208,MATCH(C918,'شجرة الحسابات'!$A$9:$A$208,0))&amp;"",""))</f>
        <v/>
      </c>
      <c r="K918" s="55" t="str">
        <f aca="false">IF(C918="","",IFERROR(INDEX('شجرة الحسابات'!$I$9:$I$208,MATCH(C918,'شجرة الحسابات'!$A$9:$A$208,0))&amp;"",""))</f>
        <v/>
      </c>
      <c r="L918" s="55" t="str">
        <f aca="false">IF(C918="","",IFERROR(INDEX('شجرة الحسابات'!$C$9:$C$208,MATCH(C918,'شجرة الحسابات'!$A$9:$A$208,0))&amp;"",""))</f>
        <v/>
      </c>
      <c r="M918" s="55" t="str">
        <f aca="false">IF(AND(C918="",G918="",H918=""),"فارغ",IF(ISNA(MATCH(C918,'شجرة الحسابات'!$A$9:$A$208,0)),"حساب غير معرف",IF(L918&lt;&gt;"تحليلي","حساب تجميعي",IF(AND(N(G918)&gt;0,N(H918)&gt;0),"مدين ودائن معاً",IF(N(G918)+N(H918)=0,"بدون قيمة","OK")))))</f>
        <v>فارغ</v>
      </c>
      <c r="N918" s="55" t="str">
        <f aca="false">IF(AND(E918&lt;&gt;"",E918='كشف حساب مشروع'!$C$6,I918="مرحل ✔"),COUNTIFS($E$11:E918,'كشف حساب مشروع'!$C$6,$I$11:I918,"مرحل ✔"),"")</f>
        <v/>
      </c>
      <c r="O918" s="55" t="str">
        <f aca="false">IF(AND(C918&lt;&gt;"",C918='دفتر الأستاذ'!$C$6,I918="مرحل ✔"),COUNTIFS($C$11:C918,'دفتر الأستاذ'!$C$6,$I$11:I918,"مرحل ✔"),"")</f>
        <v/>
      </c>
    </row>
    <row r="919" customFormat="false" ht="15" hidden="false" customHeight="false" outlineLevel="0" collapsed="false">
      <c r="A919" s="49"/>
      <c r="B919" s="50"/>
      <c r="C919" s="49"/>
      <c r="D919" s="51" t="str">
        <f aca="false">IF(C919="","",IFERROR(INDEX('شجرة الحسابات'!$B$9:$B$208,MATCH(C919,'شجرة الحسابات'!$A$9:$A$208,0)),"⚠ حساب غير معرف"))</f>
        <v/>
      </c>
      <c r="E919" s="52"/>
      <c r="F919" s="52"/>
      <c r="G919" s="53"/>
      <c r="H919" s="53"/>
      <c r="I919" s="54" t="str">
        <f aca="false">IF(A919="",IF(M919="فارغ","","✖ بدون رقم قيد"),IF(COUNTIFS('قيود اليومية'!$A$11:$A$1010,A919,'قيود اليومية'!$M$11:$M$1010,"&lt;&gt;OK",'قيود اليومية'!$M$11:$M$1010,"&lt;&gt;فارغ")&gt;0,"✖ خطأ بالحساب",IF(ROUND(SUMIFS('قيود اليومية'!$G$11:$G$1010,'قيود اليومية'!$A$11:$A$1010,A919)-SUMIFS('قيود اليومية'!$H$11:$H$1010,'قيود اليومية'!$A$11:$A$1010,A919),2)&lt;&gt;0,"✖ غير متوازن","مرحل ✔")))</f>
        <v/>
      </c>
      <c r="J919" s="55" t="str">
        <f aca="false">IF(C919="","",IFERROR(INDEX('شجرة الحسابات'!$E$9:$E$208,MATCH(C919,'شجرة الحسابات'!$A$9:$A$208,0))&amp;"",""))</f>
        <v/>
      </c>
      <c r="K919" s="55" t="str">
        <f aca="false">IF(C919="","",IFERROR(INDEX('شجرة الحسابات'!$I$9:$I$208,MATCH(C919,'شجرة الحسابات'!$A$9:$A$208,0))&amp;"",""))</f>
        <v/>
      </c>
      <c r="L919" s="55" t="str">
        <f aca="false">IF(C919="","",IFERROR(INDEX('شجرة الحسابات'!$C$9:$C$208,MATCH(C919,'شجرة الحسابات'!$A$9:$A$208,0))&amp;"",""))</f>
        <v/>
      </c>
      <c r="M919" s="55" t="str">
        <f aca="false">IF(AND(C919="",G919="",H919=""),"فارغ",IF(ISNA(MATCH(C919,'شجرة الحسابات'!$A$9:$A$208,0)),"حساب غير معرف",IF(L919&lt;&gt;"تحليلي","حساب تجميعي",IF(AND(N(G919)&gt;0,N(H919)&gt;0),"مدين ودائن معاً",IF(N(G919)+N(H919)=0,"بدون قيمة","OK")))))</f>
        <v>فارغ</v>
      </c>
      <c r="N919" s="55" t="str">
        <f aca="false">IF(AND(E919&lt;&gt;"",E919='كشف حساب مشروع'!$C$6,I919="مرحل ✔"),COUNTIFS($E$11:E919,'كشف حساب مشروع'!$C$6,$I$11:I919,"مرحل ✔"),"")</f>
        <v/>
      </c>
      <c r="O919" s="55" t="str">
        <f aca="false">IF(AND(C919&lt;&gt;"",C919='دفتر الأستاذ'!$C$6,I919="مرحل ✔"),COUNTIFS($C$11:C919,'دفتر الأستاذ'!$C$6,$I$11:I919,"مرحل ✔"),"")</f>
        <v/>
      </c>
    </row>
    <row r="920" customFormat="false" ht="15" hidden="false" customHeight="false" outlineLevel="0" collapsed="false">
      <c r="A920" s="49"/>
      <c r="B920" s="50"/>
      <c r="C920" s="49"/>
      <c r="D920" s="51" t="str">
        <f aca="false">IF(C920="","",IFERROR(INDEX('شجرة الحسابات'!$B$9:$B$208,MATCH(C920,'شجرة الحسابات'!$A$9:$A$208,0)),"⚠ حساب غير معرف"))</f>
        <v/>
      </c>
      <c r="E920" s="52"/>
      <c r="F920" s="52"/>
      <c r="G920" s="53"/>
      <c r="H920" s="53"/>
      <c r="I920" s="54" t="str">
        <f aca="false">IF(A920="",IF(M920="فارغ","","✖ بدون رقم قيد"),IF(COUNTIFS('قيود اليومية'!$A$11:$A$1010,A920,'قيود اليومية'!$M$11:$M$1010,"&lt;&gt;OK",'قيود اليومية'!$M$11:$M$1010,"&lt;&gt;فارغ")&gt;0,"✖ خطأ بالحساب",IF(ROUND(SUMIFS('قيود اليومية'!$G$11:$G$1010,'قيود اليومية'!$A$11:$A$1010,A920)-SUMIFS('قيود اليومية'!$H$11:$H$1010,'قيود اليومية'!$A$11:$A$1010,A920),2)&lt;&gt;0,"✖ غير متوازن","مرحل ✔")))</f>
        <v/>
      </c>
      <c r="J920" s="55" t="str">
        <f aca="false">IF(C920="","",IFERROR(INDEX('شجرة الحسابات'!$E$9:$E$208,MATCH(C920,'شجرة الحسابات'!$A$9:$A$208,0))&amp;"",""))</f>
        <v/>
      </c>
      <c r="K920" s="55" t="str">
        <f aca="false">IF(C920="","",IFERROR(INDEX('شجرة الحسابات'!$I$9:$I$208,MATCH(C920,'شجرة الحسابات'!$A$9:$A$208,0))&amp;"",""))</f>
        <v/>
      </c>
      <c r="L920" s="55" t="str">
        <f aca="false">IF(C920="","",IFERROR(INDEX('شجرة الحسابات'!$C$9:$C$208,MATCH(C920,'شجرة الحسابات'!$A$9:$A$208,0))&amp;"",""))</f>
        <v/>
      </c>
      <c r="M920" s="55" t="str">
        <f aca="false">IF(AND(C920="",G920="",H920=""),"فارغ",IF(ISNA(MATCH(C920,'شجرة الحسابات'!$A$9:$A$208,0)),"حساب غير معرف",IF(L920&lt;&gt;"تحليلي","حساب تجميعي",IF(AND(N(G920)&gt;0,N(H920)&gt;0),"مدين ودائن معاً",IF(N(G920)+N(H920)=0,"بدون قيمة","OK")))))</f>
        <v>فارغ</v>
      </c>
      <c r="N920" s="55" t="str">
        <f aca="false">IF(AND(E920&lt;&gt;"",E920='كشف حساب مشروع'!$C$6,I920="مرحل ✔"),COUNTIFS($E$11:E920,'كشف حساب مشروع'!$C$6,$I$11:I920,"مرحل ✔"),"")</f>
        <v/>
      </c>
      <c r="O920" s="55" t="str">
        <f aca="false">IF(AND(C920&lt;&gt;"",C920='دفتر الأستاذ'!$C$6,I920="مرحل ✔"),COUNTIFS($C$11:C920,'دفتر الأستاذ'!$C$6,$I$11:I920,"مرحل ✔"),"")</f>
        <v/>
      </c>
    </row>
    <row r="921" customFormat="false" ht="15" hidden="false" customHeight="false" outlineLevel="0" collapsed="false">
      <c r="A921" s="49"/>
      <c r="B921" s="50"/>
      <c r="C921" s="49"/>
      <c r="D921" s="51" t="str">
        <f aca="false">IF(C921="","",IFERROR(INDEX('شجرة الحسابات'!$B$9:$B$208,MATCH(C921,'شجرة الحسابات'!$A$9:$A$208,0)),"⚠ حساب غير معرف"))</f>
        <v/>
      </c>
      <c r="E921" s="52"/>
      <c r="F921" s="52"/>
      <c r="G921" s="53"/>
      <c r="H921" s="53"/>
      <c r="I921" s="54" t="str">
        <f aca="false">IF(A921="",IF(M921="فارغ","","✖ بدون رقم قيد"),IF(COUNTIFS('قيود اليومية'!$A$11:$A$1010,A921,'قيود اليومية'!$M$11:$M$1010,"&lt;&gt;OK",'قيود اليومية'!$M$11:$M$1010,"&lt;&gt;فارغ")&gt;0,"✖ خطأ بالحساب",IF(ROUND(SUMIFS('قيود اليومية'!$G$11:$G$1010,'قيود اليومية'!$A$11:$A$1010,A921)-SUMIFS('قيود اليومية'!$H$11:$H$1010,'قيود اليومية'!$A$11:$A$1010,A921),2)&lt;&gt;0,"✖ غير متوازن","مرحل ✔")))</f>
        <v/>
      </c>
      <c r="J921" s="55" t="str">
        <f aca="false">IF(C921="","",IFERROR(INDEX('شجرة الحسابات'!$E$9:$E$208,MATCH(C921,'شجرة الحسابات'!$A$9:$A$208,0))&amp;"",""))</f>
        <v/>
      </c>
      <c r="K921" s="55" t="str">
        <f aca="false">IF(C921="","",IFERROR(INDEX('شجرة الحسابات'!$I$9:$I$208,MATCH(C921,'شجرة الحسابات'!$A$9:$A$208,0))&amp;"",""))</f>
        <v/>
      </c>
      <c r="L921" s="55" t="str">
        <f aca="false">IF(C921="","",IFERROR(INDEX('شجرة الحسابات'!$C$9:$C$208,MATCH(C921,'شجرة الحسابات'!$A$9:$A$208,0))&amp;"",""))</f>
        <v/>
      </c>
      <c r="M921" s="55" t="str">
        <f aca="false">IF(AND(C921="",G921="",H921=""),"فارغ",IF(ISNA(MATCH(C921,'شجرة الحسابات'!$A$9:$A$208,0)),"حساب غير معرف",IF(L921&lt;&gt;"تحليلي","حساب تجميعي",IF(AND(N(G921)&gt;0,N(H921)&gt;0),"مدين ودائن معاً",IF(N(G921)+N(H921)=0,"بدون قيمة","OK")))))</f>
        <v>فارغ</v>
      </c>
      <c r="N921" s="55" t="str">
        <f aca="false">IF(AND(E921&lt;&gt;"",E921='كشف حساب مشروع'!$C$6,I921="مرحل ✔"),COUNTIFS($E$11:E921,'كشف حساب مشروع'!$C$6,$I$11:I921,"مرحل ✔"),"")</f>
        <v/>
      </c>
      <c r="O921" s="55" t="str">
        <f aca="false">IF(AND(C921&lt;&gt;"",C921='دفتر الأستاذ'!$C$6,I921="مرحل ✔"),COUNTIFS($C$11:C921,'دفتر الأستاذ'!$C$6,$I$11:I921,"مرحل ✔"),"")</f>
        <v/>
      </c>
    </row>
    <row r="922" customFormat="false" ht="15" hidden="false" customHeight="false" outlineLevel="0" collapsed="false">
      <c r="A922" s="49"/>
      <c r="B922" s="50"/>
      <c r="C922" s="49"/>
      <c r="D922" s="51" t="str">
        <f aca="false">IF(C922="","",IFERROR(INDEX('شجرة الحسابات'!$B$9:$B$208,MATCH(C922,'شجرة الحسابات'!$A$9:$A$208,0)),"⚠ حساب غير معرف"))</f>
        <v/>
      </c>
      <c r="E922" s="52"/>
      <c r="F922" s="52"/>
      <c r="G922" s="53"/>
      <c r="H922" s="53"/>
      <c r="I922" s="54" t="str">
        <f aca="false">IF(A922="",IF(M922="فارغ","","✖ بدون رقم قيد"),IF(COUNTIFS('قيود اليومية'!$A$11:$A$1010,A922,'قيود اليومية'!$M$11:$M$1010,"&lt;&gt;OK",'قيود اليومية'!$M$11:$M$1010,"&lt;&gt;فارغ")&gt;0,"✖ خطأ بالحساب",IF(ROUND(SUMIFS('قيود اليومية'!$G$11:$G$1010,'قيود اليومية'!$A$11:$A$1010,A922)-SUMIFS('قيود اليومية'!$H$11:$H$1010,'قيود اليومية'!$A$11:$A$1010,A922),2)&lt;&gt;0,"✖ غير متوازن","مرحل ✔")))</f>
        <v/>
      </c>
      <c r="J922" s="55" t="str">
        <f aca="false">IF(C922="","",IFERROR(INDEX('شجرة الحسابات'!$E$9:$E$208,MATCH(C922,'شجرة الحسابات'!$A$9:$A$208,0))&amp;"",""))</f>
        <v/>
      </c>
      <c r="K922" s="55" t="str">
        <f aca="false">IF(C922="","",IFERROR(INDEX('شجرة الحسابات'!$I$9:$I$208,MATCH(C922,'شجرة الحسابات'!$A$9:$A$208,0))&amp;"",""))</f>
        <v/>
      </c>
      <c r="L922" s="55" t="str">
        <f aca="false">IF(C922="","",IFERROR(INDEX('شجرة الحسابات'!$C$9:$C$208,MATCH(C922,'شجرة الحسابات'!$A$9:$A$208,0))&amp;"",""))</f>
        <v/>
      </c>
      <c r="M922" s="55" t="str">
        <f aca="false">IF(AND(C922="",G922="",H922=""),"فارغ",IF(ISNA(MATCH(C922,'شجرة الحسابات'!$A$9:$A$208,0)),"حساب غير معرف",IF(L922&lt;&gt;"تحليلي","حساب تجميعي",IF(AND(N(G922)&gt;0,N(H922)&gt;0),"مدين ودائن معاً",IF(N(G922)+N(H922)=0,"بدون قيمة","OK")))))</f>
        <v>فارغ</v>
      </c>
      <c r="N922" s="55" t="str">
        <f aca="false">IF(AND(E922&lt;&gt;"",E922='كشف حساب مشروع'!$C$6,I922="مرحل ✔"),COUNTIFS($E$11:E922,'كشف حساب مشروع'!$C$6,$I$11:I922,"مرحل ✔"),"")</f>
        <v/>
      </c>
      <c r="O922" s="55" t="str">
        <f aca="false">IF(AND(C922&lt;&gt;"",C922='دفتر الأستاذ'!$C$6,I922="مرحل ✔"),COUNTIFS($C$11:C922,'دفتر الأستاذ'!$C$6,$I$11:I922,"مرحل ✔"),"")</f>
        <v/>
      </c>
    </row>
    <row r="923" customFormat="false" ht="15" hidden="false" customHeight="false" outlineLevel="0" collapsed="false">
      <c r="A923" s="49"/>
      <c r="B923" s="50"/>
      <c r="C923" s="49"/>
      <c r="D923" s="51" t="str">
        <f aca="false">IF(C923="","",IFERROR(INDEX('شجرة الحسابات'!$B$9:$B$208,MATCH(C923,'شجرة الحسابات'!$A$9:$A$208,0)),"⚠ حساب غير معرف"))</f>
        <v/>
      </c>
      <c r="E923" s="52"/>
      <c r="F923" s="52"/>
      <c r="G923" s="53"/>
      <c r="H923" s="53"/>
      <c r="I923" s="54" t="str">
        <f aca="false">IF(A923="",IF(M923="فارغ","","✖ بدون رقم قيد"),IF(COUNTIFS('قيود اليومية'!$A$11:$A$1010,A923,'قيود اليومية'!$M$11:$M$1010,"&lt;&gt;OK",'قيود اليومية'!$M$11:$M$1010,"&lt;&gt;فارغ")&gt;0,"✖ خطأ بالحساب",IF(ROUND(SUMIFS('قيود اليومية'!$G$11:$G$1010,'قيود اليومية'!$A$11:$A$1010,A923)-SUMIFS('قيود اليومية'!$H$11:$H$1010,'قيود اليومية'!$A$11:$A$1010,A923),2)&lt;&gt;0,"✖ غير متوازن","مرحل ✔")))</f>
        <v/>
      </c>
      <c r="J923" s="55" t="str">
        <f aca="false">IF(C923="","",IFERROR(INDEX('شجرة الحسابات'!$E$9:$E$208,MATCH(C923,'شجرة الحسابات'!$A$9:$A$208,0))&amp;"",""))</f>
        <v/>
      </c>
      <c r="K923" s="55" t="str">
        <f aca="false">IF(C923="","",IFERROR(INDEX('شجرة الحسابات'!$I$9:$I$208,MATCH(C923,'شجرة الحسابات'!$A$9:$A$208,0))&amp;"",""))</f>
        <v/>
      </c>
      <c r="L923" s="55" t="str">
        <f aca="false">IF(C923="","",IFERROR(INDEX('شجرة الحسابات'!$C$9:$C$208,MATCH(C923,'شجرة الحسابات'!$A$9:$A$208,0))&amp;"",""))</f>
        <v/>
      </c>
      <c r="M923" s="55" t="str">
        <f aca="false">IF(AND(C923="",G923="",H923=""),"فارغ",IF(ISNA(MATCH(C923,'شجرة الحسابات'!$A$9:$A$208,0)),"حساب غير معرف",IF(L923&lt;&gt;"تحليلي","حساب تجميعي",IF(AND(N(G923)&gt;0,N(H923)&gt;0),"مدين ودائن معاً",IF(N(G923)+N(H923)=0,"بدون قيمة","OK")))))</f>
        <v>فارغ</v>
      </c>
      <c r="N923" s="55" t="str">
        <f aca="false">IF(AND(E923&lt;&gt;"",E923='كشف حساب مشروع'!$C$6,I923="مرحل ✔"),COUNTIFS($E$11:E923,'كشف حساب مشروع'!$C$6,$I$11:I923,"مرحل ✔"),"")</f>
        <v/>
      </c>
      <c r="O923" s="55" t="str">
        <f aca="false">IF(AND(C923&lt;&gt;"",C923='دفتر الأستاذ'!$C$6,I923="مرحل ✔"),COUNTIFS($C$11:C923,'دفتر الأستاذ'!$C$6,$I$11:I923,"مرحل ✔"),"")</f>
        <v/>
      </c>
    </row>
    <row r="924" customFormat="false" ht="15" hidden="false" customHeight="false" outlineLevel="0" collapsed="false">
      <c r="A924" s="49"/>
      <c r="B924" s="50"/>
      <c r="C924" s="49"/>
      <c r="D924" s="51" t="str">
        <f aca="false">IF(C924="","",IFERROR(INDEX('شجرة الحسابات'!$B$9:$B$208,MATCH(C924,'شجرة الحسابات'!$A$9:$A$208,0)),"⚠ حساب غير معرف"))</f>
        <v/>
      </c>
      <c r="E924" s="52"/>
      <c r="F924" s="52"/>
      <c r="G924" s="53"/>
      <c r="H924" s="53"/>
      <c r="I924" s="54" t="str">
        <f aca="false">IF(A924="",IF(M924="فارغ","","✖ بدون رقم قيد"),IF(COUNTIFS('قيود اليومية'!$A$11:$A$1010,A924,'قيود اليومية'!$M$11:$M$1010,"&lt;&gt;OK",'قيود اليومية'!$M$11:$M$1010,"&lt;&gt;فارغ")&gt;0,"✖ خطأ بالحساب",IF(ROUND(SUMIFS('قيود اليومية'!$G$11:$G$1010,'قيود اليومية'!$A$11:$A$1010,A924)-SUMIFS('قيود اليومية'!$H$11:$H$1010,'قيود اليومية'!$A$11:$A$1010,A924),2)&lt;&gt;0,"✖ غير متوازن","مرحل ✔")))</f>
        <v/>
      </c>
      <c r="J924" s="55" t="str">
        <f aca="false">IF(C924="","",IFERROR(INDEX('شجرة الحسابات'!$E$9:$E$208,MATCH(C924,'شجرة الحسابات'!$A$9:$A$208,0))&amp;"",""))</f>
        <v/>
      </c>
      <c r="K924" s="55" t="str">
        <f aca="false">IF(C924="","",IFERROR(INDEX('شجرة الحسابات'!$I$9:$I$208,MATCH(C924,'شجرة الحسابات'!$A$9:$A$208,0))&amp;"",""))</f>
        <v/>
      </c>
      <c r="L924" s="55" t="str">
        <f aca="false">IF(C924="","",IFERROR(INDEX('شجرة الحسابات'!$C$9:$C$208,MATCH(C924,'شجرة الحسابات'!$A$9:$A$208,0))&amp;"",""))</f>
        <v/>
      </c>
      <c r="M924" s="55" t="str">
        <f aca="false">IF(AND(C924="",G924="",H924=""),"فارغ",IF(ISNA(MATCH(C924,'شجرة الحسابات'!$A$9:$A$208,0)),"حساب غير معرف",IF(L924&lt;&gt;"تحليلي","حساب تجميعي",IF(AND(N(G924)&gt;0,N(H924)&gt;0),"مدين ودائن معاً",IF(N(G924)+N(H924)=0,"بدون قيمة","OK")))))</f>
        <v>فارغ</v>
      </c>
      <c r="N924" s="55" t="str">
        <f aca="false">IF(AND(E924&lt;&gt;"",E924='كشف حساب مشروع'!$C$6,I924="مرحل ✔"),COUNTIFS($E$11:E924,'كشف حساب مشروع'!$C$6,$I$11:I924,"مرحل ✔"),"")</f>
        <v/>
      </c>
      <c r="O924" s="55" t="str">
        <f aca="false">IF(AND(C924&lt;&gt;"",C924='دفتر الأستاذ'!$C$6,I924="مرحل ✔"),COUNTIFS($C$11:C924,'دفتر الأستاذ'!$C$6,$I$11:I924,"مرحل ✔"),"")</f>
        <v/>
      </c>
    </row>
    <row r="925" customFormat="false" ht="15" hidden="false" customHeight="false" outlineLevel="0" collapsed="false">
      <c r="A925" s="49"/>
      <c r="B925" s="50"/>
      <c r="C925" s="49"/>
      <c r="D925" s="51" t="str">
        <f aca="false">IF(C925="","",IFERROR(INDEX('شجرة الحسابات'!$B$9:$B$208,MATCH(C925,'شجرة الحسابات'!$A$9:$A$208,0)),"⚠ حساب غير معرف"))</f>
        <v/>
      </c>
      <c r="E925" s="52"/>
      <c r="F925" s="52"/>
      <c r="G925" s="53"/>
      <c r="H925" s="53"/>
      <c r="I925" s="54" t="str">
        <f aca="false">IF(A925="",IF(M925="فارغ","","✖ بدون رقم قيد"),IF(COUNTIFS('قيود اليومية'!$A$11:$A$1010,A925,'قيود اليومية'!$M$11:$M$1010,"&lt;&gt;OK",'قيود اليومية'!$M$11:$M$1010,"&lt;&gt;فارغ")&gt;0,"✖ خطأ بالحساب",IF(ROUND(SUMIFS('قيود اليومية'!$G$11:$G$1010,'قيود اليومية'!$A$11:$A$1010,A925)-SUMIFS('قيود اليومية'!$H$11:$H$1010,'قيود اليومية'!$A$11:$A$1010,A925),2)&lt;&gt;0,"✖ غير متوازن","مرحل ✔")))</f>
        <v/>
      </c>
      <c r="J925" s="55" t="str">
        <f aca="false">IF(C925="","",IFERROR(INDEX('شجرة الحسابات'!$E$9:$E$208,MATCH(C925,'شجرة الحسابات'!$A$9:$A$208,0))&amp;"",""))</f>
        <v/>
      </c>
      <c r="K925" s="55" t="str">
        <f aca="false">IF(C925="","",IFERROR(INDEX('شجرة الحسابات'!$I$9:$I$208,MATCH(C925,'شجرة الحسابات'!$A$9:$A$208,0))&amp;"",""))</f>
        <v/>
      </c>
      <c r="L925" s="55" t="str">
        <f aca="false">IF(C925="","",IFERROR(INDEX('شجرة الحسابات'!$C$9:$C$208,MATCH(C925,'شجرة الحسابات'!$A$9:$A$208,0))&amp;"",""))</f>
        <v/>
      </c>
      <c r="M925" s="55" t="str">
        <f aca="false">IF(AND(C925="",G925="",H925=""),"فارغ",IF(ISNA(MATCH(C925,'شجرة الحسابات'!$A$9:$A$208,0)),"حساب غير معرف",IF(L925&lt;&gt;"تحليلي","حساب تجميعي",IF(AND(N(G925)&gt;0,N(H925)&gt;0),"مدين ودائن معاً",IF(N(G925)+N(H925)=0,"بدون قيمة","OK")))))</f>
        <v>فارغ</v>
      </c>
      <c r="N925" s="55" t="str">
        <f aca="false">IF(AND(E925&lt;&gt;"",E925='كشف حساب مشروع'!$C$6,I925="مرحل ✔"),COUNTIFS($E$11:E925,'كشف حساب مشروع'!$C$6,$I$11:I925,"مرحل ✔"),"")</f>
        <v/>
      </c>
      <c r="O925" s="55" t="str">
        <f aca="false">IF(AND(C925&lt;&gt;"",C925='دفتر الأستاذ'!$C$6,I925="مرحل ✔"),COUNTIFS($C$11:C925,'دفتر الأستاذ'!$C$6,$I$11:I925,"مرحل ✔"),"")</f>
        <v/>
      </c>
    </row>
    <row r="926" customFormat="false" ht="15" hidden="false" customHeight="false" outlineLevel="0" collapsed="false">
      <c r="A926" s="49"/>
      <c r="B926" s="50"/>
      <c r="C926" s="49"/>
      <c r="D926" s="51" t="str">
        <f aca="false">IF(C926="","",IFERROR(INDEX('شجرة الحسابات'!$B$9:$B$208,MATCH(C926,'شجرة الحسابات'!$A$9:$A$208,0)),"⚠ حساب غير معرف"))</f>
        <v/>
      </c>
      <c r="E926" s="52"/>
      <c r="F926" s="52"/>
      <c r="G926" s="53"/>
      <c r="H926" s="53"/>
      <c r="I926" s="54" t="str">
        <f aca="false">IF(A926="",IF(M926="فارغ","","✖ بدون رقم قيد"),IF(COUNTIFS('قيود اليومية'!$A$11:$A$1010,A926,'قيود اليومية'!$M$11:$M$1010,"&lt;&gt;OK",'قيود اليومية'!$M$11:$M$1010,"&lt;&gt;فارغ")&gt;0,"✖ خطأ بالحساب",IF(ROUND(SUMIFS('قيود اليومية'!$G$11:$G$1010,'قيود اليومية'!$A$11:$A$1010,A926)-SUMIFS('قيود اليومية'!$H$11:$H$1010,'قيود اليومية'!$A$11:$A$1010,A926),2)&lt;&gt;0,"✖ غير متوازن","مرحل ✔")))</f>
        <v/>
      </c>
      <c r="J926" s="55" t="str">
        <f aca="false">IF(C926="","",IFERROR(INDEX('شجرة الحسابات'!$E$9:$E$208,MATCH(C926,'شجرة الحسابات'!$A$9:$A$208,0))&amp;"",""))</f>
        <v/>
      </c>
      <c r="K926" s="55" t="str">
        <f aca="false">IF(C926="","",IFERROR(INDEX('شجرة الحسابات'!$I$9:$I$208,MATCH(C926,'شجرة الحسابات'!$A$9:$A$208,0))&amp;"",""))</f>
        <v/>
      </c>
      <c r="L926" s="55" t="str">
        <f aca="false">IF(C926="","",IFERROR(INDEX('شجرة الحسابات'!$C$9:$C$208,MATCH(C926,'شجرة الحسابات'!$A$9:$A$208,0))&amp;"",""))</f>
        <v/>
      </c>
      <c r="M926" s="55" t="str">
        <f aca="false">IF(AND(C926="",G926="",H926=""),"فارغ",IF(ISNA(MATCH(C926,'شجرة الحسابات'!$A$9:$A$208,0)),"حساب غير معرف",IF(L926&lt;&gt;"تحليلي","حساب تجميعي",IF(AND(N(G926)&gt;0,N(H926)&gt;0),"مدين ودائن معاً",IF(N(G926)+N(H926)=0,"بدون قيمة","OK")))))</f>
        <v>فارغ</v>
      </c>
      <c r="N926" s="55" t="str">
        <f aca="false">IF(AND(E926&lt;&gt;"",E926='كشف حساب مشروع'!$C$6,I926="مرحل ✔"),COUNTIFS($E$11:E926,'كشف حساب مشروع'!$C$6,$I$11:I926,"مرحل ✔"),"")</f>
        <v/>
      </c>
      <c r="O926" s="55" t="str">
        <f aca="false">IF(AND(C926&lt;&gt;"",C926='دفتر الأستاذ'!$C$6,I926="مرحل ✔"),COUNTIFS($C$11:C926,'دفتر الأستاذ'!$C$6,$I$11:I926,"مرحل ✔"),"")</f>
        <v/>
      </c>
    </row>
    <row r="927" customFormat="false" ht="15" hidden="false" customHeight="false" outlineLevel="0" collapsed="false">
      <c r="A927" s="49"/>
      <c r="B927" s="50"/>
      <c r="C927" s="49"/>
      <c r="D927" s="51" t="str">
        <f aca="false">IF(C927="","",IFERROR(INDEX('شجرة الحسابات'!$B$9:$B$208,MATCH(C927,'شجرة الحسابات'!$A$9:$A$208,0)),"⚠ حساب غير معرف"))</f>
        <v/>
      </c>
      <c r="E927" s="52"/>
      <c r="F927" s="52"/>
      <c r="G927" s="53"/>
      <c r="H927" s="53"/>
      <c r="I927" s="54" t="str">
        <f aca="false">IF(A927="",IF(M927="فارغ","","✖ بدون رقم قيد"),IF(COUNTIFS('قيود اليومية'!$A$11:$A$1010,A927,'قيود اليومية'!$M$11:$M$1010,"&lt;&gt;OK",'قيود اليومية'!$M$11:$M$1010,"&lt;&gt;فارغ")&gt;0,"✖ خطأ بالحساب",IF(ROUND(SUMIFS('قيود اليومية'!$G$11:$G$1010,'قيود اليومية'!$A$11:$A$1010,A927)-SUMIFS('قيود اليومية'!$H$11:$H$1010,'قيود اليومية'!$A$11:$A$1010,A927),2)&lt;&gt;0,"✖ غير متوازن","مرحل ✔")))</f>
        <v/>
      </c>
      <c r="J927" s="55" t="str">
        <f aca="false">IF(C927="","",IFERROR(INDEX('شجرة الحسابات'!$E$9:$E$208,MATCH(C927,'شجرة الحسابات'!$A$9:$A$208,0))&amp;"",""))</f>
        <v/>
      </c>
      <c r="K927" s="55" t="str">
        <f aca="false">IF(C927="","",IFERROR(INDEX('شجرة الحسابات'!$I$9:$I$208,MATCH(C927,'شجرة الحسابات'!$A$9:$A$208,0))&amp;"",""))</f>
        <v/>
      </c>
      <c r="L927" s="55" t="str">
        <f aca="false">IF(C927="","",IFERROR(INDEX('شجرة الحسابات'!$C$9:$C$208,MATCH(C927,'شجرة الحسابات'!$A$9:$A$208,0))&amp;"",""))</f>
        <v/>
      </c>
      <c r="M927" s="55" t="str">
        <f aca="false">IF(AND(C927="",G927="",H927=""),"فارغ",IF(ISNA(MATCH(C927,'شجرة الحسابات'!$A$9:$A$208,0)),"حساب غير معرف",IF(L927&lt;&gt;"تحليلي","حساب تجميعي",IF(AND(N(G927)&gt;0,N(H927)&gt;0),"مدين ودائن معاً",IF(N(G927)+N(H927)=0,"بدون قيمة","OK")))))</f>
        <v>فارغ</v>
      </c>
      <c r="N927" s="55" t="str">
        <f aca="false">IF(AND(E927&lt;&gt;"",E927='كشف حساب مشروع'!$C$6,I927="مرحل ✔"),COUNTIFS($E$11:E927,'كشف حساب مشروع'!$C$6,$I$11:I927,"مرحل ✔"),"")</f>
        <v/>
      </c>
      <c r="O927" s="55" t="str">
        <f aca="false">IF(AND(C927&lt;&gt;"",C927='دفتر الأستاذ'!$C$6,I927="مرحل ✔"),COUNTIFS($C$11:C927,'دفتر الأستاذ'!$C$6,$I$11:I927,"مرحل ✔"),"")</f>
        <v/>
      </c>
    </row>
    <row r="928" customFormat="false" ht="15" hidden="false" customHeight="false" outlineLevel="0" collapsed="false">
      <c r="A928" s="49"/>
      <c r="B928" s="50"/>
      <c r="C928" s="49"/>
      <c r="D928" s="51" t="str">
        <f aca="false">IF(C928="","",IFERROR(INDEX('شجرة الحسابات'!$B$9:$B$208,MATCH(C928,'شجرة الحسابات'!$A$9:$A$208,0)),"⚠ حساب غير معرف"))</f>
        <v/>
      </c>
      <c r="E928" s="52"/>
      <c r="F928" s="52"/>
      <c r="G928" s="53"/>
      <c r="H928" s="53"/>
      <c r="I928" s="54" t="str">
        <f aca="false">IF(A928="",IF(M928="فارغ","","✖ بدون رقم قيد"),IF(COUNTIFS('قيود اليومية'!$A$11:$A$1010,A928,'قيود اليومية'!$M$11:$M$1010,"&lt;&gt;OK",'قيود اليومية'!$M$11:$M$1010,"&lt;&gt;فارغ")&gt;0,"✖ خطأ بالحساب",IF(ROUND(SUMIFS('قيود اليومية'!$G$11:$G$1010,'قيود اليومية'!$A$11:$A$1010,A928)-SUMIFS('قيود اليومية'!$H$11:$H$1010,'قيود اليومية'!$A$11:$A$1010,A928),2)&lt;&gt;0,"✖ غير متوازن","مرحل ✔")))</f>
        <v/>
      </c>
      <c r="J928" s="55" t="str">
        <f aca="false">IF(C928="","",IFERROR(INDEX('شجرة الحسابات'!$E$9:$E$208,MATCH(C928,'شجرة الحسابات'!$A$9:$A$208,0))&amp;"",""))</f>
        <v/>
      </c>
      <c r="K928" s="55" t="str">
        <f aca="false">IF(C928="","",IFERROR(INDEX('شجرة الحسابات'!$I$9:$I$208,MATCH(C928,'شجرة الحسابات'!$A$9:$A$208,0))&amp;"",""))</f>
        <v/>
      </c>
      <c r="L928" s="55" t="str">
        <f aca="false">IF(C928="","",IFERROR(INDEX('شجرة الحسابات'!$C$9:$C$208,MATCH(C928,'شجرة الحسابات'!$A$9:$A$208,0))&amp;"",""))</f>
        <v/>
      </c>
      <c r="M928" s="55" t="str">
        <f aca="false">IF(AND(C928="",G928="",H928=""),"فارغ",IF(ISNA(MATCH(C928,'شجرة الحسابات'!$A$9:$A$208,0)),"حساب غير معرف",IF(L928&lt;&gt;"تحليلي","حساب تجميعي",IF(AND(N(G928)&gt;0,N(H928)&gt;0),"مدين ودائن معاً",IF(N(G928)+N(H928)=0,"بدون قيمة","OK")))))</f>
        <v>فارغ</v>
      </c>
      <c r="N928" s="55" t="str">
        <f aca="false">IF(AND(E928&lt;&gt;"",E928='كشف حساب مشروع'!$C$6,I928="مرحل ✔"),COUNTIFS($E$11:E928,'كشف حساب مشروع'!$C$6,$I$11:I928,"مرحل ✔"),"")</f>
        <v/>
      </c>
      <c r="O928" s="55" t="str">
        <f aca="false">IF(AND(C928&lt;&gt;"",C928='دفتر الأستاذ'!$C$6,I928="مرحل ✔"),COUNTIFS($C$11:C928,'دفتر الأستاذ'!$C$6,$I$11:I928,"مرحل ✔"),"")</f>
        <v/>
      </c>
    </row>
    <row r="929" customFormat="false" ht="15" hidden="false" customHeight="false" outlineLevel="0" collapsed="false">
      <c r="A929" s="49"/>
      <c r="B929" s="50"/>
      <c r="C929" s="49"/>
      <c r="D929" s="51" t="str">
        <f aca="false">IF(C929="","",IFERROR(INDEX('شجرة الحسابات'!$B$9:$B$208,MATCH(C929,'شجرة الحسابات'!$A$9:$A$208,0)),"⚠ حساب غير معرف"))</f>
        <v/>
      </c>
      <c r="E929" s="52"/>
      <c r="F929" s="52"/>
      <c r="G929" s="53"/>
      <c r="H929" s="53"/>
      <c r="I929" s="54" t="str">
        <f aca="false">IF(A929="",IF(M929="فارغ","","✖ بدون رقم قيد"),IF(COUNTIFS('قيود اليومية'!$A$11:$A$1010,A929,'قيود اليومية'!$M$11:$M$1010,"&lt;&gt;OK",'قيود اليومية'!$M$11:$M$1010,"&lt;&gt;فارغ")&gt;0,"✖ خطأ بالحساب",IF(ROUND(SUMIFS('قيود اليومية'!$G$11:$G$1010,'قيود اليومية'!$A$11:$A$1010,A929)-SUMIFS('قيود اليومية'!$H$11:$H$1010,'قيود اليومية'!$A$11:$A$1010,A929),2)&lt;&gt;0,"✖ غير متوازن","مرحل ✔")))</f>
        <v/>
      </c>
      <c r="J929" s="55" t="str">
        <f aca="false">IF(C929="","",IFERROR(INDEX('شجرة الحسابات'!$E$9:$E$208,MATCH(C929,'شجرة الحسابات'!$A$9:$A$208,0))&amp;"",""))</f>
        <v/>
      </c>
      <c r="K929" s="55" t="str">
        <f aca="false">IF(C929="","",IFERROR(INDEX('شجرة الحسابات'!$I$9:$I$208,MATCH(C929,'شجرة الحسابات'!$A$9:$A$208,0))&amp;"",""))</f>
        <v/>
      </c>
      <c r="L929" s="55" t="str">
        <f aca="false">IF(C929="","",IFERROR(INDEX('شجرة الحسابات'!$C$9:$C$208,MATCH(C929,'شجرة الحسابات'!$A$9:$A$208,0))&amp;"",""))</f>
        <v/>
      </c>
      <c r="M929" s="55" t="str">
        <f aca="false">IF(AND(C929="",G929="",H929=""),"فارغ",IF(ISNA(MATCH(C929,'شجرة الحسابات'!$A$9:$A$208,0)),"حساب غير معرف",IF(L929&lt;&gt;"تحليلي","حساب تجميعي",IF(AND(N(G929)&gt;0,N(H929)&gt;0),"مدين ودائن معاً",IF(N(G929)+N(H929)=0,"بدون قيمة","OK")))))</f>
        <v>فارغ</v>
      </c>
      <c r="N929" s="55" t="str">
        <f aca="false">IF(AND(E929&lt;&gt;"",E929='كشف حساب مشروع'!$C$6,I929="مرحل ✔"),COUNTIFS($E$11:E929,'كشف حساب مشروع'!$C$6,$I$11:I929,"مرحل ✔"),"")</f>
        <v/>
      </c>
      <c r="O929" s="55" t="str">
        <f aca="false">IF(AND(C929&lt;&gt;"",C929='دفتر الأستاذ'!$C$6,I929="مرحل ✔"),COUNTIFS($C$11:C929,'دفتر الأستاذ'!$C$6,$I$11:I929,"مرحل ✔"),"")</f>
        <v/>
      </c>
    </row>
    <row r="930" customFormat="false" ht="15" hidden="false" customHeight="false" outlineLevel="0" collapsed="false">
      <c r="A930" s="49"/>
      <c r="B930" s="50"/>
      <c r="C930" s="49"/>
      <c r="D930" s="51" t="str">
        <f aca="false">IF(C930="","",IFERROR(INDEX('شجرة الحسابات'!$B$9:$B$208,MATCH(C930,'شجرة الحسابات'!$A$9:$A$208,0)),"⚠ حساب غير معرف"))</f>
        <v/>
      </c>
      <c r="E930" s="52"/>
      <c r="F930" s="52"/>
      <c r="G930" s="53"/>
      <c r="H930" s="53"/>
      <c r="I930" s="54" t="str">
        <f aca="false">IF(A930="",IF(M930="فارغ","","✖ بدون رقم قيد"),IF(COUNTIFS('قيود اليومية'!$A$11:$A$1010,A930,'قيود اليومية'!$M$11:$M$1010,"&lt;&gt;OK",'قيود اليومية'!$M$11:$M$1010,"&lt;&gt;فارغ")&gt;0,"✖ خطأ بالحساب",IF(ROUND(SUMIFS('قيود اليومية'!$G$11:$G$1010,'قيود اليومية'!$A$11:$A$1010,A930)-SUMIFS('قيود اليومية'!$H$11:$H$1010,'قيود اليومية'!$A$11:$A$1010,A930),2)&lt;&gt;0,"✖ غير متوازن","مرحل ✔")))</f>
        <v/>
      </c>
      <c r="J930" s="55" t="str">
        <f aca="false">IF(C930="","",IFERROR(INDEX('شجرة الحسابات'!$E$9:$E$208,MATCH(C930,'شجرة الحسابات'!$A$9:$A$208,0))&amp;"",""))</f>
        <v/>
      </c>
      <c r="K930" s="55" t="str">
        <f aca="false">IF(C930="","",IFERROR(INDEX('شجرة الحسابات'!$I$9:$I$208,MATCH(C930,'شجرة الحسابات'!$A$9:$A$208,0))&amp;"",""))</f>
        <v/>
      </c>
      <c r="L930" s="55" t="str">
        <f aca="false">IF(C930="","",IFERROR(INDEX('شجرة الحسابات'!$C$9:$C$208,MATCH(C930,'شجرة الحسابات'!$A$9:$A$208,0))&amp;"",""))</f>
        <v/>
      </c>
      <c r="M930" s="55" t="str">
        <f aca="false">IF(AND(C930="",G930="",H930=""),"فارغ",IF(ISNA(MATCH(C930,'شجرة الحسابات'!$A$9:$A$208,0)),"حساب غير معرف",IF(L930&lt;&gt;"تحليلي","حساب تجميعي",IF(AND(N(G930)&gt;0,N(H930)&gt;0),"مدين ودائن معاً",IF(N(G930)+N(H930)=0,"بدون قيمة","OK")))))</f>
        <v>فارغ</v>
      </c>
      <c r="N930" s="55" t="str">
        <f aca="false">IF(AND(E930&lt;&gt;"",E930='كشف حساب مشروع'!$C$6,I930="مرحل ✔"),COUNTIFS($E$11:E930,'كشف حساب مشروع'!$C$6,$I$11:I930,"مرحل ✔"),"")</f>
        <v/>
      </c>
      <c r="O930" s="55" t="str">
        <f aca="false">IF(AND(C930&lt;&gt;"",C930='دفتر الأستاذ'!$C$6,I930="مرحل ✔"),COUNTIFS($C$11:C930,'دفتر الأستاذ'!$C$6,$I$11:I930,"مرحل ✔"),"")</f>
        <v/>
      </c>
    </row>
    <row r="931" customFormat="false" ht="15" hidden="false" customHeight="false" outlineLevel="0" collapsed="false">
      <c r="A931" s="49"/>
      <c r="B931" s="50"/>
      <c r="C931" s="49"/>
      <c r="D931" s="51" t="str">
        <f aca="false">IF(C931="","",IFERROR(INDEX('شجرة الحسابات'!$B$9:$B$208,MATCH(C931,'شجرة الحسابات'!$A$9:$A$208,0)),"⚠ حساب غير معرف"))</f>
        <v/>
      </c>
      <c r="E931" s="52"/>
      <c r="F931" s="52"/>
      <c r="G931" s="53"/>
      <c r="H931" s="53"/>
      <c r="I931" s="54" t="str">
        <f aca="false">IF(A931="",IF(M931="فارغ","","✖ بدون رقم قيد"),IF(COUNTIFS('قيود اليومية'!$A$11:$A$1010,A931,'قيود اليومية'!$M$11:$M$1010,"&lt;&gt;OK",'قيود اليومية'!$M$11:$M$1010,"&lt;&gt;فارغ")&gt;0,"✖ خطأ بالحساب",IF(ROUND(SUMIFS('قيود اليومية'!$G$11:$G$1010,'قيود اليومية'!$A$11:$A$1010,A931)-SUMIFS('قيود اليومية'!$H$11:$H$1010,'قيود اليومية'!$A$11:$A$1010,A931),2)&lt;&gt;0,"✖ غير متوازن","مرحل ✔")))</f>
        <v/>
      </c>
      <c r="J931" s="55" t="str">
        <f aca="false">IF(C931="","",IFERROR(INDEX('شجرة الحسابات'!$E$9:$E$208,MATCH(C931,'شجرة الحسابات'!$A$9:$A$208,0))&amp;"",""))</f>
        <v/>
      </c>
      <c r="K931" s="55" t="str">
        <f aca="false">IF(C931="","",IFERROR(INDEX('شجرة الحسابات'!$I$9:$I$208,MATCH(C931,'شجرة الحسابات'!$A$9:$A$208,0))&amp;"",""))</f>
        <v/>
      </c>
      <c r="L931" s="55" t="str">
        <f aca="false">IF(C931="","",IFERROR(INDEX('شجرة الحسابات'!$C$9:$C$208,MATCH(C931,'شجرة الحسابات'!$A$9:$A$208,0))&amp;"",""))</f>
        <v/>
      </c>
      <c r="M931" s="55" t="str">
        <f aca="false">IF(AND(C931="",G931="",H931=""),"فارغ",IF(ISNA(MATCH(C931,'شجرة الحسابات'!$A$9:$A$208,0)),"حساب غير معرف",IF(L931&lt;&gt;"تحليلي","حساب تجميعي",IF(AND(N(G931)&gt;0,N(H931)&gt;0),"مدين ودائن معاً",IF(N(G931)+N(H931)=0,"بدون قيمة","OK")))))</f>
        <v>فارغ</v>
      </c>
      <c r="N931" s="55" t="str">
        <f aca="false">IF(AND(E931&lt;&gt;"",E931='كشف حساب مشروع'!$C$6,I931="مرحل ✔"),COUNTIFS($E$11:E931,'كشف حساب مشروع'!$C$6,$I$11:I931,"مرحل ✔"),"")</f>
        <v/>
      </c>
      <c r="O931" s="55" t="str">
        <f aca="false">IF(AND(C931&lt;&gt;"",C931='دفتر الأستاذ'!$C$6,I931="مرحل ✔"),COUNTIFS($C$11:C931,'دفتر الأستاذ'!$C$6,$I$11:I931,"مرحل ✔"),"")</f>
        <v/>
      </c>
    </row>
    <row r="932" customFormat="false" ht="15" hidden="false" customHeight="false" outlineLevel="0" collapsed="false">
      <c r="A932" s="49"/>
      <c r="B932" s="50"/>
      <c r="C932" s="49"/>
      <c r="D932" s="51" t="str">
        <f aca="false">IF(C932="","",IFERROR(INDEX('شجرة الحسابات'!$B$9:$B$208,MATCH(C932,'شجرة الحسابات'!$A$9:$A$208,0)),"⚠ حساب غير معرف"))</f>
        <v/>
      </c>
      <c r="E932" s="52"/>
      <c r="F932" s="52"/>
      <c r="G932" s="53"/>
      <c r="H932" s="53"/>
      <c r="I932" s="54" t="str">
        <f aca="false">IF(A932="",IF(M932="فارغ","","✖ بدون رقم قيد"),IF(COUNTIFS('قيود اليومية'!$A$11:$A$1010,A932,'قيود اليومية'!$M$11:$M$1010,"&lt;&gt;OK",'قيود اليومية'!$M$11:$M$1010,"&lt;&gt;فارغ")&gt;0,"✖ خطأ بالحساب",IF(ROUND(SUMIFS('قيود اليومية'!$G$11:$G$1010,'قيود اليومية'!$A$11:$A$1010,A932)-SUMIFS('قيود اليومية'!$H$11:$H$1010,'قيود اليومية'!$A$11:$A$1010,A932),2)&lt;&gt;0,"✖ غير متوازن","مرحل ✔")))</f>
        <v/>
      </c>
      <c r="J932" s="55" t="str">
        <f aca="false">IF(C932="","",IFERROR(INDEX('شجرة الحسابات'!$E$9:$E$208,MATCH(C932,'شجرة الحسابات'!$A$9:$A$208,0))&amp;"",""))</f>
        <v/>
      </c>
      <c r="K932" s="55" t="str">
        <f aca="false">IF(C932="","",IFERROR(INDEX('شجرة الحسابات'!$I$9:$I$208,MATCH(C932,'شجرة الحسابات'!$A$9:$A$208,0))&amp;"",""))</f>
        <v/>
      </c>
      <c r="L932" s="55" t="str">
        <f aca="false">IF(C932="","",IFERROR(INDEX('شجرة الحسابات'!$C$9:$C$208,MATCH(C932,'شجرة الحسابات'!$A$9:$A$208,0))&amp;"",""))</f>
        <v/>
      </c>
      <c r="M932" s="55" t="str">
        <f aca="false">IF(AND(C932="",G932="",H932=""),"فارغ",IF(ISNA(MATCH(C932,'شجرة الحسابات'!$A$9:$A$208,0)),"حساب غير معرف",IF(L932&lt;&gt;"تحليلي","حساب تجميعي",IF(AND(N(G932)&gt;0,N(H932)&gt;0),"مدين ودائن معاً",IF(N(G932)+N(H932)=0,"بدون قيمة","OK")))))</f>
        <v>فارغ</v>
      </c>
      <c r="N932" s="55" t="str">
        <f aca="false">IF(AND(E932&lt;&gt;"",E932='كشف حساب مشروع'!$C$6,I932="مرحل ✔"),COUNTIFS($E$11:E932,'كشف حساب مشروع'!$C$6,$I$11:I932,"مرحل ✔"),"")</f>
        <v/>
      </c>
      <c r="O932" s="55" t="str">
        <f aca="false">IF(AND(C932&lt;&gt;"",C932='دفتر الأستاذ'!$C$6,I932="مرحل ✔"),COUNTIFS($C$11:C932,'دفتر الأستاذ'!$C$6,$I$11:I932,"مرحل ✔"),"")</f>
        <v/>
      </c>
    </row>
    <row r="933" customFormat="false" ht="15" hidden="false" customHeight="false" outlineLevel="0" collapsed="false">
      <c r="A933" s="49"/>
      <c r="B933" s="50"/>
      <c r="C933" s="49"/>
      <c r="D933" s="51" t="str">
        <f aca="false">IF(C933="","",IFERROR(INDEX('شجرة الحسابات'!$B$9:$B$208,MATCH(C933,'شجرة الحسابات'!$A$9:$A$208,0)),"⚠ حساب غير معرف"))</f>
        <v/>
      </c>
      <c r="E933" s="52"/>
      <c r="F933" s="52"/>
      <c r="G933" s="53"/>
      <c r="H933" s="53"/>
      <c r="I933" s="54" t="str">
        <f aca="false">IF(A933="",IF(M933="فارغ","","✖ بدون رقم قيد"),IF(COUNTIFS('قيود اليومية'!$A$11:$A$1010,A933,'قيود اليومية'!$M$11:$M$1010,"&lt;&gt;OK",'قيود اليومية'!$M$11:$M$1010,"&lt;&gt;فارغ")&gt;0,"✖ خطأ بالحساب",IF(ROUND(SUMIFS('قيود اليومية'!$G$11:$G$1010,'قيود اليومية'!$A$11:$A$1010,A933)-SUMIFS('قيود اليومية'!$H$11:$H$1010,'قيود اليومية'!$A$11:$A$1010,A933),2)&lt;&gt;0,"✖ غير متوازن","مرحل ✔")))</f>
        <v/>
      </c>
      <c r="J933" s="55" t="str">
        <f aca="false">IF(C933="","",IFERROR(INDEX('شجرة الحسابات'!$E$9:$E$208,MATCH(C933,'شجرة الحسابات'!$A$9:$A$208,0))&amp;"",""))</f>
        <v/>
      </c>
      <c r="K933" s="55" t="str">
        <f aca="false">IF(C933="","",IFERROR(INDEX('شجرة الحسابات'!$I$9:$I$208,MATCH(C933,'شجرة الحسابات'!$A$9:$A$208,0))&amp;"",""))</f>
        <v/>
      </c>
      <c r="L933" s="55" t="str">
        <f aca="false">IF(C933="","",IFERROR(INDEX('شجرة الحسابات'!$C$9:$C$208,MATCH(C933,'شجرة الحسابات'!$A$9:$A$208,0))&amp;"",""))</f>
        <v/>
      </c>
      <c r="M933" s="55" t="str">
        <f aca="false">IF(AND(C933="",G933="",H933=""),"فارغ",IF(ISNA(MATCH(C933,'شجرة الحسابات'!$A$9:$A$208,0)),"حساب غير معرف",IF(L933&lt;&gt;"تحليلي","حساب تجميعي",IF(AND(N(G933)&gt;0,N(H933)&gt;0),"مدين ودائن معاً",IF(N(G933)+N(H933)=0,"بدون قيمة","OK")))))</f>
        <v>فارغ</v>
      </c>
      <c r="N933" s="55" t="str">
        <f aca="false">IF(AND(E933&lt;&gt;"",E933='كشف حساب مشروع'!$C$6,I933="مرحل ✔"),COUNTIFS($E$11:E933,'كشف حساب مشروع'!$C$6,$I$11:I933,"مرحل ✔"),"")</f>
        <v/>
      </c>
      <c r="O933" s="55" t="str">
        <f aca="false">IF(AND(C933&lt;&gt;"",C933='دفتر الأستاذ'!$C$6,I933="مرحل ✔"),COUNTIFS($C$11:C933,'دفتر الأستاذ'!$C$6,$I$11:I933,"مرحل ✔"),"")</f>
        <v/>
      </c>
    </row>
    <row r="934" customFormat="false" ht="15" hidden="false" customHeight="false" outlineLevel="0" collapsed="false">
      <c r="A934" s="49"/>
      <c r="B934" s="50"/>
      <c r="C934" s="49"/>
      <c r="D934" s="51" t="str">
        <f aca="false">IF(C934="","",IFERROR(INDEX('شجرة الحسابات'!$B$9:$B$208,MATCH(C934,'شجرة الحسابات'!$A$9:$A$208,0)),"⚠ حساب غير معرف"))</f>
        <v/>
      </c>
      <c r="E934" s="52"/>
      <c r="F934" s="52"/>
      <c r="G934" s="53"/>
      <c r="H934" s="53"/>
      <c r="I934" s="54" t="str">
        <f aca="false">IF(A934="",IF(M934="فارغ","","✖ بدون رقم قيد"),IF(COUNTIFS('قيود اليومية'!$A$11:$A$1010,A934,'قيود اليومية'!$M$11:$M$1010,"&lt;&gt;OK",'قيود اليومية'!$M$11:$M$1010,"&lt;&gt;فارغ")&gt;0,"✖ خطأ بالحساب",IF(ROUND(SUMIFS('قيود اليومية'!$G$11:$G$1010,'قيود اليومية'!$A$11:$A$1010,A934)-SUMIFS('قيود اليومية'!$H$11:$H$1010,'قيود اليومية'!$A$11:$A$1010,A934),2)&lt;&gt;0,"✖ غير متوازن","مرحل ✔")))</f>
        <v/>
      </c>
      <c r="J934" s="55" t="str">
        <f aca="false">IF(C934="","",IFERROR(INDEX('شجرة الحسابات'!$E$9:$E$208,MATCH(C934,'شجرة الحسابات'!$A$9:$A$208,0))&amp;"",""))</f>
        <v/>
      </c>
      <c r="K934" s="55" t="str">
        <f aca="false">IF(C934="","",IFERROR(INDEX('شجرة الحسابات'!$I$9:$I$208,MATCH(C934,'شجرة الحسابات'!$A$9:$A$208,0))&amp;"",""))</f>
        <v/>
      </c>
      <c r="L934" s="55" t="str">
        <f aca="false">IF(C934="","",IFERROR(INDEX('شجرة الحسابات'!$C$9:$C$208,MATCH(C934,'شجرة الحسابات'!$A$9:$A$208,0))&amp;"",""))</f>
        <v/>
      </c>
      <c r="M934" s="55" t="str">
        <f aca="false">IF(AND(C934="",G934="",H934=""),"فارغ",IF(ISNA(MATCH(C934,'شجرة الحسابات'!$A$9:$A$208,0)),"حساب غير معرف",IF(L934&lt;&gt;"تحليلي","حساب تجميعي",IF(AND(N(G934)&gt;0,N(H934)&gt;0),"مدين ودائن معاً",IF(N(G934)+N(H934)=0,"بدون قيمة","OK")))))</f>
        <v>فارغ</v>
      </c>
      <c r="N934" s="55" t="str">
        <f aca="false">IF(AND(E934&lt;&gt;"",E934='كشف حساب مشروع'!$C$6,I934="مرحل ✔"),COUNTIFS($E$11:E934,'كشف حساب مشروع'!$C$6,$I$11:I934,"مرحل ✔"),"")</f>
        <v/>
      </c>
      <c r="O934" s="55" t="str">
        <f aca="false">IF(AND(C934&lt;&gt;"",C934='دفتر الأستاذ'!$C$6,I934="مرحل ✔"),COUNTIFS($C$11:C934,'دفتر الأستاذ'!$C$6,$I$11:I934,"مرحل ✔"),"")</f>
        <v/>
      </c>
    </row>
    <row r="935" customFormat="false" ht="15" hidden="false" customHeight="false" outlineLevel="0" collapsed="false">
      <c r="A935" s="49"/>
      <c r="B935" s="50"/>
      <c r="C935" s="49"/>
      <c r="D935" s="51" t="str">
        <f aca="false">IF(C935="","",IFERROR(INDEX('شجرة الحسابات'!$B$9:$B$208,MATCH(C935,'شجرة الحسابات'!$A$9:$A$208,0)),"⚠ حساب غير معرف"))</f>
        <v/>
      </c>
      <c r="E935" s="52"/>
      <c r="F935" s="52"/>
      <c r="G935" s="53"/>
      <c r="H935" s="53"/>
      <c r="I935" s="54" t="str">
        <f aca="false">IF(A935="",IF(M935="فارغ","","✖ بدون رقم قيد"),IF(COUNTIFS('قيود اليومية'!$A$11:$A$1010,A935,'قيود اليومية'!$M$11:$M$1010,"&lt;&gt;OK",'قيود اليومية'!$M$11:$M$1010,"&lt;&gt;فارغ")&gt;0,"✖ خطأ بالحساب",IF(ROUND(SUMIFS('قيود اليومية'!$G$11:$G$1010,'قيود اليومية'!$A$11:$A$1010,A935)-SUMIFS('قيود اليومية'!$H$11:$H$1010,'قيود اليومية'!$A$11:$A$1010,A935),2)&lt;&gt;0,"✖ غير متوازن","مرحل ✔")))</f>
        <v/>
      </c>
      <c r="J935" s="55" t="str">
        <f aca="false">IF(C935="","",IFERROR(INDEX('شجرة الحسابات'!$E$9:$E$208,MATCH(C935,'شجرة الحسابات'!$A$9:$A$208,0))&amp;"",""))</f>
        <v/>
      </c>
      <c r="K935" s="55" t="str">
        <f aca="false">IF(C935="","",IFERROR(INDEX('شجرة الحسابات'!$I$9:$I$208,MATCH(C935,'شجرة الحسابات'!$A$9:$A$208,0))&amp;"",""))</f>
        <v/>
      </c>
      <c r="L935" s="55" t="str">
        <f aca="false">IF(C935="","",IFERROR(INDEX('شجرة الحسابات'!$C$9:$C$208,MATCH(C935,'شجرة الحسابات'!$A$9:$A$208,0))&amp;"",""))</f>
        <v/>
      </c>
      <c r="M935" s="55" t="str">
        <f aca="false">IF(AND(C935="",G935="",H935=""),"فارغ",IF(ISNA(MATCH(C935,'شجرة الحسابات'!$A$9:$A$208,0)),"حساب غير معرف",IF(L935&lt;&gt;"تحليلي","حساب تجميعي",IF(AND(N(G935)&gt;0,N(H935)&gt;0),"مدين ودائن معاً",IF(N(G935)+N(H935)=0,"بدون قيمة","OK")))))</f>
        <v>فارغ</v>
      </c>
      <c r="N935" s="55" t="str">
        <f aca="false">IF(AND(E935&lt;&gt;"",E935='كشف حساب مشروع'!$C$6,I935="مرحل ✔"),COUNTIFS($E$11:E935,'كشف حساب مشروع'!$C$6,$I$11:I935,"مرحل ✔"),"")</f>
        <v/>
      </c>
      <c r="O935" s="55" t="str">
        <f aca="false">IF(AND(C935&lt;&gt;"",C935='دفتر الأستاذ'!$C$6,I935="مرحل ✔"),COUNTIFS($C$11:C935,'دفتر الأستاذ'!$C$6,$I$11:I935,"مرحل ✔"),"")</f>
        <v/>
      </c>
    </row>
    <row r="936" customFormat="false" ht="15" hidden="false" customHeight="false" outlineLevel="0" collapsed="false">
      <c r="A936" s="49"/>
      <c r="B936" s="50"/>
      <c r="C936" s="49"/>
      <c r="D936" s="51" t="str">
        <f aca="false">IF(C936="","",IFERROR(INDEX('شجرة الحسابات'!$B$9:$B$208,MATCH(C936,'شجرة الحسابات'!$A$9:$A$208,0)),"⚠ حساب غير معرف"))</f>
        <v/>
      </c>
      <c r="E936" s="52"/>
      <c r="F936" s="52"/>
      <c r="G936" s="53"/>
      <c r="H936" s="53"/>
      <c r="I936" s="54" t="str">
        <f aca="false">IF(A936="",IF(M936="فارغ","","✖ بدون رقم قيد"),IF(COUNTIFS('قيود اليومية'!$A$11:$A$1010,A936,'قيود اليومية'!$M$11:$M$1010,"&lt;&gt;OK",'قيود اليومية'!$M$11:$M$1010,"&lt;&gt;فارغ")&gt;0,"✖ خطأ بالحساب",IF(ROUND(SUMIFS('قيود اليومية'!$G$11:$G$1010,'قيود اليومية'!$A$11:$A$1010,A936)-SUMIFS('قيود اليومية'!$H$11:$H$1010,'قيود اليومية'!$A$11:$A$1010,A936),2)&lt;&gt;0,"✖ غير متوازن","مرحل ✔")))</f>
        <v/>
      </c>
      <c r="J936" s="55" t="str">
        <f aca="false">IF(C936="","",IFERROR(INDEX('شجرة الحسابات'!$E$9:$E$208,MATCH(C936,'شجرة الحسابات'!$A$9:$A$208,0))&amp;"",""))</f>
        <v/>
      </c>
      <c r="K936" s="55" t="str">
        <f aca="false">IF(C936="","",IFERROR(INDEX('شجرة الحسابات'!$I$9:$I$208,MATCH(C936,'شجرة الحسابات'!$A$9:$A$208,0))&amp;"",""))</f>
        <v/>
      </c>
      <c r="L936" s="55" t="str">
        <f aca="false">IF(C936="","",IFERROR(INDEX('شجرة الحسابات'!$C$9:$C$208,MATCH(C936,'شجرة الحسابات'!$A$9:$A$208,0))&amp;"",""))</f>
        <v/>
      </c>
      <c r="M936" s="55" t="str">
        <f aca="false">IF(AND(C936="",G936="",H936=""),"فارغ",IF(ISNA(MATCH(C936,'شجرة الحسابات'!$A$9:$A$208,0)),"حساب غير معرف",IF(L936&lt;&gt;"تحليلي","حساب تجميعي",IF(AND(N(G936)&gt;0,N(H936)&gt;0),"مدين ودائن معاً",IF(N(G936)+N(H936)=0,"بدون قيمة","OK")))))</f>
        <v>فارغ</v>
      </c>
      <c r="N936" s="55" t="str">
        <f aca="false">IF(AND(E936&lt;&gt;"",E936='كشف حساب مشروع'!$C$6,I936="مرحل ✔"),COUNTIFS($E$11:E936,'كشف حساب مشروع'!$C$6,$I$11:I936,"مرحل ✔"),"")</f>
        <v/>
      </c>
      <c r="O936" s="55" t="str">
        <f aca="false">IF(AND(C936&lt;&gt;"",C936='دفتر الأستاذ'!$C$6,I936="مرحل ✔"),COUNTIFS($C$11:C936,'دفتر الأستاذ'!$C$6,$I$11:I936,"مرحل ✔"),"")</f>
        <v/>
      </c>
    </row>
    <row r="937" customFormat="false" ht="15" hidden="false" customHeight="false" outlineLevel="0" collapsed="false">
      <c r="A937" s="49"/>
      <c r="B937" s="50"/>
      <c r="C937" s="49"/>
      <c r="D937" s="51" t="str">
        <f aca="false">IF(C937="","",IFERROR(INDEX('شجرة الحسابات'!$B$9:$B$208,MATCH(C937,'شجرة الحسابات'!$A$9:$A$208,0)),"⚠ حساب غير معرف"))</f>
        <v/>
      </c>
      <c r="E937" s="52"/>
      <c r="F937" s="52"/>
      <c r="G937" s="53"/>
      <c r="H937" s="53"/>
      <c r="I937" s="54" t="str">
        <f aca="false">IF(A937="",IF(M937="فارغ","","✖ بدون رقم قيد"),IF(COUNTIFS('قيود اليومية'!$A$11:$A$1010,A937,'قيود اليومية'!$M$11:$M$1010,"&lt;&gt;OK",'قيود اليومية'!$M$11:$M$1010,"&lt;&gt;فارغ")&gt;0,"✖ خطأ بالحساب",IF(ROUND(SUMIFS('قيود اليومية'!$G$11:$G$1010,'قيود اليومية'!$A$11:$A$1010,A937)-SUMIFS('قيود اليومية'!$H$11:$H$1010,'قيود اليومية'!$A$11:$A$1010,A937),2)&lt;&gt;0,"✖ غير متوازن","مرحل ✔")))</f>
        <v/>
      </c>
      <c r="J937" s="55" t="str">
        <f aca="false">IF(C937="","",IFERROR(INDEX('شجرة الحسابات'!$E$9:$E$208,MATCH(C937,'شجرة الحسابات'!$A$9:$A$208,0))&amp;"",""))</f>
        <v/>
      </c>
      <c r="K937" s="55" t="str">
        <f aca="false">IF(C937="","",IFERROR(INDEX('شجرة الحسابات'!$I$9:$I$208,MATCH(C937,'شجرة الحسابات'!$A$9:$A$208,0))&amp;"",""))</f>
        <v/>
      </c>
      <c r="L937" s="55" t="str">
        <f aca="false">IF(C937="","",IFERROR(INDEX('شجرة الحسابات'!$C$9:$C$208,MATCH(C937,'شجرة الحسابات'!$A$9:$A$208,0))&amp;"",""))</f>
        <v/>
      </c>
      <c r="M937" s="55" t="str">
        <f aca="false">IF(AND(C937="",G937="",H937=""),"فارغ",IF(ISNA(MATCH(C937,'شجرة الحسابات'!$A$9:$A$208,0)),"حساب غير معرف",IF(L937&lt;&gt;"تحليلي","حساب تجميعي",IF(AND(N(G937)&gt;0,N(H937)&gt;0),"مدين ودائن معاً",IF(N(G937)+N(H937)=0,"بدون قيمة","OK")))))</f>
        <v>فارغ</v>
      </c>
      <c r="N937" s="55" t="str">
        <f aca="false">IF(AND(E937&lt;&gt;"",E937='كشف حساب مشروع'!$C$6,I937="مرحل ✔"),COUNTIFS($E$11:E937,'كشف حساب مشروع'!$C$6,$I$11:I937,"مرحل ✔"),"")</f>
        <v/>
      </c>
      <c r="O937" s="55" t="str">
        <f aca="false">IF(AND(C937&lt;&gt;"",C937='دفتر الأستاذ'!$C$6,I937="مرحل ✔"),COUNTIFS($C$11:C937,'دفتر الأستاذ'!$C$6,$I$11:I937,"مرحل ✔"),"")</f>
        <v/>
      </c>
    </row>
    <row r="938" customFormat="false" ht="15" hidden="false" customHeight="false" outlineLevel="0" collapsed="false">
      <c r="A938" s="49"/>
      <c r="B938" s="50"/>
      <c r="C938" s="49"/>
      <c r="D938" s="51" t="str">
        <f aca="false">IF(C938="","",IFERROR(INDEX('شجرة الحسابات'!$B$9:$B$208,MATCH(C938,'شجرة الحسابات'!$A$9:$A$208,0)),"⚠ حساب غير معرف"))</f>
        <v/>
      </c>
      <c r="E938" s="52"/>
      <c r="F938" s="52"/>
      <c r="G938" s="53"/>
      <c r="H938" s="53"/>
      <c r="I938" s="54" t="str">
        <f aca="false">IF(A938="",IF(M938="فارغ","","✖ بدون رقم قيد"),IF(COUNTIFS('قيود اليومية'!$A$11:$A$1010,A938,'قيود اليومية'!$M$11:$M$1010,"&lt;&gt;OK",'قيود اليومية'!$M$11:$M$1010,"&lt;&gt;فارغ")&gt;0,"✖ خطأ بالحساب",IF(ROUND(SUMIFS('قيود اليومية'!$G$11:$G$1010,'قيود اليومية'!$A$11:$A$1010,A938)-SUMIFS('قيود اليومية'!$H$11:$H$1010,'قيود اليومية'!$A$11:$A$1010,A938),2)&lt;&gt;0,"✖ غير متوازن","مرحل ✔")))</f>
        <v/>
      </c>
      <c r="J938" s="55" t="str">
        <f aca="false">IF(C938="","",IFERROR(INDEX('شجرة الحسابات'!$E$9:$E$208,MATCH(C938,'شجرة الحسابات'!$A$9:$A$208,0))&amp;"",""))</f>
        <v/>
      </c>
      <c r="K938" s="55" t="str">
        <f aca="false">IF(C938="","",IFERROR(INDEX('شجرة الحسابات'!$I$9:$I$208,MATCH(C938,'شجرة الحسابات'!$A$9:$A$208,0))&amp;"",""))</f>
        <v/>
      </c>
      <c r="L938" s="55" t="str">
        <f aca="false">IF(C938="","",IFERROR(INDEX('شجرة الحسابات'!$C$9:$C$208,MATCH(C938,'شجرة الحسابات'!$A$9:$A$208,0))&amp;"",""))</f>
        <v/>
      </c>
      <c r="M938" s="55" t="str">
        <f aca="false">IF(AND(C938="",G938="",H938=""),"فارغ",IF(ISNA(MATCH(C938,'شجرة الحسابات'!$A$9:$A$208,0)),"حساب غير معرف",IF(L938&lt;&gt;"تحليلي","حساب تجميعي",IF(AND(N(G938)&gt;0,N(H938)&gt;0),"مدين ودائن معاً",IF(N(G938)+N(H938)=0,"بدون قيمة","OK")))))</f>
        <v>فارغ</v>
      </c>
      <c r="N938" s="55" t="str">
        <f aca="false">IF(AND(E938&lt;&gt;"",E938='كشف حساب مشروع'!$C$6,I938="مرحل ✔"),COUNTIFS($E$11:E938,'كشف حساب مشروع'!$C$6,$I$11:I938,"مرحل ✔"),"")</f>
        <v/>
      </c>
      <c r="O938" s="55" t="str">
        <f aca="false">IF(AND(C938&lt;&gt;"",C938='دفتر الأستاذ'!$C$6,I938="مرحل ✔"),COUNTIFS($C$11:C938,'دفتر الأستاذ'!$C$6,$I$11:I938,"مرحل ✔"),"")</f>
        <v/>
      </c>
    </row>
    <row r="939" customFormat="false" ht="15" hidden="false" customHeight="false" outlineLevel="0" collapsed="false">
      <c r="A939" s="49"/>
      <c r="B939" s="50"/>
      <c r="C939" s="49"/>
      <c r="D939" s="51" t="str">
        <f aca="false">IF(C939="","",IFERROR(INDEX('شجرة الحسابات'!$B$9:$B$208,MATCH(C939,'شجرة الحسابات'!$A$9:$A$208,0)),"⚠ حساب غير معرف"))</f>
        <v/>
      </c>
      <c r="E939" s="52"/>
      <c r="F939" s="52"/>
      <c r="G939" s="53"/>
      <c r="H939" s="53"/>
      <c r="I939" s="54" t="str">
        <f aca="false">IF(A939="",IF(M939="فارغ","","✖ بدون رقم قيد"),IF(COUNTIFS('قيود اليومية'!$A$11:$A$1010,A939,'قيود اليومية'!$M$11:$M$1010,"&lt;&gt;OK",'قيود اليومية'!$M$11:$M$1010,"&lt;&gt;فارغ")&gt;0,"✖ خطأ بالحساب",IF(ROUND(SUMIFS('قيود اليومية'!$G$11:$G$1010,'قيود اليومية'!$A$11:$A$1010,A939)-SUMIFS('قيود اليومية'!$H$11:$H$1010,'قيود اليومية'!$A$11:$A$1010,A939),2)&lt;&gt;0,"✖ غير متوازن","مرحل ✔")))</f>
        <v/>
      </c>
      <c r="J939" s="55" t="str">
        <f aca="false">IF(C939="","",IFERROR(INDEX('شجرة الحسابات'!$E$9:$E$208,MATCH(C939,'شجرة الحسابات'!$A$9:$A$208,0))&amp;"",""))</f>
        <v/>
      </c>
      <c r="K939" s="55" t="str">
        <f aca="false">IF(C939="","",IFERROR(INDEX('شجرة الحسابات'!$I$9:$I$208,MATCH(C939,'شجرة الحسابات'!$A$9:$A$208,0))&amp;"",""))</f>
        <v/>
      </c>
      <c r="L939" s="55" t="str">
        <f aca="false">IF(C939="","",IFERROR(INDEX('شجرة الحسابات'!$C$9:$C$208,MATCH(C939,'شجرة الحسابات'!$A$9:$A$208,0))&amp;"",""))</f>
        <v/>
      </c>
      <c r="M939" s="55" t="str">
        <f aca="false">IF(AND(C939="",G939="",H939=""),"فارغ",IF(ISNA(MATCH(C939,'شجرة الحسابات'!$A$9:$A$208,0)),"حساب غير معرف",IF(L939&lt;&gt;"تحليلي","حساب تجميعي",IF(AND(N(G939)&gt;0,N(H939)&gt;0),"مدين ودائن معاً",IF(N(G939)+N(H939)=0,"بدون قيمة","OK")))))</f>
        <v>فارغ</v>
      </c>
      <c r="N939" s="55" t="str">
        <f aca="false">IF(AND(E939&lt;&gt;"",E939='كشف حساب مشروع'!$C$6,I939="مرحل ✔"),COUNTIFS($E$11:E939,'كشف حساب مشروع'!$C$6,$I$11:I939,"مرحل ✔"),"")</f>
        <v/>
      </c>
      <c r="O939" s="55" t="str">
        <f aca="false">IF(AND(C939&lt;&gt;"",C939='دفتر الأستاذ'!$C$6,I939="مرحل ✔"),COUNTIFS($C$11:C939,'دفتر الأستاذ'!$C$6,$I$11:I939,"مرحل ✔"),"")</f>
        <v/>
      </c>
    </row>
    <row r="940" customFormat="false" ht="15" hidden="false" customHeight="false" outlineLevel="0" collapsed="false">
      <c r="A940" s="49"/>
      <c r="B940" s="50"/>
      <c r="C940" s="49"/>
      <c r="D940" s="51" t="str">
        <f aca="false">IF(C940="","",IFERROR(INDEX('شجرة الحسابات'!$B$9:$B$208,MATCH(C940,'شجرة الحسابات'!$A$9:$A$208,0)),"⚠ حساب غير معرف"))</f>
        <v/>
      </c>
      <c r="E940" s="52"/>
      <c r="F940" s="52"/>
      <c r="G940" s="53"/>
      <c r="H940" s="53"/>
      <c r="I940" s="54" t="str">
        <f aca="false">IF(A940="",IF(M940="فارغ","","✖ بدون رقم قيد"),IF(COUNTIFS('قيود اليومية'!$A$11:$A$1010,A940,'قيود اليومية'!$M$11:$M$1010,"&lt;&gt;OK",'قيود اليومية'!$M$11:$M$1010,"&lt;&gt;فارغ")&gt;0,"✖ خطأ بالحساب",IF(ROUND(SUMIFS('قيود اليومية'!$G$11:$G$1010,'قيود اليومية'!$A$11:$A$1010,A940)-SUMIFS('قيود اليومية'!$H$11:$H$1010,'قيود اليومية'!$A$11:$A$1010,A940),2)&lt;&gt;0,"✖ غير متوازن","مرحل ✔")))</f>
        <v/>
      </c>
      <c r="J940" s="55" t="str">
        <f aca="false">IF(C940="","",IFERROR(INDEX('شجرة الحسابات'!$E$9:$E$208,MATCH(C940,'شجرة الحسابات'!$A$9:$A$208,0))&amp;"",""))</f>
        <v/>
      </c>
      <c r="K940" s="55" t="str">
        <f aca="false">IF(C940="","",IFERROR(INDEX('شجرة الحسابات'!$I$9:$I$208,MATCH(C940,'شجرة الحسابات'!$A$9:$A$208,0))&amp;"",""))</f>
        <v/>
      </c>
      <c r="L940" s="55" t="str">
        <f aca="false">IF(C940="","",IFERROR(INDEX('شجرة الحسابات'!$C$9:$C$208,MATCH(C940,'شجرة الحسابات'!$A$9:$A$208,0))&amp;"",""))</f>
        <v/>
      </c>
      <c r="M940" s="55" t="str">
        <f aca="false">IF(AND(C940="",G940="",H940=""),"فارغ",IF(ISNA(MATCH(C940,'شجرة الحسابات'!$A$9:$A$208,0)),"حساب غير معرف",IF(L940&lt;&gt;"تحليلي","حساب تجميعي",IF(AND(N(G940)&gt;0,N(H940)&gt;0),"مدين ودائن معاً",IF(N(G940)+N(H940)=0,"بدون قيمة","OK")))))</f>
        <v>فارغ</v>
      </c>
      <c r="N940" s="55" t="str">
        <f aca="false">IF(AND(E940&lt;&gt;"",E940='كشف حساب مشروع'!$C$6,I940="مرحل ✔"),COUNTIFS($E$11:E940,'كشف حساب مشروع'!$C$6,$I$11:I940,"مرحل ✔"),"")</f>
        <v/>
      </c>
      <c r="O940" s="55" t="str">
        <f aca="false">IF(AND(C940&lt;&gt;"",C940='دفتر الأستاذ'!$C$6,I940="مرحل ✔"),COUNTIFS($C$11:C940,'دفتر الأستاذ'!$C$6,$I$11:I940,"مرحل ✔"),"")</f>
        <v/>
      </c>
    </row>
    <row r="941" customFormat="false" ht="15" hidden="false" customHeight="false" outlineLevel="0" collapsed="false">
      <c r="A941" s="49"/>
      <c r="B941" s="50"/>
      <c r="C941" s="49"/>
      <c r="D941" s="51" t="str">
        <f aca="false">IF(C941="","",IFERROR(INDEX('شجرة الحسابات'!$B$9:$B$208,MATCH(C941,'شجرة الحسابات'!$A$9:$A$208,0)),"⚠ حساب غير معرف"))</f>
        <v/>
      </c>
      <c r="E941" s="52"/>
      <c r="F941" s="52"/>
      <c r="G941" s="53"/>
      <c r="H941" s="53"/>
      <c r="I941" s="54" t="str">
        <f aca="false">IF(A941="",IF(M941="فارغ","","✖ بدون رقم قيد"),IF(COUNTIFS('قيود اليومية'!$A$11:$A$1010,A941,'قيود اليومية'!$M$11:$M$1010,"&lt;&gt;OK",'قيود اليومية'!$M$11:$M$1010,"&lt;&gt;فارغ")&gt;0,"✖ خطأ بالحساب",IF(ROUND(SUMIFS('قيود اليومية'!$G$11:$G$1010,'قيود اليومية'!$A$11:$A$1010,A941)-SUMIFS('قيود اليومية'!$H$11:$H$1010,'قيود اليومية'!$A$11:$A$1010,A941),2)&lt;&gt;0,"✖ غير متوازن","مرحل ✔")))</f>
        <v/>
      </c>
      <c r="J941" s="55" t="str">
        <f aca="false">IF(C941="","",IFERROR(INDEX('شجرة الحسابات'!$E$9:$E$208,MATCH(C941,'شجرة الحسابات'!$A$9:$A$208,0))&amp;"",""))</f>
        <v/>
      </c>
      <c r="K941" s="55" t="str">
        <f aca="false">IF(C941="","",IFERROR(INDEX('شجرة الحسابات'!$I$9:$I$208,MATCH(C941,'شجرة الحسابات'!$A$9:$A$208,0))&amp;"",""))</f>
        <v/>
      </c>
      <c r="L941" s="55" t="str">
        <f aca="false">IF(C941="","",IFERROR(INDEX('شجرة الحسابات'!$C$9:$C$208,MATCH(C941,'شجرة الحسابات'!$A$9:$A$208,0))&amp;"",""))</f>
        <v/>
      </c>
      <c r="M941" s="55" t="str">
        <f aca="false">IF(AND(C941="",G941="",H941=""),"فارغ",IF(ISNA(MATCH(C941,'شجرة الحسابات'!$A$9:$A$208,0)),"حساب غير معرف",IF(L941&lt;&gt;"تحليلي","حساب تجميعي",IF(AND(N(G941)&gt;0,N(H941)&gt;0),"مدين ودائن معاً",IF(N(G941)+N(H941)=0,"بدون قيمة","OK")))))</f>
        <v>فارغ</v>
      </c>
      <c r="N941" s="55" t="str">
        <f aca="false">IF(AND(E941&lt;&gt;"",E941='كشف حساب مشروع'!$C$6,I941="مرحل ✔"),COUNTIFS($E$11:E941,'كشف حساب مشروع'!$C$6,$I$11:I941,"مرحل ✔"),"")</f>
        <v/>
      </c>
      <c r="O941" s="55" t="str">
        <f aca="false">IF(AND(C941&lt;&gt;"",C941='دفتر الأستاذ'!$C$6,I941="مرحل ✔"),COUNTIFS($C$11:C941,'دفتر الأستاذ'!$C$6,$I$11:I941,"مرحل ✔"),"")</f>
        <v/>
      </c>
    </row>
    <row r="942" customFormat="false" ht="15" hidden="false" customHeight="false" outlineLevel="0" collapsed="false">
      <c r="A942" s="49"/>
      <c r="B942" s="50"/>
      <c r="C942" s="49"/>
      <c r="D942" s="51" t="str">
        <f aca="false">IF(C942="","",IFERROR(INDEX('شجرة الحسابات'!$B$9:$B$208,MATCH(C942,'شجرة الحسابات'!$A$9:$A$208,0)),"⚠ حساب غير معرف"))</f>
        <v/>
      </c>
      <c r="E942" s="52"/>
      <c r="F942" s="52"/>
      <c r="G942" s="53"/>
      <c r="H942" s="53"/>
      <c r="I942" s="54" t="str">
        <f aca="false">IF(A942="",IF(M942="فارغ","","✖ بدون رقم قيد"),IF(COUNTIFS('قيود اليومية'!$A$11:$A$1010,A942,'قيود اليومية'!$M$11:$M$1010,"&lt;&gt;OK",'قيود اليومية'!$M$11:$M$1010,"&lt;&gt;فارغ")&gt;0,"✖ خطأ بالحساب",IF(ROUND(SUMIFS('قيود اليومية'!$G$11:$G$1010,'قيود اليومية'!$A$11:$A$1010,A942)-SUMIFS('قيود اليومية'!$H$11:$H$1010,'قيود اليومية'!$A$11:$A$1010,A942),2)&lt;&gt;0,"✖ غير متوازن","مرحل ✔")))</f>
        <v/>
      </c>
      <c r="J942" s="55" t="str">
        <f aca="false">IF(C942="","",IFERROR(INDEX('شجرة الحسابات'!$E$9:$E$208,MATCH(C942,'شجرة الحسابات'!$A$9:$A$208,0))&amp;"",""))</f>
        <v/>
      </c>
      <c r="K942" s="55" t="str">
        <f aca="false">IF(C942="","",IFERROR(INDEX('شجرة الحسابات'!$I$9:$I$208,MATCH(C942,'شجرة الحسابات'!$A$9:$A$208,0))&amp;"",""))</f>
        <v/>
      </c>
      <c r="L942" s="55" t="str">
        <f aca="false">IF(C942="","",IFERROR(INDEX('شجرة الحسابات'!$C$9:$C$208,MATCH(C942,'شجرة الحسابات'!$A$9:$A$208,0))&amp;"",""))</f>
        <v/>
      </c>
      <c r="M942" s="55" t="str">
        <f aca="false">IF(AND(C942="",G942="",H942=""),"فارغ",IF(ISNA(MATCH(C942,'شجرة الحسابات'!$A$9:$A$208,0)),"حساب غير معرف",IF(L942&lt;&gt;"تحليلي","حساب تجميعي",IF(AND(N(G942)&gt;0,N(H942)&gt;0),"مدين ودائن معاً",IF(N(G942)+N(H942)=0,"بدون قيمة","OK")))))</f>
        <v>فارغ</v>
      </c>
      <c r="N942" s="55" t="str">
        <f aca="false">IF(AND(E942&lt;&gt;"",E942='كشف حساب مشروع'!$C$6,I942="مرحل ✔"),COUNTIFS($E$11:E942,'كشف حساب مشروع'!$C$6,$I$11:I942,"مرحل ✔"),"")</f>
        <v/>
      </c>
      <c r="O942" s="55" t="str">
        <f aca="false">IF(AND(C942&lt;&gt;"",C942='دفتر الأستاذ'!$C$6,I942="مرحل ✔"),COUNTIFS($C$11:C942,'دفتر الأستاذ'!$C$6,$I$11:I942,"مرحل ✔"),"")</f>
        <v/>
      </c>
    </row>
    <row r="943" customFormat="false" ht="15" hidden="false" customHeight="false" outlineLevel="0" collapsed="false">
      <c r="A943" s="49"/>
      <c r="B943" s="50"/>
      <c r="C943" s="49"/>
      <c r="D943" s="51" t="str">
        <f aca="false">IF(C943="","",IFERROR(INDEX('شجرة الحسابات'!$B$9:$B$208,MATCH(C943,'شجرة الحسابات'!$A$9:$A$208,0)),"⚠ حساب غير معرف"))</f>
        <v/>
      </c>
      <c r="E943" s="52"/>
      <c r="F943" s="52"/>
      <c r="G943" s="53"/>
      <c r="H943" s="53"/>
      <c r="I943" s="54" t="str">
        <f aca="false">IF(A943="",IF(M943="فارغ","","✖ بدون رقم قيد"),IF(COUNTIFS('قيود اليومية'!$A$11:$A$1010,A943,'قيود اليومية'!$M$11:$M$1010,"&lt;&gt;OK",'قيود اليومية'!$M$11:$M$1010,"&lt;&gt;فارغ")&gt;0,"✖ خطأ بالحساب",IF(ROUND(SUMIFS('قيود اليومية'!$G$11:$G$1010,'قيود اليومية'!$A$11:$A$1010,A943)-SUMIFS('قيود اليومية'!$H$11:$H$1010,'قيود اليومية'!$A$11:$A$1010,A943),2)&lt;&gt;0,"✖ غير متوازن","مرحل ✔")))</f>
        <v/>
      </c>
      <c r="J943" s="55" t="str">
        <f aca="false">IF(C943="","",IFERROR(INDEX('شجرة الحسابات'!$E$9:$E$208,MATCH(C943,'شجرة الحسابات'!$A$9:$A$208,0))&amp;"",""))</f>
        <v/>
      </c>
      <c r="K943" s="55" t="str">
        <f aca="false">IF(C943="","",IFERROR(INDEX('شجرة الحسابات'!$I$9:$I$208,MATCH(C943,'شجرة الحسابات'!$A$9:$A$208,0))&amp;"",""))</f>
        <v/>
      </c>
      <c r="L943" s="55" t="str">
        <f aca="false">IF(C943="","",IFERROR(INDEX('شجرة الحسابات'!$C$9:$C$208,MATCH(C943,'شجرة الحسابات'!$A$9:$A$208,0))&amp;"",""))</f>
        <v/>
      </c>
      <c r="M943" s="55" t="str">
        <f aca="false">IF(AND(C943="",G943="",H943=""),"فارغ",IF(ISNA(MATCH(C943,'شجرة الحسابات'!$A$9:$A$208,0)),"حساب غير معرف",IF(L943&lt;&gt;"تحليلي","حساب تجميعي",IF(AND(N(G943)&gt;0,N(H943)&gt;0),"مدين ودائن معاً",IF(N(G943)+N(H943)=0,"بدون قيمة","OK")))))</f>
        <v>فارغ</v>
      </c>
      <c r="N943" s="55" t="str">
        <f aca="false">IF(AND(E943&lt;&gt;"",E943='كشف حساب مشروع'!$C$6,I943="مرحل ✔"),COUNTIFS($E$11:E943,'كشف حساب مشروع'!$C$6,$I$11:I943,"مرحل ✔"),"")</f>
        <v/>
      </c>
      <c r="O943" s="55" t="str">
        <f aca="false">IF(AND(C943&lt;&gt;"",C943='دفتر الأستاذ'!$C$6,I943="مرحل ✔"),COUNTIFS($C$11:C943,'دفتر الأستاذ'!$C$6,$I$11:I943,"مرحل ✔"),"")</f>
        <v/>
      </c>
    </row>
    <row r="944" customFormat="false" ht="15" hidden="false" customHeight="false" outlineLevel="0" collapsed="false">
      <c r="A944" s="49"/>
      <c r="B944" s="50"/>
      <c r="C944" s="49"/>
      <c r="D944" s="51" t="str">
        <f aca="false">IF(C944="","",IFERROR(INDEX('شجرة الحسابات'!$B$9:$B$208,MATCH(C944,'شجرة الحسابات'!$A$9:$A$208,0)),"⚠ حساب غير معرف"))</f>
        <v/>
      </c>
      <c r="E944" s="52"/>
      <c r="F944" s="52"/>
      <c r="G944" s="53"/>
      <c r="H944" s="53"/>
      <c r="I944" s="54" t="str">
        <f aca="false">IF(A944="",IF(M944="فارغ","","✖ بدون رقم قيد"),IF(COUNTIFS('قيود اليومية'!$A$11:$A$1010,A944,'قيود اليومية'!$M$11:$M$1010,"&lt;&gt;OK",'قيود اليومية'!$M$11:$M$1010,"&lt;&gt;فارغ")&gt;0,"✖ خطأ بالحساب",IF(ROUND(SUMIFS('قيود اليومية'!$G$11:$G$1010,'قيود اليومية'!$A$11:$A$1010,A944)-SUMIFS('قيود اليومية'!$H$11:$H$1010,'قيود اليومية'!$A$11:$A$1010,A944),2)&lt;&gt;0,"✖ غير متوازن","مرحل ✔")))</f>
        <v/>
      </c>
      <c r="J944" s="55" t="str">
        <f aca="false">IF(C944="","",IFERROR(INDEX('شجرة الحسابات'!$E$9:$E$208,MATCH(C944,'شجرة الحسابات'!$A$9:$A$208,0))&amp;"",""))</f>
        <v/>
      </c>
      <c r="K944" s="55" t="str">
        <f aca="false">IF(C944="","",IFERROR(INDEX('شجرة الحسابات'!$I$9:$I$208,MATCH(C944,'شجرة الحسابات'!$A$9:$A$208,0))&amp;"",""))</f>
        <v/>
      </c>
      <c r="L944" s="55" t="str">
        <f aca="false">IF(C944="","",IFERROR(INDEX('شجرة الحسابات'!$C$9:$C$208,MATCH(C944,'شجرة الحسابات'!$A$9:$A$208,0))&amp;"",""))</f>
        <v/>
      </c>
      <c r="M944" s="55" t="str">
        <f aca="false">IF(AND(C944="",G944="",H944=""),"فارغ",IF(ISNA(MATCH(C944,'شجرة الحسابات'!$A$9:$A$208,0)),"حساب غير معرف",IF(L944&lt;&gt;"تحليلي","حساب تجميعي",IF(AND(N(G944)&gt;0,N(H944)&gt;0),"مدين ودائن معاً",IF(N(G944)+N(H944)=0,"بدون قيمة","OK")))))</f>
        <v>فارغ</v>
      </c>
      <c r="N944" s="55" t="str">
        <f aca="false">IF(AND(E944&lt;&gt;"",E944='كشف حساب مشروع'!$C$6,I944="مرحل ✔"),COUNTIFS($E$11:E944,'كشف حساب مشروع'!$C$6,$I$11:I944,"مرحل ✔"),"")</f>
        <v/>
      </c>
      <c r="O944" s="55" t="str">
        <f aca="false">IF(AND(C944&lt;&gt;"",C944='دفتر الأستاذ'!$C$6,I944="مرحل ✔"),COUNTIFS($C$11:C944,'دفتر الأستاذ'!$C$6,$I$11:I944,"مرحل ✔"),"")</f>
        <v/>
      </c>
    </row>
    <row r="945" customFormat="false" ht="15" hidden="false" customHeight="false" outlineLevel="0" collapsed="false">
      <c r="A945" s="49"/>
      <c r="B945" s="50"/>
      <c r="C945" s="49"/>
      <c r="D945" s="51" t="str">
        <f aca="false">IF(C945="","",IFERROR(INDEX('شجرة الحسابات'!$B$9:$B$208,MATCH(C945,'شجرة الحسابات'!$A$9:$A$208,0)),"⚠ حساب غير معرف"))</f>
        <v/>
      </c>
      <c r="E945" s="52"/>
      <c r="F945" s="52"/>
      <c r="G945" s="53"/>
      <c r="H945" s="53"/>
      <c r="I945" s="54" t="str">
        <f aca="false">IF(A945="",IF(M945="فارغ","","✖ بدون رقم قيد"),IF(COUNTIFS('قيود اليومية'!$A$11:$A$1010,A945,'قيود اليومية'!$M$11:$M$1010,"&lt;&gt;OK",'قيود اليومية'!$M$11:$M$1010,"&lt;&gt;فارغ")&gt;0,"✖ خطأ بالحساب",IF(ROUND(SUMIFS('قيود اليومية'!$G$11:$G$1010,'قيود اليومية'!$A$11:$A$1010,A945)-SUMIFS('قيود اليومية'!$H$11:$H$1010,'قيود اليومية'!$A$11:$A$1010,A945),2)&lt;&gt;0,"✖ غير متوازن","مرحل ✔")))</f>
        <v/>
      </c>
      <c r="J945" s="55" t="str">
        <f aca="false">IF(C945="","",IFERROR(INDEX('شجرة الحسابات'!$E$9:$E$208,MATCH(C945,'شجرة الحسابات'!$A$9:$A$208,0))&amp;"",""))</f>
        <v/>
      </c>
      <c r="K945" s="55" t="str">
        <f aca="false">IF(C945="","",IFERROR(INDEX('شجرة الحسابات'!$I$9:$I$208,MATCH(C945,'شجرة الحسابات'!$A$9:$A$208,0))&amp;"",""))</f>
        <v/>
      </c>
      <c r="L945" s="55" t="str">
        <f aca="false">IF(C945="","",IFERROR(INDEX('شجرة الحسابات'!$C$9:$C$208,MATCH(C945,'شجرة الحسابات'!$A$9:$A$208,0))&amp;"",""))</f>
        <v/>
      </c>
      <c r="M945" s="55" t="str">
        <f aca="false">IF(AND(C945="",G945="",H945=""),"فارغ",IF(ISNA(MATCH(C945,'شجرة الحسابات'!$A$9:$A$208,0)),"حساب غير معرف",IF(L945&lt;&gt;"تحليلي","حساب تجميعي",IF(AND(N(G945)&gt;0,N(H945)&gt;0),"مدين ودائن معاً",IF(N(G945)+N(H945)=0,"بدون قيمة","OK")))))</f>
        <v>فارغ</v>
      </c>
      <c r="N945" s="55" t="str">
        <f aca="false">IF(AND(E945&lt;&gt;"",E945='كشف حساب مشروع'!$C$6,I945="مرحل ✔"),COUNTIFS($E$11:E945,'كشف حساب مشروع'!$C$6,$I$11:I945,"مرحل ✔"),"")</f>
        <v/>
      </c>
      <c r="O945" s="55" t="str">
        <f aca="false">IF(AND(C945&lt;&gt;"",C945='دفتر الأستاذ'!$C$6,I945="مرحل ✔"),COUNTIFS($C$11:C945,'دفتر الأستاذ'!$C$6,$I$11:I945,"مرحل ✔"),"")</f>
        <v/>
      </c>
    </row>
    <row r="946" customFormat="false" ht="15" hidden="false" customHeight="false" outlineLevel="0" collapsed="false">
      <c r="A946" s="49"/>
      <c r="B946" s="50"/>
      <c r="C946" s="49"/>
      <c r="D946" s="51" t="str">
        <f aca="false">IF(C946="","",IFERROR(INDEX('شجرة الحسابات'!$B$9:$B$208,MATCH(C946,'شجرة الحسابات'!$A$9:$A$208,0)),"⚠ حساب غير معرف"))</f>
        <v/>
      </c>
      <c r="E946" s="52"/>
      <c r="F946" s="52"/>
      <c r="G946" s="53"/>
      <c r="H946" s="53"/>
      <c r="I946" s="54" t="str">
        <f aca="false">IF(A946="",IF(M946="فارغ","","✖ بدون رقم قيد"),IF(COUNTIFS('قيود اليومية'!$A$11:$A$1010,A946,'قيود اليومية'!$M$11:$M$1010,"&lt;&gt;OK",'قيود اليومية'!$M$11:$M$1010,"&lt;&gt;فارغ")&gt;0,"✖ خطأ بالحساب",IF(ROUND(SUMIFS('قيود اليومية'!$G$11:$G$1010,'قيود اليومية'!$A$11:$A$1010,A946)-SUMIFS('قيود اليومية'!$H$11:$H$1010,'قيود اليومية'!$A$11:$A$1010,A946),2)&lt;&gt;0,"✖ غير متوازن","مرحل ✔")))</f>
        <v/>
      </c>
      <c r="J946" s="55" t="str">
        <f aca="false">IF(C946="","",IFERROR(INDEX('شجرة الحسابات'!$E$9:$E$208,MATCH(C946,'شجرة الحسابات'!$A$9:$A$208,0))&amp;"",""))</f>
        <v/>
      </c>
      <c r="K946" s="55" t="str">
        <f aca="false">IF(C946="","",IFERROR(INDEX('شجرة الحسابات'!$I$9:$I$208,MATCH(C946,'شجرة الحسابات'!$A$9:$A$208,0))&amp;"",""))</f>
        <v/>
      </c>
      <c r="L946" s="55" t="str">
        <f aca="false">IF(C946="","",IFERROR(INDEX('شجرة الحسابات'!$C$9:$C$208,MATCH(C946,'شجرة الحسابات'!$A$9:$A$208,0))&amp;"",""))</f>
        <v/>
      </c>
      <c r="M946" s="55" t="str">
        <f aca="false">IF(AND(C946="",G946="",H946=""),"فارغ",IF(ISNA(MATCH(C946,'شجرة الحسابات'!$A$9:$A$208,0)),"حساب غير معرف",IF(L946&lt;&gt;"تحليلي","حساب تجميعي",IF(AND(N(G946)&gt;0,N(H946)&gt;0),"مدين ودائن معاً",IF(N(G946)+N(H946)=0,"بدون قيمة","OK")))))</f>
        <v>فارغ</v>
      </c>
      <c r="N946" s="55" t="str">
        <f aca="false">IF(AND(E946&lt;&gt;"",E946='كشف حساب مشروع'!$C$6,I946="مرحل ✔"),COUNTIFS($E$11:E946,'كشف حساب مشروع'!$C$6,$I$11:I946,"مرحل ✔"),"")</f>
        <v/>
      </c>
      <c r="O946" s="55" t="str">
        <f aca="false">IF(AND(C946&lt;&gt;"",C946='دفتر الأستاذ'!$C$6,I946="مرحل ✔"),COUNTIFS($C$11:C946,'دفتر الأستاذ'!$C$6,$I$11:I946,"مرحل ✔"),"")</f>
        <v/>
      </c>
    </row>
    <row r="947" customFormat="false" ht="15" hidden="false" customHeight="false" outlineLevel="0" collapsed="false">
      <c r="A947" s="49"/>
      <c r="B947" s="50"/>
      <c r="C947" s="49"/>
      <c r="D947" s="51" t="str">
        <f aca="false">IF(C947="","",IFERROR(INDEX('شجرة الحسابات'!$B$9:$B$208,MATCH(C947,'شجرة الحسابات'!$A$9:$A$208,0)),"⚠ حساب غير معرف"))</f>
        <v/>
      </c>
      <c r="E947" s="52"/>
      <c r="F947" s="52"/>
      <c r="G947" s="53"/>
      <c r="H947" s="53"/>
      <c r="I947" s="54" t="str">
        <f aca="false">IF(A947="",IF(M947="فارغ","","✖ بدون رقم قيد"),IF(COUNTIFS('قيود اليومية'!$A$11:$A$1010,A947,'قيود اليومية'!$M$11:$M$1010,"&lt;&gt;OK",'قيود اليومية'!$M$11:$M$1010,"&lt;&gt;فارغ")&gt;0,"✖ خطأ بالحساب",IF(ROUND(SUMIFS('قيود اليومية'!$G$11:$G$1010,'قيود اليومية'!$A$11:$A$1010,A947)-SUMIFS('قيود اليومية'!$H$11:$H$1010,'قيود اليومية'!$A$11:$A$1010,A947),2)&lt;&gt;0,"✖ غير متوازن","مرحل ✔")))</f>
        <v/>
      </c>
      <c r="J947" s="55" t="str">
        <f aca="false">IF(C947="","",IFERROR(INDEX('شجرة الحسابات'!$E$9:$E$208,MATCH(C947,'شجرة الحسابات'!$A$9:$A$208,0))&amp;"",""))</f>
        <v/>
      </c>
      <c r="K947" s="55" t="str">
        <f aca="false">IF(C947="","",IFERROR(INDEX('شجرة الحسابات'!$I$9:$I$208,MATCH(C947,'شجرة الحسابات'!$A$9:$A$208,0))&amp;"",""))</f>
        <v/>
      </c>
      <c r="L947" s="55" t="str">
        <f aca="false">IF(C947="","",IFERROR(INDEX('شجرة الحسابات'!$C$9:$C$208,MATCH(C947,'شجرة الحسابات'!$A$9:$A$208,0))&amp;"",""))</f>
        <v/>
      </c>
      <c r="M947" s="55" t="str">
        <f aca="false">IF(AND(C947="",G947="",H947=""),"فارغ",IF(ISNA(MATCH(C947,'شجرة الحسابات'!$A$9:$A$208,0)),"حساب غير معرف",IF(L947&lt;&gt;"تحليلي","حساب تجميعي",IF(AND(N(G947)&gt;0,N(H947)&gt;0),"مدين ودائن معاً",IF(N(G947)+N(H947)=0,"بدون قيمة","OK")))))</f>
        <v>فارغ</v>
      </c>
      <c r="N947" s="55" t="str">
        <f aca="false">IF(AND(E947&lt;&gt;"",E947='كشف حساب مشروع'!$C$6,I947="مرحل ✔"),COUNTIFS($E$11:E947,'كشف حساب مشروع'!$C$6,$I$11:I947,"مرحل ✔"),"")</f>
        <v/>
      </c>
      <c r="O947" s="55" t="str">
        <f aca="false">IF(AND(C947&lt;&gt;"",C947='دفتر الأستاذ'!$C$6,I947="مرحل ✔"),COUNTIFS($C$11:C947,'دفتر الأستاذ'!$C$6,$I$11:I947,"مرحل ✔"),"")</f>
        <v/>
      </c>
    </row>
    <row r="948" customFormat="false" ht="15" hidden="false" customHeight="false" outlineLevel="0" collapsed="false">
      <c r="A948" s="49"/>
      <c r="B948" s="50"/>
      <c r="C948" s="49"/>
      <c r="D948" s="51" t="str">
        <f aca="false">IF(C948="","",IFERROR(INDEX('شجرة الحسابات'!$B$9:$B$208,MATCH(C948,'شجرة الحسابات'!$A$9:$A$208,0)),"⚠ حساب غير معرف"))</f>
        <v/>
      </c>
      <c r="E948" s="52"/>
      <c r="F948" s="52"/>
      <c r="G948" s="53"/>
      <c r="H948" s="53"/>
      <c r="I948" s="54" t="str">
        <f aca="false">IF(A948="",IF(M948="فارغ","","✖ بدون رقم قيد"),IF(COUNTIFS('قيود اليومية'!$A$11:$A$1010,A948,'قيود اليومية'!$M$11:$M$1010,"&lt;&gt;OK",'قيود اليومية'!$M$11:$M$1010,"&lt;&gt;فارغ")&gt;0,"✖ خطأ بالحساب",IF(ROUND(SUMIFS('قيود اليومية'!$G$11:$G$1010,'قيود اليومية'!$A$11:$A$1010,A948)-SUMIFS('قيود اليومية'!$H$11:$H$1010,'قيود اليومية'!$A$11:$A$1010,A948),2)&lt;&gt;0,"✖ غير متوازن","مرحل ✔")))</f>
        <v/>
      </c>
      <c r="J948" s="55" t="str">
        <f aca="false">IF(C948="","",IFERROR(INDEX('شجرة الحسابات'!$E$9:$E$208,MATCH(C948,'شجرة الحسابات'!$A$9:$A$208,0))&amp;"",""))</f>
        <v/>
      </c>
      <c r="K948" s="55" t="str">
        <f aca="false">IF(C948="","",IFERROR(INDEX('شجرة الحسابات'!$I$9:$I$208,MATCH(C948,'شجرة الحسابات'!$A$9:$A$208,0))&amp;"",""))</f>
        <v/>
      </c>
      <c r="L948" s="55" t="str">
        <f aca="false">IF(C948="","",IFERROR(INDEX('شجرة الحسابات'!$C$9:$C$208,MATCH(C948,'شجرة الحسابات'!$A$9:$A$208,0))&amp;"",""))</f>
        <v/>
      </c>
      <c r="M948" s="55" t="str">
        <f aca="false">IF(AND(C948="",G948="",H948=""),"فارغ",IF(ISNA(MATCH(C948,'شجرة الحسابات'!$A$9:$A$208,0)),"حساب غير معرف",IF(L948&lt;&gt;"تحليلي","حساب تجميعي",IF(AND(N(G948)&gt;0,N(H948)&gt;0),"مدين ودائن معاً",IF(N(G948)+N(H948)=0,"بدون قيمة","OK")))))</f>
        <v>فارغ</v>
      </c>
      <c r="N948" s="55" t="str">
        <f aca="false">IF(AND(E948&lt;&gt;"",E948='كشف حساب مشروع'!$C$6,I948="مرحل ✔"),COUNTIFS($E$11:E948,'كشف حساب مشروع'!$C$6,$I$11:I948,"مرحل ✔"),"")</f>
        <v/>
      </c>
      <c r="O948" s="55" t="str">
        <f aca="false">IF(AND(C948&lt;&gt;"",C948='دفتر الأستاذ'!$C$6,I948="مرحل ✔"),COUNTIFS($C$11:C948,'دفتر الأستاذ'!$C$6,$I$11:I948,"مرحل ✔"),"")</f>
        <v/>
      </c>
    </row>
    <row r="949" customFormat="false" ht="15" hidden="false" customHeight="false" outlineLevel="0" collapsed="false">
      <c r="A949" s="49"/>
      <c r="B949" s="50"/>
      <c r="C949" s="49"/>
      <c r="D949" s="51" t="str">
        <f aca="false">IF(C949="","",IFERROR(INDEX('شجرة الحسابات'!$B$9:$B$208,MATCH(C949,'شجرة الحسابات'!$A$9:$A$208,0)),"⚠ حساب غير معرف"))</f>
        <v/>
      </c>
      <c r="E949" s="52"/>
      <c r="F949" s="52"/>
      <c r="G949" s="53"/>
      <c r="H949" s="53"/>
      <c r="I949" s="54" t="str">
        <f aca="false">IF(A949="",IF(M949="فارغ","","✖ بدون رقم قيد"),IF(COUNTIFS('قيود اليومية'!$A$11:$A$1010,A949,'قيود اليومية'!$M$11:$M$1010,"&lt;&gt;OK",'قيود اليومية'!$M$11:$M$1010,"&lt;&gt;فارغ")&gt;0,"✖ خطأ بالحساب",IF(ROUND(SUMIFS('قيود اليومية'!$G$11:$G$1010,'قيود اليومية'!$A$11:$A$1010,A949)-SUMIFS('قيود اليومية'!$H$11:$H$1010,'قيود اليومية'!$A$11:$A$1010,A949),2)&lt;&gt;0,"✖ غير متوازن","مرحل ✔")))</f>
        <v/>
      </c>
      <c r="J949" s="55" t="str">
        <f aca="false">IF(C949="","",IFERROR(INDEX('شجرة الحسابات'!$E$9:$E$208,MATCH(C949,'شجرة الحسابات'!$A$9:$A$208,0))&amp;"",""))</f>
        <v/>
      </c>
      <c r="K949" s="55" t="str">
        <f aca="false">IF(C949="","",IFERROR(INDEX('شجرة الحسابات'!$I$9:$I$208,MATCH(C949,'شجرة الحسابات'!$A$9:$A$208,0))&amp;"",""))</f>
        <v/>
      </c>
      <c r="L949" s="55" t="str">
        <f aca="false">IF(C949="","",IFERROR(INDEX('شجرة الحسابات'!$C$9:$C$208,MATCH(C949,'شجرة الحسابات'!$A$9:$A$208,0))&amp;"",""))</f>
        <v/>
      </c>
      <c r="M949" s="55" t="str">
        <f aca="false">IF(AND(C949="",G949="",H949=""),"فارغ",IF(ISNA(MATCH(C949,'شجرة الحسابات'!$A$9:$A$208,0)),"حساب غير معرف",IF(L949&lt;&gt;"تحليلي","حساب تجميعي",IF(AND(N(G949)&gt;0,N(H949)&gt;0),"مدين ودائن معاً",IF(N(G949)+N(H949)=0,"بدون قيمة","OK")))))</f>
        <v>فارغ</v>
      </c>
      <c r="N949" s="55" t="str">
        <f aca="false">IF(AND(E949&lt;&gt;"",E949='كشف حساب مشروع'!$C$6,I949="مرحل ✔"),COUNTIFS($E$11:E949,'كشف حساب مشروع'!$C$6,$I$11:I949,"مرحل ✔"),"")</f>
        <v/>
      </c>
      <c r="O949" s="55" t="str">
        <f aca="false">IF(AND(C949&lt;&gt;"",C949='دفتر الأستاذ'!$C$6,I949="مرحل ✔"),COUNTIFS($C$11:C949,'دفتر الأستاذ'!$C$6,$I$11:I949,"مرحل ✔"),"")</f>
        <v/>
      </c>
    </row>
    <row r="950" customFormat="false" ht="15" hidden="false" customHeight="false" outlineLevel="0" collapsed="false">
      <c r="A950" s="49"/>
      <c r="B950" s="50"/>
      <c r="C950" s="49"/>
      <c r="D950" s="51" t="str">
        <f aca="false">IF(C950="","",IFERROR(INDEX('شجرة الحسابات'!$B$9:$B$208,MATCH(C950,'شجرة الحسابات'!$A$9:$A$208,0)),"⚠ حساب غير معرف"))</f>
        <v/>
      </c>
      <c r="E950" s="52"/>
      <c r="F950" s="52"/>
      <c r="G950" s="53"/>
      <c r="H950" s="53"/>
      <c r="I950" s="54" t="str">
        <f aca="false">IF(A950="",IF(M950="فارغ","","✖ بدون رقم قيد"),IF(COUNTIFS('قيود اليومية'!$A$11:$A$1010,A950,'قيود اليومية'!$M$11:$M$1010,"&lt;&gt;OK",'قيود اليومية'!$M$11:$M$1010,"&lt;&gt;فارغ")&gt;0,"✖ خطأ بالحساب",IF(ROUND(SUMIFS('قيود اليومية'!$G$11:$G$1010,'قيود اليومية'!$A$11:$A$1010,A950)-SUMIFS('قيود اليومية'!$H$11:$H$1010,'قيود اليومية'!$A$11:$A$1010,A950),2)&lt;&gt;0,"✖ غير متوازن","مرحل ✔")))</f>
        <v/>
      </c>
      <c r="J950" s="55" t="str">
        <f aca="false">IF(C950="","",IFERROR(INDEX('شجرة الحسابات'!$E$9:$E$208,MATCH(C950,'شجرة الحسابات'!$A$9:$A$208,0))&amp;"",""))</f>
        <v/>
      </c>
      <c r="K950" s="55" t="str">
        <f aca="false">IF(C950="","",IFERROR(INDEX('شجرة الحسابات'!$I$9:$I$208,MATCH(C950,'شجرة الحسابات'!$A$9:$A$208,0))&amp;"",""))</f>
        <v/>
      </c>
      <c r="L950" s="55" t="str">
        <f aca="false">IF(C950="","",IFERROR(INDEX('شجرة الحسابات'!$C$9:$C$208,MATCH(C950,'شجرة الحسابات'!$A$9:$A$208,0))&amp;"",""))</f>
        <v/>
      </c>
      <c r="M950" s="55" t="str">
        <f aca="false">IF(AND(C950="",G950="",H950=""),"فارغ",IF(ISNA(MATCH(C950,'شجرة الحسابات'!$A$9:$A$208,0)),"حساب غير معرف",IF(L950&lt;&gt;"تحليلي","حساب تجميعي",IF(AND(N(G950)&gt;0,N(H950)&gt;0),"مدين ودائن معاً",IF(N(G950)+N(H950)=0,"بدون قيمة","OK")))))</f>
        <v>فارغ</v>
      </c>
      <c r="N950" s="55" t="str">
        <f aca="false">IF(AND(E950&lt;&gt;"",E950='كشف حساب مشروع'!$C$6,I950="مرحل ✔"),COUNTIFS($E$11:E950,'كشف حساب مشروع'!$C$6,$I$11:I950,"مرحل ✔"),"")</f>
        <v/>
      </c>
      <c r="O950" s="55" t="str">
        <f aca="false">IF(AND(C950&lt;&gt;"",C950='دفتر الأستاذ'!$C$6,I950="مرحل ✔"),COUNTIFS($C$11:C950,'دفتر الأستاذ'!$C$6,$I$11:I950,"مرحل ✔"),"")</f>
        <v/>
      </c>
    </row>
    <row r="951" customFormat="false" ht="15" hidden="false" customHeight="false" outlineLevel="0" collapsed="false">
      <c r="A951" s="49"/>
      <c r="B951" s="50"/>
      <c r="C951" s="49"/>
      <c r="D951" s="51" t="str">
        <f aca="false">IF(C951="","",IFERROR(INDEX('شجرة الحسابات'!$B$9:$B$208,MATCH(C951,'شجرة الحسابات'!$A$9:$A$208,0)),"⚠ حساب غير معرف"))</f>
        <v/>
      </c>
      <c r="E951" s="52"/>
      <c r="F951" s="52"/>
      <c r="G951" s="53"/>
      <c r="H951" s="53"/>
      <c r="I951" s="54" t="str">
        <f aca="false">IF(A951="",IF(M951="فارغ","","✖ بدون رقم قيد"),IF(COUNTIFS('قيود اليومية'!$A$11:$A$1010,A951,'قيود اليومية'!$M$11:$M$1010,"&lt;&gt;OK",'قيود اليومية'!$M$11:$M$1010,"&lt;&gt;فارغ")&gt;0,"✖ خطأ بالحساب",IF(ROUND(SUMIFS('قيود اليومية'!$G$11:$G$1010,'قيود اليومية'!$A$11:$A$1010,A951)-SUMIFS('قيود اليومية'!$H$11:$H$1010,'قيود اليومية'!$A$11:$A$1010,A951),2)&lt;&gt;0,"✖ غير متوازن","مرحل ✔")))</f>
        <v/>
      </c>
      <c r="J951" s="55" t="str">
        <f aca="false">IF(C951="","",IFERROR(INDEX('شجرة الحسابات'!$E$9:$E$208,MATCH(C951,'شجرة الحسابات'!$A$9:$A$208,0))&amp;"",""))</f>
        <v/>
      </c>
      <c r="K951" s="55" t="str">
        <f aca="false">IF(C951="","",IFERROR(INDEX('شجرة الحسابات'!$I$9:$I$208,MATCH(C951,'شجرة الحسابات'!$A$9:$A$208,0))&amp;"",""))</f>
        <v/>
      </c>
      <c r="L951" s="55" t="str">
        <f aca="false">IF(C951="","",IFERROR(INDEX('شجرة الحسابات'!$C$9:$C$208,MATCH(C951,'شجرة الحسابات'!$A$9:$A$208,0))&amp;"",""))</f>
        <v/>
      </c>
      <c r="M951" s="55" t="str">
        <f aca="false">IF(AND(C951="",G951="",H951=""),"فارغ",IF(ISNA(MATCH(C951,'شجرة الحسابات'!$A$9:$A$208,0)),"حساب غير معرف",IF(L951&lt;&gt;"تحليلي","حساب تجميعي",IF(AND(N(G951)&gt;0,N(H951)&gt;0),"مدين ودائن معاً",IF(N(G951)+N(H951)=0,"بدون قيمة","OK")))))</f>
        <v>فارغ</v>
      </c>
      <c r="N951" s="55" t="str">
        <f aca="false">IF(AND(E951&lt;&gt;"",E951='كشف حساب مشروع'!$C$6,I951="مرحل ✔"),COUNTIFS($E$11:E951,'كشف حساب مشروع'!$C$6,$I$11:I951,"مرحل ✔"),"")</f>
        <v/>
      </c>
      <c r="O951" s="55" t="str">
        <f aca="false">IF(AND(C951&lt;&gt;"",C951='دفتر الأستاذ'!$C$6,I951="مرحل ✔"),COUNTIFS($C$11:C951,'دفتر الأستاذ'!$C$6,$I$11:I951,"مرحل ✔"),"")</f>
        <v/>
      </c>
    </row>
    <row r="952" customFormat="false" ht="15" hidden="false" customHeight="false" outlineLevel="0" collapsed="false">
      <c r="A952" s="49"/>
      <c r="B952" s="50"/>
      <c r="C952" s="49"/>
      <c r="D952" s="51" t="str">
        <f aca="false">IF(C952="","",IFERROR(INDEX('شجرة الحسابات'!$B$9:$B$208,MATCH(C952,'شجرة الحسابات'!$A$9:$A$208,0)),"⚠ حساب غير معرف"))</f>
        <v/>
      </c>
      <c r="E952" s="52"/>
      <c r="F952" s="52"/>
      <c r="G952" s="53"/>
      <c r="H952" s="53"/>
      <c r="I952" s="54" t="str">
        <f aca="false">IF(A952="",IF(M952="فارغ","","✖ بدون رقم قيد"),IF(COUNTIFS('قيود اليومية'!$A$11:$A$1010,A952,'قيود اليومية'!$M$11:$M$1010,"&lt;&gt;OK",'قيود اليومية'!$M$11:$M$1010,"&lt;&gt;فارغ")&gt;0,"✖ خطأ بالحساب",IF(ROUND(SUMIFS('قيود اليومية'!$G$11:$G$1010,'قيود اليومية'!$A$11:$A$1010,A952)-SUMIFS('قيود اليومية'!$H$11:$H$1010,'قيود اليومية'!$A$11:$A$1010,A952),2)&lt;&gt;0,"✖ غير متوازن","مرحل ✔")))</f>
        <v/>
      </c>
      <c r="J952" s="55" t="str">
        <f aca="false">IF(C952="","",IFERROR(INDEX('شجرة الحسابات'!$E$9:$E$208,MATCH(C952,'شجرة الحسابات'!$A$9:$A$208,0))&amp;"",""))</f>
        <v/>
      </c>
      <c r="K952" s="55" t="str">
        <f aca="false">IF(C952="","",IFERROR(INDEX('شجرة الحسابات'!$I$9:$I$208,MATCH(C952,'شجرة الحسابات'!$A$9:$A$208,0))&amp;"",""))</f>
        <v/>
      </c>
      <c r="L952" s="55" t="str">
        <f aca="false">IF(C952="","",IFERROR(INDEX('شجرة الحسابات'!$C$9:$C$208,MATCH(C952,'شجرة الحسابات'!$A$9:$A$208,0))&amp;"",""))</f>
        <v/>
      </c>
      <c r="M952" s="55" t="str">
        <f aca="false">IF(AND(C952="",G952="",H952=""),"فارغ",IF(ISNA(MATCH(C952,'شجرة الحسابات'!$A$9:$A$208,0)),"حساب غير معرف",IF(L952&lt;&gt;"تحليلي","حساب تجميعي",IF(AND(N(G952)&gt;0,N(H952)&gt;0),"مدين ودائن معاً",IF(N(G952)+N(H952)=0,"بدون قيمة","OK")))))</f>
        <v>فارغ</v>
      </c>
      <c r="N952" s="55" t="str">
        <f aca="false">IF(AND(E952&lt;&gt;"",E952='كشف حساب مشروع'!$C$6,I952="مرحل ✔"),COUNTIFS($E$11:E952,'كشف حساب مشروع'!$C$6,$I$11:I952,"مرحل ✔"),"")</f>
        <v/>
      </c>
      <c r="O952" s="55" t="str">
        <f aca="false">IF(AND(C952&lt;&gt;"",C952='دفتر الأستاذ'!$C$6,I952="مرحل ✔"),COUNTIFS($C$11:C952,'دفتر الأستاذ'!$C$6,$I$11:I952,"مرحل ✔"),"")</f>
        <v/>
      </c>
    </row>
    <row r="953" customFormat="false" ht="15" hidden="false" customHeight="false" outlineLevel="0" collapsed="false">
      <c r="A953" s="49"/>
      <c r="B953" s="50"/>
      <c r="C953" s="49"/>
      <c r="D953" s="51" t="str">
        <f aca="false">IF(C953="","",IFERROR(INDEX('شجرة الحسابات'!$B$9:$B$208,MATCH(C953,'شجرة الحسابات'!$A$9:$A$208,0)),"⚠ حساب غير معرف"))</f>
        <v/>
      </c>
      <c r="E953" s="52"/>
      <c r="F953" s="52"/>
      <c r="G953" s="53"/>
      <c r="H953" s="53"/>
      <c r="I953" s="54" t="str">
        <f aca="false">IF(A953="",IF(M953="فارغ","","✖ بدون رقم قيد"),IF(COUNTIFS('قيود اليومية'!$A$11:$A$1010,A953,'قيود اليومية'!$M$11:$M$1010,"&lt;&gt;OK",'قيود اليومية'!$M$11:$M$1010,"&lt;&gt;فارغ")&gt;0,"✖ خطأ بالحساب",IF(ROUND(SUMIFS('قيود اليومية'!$G$11:$G$1010,'قيود اليومية'!$A$11:$A$1010,A953)-SUMIFS('قيود اليومية'!$H$11:$H$1010,'قيود اليومية'!$A$11:$A$1010,A953),2)&lt;&gt;0,"✖ غير متوازن","مرحل ✔")))</f>
        <v/>
      </c>
      <c r="J953" s="55" t="str">
        <f aca="false">IF(C953="","",IFERROR(INDEX('شجرة الحسابات'!$E$9:$E$208,MATCH(C953,'شجرة الحسابات'!$A$9:$A$208,0))&amp;"",""))</f>
        <v/>
      </c>
      <c r="K953" s="55" t="str">
        <f aca="false">IF(C953="","",IFERROR(INDEX('شجرة الحسابات'!$I$9:$I$208,MATCH(C953,'شجرة الحسابات'!$A$9:$A$208,0))&amp;"",""))</f>
        <v/>
      </c>
      <c r="L953" s="55" t="str">
        <f aca="false">IF(C953="","",IFERROR(INDEX('شجرة الحسابات'!$C$9:$C$208,MATCH(C953,'شجرة الحسابات'!$A$9:$A$208,0))&amp;"",""))</f>
        <v/>
      </c>
      <c r="M953" s="55" t="str">
        <f aca="false">IF(AND(C953="",G953="",H953=""),"فارغ",IF(ISNA(MATCH(C953,'شجرة الحسابات'!$A$9:$A$208,0)),"حساب غير معرف",IF(L953&lt;&gt;"تحليلي","حساب تجميعي",IF(AND(N(G953)&gt;0,N(H953)&gt;0),"مدين ودائن معاً",IF(N(G953)+N(H953)=0,"بدون قيمة","OK")))))</f>
        <v>فارغ</v>
      </c>
      <c r="N953" s="55" t="str">
        <f aca="false">IF(AND(E953&lt;&gt;"",E953='كشف حساب مشروع'!$C$6,I953="مرحل ✔"),COUNTIFS($E$11:E953,'كشف حساب مشروع'!$C$6,$I$11:I953,"مرحل ✔"),"")</f>
        <v/>
      </c>
      <c r="O953" s="55" t="str">
        <f aca="false">IF(AND(C953&lt;&gt;"",C953='دفتر الأستاذ'!$C$6,I953="مرحل ✔"),COUNTIFS($C$11:C953,'دفتر الأستاذ'!$C$6,$I$11:I953,"مرحل ✔"),"")</f>
        <v/>
      </c>
    </row>
    <row r="954" customFormat="false" ht="15" hidden="false" customHeight="false" outlineLevel="0" collapsed="false">
      <c r="A954" s="49"/>
      <c r="B954" s="50"/>
      <c r="C954" s="49"/>
      <c r="D954" s="51" t="str">
        <f aca="false">IF(C954="","",IFERROR(INDEX('شجرة الحسابات'!$B$9:$B$208,MATCH(C954,'شجرة الحسابات'!$A$9:$A$208,0)),"⚠ حساب غير معرف"))</f>
        <v/>
      </c>
      <c r="E954" s="52"/>
      <c r="F954" s="52"/>
      <c r="G954" s="53"/>
      <c r="H954" s="53"/>
      <c r="I954" s="54" t="str">
        <f aca="false">IF(A954="",IF(M954="فارغ","","✖ بدون رقم قيد"),IF(COUNTIFS('قيود اليومية'!$A$11:$A$1010,A954,'قيود اليومية'!$M$11:$M$1010,"&lt;&gt;OK",'قيود اليومية'!$M$11:$M$1010,"&lt;&gt;فارغ")&gt;0,"✖ خطأ بالحساب",IF(ROUND(SUMIFS('قيود اليومية'!$G$11:$G$1010,'قيود اليومية'!$A$11:$A$1010,A954)-SUMIFS('قيود اليومية'!$H$11:$H$1010,'قيود اليومية'!$A$11:$A$1010,A954),2)&lt;&gt;0,"✖ غير متوازن","مرحل ✔")))</f>
        <v/>
      </c>
      <c r="J954" s="55" t="str">
        <f aca="false">IF(C954="","",IFERROR(INDEX('شجرة الحسابات'!$E$9:$E$208,MATCH(C954,'شجرة الحسابات'!$A$9:$A$208,0))&amp;"",""))</f>
        <v/>
      </c>
      <c r="K954" s="55" t="str">
        <f aca="false">IF(C954="","",IFERROR(INDEX('شجرة الحسابات'!$I$9:$I$208,MATCH(C954,'شجرة الحسابات'!$A$9:$A$208,0))&amp;"",""))</f>
        <v/>
      </c>
      <c r="L954" s="55" t="str">
        <f aca="false">IF(C954="","",IFERROR(INDEX('شجرة الحسابات'!$C$9:$C$208,MATCH(C954,'شجرة الحسابات'!$A$9:$A$208,0))&amp;"",""))</f>
        <v/>
      </c>
      <c r="M954" s="55" t="str">
        <f aca="false">IF(AND(C954="",G954="",H954=""),"فارغ",IF(ISNA(MATCH(C954,'شجرة الحسابات'!$A$9:$A$208,0)),"حساب غير معرف",IF(L954&lt;&gt;"تحليلي","حساب تجميعي",IF(AND(N(G954)&gt;0,N(H954)&gt;0),"مدين ودائن معاً",IF(N(G954)+N(H954)=0,"بدون قيمة","OK")))))</f>
        <v>فارغ</v>
      </c>
      <c r="N954" s="55" t="str">
        <f aca="false">IF(AND(E954&lt;&gt;"",E954='كشف حساب مشروع'!$C$6,I954="مرحل ✔"),COUNTIFS($E$11:E954,'كشف حساب مشروع'!$C$6,$I$11:I954,"مرحل ✔"),"")</f>
        <v/>
      </c>
      <c r="O954" s="55" t="str">
        <f aca="false">IF(AND(C954&lt;&gt;"",C954='دفتر الأستاذ'!$C$6,I954="مرحل ✔"),COUNTIFS($C$11:C954,'دفتر الأستاذ'!$C$6,$I$11:I954,"مرحل ✔"),"")</f>
        <v/>
      </c>
    </row>
    <row r="955" customFormat="false" ht="15" hidden="false" customHeight="false" outlineLevel="0" collapsed="false">
      <c r="A955" s="49"/>
      <c r="B955" s="50"/>
      <c r="C955" s="49"/>
      <c r="D955" s="51" t="str">
        <f aca="false">IF(C955="","",IFERROR(INDEX('شجرة الحسابات'!$B$9:$B$208,MATCH(C955,'شجرة الحسابات'!$A$9:$A$208,0)),"⚠ حساب غير معرف"))</f>
        <v/>
      </c>
      <c r="E955" s="52"/>
      <c r="F955" s="52"/>
      <c r="G955" s="53"/>
      <c r="H955" s="53"/>
      <c r="I955" s="54" t="str">
        <f aca="false">IF(A955="",IF(M955="فارغ","","✖ بدون رقم قيد"),IF(COUNTIFS('قيود اليومية'!$A$11:$A$1010,A955,'قيود اليومية'!$M$11:$M$1010,"&lt;&gt;OK",'قيود اليومية'!$M$11:$M$1010,"&lt;&gt;فارغ")&gt;0,"✖ خطأ بالحساب",IF(ROUND(SUMIFS('قيود اليومية'!$G$11:$G$1010,'قيود اليومية'!$A$11:$A$1010,A955)-SUMIFS('قيود اليومية'!$H$11:$H$1010,'قيود اليومية'!$A$11:$A$1010,A955),2)&lt;&gt;0,"✖ غير متوازن","مرحل ✔")))</f>
        <v/>
      </c>
      <c r="J955" s="55" t="str">
        <f aca="false">IF(C955="","",IFERROR(INDEX('شجرة الحسابات'!$E$9:$E$208,MATCH(C955,'شجرة الحسابات'!$A$9:$A$208,0))&amp;"",""))</f>
        <v/>
      </c>
      <c r="K955" s="55" t="str">
        <f aca="false">IF(C955="","",IFERROR(INDEX('شجرة الحسابات'!$I$9:$I$208,MATCH(C955,'شجرة الحسابات'!$A$9:$A$208,0))&amp;"",""))</f>
        <v/>
      </c>
      <c r="L955" s="55" t="str">
        <f aca="false">IF(C955="","",IFERROR(INDEX('شجرة الحسابات'!$C$9:$C$208,MATCH(C955,'شجرة الحسابات'!$A$9:$A$208,0))&amp;"",""))</f>
        <v/>
      </c>
      <c r="M955" s="55" t="str">
        <f aca="false">IF(AND(C955="",G955="",H955=""),"فارغ",IF(ISNA(MATCH(C955,'شجرة الحسابات'!$A$9:$A$208,0)),"حساب غير معرف",IF(L955&lt;&gt;"تحليلي","حساب تجميعي",IF(AND(N(G955)&gt;0,N(H955)&gt;0),"مدين ودائن معاً",IF(N(G955)+N(H955)=0,"بدون قيمة","OK")))))</f>
        <v>فارغ</v>
      </c>
      <c r="N955" s="55" t="str">
        <f aca="false">IF(AND(E955&lt;&gt;"",E955='كشف حساب مشروع'!$C$6,I955="مرحل ✔"),COUNTIFS($E$11:E955,'كشف حساب مشروع'!$C$6,$I$11:I955,"مرحل ✔"),"")</f>
        <v/>
      </c>
      <c r="O955" s="55" t="str">
        <f aca="false">IF(AND(C955&lt;&gt;"",C955='دفتر الأستاذ'!$C$6,I955="مرحل ✔"),COUNTIFS($C$11:C955,'دفتر الأستاذ'!$C$6,$I$11:I955,"مرحل ✔"),"")</f>
        <v/>
      </c>
    </row>
    <row r="956" customFormat="false" ht="15" hidden="false" customHeight="false" outlineLevel="0" collapsed="false">
      <c r="A956" s="49"/>
      <c r="B956" s="50"/>
      <c r="C956" s="49"/>
      <c r="D956" s="51" t="str">
        <f aca="false">IF(C956="","",IFERROR(INDEX('شجرة الحسابات'!$B$9:$B$208,MATCH(C956,'شجرة الحسابات'!$A$9:$A$208,0)),"⚠ حساب غير معرف"))</f>
        <v/>
      </c>
      <c r="E956" s="52"/>
      <c r="F956" s="52"/>
      <c r="G956" s="53"/>
      <c r="H956" s="53"/>
      <c r="I956" s="54" t="str">
        <f aca="false">IF(A956="",IF(M956="فارغ","","✖ بدون رقم قيد"),IF(COUNTIFS('قيود اليومية'!$A$11:$A$1010,A956,'قيود اليومية'!$M$11:$M$1010,"&lt;&gt;OK",'قيود اليومية'!$M$11:$M$1010,"&lt;&gt;فارغ")&gt;0,"✖ خطأ بالحساب",IF(ROUND(SUMIFS('قيود اليومية'!$G$11:$G$1010,'قيود اليومية'!$A$11:$A$1010,A956)-SUMIFS('قيود اليومية'!$H$11:$H$1010,'قيود اليومية'!$A$11:$A$1010,A956),2)&lt;&gt;0,"✖ غير متوازن","مرحل ✔")))</f>
        <v/>
      </c>
      <c r="J956" s="55" t="str">
        <f aca="false">IF(C956="","",IFERROR(INDEX('شجرة الحسابات'!$E$9:$E$208,MATCH(C956,'شجرة الحسابات'!$A$9:$A$208,0))&amp;"",""))</f>
        <v/>
      </c>
      <c r="K956" s="55" t="str">
        <f aca="false">IF(C956="","",IFERROR(INDEX('شجرة الحسابات'!$I$9:$I$208,MATCH(C956,'شجرة الحسابات'!$A$9:$A$208,0))&amp;"",""))</f>
        <v/>
      </c>
      <c r="L956" s="55" t="str">
        <f aca="false">IF(C956="","",IFERROR(INDEX('شجرة الحسابات'!$C$9:$C$208,MATCH(C956,'شجرة الحسابات'!$A$9:$A$208,0))&amp;"",""))</f>
        <v/>
      </c>
      <c r="M956" s="55" t="str">
        <f aca="false">IF(AND(C956="",G956="",H956=""),"فارغ",IF(ISNA(MATCH(C956,'شجرة الحسابات'!$A$9:$A$208,0)),"حساب غير معرف",IF(L956&lt;&gt;"تحليلي","حساب تجميعي",IF(AND(N(G956)&gt;0,N(H956)&gt;0),"مدين ودائن معاً",IF(N(G956)+N(H956)=0,"بدون قيمة","OK")))))</f>
        <v>فارغ</v>
      </c>
      <c r="N956" s="55" t="str">
        <f aca="false">IF(AND(E956&lt;&gt;"",E956='كشف حساب مشروع'!$C$6,I956="مرحل ✔"),COUNTIFS($E$11:E956,'كشف حساب مشروع'!$C$6,$I$11:I956,"مرحل ✔"),"")</f>
        <v/>
      </c>
      <c r="O956" s="55" t="str">
        <f aca="false">IF(AND(C956&lt;&gt;"",C956='دفتر الأستاذ'!$C$6,I956="مرحل ✔"),COUNTIFS($C$11:C956,'دفتر الأستاذ'!$C$6,$I$11:I956,"مرحل ✔"),"")</f>
        <v/>
      </c>
    </row>
    <row r="957" customFormat="false" ht="15" hidden="false" customHeight="false" outlineLevel="0" collapsed="false">
      <c r="A957" s="49"/>
      <c r="B957" s="50"/>
      <c r="C957" s="49"/>
      <c r="D957" s="51" t="str">
        <f aca="false">IF(C957="","",IFERROR(INDEX('شجرة الحسابات'!$B$9:$B$208,MATCH(C957,'شجرة الحسابات'!$A$9:$A$208,0)),"⚠ حساب غير معرف"))</f>
        <v/>
      </c>
      <c r="E957" s="52"/>
      <c r="F957" s="52"/>
      <c r="G957" s="53"/>
      <c r="H957" s="53"/>
      <c r="I957" s="54" t="str">
        <f aca="false">IF(A957="",IF(M957="فارغ","","✖ بدون رقم قيد"),IF(COUNTIFS('قيود اليومية'!$A$11:$A$1010,A957,'قيود اليومية'!$M$11:$M$1010,"&lt;&gt;OK",'قيود اليومية'!$M$11:$M$1010,"&lt;&gt;فارغ")&gt;0,"✖ خطأ بالحساب",IF(ROUND(SUMIFS('قيود اليومية'!$G$11:$G$1010,'قيود اليومية'!$A$11:$A$1010,A957)-SUMIFS('قيود اليومية'!$H$11:$H$1010,'قيود اليومية'!$A$11:$A$1010,A957),2)&lt;&gt;0,"✖ غير متوازن","مرحل ✔")))</f>
        <v/>
      </c>
      <c r="J957" s="55" t="str">
        <f aca="false">IF(C957="","",IFERROR(INDEX('شجرة الحسابات'!$E$9:$E$208,MATCH(C957,'شجرة الحسابات'!$A$9:$A$208,0))&amp;"",""))</f>
        <v/>
      </c>
      <c r="K957" s="55" t="str">
        <f aca="false">IF(C957="","",IFERROR(INDEX('شجرة الحسابات'!$I$9:$I$208,MATCH(C957,'شجرة الحسابات'!$A$9:$A$208,0))&amp;"",""))</f>
        <v/>
      </c>
      <c r="L957" s="55" t="str">
        <f aca="false">IF(C957="","",IFERROR(INDEX('شجرة الحسابات'!$C$9:$C$208,MATCH(C957,'شجرة الحسابات'!$A$9:$A$208,0))&amp;"",""))</f>
        <v/>
      </c>
      <c r="M957" s="55" t="str">
        <f aca="false">IF(AND(C957="",G957="",H957=""),"فارغ",IF(ISNA(MATCH(C957,'شجرة الحسابات'!$A$9:$A$208,0)),"حساب غير معرف",IF(L957&lt;&gt;"تحليلي","حساب تجميعي",IF(AND(N(G957)&gt;0,N(H957)&gt;0),"مدين ودائن معاً",IF(N(G957)+N(H957)=0,"بدون قيمة","OK")))))</f>
        <v>فارغ</v>
      </c>
      <c r="N957" s="55" t="str">
        <f aca="false">IF(AND(E957&lt;&gt;"",E957='كشف حساب مشروع'!$C$6,I957="مرحل ✔"),COUNTIFS($E$11:E957,'كشف حساب مشروع'!$C$6,$I$11:I957,"مرحل ✔"),"")</f>
        <v/>
      </c>
      <c r="O957" s="55" t="str">
        <f aca="false">IF(AND(C957&lt;&gt;"",C957='دفتر الأستاذ'!$C$6,I957="مرحل ✔"),COUNTIFS($C$11:C957,'دفتر الأستاذ'!$C$6,$I$11:I957,"مرحل ✔"),"")</f>
        <v/>
      </c>
    </row>
    <row r="958" customFormat="false" ht="15" hidden="false" customHeight="false" outlineLevel="0" collapsed="false">
      <c r="A958" s="49"/>
      <c r="B958" s="50"/>
      <c r="C958" s="49"/>
      <c r="D958" s="51" t="str">
        <f aca="false">IF(C958="","",IFERROR(INDEX('شجرة الحسابات'!$B$9:$B$208,MATCH(C958,'شجرة الحسابات'!$A$9:$A$208,0)),"⚠ حساب غير معرف"))</f>
        <v/>
      </c>
      <c r="E958" s="52"/>
      <c r="F958" s="52"/>
      <c r="G958" s="53"/>
      <c r="H958" s="53"/>
      <c r="I958" s="54" t="str">
        <f aca="false">IF(A958="",IF(M958="فارغ","","✖ بدون رقم قيد"),IF(COUNTIFS('قيود اليومية'!$A$11:$A$1010,A958,'قيود اليومية'!$M$11:$M$1010,"&lt;&gt;OK",'قيود اليومية'!$M$11:$M$1010,"&lt;&gt;فارغ")&gt;0,"✖ خطأ بالحساب",IF(ROUND(SUMIFS('قيود اليومية'!$G$11:$G$1010,'قيود اليومية'!$A$11:$A$1010,A958)-SUMIFS('قيود اليومية'!$H$11:$H$1010,'قيود اليومية'!$A$11:$A$1010,A958),2)&lt;&gt;0,"✖ غير متوازن","مرحل ✔")))</f>
        <v/>
      </c>
      <c r="J958" s="55" t="str">
        <f aca="false">IF(C958="","",IFERROR(INDEX('شجرة الحسابات'!$E$9:$E$208,MATCH(C958,'شجرة الحسابات'!$A$9:$A$208,0))&amp;"",""))</f>
        <v/>
      </c>
      <c r="K958" s="55" t="str">
        <f aca="false">IF(C958="","",IFERROR(INDEX('شجرة الحسابات'!$I$9:$I$208,MATCH(C958,'شجرة الحسابات'!$A$9:$A$208,0))&amp;"",""))</f>
        <v/>
      </c>
      <c r="L958" s="55" t="str">
        <f aca="false">IF(C958="","",IFERROR(INDEX('شجرة الحسابات'!$C$9:$C$208,MATCH(C958,'شجرة الحسابات'!$A$9:$A$208,0))&amp;"",""))</f>
        <v/>
      </c>
      <c r="M958" s="55" t="str">
        <f aca="false">IF(AND(C958="",G958="",H958=""),"فارغ",IF(ISNA(MATCH(C958,'شجرة الحسابات'!$A$9:$A$208,0)),"حساب غير معرف",IF(L958&lt;&gt;"تحليلي","حساب تجميعي",IF(AND(N(G958)&gt;0,N(H958)&gt;0),"مدين ودائن معاً",IF(N(G958)+N(H958)=0,"بدون قيمة","OK")))))</f>
        <v>فارغ</v>
      </c>
      <c r="N958" s="55" t="str">
        <f aca="false">IF(AND(E958&lt;&gt;"",E958='كشف حساب مشروع'!$C$6,I958="مرحل ✔"),COUNTIFS($E$11:E958,'كشف حساب مشروع'!$C$6,$I$11:I958,"مرحل ✔"),"")</f>
        <v/>
      </c>
      <c r="O958" s="55" t="str">
        <f aca="false">IF(AND(C958&lt;&gt;"",C958='دفتر الأستاذ'!$C$6,I958="مرحل ✔"),COUNTIFS($C$11:C958,'دفتر الأستاذ'!$C$6,$I$11:I958,"مرحل ✔"),"")</f>
        <v/>
      </c>
    </row>
    <row r="959" customFormat="false" ht="15" hidden="false" customHeight="false" outlineLevel="0" collapsed="false">
      <c r="A959" s="49"/>
      <c r="B959" s="50"/>
      <c r="C959" s="49"/>
      <c r="D959" s="51" t="str">
        <f aca="false">IF(C959="","",IFERROR(INDEX('شجرة الحسابات'!$B$9:$B$208,MATCH(C959,'شجرة الحسابات'!$A$9:$A$208,0)),"⚠ حساب غير معرف"))</f>
        <v/>
      </c>
      <c r="E959" s="52"/>
      <c r="F959" s="52"/>
      <c r="G959" s="53"/>
      <c r="H959" s="53"/>
      <c r="I959" s="54" t="str">
        <f aca="false">IF(A959="",IF(M959="فارغ","","✖ بدون رقم قيد"),IF(COUNTIFS('قيود اليومية'!$A$11:$A$1010,A959,'قيود اليومية'!$M$11:$M$1010,"&lt;&gt;OK",'قيود اليومية'!$M$11:$M$1010,"&lt;&gt;فارغ")&gt;0,"✖ خطأ بالحساب",IF(ROUND(SUMIFS('قيود اليومية'!$G$11:$G$1010,'قيود اليومية'!$A$11:$A$1010,A959)-SUMIFS('قيود اليومية'!$H$11:$H$1010,'قيود اليومية'!$A$11:$A$1010,A959),2)&lt;&gt;0,"✖ غير متوازن","مرحل ✔")))</f>
        <v/>
      </c>
      <c r="J959" s="55" t="str">
        <f aca="false">IF(C959="","",IFERROR(INDEX('شجرة الحسابات'!$E$9:$E$208,MATCH(C959,'شجرة الحسابات'!$A$9:$A$208,0))&amp;"",""))</f>
        <v/>
      </c>
      <c r="K959" s="55" t="str">
        <f aca="false">IF(C959="","",IFERROR(INDEX('شجرة الحسابات'!$I$9:$I$208,MATCH(C959,'شجرة الحسابات'!$A$9:$A$208,0))&amp;"",""))</f>
        <v/>
      </c>
      <c r="L959" s="55" t="str">
        <f aca="false">IF(C959="","",IFERROR(INDEX('شجرة الحسابات'!$C$9:$C$208,MATCH(C959,'شجرة الحسابات'!$A$9:$A$208,0))&amp;"",""))</f>
        <v/>
      </c>
      <c r="M959" s="55" t="str">
        <f aca="false">IF(AND(C959="",G959="",H959=""),"فارغ",IF(ISNA(MATCH(C959,'شجرة الحسابات'!$A$9:$A$208,0)),"حساب غير معرف",IF(L959&lt;&gt;"تحليلي","حساب تجميعي",IF(AND(N(G959)&gt;0,N(H959)&gt;0),"مدين ودائن معاً",IF(N(G959)+N(H959)=0,"بدون قيمة","OK")))))</f>
        <v>فارغ</v>
      </c>
      <c r="N959" s="55" t="str">
        <f aca="false">IF(AND(E959&lt;&gt;"",E959='كشف حساب مشروع'!$C$6,I959="مرحل ✔"),COUNTIFS($E$11:E959,'كشف حساب مشروع'!$C$6,$I$11:I959,"مرحل ✔"),"")</f>
        <v/>
      </c>
      <c r="O959" s="55" t="str">
        <f aca="false">IF(AND(C959&lt;&gt;"",C959='دفتر الأستاذ'!$C$6,I959="مرحل ✔"),COUNTIFS($C$11:C959,'دفتر الأستاذ'!$C$6,$I$11:I959,"مرحل ✔"),"")</f>
        <v/>
      </c>
    </row>
    <row r="960" customFormat="false" ht="15" hidden="false" customHeight="false" outlineLevel="0" collapsed="false">
      <c r="A960" s="49"/>
      <c r="B960" s="50"/>
      <c r="C960" s="49"/>
      <c r="D960" s="51" t="str">
        <f aca="false">IF(C960="","",IFERROR(INDEX('شجرة الحسابات'!$B$9:$B$208,MATCH(C960,'شجرة الحسابات'!$A$9:$A$208,0)),"⚠ حساب غير معرف"))</f>
        <v/>
      </c>
      <c r="E960" s="52"/>
      <c r="F960" s="52"/>
      <c r="G960" s="53"/>
      <c r="H960" s="53"/>
      <c r="I960" s="54" t="str">
        <f aca="false">IF(A960="",IF(M960="فارغ","","✖ بدون رقم قيد"),IF(COUNTIFS('قيود اليومية'!$A$11:$A$1010,A960,'قيود اليومية'!$M$11:$M$1010,"&lt;&gt;OK",'قيود اليومية'!$M$11:$M$1010,"&lt;&gt;فارغ")&gt;0,"✖ خطأ بالحساب",IF(ROUND(SUMIFS('قيود اليومية'!$G$11:$G$1010,'قيود اليومية'!$A$11:$A$1010,A960)-SUMIFS('قيود اليومية'!$H$11:$H$1010,'قيود اليومية'!$A$11:$A$1010,A960),2)&lt;&gt;0,"✖ غير متوازن","مرحل ✔")))</f>
        <v/>
      </c>
      <c r="J960" s="55" t="str">
        <f aca="false">IF(C960="","",IFERROR(INDEX('شجرة الحسابات'!$E$9:$E$208,MATCH(C960,'شجرة الحسابات'!$A$9:$A$208,0))&amp;"",""))</f>
        <v/>
      </c>
      <c r="K960" s="55" t="str">
        <f aca="false">IF(C960="","",IFERROR(INDEX('شجرة الحسابات'!$I$9:$I$208,MATCH(C960,'شجرة الحسابات'!$A$9:$A$208,0))&amp;"",""))</f>
        <v/>
      </c>
      <c r="L960" s="55" t="str">
        <f aca="false">IF(C960="","",IFERROR(INDEX('شجرة الحسابات'!$C$9:$C$208,MATCH(C960,'شجرة الحسابات'!$A$9:$A$208,0))&amp;"",""))</f>
        <v/>
      </c>
      <c r="M960" s="55" t="str">
        <f aca="false">IF(AND(C960="",G960="",H960=""),"فارغ",IF(ISNA(MATCH(C960,'شجرة الحسابات'!$A$9:$A$208,0)),"حساب غير معرف",IF(L960&lt;&gt;"تحليلي","حساب تجميعي",IF(AND(N(G960)&gt;0,N(H960)&gt;0),"مدين ودائن معاً",IF(N(G960)+N(H960)=0,"بدون قيمة","OK")))))</f>
        <v>فارغ</v>
      </c>
      <c r="N960" s="55" t="str">
        <f aca="false">IF(AND(E960&lt;&gt;"",E960='كشف حساب مشروع'!$C$6,I960="مرحل ✔"),COUNTIFS($E$11:E960,'كشف حساب مشروع'!$C$6,$I$11:I960,"مرحل ✔"),"")</f>
        <v/>
      </c>
      <c r="O960" s="55" t="str">
        <f aca="false">IF(AND(C960&lt;&gt;"",C960='دفتر الأستاذ'!$C$6,I960="مرحل ✔"),COUNTIFS($C$11:C960,'دفتر الأستاذ'!$C$6,$I$11:I960,"مرحل ✔"),"")</f>
        <v/>
      </c>
    </row>
    <row r="961" customFormat="false" ht="15" hidden="false" customHeight="false" outlineLevel="0" collapsed="false">
      <c r="A961" s="49"/>
      <c r="B961" s="50"/>
      <c r="C961" s="49"/>
      <c r="D961" s="51" t="str">
        <f aca="false">IF(C961="","",IFERROR(INDEX('شجرة الحسابات'!$B$9:$B$208,MATCH(C961,'شجرة الحسابات'!$A$9:$A$208,0)),"⚠ حساب غير معرف"))</f>
        <v/>
      </c>
      <c r="E961" s="52"/>
      <c r="F961" s="52"/>
      <c r="G961" s="53"/>
      <c r="H961" s="53"/>
      <c r="I961" s="54" t="str">
        <f aca="false">IF(A961="",IF(M961="فارغ","","✖ بدون رقم قيد"),IF(COUNTIFS('قيود اليومية'!$A$11:$A$1010,A961,'قيود اليومية'!$M$11:$M$1010,"&lt;&gt;OK",'قيود اليومية'!$M$11:$M$1010,"&lt;&gt;فارغ")&gt;0,"✖ خطأ بالحساب",IF(ROUND(SUMIFS('قيود اليومية'!$G$11:$G$1010,'قيود اليومية'!$A$11:$A$1010,A961)-SUMIFS('قيود اليومية'!$H$11:$H$1010,'قيود اليومية'!$A$11:$A$1010,A961),2)&lt;&gt;0,"✖ غير متوازن","مرحل ✔")))</f>
        <v/>
      </c>
      <c r="J961" s="55" t="str">
        <f aca="false">IF(C961="","",IFERROR(INDEX('شجرة الحسابات'!$E$9:$E$208,MATCH(C961,'شجرة الحسابات'!$A$9:$A$208,0))&amp;"",""))</f>
        <v/>
      </c>
      <c r="K961" s="55" t="str">
        <f aca="false">IF(C961="","",IFERROR(INDEX('شجرة الحسابات'!$I$9:$I$208,MATCH(C961,'شجرة الحسابات'!$A$9:$A$208,0))&amp;"",""))</f>
        <v/>
      </c>
      <c r="L961" s="55" t="str">
        <f aca="false">IF(C961="","",IFERROR(INDEX('شجرة الحسابات'!$C$9:$C$208,MATCH(C961,'شجرة الحسابات'!$A$9:$A$208,0))&amp;"",""))</f>
        <v/>
      </c>
      <c r="M961" s="55" t="str">
        <f aca="false">IF(AND(C961="",G961="",H961=""),"فارغ",IF(ISNA(MATCH(C961,'شجرة الحسابات'!$A$9:$A$208,0)),"حساب غير معرف",IF(L961&lt;&gt;"تحليلي","حساب تجميعي",IF(AND(N(G961)&gt;0,N(H961)&gt;0),"مدين ودائن معاً",IF(N(G961)+N(H961)=0,"بدون قيمة","OK")))))</f>
        <v>فارغ</v>
      </c>
      <c r="N961" s="55" t="str">
        <f aca="false">IF(AND(E961&lt;&gt;"",E961='كشف حساب مشروع'!$C$6,I961="مرحل ✔"),COUNTIFS($E$11:E961,'كشف حساب مشروع'!$C$6,$I$11:I961,"مرحل ✔"),"")</f>
        <v/>
      </c>
      <c r="O961" s="55" t="str">
        <f aca="false">IF(AND(C961&lt;&gt;"",C961='دفتر الأستاذ'!$C$6,I961="مرحل ✔"),COUNTIFS($C$11:C961,'دفتر الأستاذ'!$C$6,$I$11:I961,"مرحل ✔"),"")</f>
        <v/>
      </c>
    </row>
    <row r="962" customFormat="false" ht="15" hidden="false" customHeight="false" outlineLevel="0" collapsed="false">
      <c r="A962" s="49"/>
      <c r="B962" s="50"/>
      <c r="C962" s="49"/>
      <c r="D962" s="51" t="str">
        <f aca="false">IF(C962="","",IFERROR(INDEX('شجرة الحسابات'!$B$9:$B$208,MATCH(C962,'شجرة الحسابات'!$A$9:$A$208,0)),"⚠ حساب غير معرف"))</f>
        <v/>
      </c>
      <c r="E962" s="52"/>
      <c r="F962" s="52"/>
      <c r="G962" s="53"/>
      <c r="H962" s="53"/>
      <c r="I962" s="54" t="str">
        <f aca="false">IF(A962="",IF(M962="فارغ","","✖ بدون رقم قيد"),IF(COUNTIFS('قيود اليومية'!$A$11:$A$1010,A962,'قيود اليومية'!$M$11:$M$1010,"&lt;&gt;OK",'قيود اليومية'!$M$11:$M$1010,"&lt;&gt;فارغ")&gt;0,"✖ خطأ بالحساب",IF(ROUND(SUMIFS('قيود اليومية'!$G$11:$G$1010,'قيود اليومية'!$A$11:$A$1010,A962)-SUMIFS('قيود اليومية'!$H$11:$H$1010,'قيود اليومية'!$A$11:$A$1010,A962),2)&lt;&gt;0,"✖ غير متوازن","مرحل ✔")))</f>
        <v/>
      </c>
      <c r="J962" s="55" t="str">
        <f aca="false">IF(C962="","",IFERROR(INDEX('شجرة الحسابات'!$E$9:$E$208,MATCH(C962,'شجرة الحسابات'!$A$9:$A$208,0))&amp;"",""))</f>
        <v/>
      </c>
      <c r="K962" s="55" t="str">
        <f aca="false">IF(C962="","",IFERROR(INDEX('شجرة الحسابات'!$I$9:$I$208,MATCH(C962,'شجرة الحسابات'!$A$9:$A$208,0))&amp;"",""))</f>
        <v/>
      </c>
      <c r="L962" s="55" t="str">
        <f aca="false">IF(C962="","",IFERROR(INDEX('شجرة الحسابات'!$C$9:$C$208,MATCH(C962,'شجرة الحسابات'!$A$9:$A$208,0))&amp;"",""))</f>
        <v/>
      </c>
      <c r="M962" s="55" t="str">
        <f aca="false">IF(AND(C962="",G962="",H962=""),"فارغ",IF(ISNA(MATCH(C962,'شجرة الحسابات'!$A$9:$A$208,0)),"حساب غير معرف",IF(L962&lt;&gt;"تحليلي","حساب تجميعي",IF(AND(N(G962)&gt;0,N(H962)&gt;0),"مدين ودائن معاً",IF(N(G962)+N(H962)=0,"بدون قيمة","OK")))))</f>
        <v>فارغ</v>
      </c>
      <c r="N962" s="55" t="str">
        <f aca="false">IF(AND(E962&lt;&gt;"",E962='كشف حساب مشروع'!$C$6,I962="مرحل ✔"),COUNTIFS($E$11:E962,'كشف حساب مشروع'!$C$6,$I$11:I962,"مرحل ✔"),"")</f>
        <v/>
      </c>
      <c r="O962" s="55" t="str">
        <f aca="false">IF(AND(C962&lt;&gt;"",C962='دفتر الأستاذ'!$C$6,I962="مرحل ✔"),COUNTIFS($C$11:C962,'دفتر الأستاذ'!$C$6,$I$11:I962,"مرحل ✔"),"")</f>
        <v/>
      </c>
    </row>
    <row r="963" customFormat="false" ht="15" hidden="false" customHeight="false" outlineLevel="0" collapsed="false">
      <c r="A963" s="49"/>
      <c r="B963" s="50"/>
      <c r="C963" s="49"/>
      <c r="D963" s="51" t="str">
        <f aca="false">IF(C963="","",IFERROR(INDEX('شجرة الحسابات'!$B$9:$B$208,MATCH(C963,'شجرة الحسابات'!$A$9:$A$208,0)),"⚠ حساب غير معرف"))</f>
        <v/>
      </c>
      <c r="E963" s="52"/>
      <c r="F963" s="52"/>
      <c r="G963" s="53"/>
      <c r="H963" s="53"/>
      <c r="I963" s="54" t="str">
        <f aca="false">IF(A963="",IF(M963="فارغ","","✖ بدون رقم قيد"),IF(COUNTIFS('قيود اليومية'!$A$11:$A$1010,A963,'قيود اليومية'!$M$11:$M$1010,"&lt;&gt;OK",'قيود اليومية'!$M$11:$M$1010,"&lt;&gt;فارغ")&gt;0,"✖ خطأ بالحساب",IF(ROUND(SUMIFS('قيود اليومية'!$G$11:$G$1010,'قيود اليومية'!$A$11:$A$1010,A963)-SUMIFS('قيود اليومية'!$H$11:$H$1010,'قيود اليومية'!$A$11:$A$1010,A963),2)&lt;&gt;0,"✖ غير متوازن","مرحل ✔")))</f>
        <v/>
      </c>
      <c r="J963" s="55" t="str">
        <f aca="false">IF(C963="","",IFERROR(INDEX('شجرة الحسابات'!$E$9:$E$208,MATCH(C963,'شجرة الحسابات'!$A$9:$A$208,0))&amp;"",""))</f>
        <v/>
      </c>
      <c r="K963" s="55" t="str">
        <f aca="false">IF(C963="","",IFERROR(INDEX('شجرة الحسابات'!$I$9:$I$208,MATCH(C963,'شجرة الحسابات'!$A$9:$A$208,0))&amp;"",""))</f>
        <v/>
      </c>
      <c r="L963" s="55" t="str">
        <f aca="false">IF(C963="","",IFERROR(INDEX('شجرة الحسابات'!$C$9:$C$208,MATCH(C963,'شجرة الحسابات'!$A$9:$A$208,0))&amp;"",""))</f>
        <v/>
      </c>
      <c r="M963" s="55" t="str">
        <f aca="false">IF(AND(C963="",G963="",H963=""),"فارغ",IF(ISNA(MATCH(C963,'شجرة الحسابات'!$A$9:$A$208,0)),"حساب غير معرف",IF(L963&lt;&gt;"تحليلي","حساب تجميعي",IF(AND(N(G963)&gt;0,N(H963)&gt;0),"مدين ودائن معاً",IF(N(G963)+N(H963)=0,"بدون قيمة","OK")))))</f>
        <v>فارغ</v>
      </c>
      <c r="N963" s="55" t="str">
        <f aca="false">IF(AND(E963&lt;&gt;"",E963='كشف حساب مشروع'!$C$6,I963="مرحل ✔"),COUNTIFS($E$11:E963,'كشف حساب مشروع'!$C$6,$I$11:I963,"مرحل ✔"),"")</f>
        <v/>
      </c>
      <c r="O963" s="55" t="str">
        <f aca="false">IF(AND(C963&lt;&gt;"",C963='دفتر الأستاذ'!$C$6,I963="مرحل ✔"),COUNTIFS($C$11:C963,'دفتر الأستاذ'!$C$6,$I$11:I963,"مرحل ✔"),"")</f>
        <v/>
      </c>
    </row>
    <row r="964" customFormat="false" ht="15" hidden="false" customHeight="false" outlineLevel="0" collapsed="false">
      <c r="A964" s="49"/>
      <c r="B964" s="50"/>
      <c r="C964" s="49"/>
      <c r="D964" s="51" t="str">
        <f aca="false">IF(C964="","",IFERROR(INDEX('شجرة الحسابات'!$B$9:$B$208,MATCH(C964,'شجرة الحسابات'!$A$9:$A$208,0)),"⚠ حساب غير معرف"))</f>
        <v/>
      </c>
      <c r="E964" s="52"/>
      <c r="F964" s="52"/>
      <c r="G964" s="53"/>
      <c r="H964" s="53"/>
      <c r="I964" s="54" t="str">
        <f aca="false">IF(A964="",IF(M964="فارغ","","✖ بدون رقم قيد"),IF(COUNTIFS('قيود اليومية'!$A$11:$A$1010,A964,'قيود اليومية'!$M$11:$M$1010,"&lt;&gt;OK",'قيود اليومية'!$M$11:$M$1010,"&lt;&gt;فارغ")&gt;0,"✖ خطأ بالحساب",IF(ROUND(SUMIFS('قيود اليومية'!$G$11:$G$1010,'قيود اليومية'!$A$11:$A$1010,A964)-SUMIFS('قيود اليومية'!$H$11:$H$1010,'قيود اليومية'!$A$11:$A$1010,A964),2)&lt;&gt;0,"✖ غير متوازن","مرحل ✔")))</f>
        <v/>
      </c>
      <c r="J964" s="55" t="str">
        <f aca="false">IF(C964="","",IFERROR(INDEX('شجرة الحسابات'!$E$9:$E$208,MATCH(C964,'شجرة الحسابات'!$A$9:$A$208,0))&amp;"",""))</f>
        <v/>
      </c>
      <c r="K964" s="55" t="str">
        <f aca="false">IF(C964="","",IFERROR(INDEX('شجرة الحسابات'!$I$9:$I$208,MATCH(C964,'شجرة الحسابات'!$A$9:$A$208,0))&amp;"",""))</f>
        <v/>
      </c>
      <c r="L964" s="55" t="str">
        <f aca="false">IF(C964="","",IFERROR(INDEX('شجرة الحسابات'!$C$9:$C$208,MATCH(C964,'شجرة الحسابات'!$A$9:$A$208,0))&amp;"",""))</f>
        <v/>
      </c>
      <c r="M964" s="55" t="str">
        <f aca="false">IF(AND(C964="",G964="",H964=""),"فارغ",IF(ISNA(MATCH(C964,'شجرة الحسابات'!$A$9:$A$208,0)),"حساب غير معرف",IF(L964&lt;&gt;"تحليلي","حساب تجميعي",IF(AND(N(G964)&gt;0,N(H964)&gt;0),"مدين ودائن معاً",IF(N(G964)+N(H964)=0,"بدون قيمة","OK")))))</f>
        <v>فارغ</v>
      </c>
      <c r="N964" s="55" t="str">
        <f aca="false">IF(AND(E964&lt;&gt;"",E964='كشف حساب مشروع'!$C$6,I964="مرحل ✔"),COUNTIFS($E$11:E964,'كشف حساب مشروع'!$C$6,$I$11:I964,"مرحل ✔"),"")</f>
        <v/>
      </c>
      <c r="O964" s="55" t="str">
        <f aca="false">IF(AND(C964&lt;&gt;"",C964='دفتر الأستاذ'!$C$6,I964="مرحل ✔"),COUNTIFS($C$11:C964,'دفتر الأستاذ'!$C$6,$I$11:I964,"مرحل ✔"),"")</f>
        <v/>
      </c>
    </row>
    <row r="965" customFormat="false" ht="15" hidden="false" customHeight="false" outlineLevel="0" collapsed="false">
      <c r="A965" s="49"/>
      <c r="B965" s="50"/>
      <c r="C965" s="49"/>
      <c r="D965" s="51" t="str">
        <f aca="false">IF(C965="","",IFERROR(INDEX('شجرة الحسابات'!$B$9:$B$208,MATCH(C965,'شجرة الحسابات'!$A$9:$A$208,0)),"⚠ حساب غير معرف"))</f>
        <v/>
      </c>
      <c r="E965" s="52"/>
      <c r="F965" s="52"/>
      <c r="G965" s="53"/>
      <c r="H965" s="53"/>
      <c r="I965" s="54" t="str">
        <f aca="false">IF(A965="",IF(M965="فارغ","","✖ بدون رقم قيد"),IF(COUNTIFS('قيود اليومية'!$A$11:$A$1010,A965,'قيود اليومية'!$M$11:$M$1010,"&lt;&gt;OK",'قيود اليومية'!$M$11:$M$1010,"&lt;&gt;فارغ")&gt;0,"✖ خطأ بالحساب",IF(ROUND(SUMIFS('قيود اليومية'!$G$11:$G$1010,'قيود اليومية'!$A$11:$A$1010,A965)-SUMIFS('قيود اليومية'!$H$11:$H$1010,'قيود اليومية'!$A$11:$A$1010,A965),2)&lt;&gt;0,"✖ غير متوازن","مرحل ✔")))</f>
        <v/>
      </c>
      <c r="J965" s="55" t="str">
        <f aca="false">IF(C965="","",IFERROR(INDEX('شجرة الحسابات'!$E$9:$E$208,MATCH(C965,'شجرة الحسابات'!$A$9:$A$208,0))&amp;"",""))</f>
        <v/>
      </c>
      <c r="K965" s="55" t="str">
        <f aca="false">IF(C965="","",IFERROR(INDEX('شجرة الحسابات'!$I$9:$I$208,MATCH(C965,'شجرة الحسابات'!$A$9:$A$208,0))&amp;"",""))</f>
        <v/>
      </c>
      <c r="L965" s="55" t="str">
        <f aca="false">IF(C965="","",IFERROR(INDEX('شجرة الحسابات'!$C$9:$C$208,MATCH(C965,'شجرة الحسابات'!$A$9:$A$208,0))&amp;"",""))</f>
        <v/>
      </c>
      <c r="M965" s="55" t="str">
        <f aca="false">IF(AND(C965="",G965="",H965=""),"فارغ",IF(ISNA(MATCH(C965,'شجرة الحسابات'!$A$9:$A$208,0)),"حساب غير معرف",IF(L965&lt;&gt;"تحليلي","حساب تجميعي",IF(AND(N(G965)&gt;0,N(H965)&gt;0),"مدين ودائن معاً",IF(N(G965)+N(H965)=0,"بدون قيمة","OK")))))</f>
        <v>فارغ</v>
      </c>
      <c r="N965" s="55" t="str">
        <f aca="false">IF(AND(E965&lt;&gt;"",E965='كشف حساب مشروع'!$C$6,I965="مرحل ✔"),COUNTIFS($E$11:E965,'كشف حساب مشروع'!$C$6,$I$11:I965,"مرحل ✔"),"")</f>
        <v/>
      </c>
      <c r="O965" s="55" t="str">
        <f aca="false">IF(AND(C965&lt;&gt;"",C965='دفتر الأستاذ'!$C$6,I965="مرحل ✔"),COUNTIFS($C$11:C965,'دفتر الأستاذ'!$C$6,$I$11:I965,"مرحل ✔"),"")</f>
        <v/>
      </c>
    </row>
    <row r="966" customFormat="false" ht="15" hidden="false" customHeight="false" outlineLevel="0" collapsed="false">
      <c r="A966" s="49"/>
      <c r="B966" s="50"/>
      <c r="C966" s="49"/>
      <c r="D966" s="51" t="str">
        <f aca="false">IF(C966="","",IFERROR(INDEX('شجرة الحسابات'!$B$9:$B$208,MATCH(C966,'شجرة الحسابات'!$A$9:$A$208,0)),"⚠ حساب غير معرف"))</f>
        <v/>
      </c>
      <c r="E966" s="52"/>
      <c r="F966" s="52"/>
      <c r="G966" s="53"/>
      <c r="H966" s="53"/>
      <c r="I966" s="54" t="str">
        <f aca="false">IF(A966="",IF(M966="فارغ","","✖ بدون رقم قيد"),IF(COUNTIFS('قيود اليومية'!$A$11:$A$1010,A966,'قيود اليومية'!$M$11:$M$1010,"&lt;&gt;OK",'قيود اليومية'!$M$11:$M$1010,"&lt;&gt;فارغ")&gt;0,"✖ خطأ بالحساب",IF(ROUND(SUMIFS('قيود اليومية'!$G$11:$G$1010,'قيود اليومية'!$A$11:$A$1010,A966)-SUMIFS('قيود اليومية'!$H$11:$H$1010,'قيود اليومية'!$A$11:$A$1010,A966),2)&lt;&gt;0,"✖ غير متوازن","مرحل ✔")))</f>
        <v/>
      </c>
      <c r="J966" s="55" t="str">
        <f aca="false">IF(C966="","",IFERROR(INDEX('شجرة الحسابات'!$E$9:$E$208,MATCH(C966,'شجرة الحسابات'!$A$9:$A$208,0))&amp;"",""))</f>
        <v/>
      </c>
      <c r="K966" s="55" t="str">
        <f aca="false">IF(C966="","",IFERROR(INDEX('شجرة الحسابات'!$I$9:$I$208,MATCH(C966,'شجرة الحسابات'!$A$9:$A$208,0))&amp;"",""))</f>
        <v/>
      </c>
      <c r="L966" s="55" t="str">
        <f aca="false">IF(C966="","",IFERROR(INDEX('شجرة الحسابات'!$C$9:$C$208,MATCH(C966,'شجرة الحسابات'!$A$9:$A$208,0))&amp;"",""))</f>
        <v/>
      </c>
      <c r="M966" s="55" t="str">
        <f aca="false">IF(AND(C966="",G966="",H966=""),"فارغ",IF(ISNA(MATCH(C966,'شجرة الحسابات'!$A$9:$A$208,0)),"حساب غير معرف",IF(L966&lt;&gt;"تحليلي","حساب تجميعي",IF(AND(N(G966)&gt;0,N(H966)&gt;0),"مدين ودائن معاً",IF(N(G966)+N(H966)=0,"بدون قيمة","OK")))))</f>
        <v>فارغ</v>
      </c>
      <c r="N966" s="55" t="str">
        <f aca="false">IF(AND(E966&lt;&gt;"",E966='كشف حساب مشروع'!$C$6,I966="مرحل ✔"),COUNTIFS($E$11:E966,'كشف حساب مشروع'!$C$6,$I$11:I966,"مرحل ✔"),"")</f>
        <v/>
      </c>
      <c r="O966" s="55" t="str">
        <f aca="false">IF(AND(C966&lt;&gt;"",C966='دفتر الأستاذ'!$C$6,I966="مرحل ✔"),COUNTIFS($C$11:C966,'دفتر الأستاذ'!$C$6,$I$11:I966,"مرحل ✔"),"")</f>
        <v/>
      </c>
    </row>
    <row r="967" customFormat="false" ht="15" hidden="false" customHeight="false" outlineLevel="0" collapsed="false">
      <c r="A967" s="49"/>
      <c r="B967" s="50"/>
      <c r="C967" s="49"/>
      <c r="D967" s="51" t="str">
        <f aca="false">IF(C967="","",IFERROR(INDEX('شجرة الحسابات'!$B$9:$B$208,MATCH(C967,'شجرة الحسابات'!$A$9:$A$208,0)),"⚠ حساب غير معرف"))</f>
        <v/>
      </c>
      <c r="E967" s="52"/>
      <c r="F967" s="52"/>
      <c r="G967" s="53"/>
      <c r="H967" s="53"/>
      <c r="I967" s="54" t="str">
        <f aca="false">IF(A967="",IF(M967="فارغ","","✖ بدون رقم قيد"),IF(COUNTIFS('قيود اليومية'!$A$11:$A$1010,A967,'قيود اليومية'!$M$11:$M$1010,"&lt;&gt;OK",'قيود اليومية'!$M$11:$M$1010,"&lt;&gt;فارغ")&gt;0,"✖ خطأ بالحساب",IF(ROUND(SUMIFS('قيود اليومية'!$G$11:$G$1010,'قيود اليومية'!$A$11:$A$1010,A967)-SUMIFS('قيود اليومية'!$H$11:$H$1010,'قيود اليومية'!$A$11:$A$1010,A967),2)&lt;&gt;0,"✖ غير متوازن","مرحل ✔")))</f>
        <v/>
      </c>
      <c r="J967" s="55" t="str">
        <f aca="false">IF(C967="","",IFERROR(INDEX('شجرة الحسابات'!$E$9:$E$208,MATCH(C967,'شجرة الحسابات'!$A$9:$A$208,0))&amp;"",""))</f>
        <v/>
      </c>
      <c r="K967" s="55" t="str">
        <f aca="false">IF(C967="","",IFERROR(INDEX('شجرة الحسابات'!$I$9:$I$208,MATCH(C967,'شجرة الحسابات'!$A$9:$A$208,0))&amp;"",""))</f>
        <v/>
      </c>
      <c r="L967" s="55" t="str">
        <f aca="false">IF(C967="","",IFERROR(INDEX('شجرة الحسابات'!$C$9:$C$208,MATCH(C967,'شجرة الحسابات'!$A$9:$A$208,0))&amp;"",""))</f>
        <v/>
      </c>
      <c r="M967" s="55" t="str">
        <f aca="false">IF(AND(C967="",G967="",H967=""),"فارغ",IF(ISNA(MATCH(C967,'شجرة الحسابات'!$A$9:$A$208,0)),"حساب غير معرف",IF(L967&lt;&gt;"تحليلي","حساب تجميعي",IF(AND(N(G967)&gt;0,N(H967)&gt;0),"مدين ودائن معاً",IF(N(G967)+N(H967)=0,"بدون قيمة","OK")))))</f>
        <v>فارغ</v>
      </c>
      <c r="N967" s="55" t="str">
        <f aca="false">IF(AND(E967&lt;&gt;"",E967='كشف حساب مشروع'!$C$6,I967="مرحل ✔"),COUNTIFS($E$11:E967,'كشف حساب مشروع'!$C$6,$I$11:I967,"مرحل ✔"),"")</f>
        <v/>
      </c>
      <c r="O967" s="55" t="str">
        <f aca="false">IF(AND(C967&lt;&gt;"",C967='دفتر الأستاذ'!$C$6,I967="مرحل ✔"),COUNTIFS($C$11:C967,'دفتر الأستاذ'!$C$6,$I$11:I967,"مرحل ✔"),"")</f>
        <v/>
      </c>
    </row>
    <row r="968" customFormat="false" ht="15" hidden="false" customHeight="false" outlineLevel="0" collapsed="false">
      <c r="A968" s="49"/>
      <c r="B968" s="50"/>
      <c r="C968" s="49"/>
      <c r="D968" s="51" t="str">
        <f aca="false">IF(C968="","",IFERROR(INDEX('شجرة الحسابات'!$B$9:$B$208,MATCH(C968,'شجرة الحسابات'!$A$9:$A$208,0)),"⚠ حساب غير معرف"))</f>
        <v/>
      </c>
      <c r="E968" s="52"/>
      <c r="F968" s="52"/>
      <c r="G968" s="53"/>
      <c r="H968" s="53"/>
      <c r="I968" s="54" t="str">
        <f aca="false">IF(A968="",IF(M968="فارغ","","✖ بدون رقم قيد"),IF(COUNTIFS('قيود اليومية'!$A$11:$A$1010,A968,'قيود اليومية'!$M$11:$M$1010,"&lt;&gt;OK",'قيود اليومية'!$M$11:$M$1010,"&lt;&gt;فارغ")&gt;0,"✖ خطأ بالحساب",IF(ROUND(SUMIFS('قيود اليومية'!$G$11:$G$1010,'قيود اليومية'!$A$11:$A$1010,A968)-SUMIFS('قيود اليومية'!$H$11:$H$1010,'قيود اليومية'!$A$11:$A$1010,A968),2)&lt;&gt;0,"✖ غير متوازن","مرحل ✔")))</f>
        <v/>
      </c>
      <c r="J968" s="55" t="str">
        <f aca="false">IF(C968="","",IFERROR(INDEX('شجرة الحسابات'!$E$9:$E$208,MATCH(C968,'شجرة الحسابات'!$A$9:$A$208,0))&amp;"",""))</f>
        <v/>
      </c>
      <c r="K968" s="55" t="str">
        <f aca="false">IF(C968="","",IFERROR(INDEX('شجرة الحسابات'!$I$9:$I$208,MATCH(C968,'شجرة الحسابات'!$A$9:$A$208,0))&amp;"",""))</f>
        <v/>
      </c>
      <c r="L968" s="55" t="str">
        <f aca="false">IF(C968="","",IFERROR(INDEX('شجرة الحسابات'!$C$9:$C$208,MATCH(C968,'شجرة الحسابات'!$A$9:$A$208,0))&amp;"",""))</f>
        <v/>
      </c>
      <c r="M968" s="55" t="str">
        <f aca="false">IF(AND(C968="",G968="",H968=""),"فارغ",IF(ISNA(MATCH(C968,'شجرة الحسابات'!$A$9:$A$208,0)),"حساب غير معرف",IF(L968&lt;&gt;"تحليلي","حساب تجميعي",IF(AND(N(G968)&gt;0,N(H968)&gt;0),"مدين ودائن معاً",IF(N(G968)+N(H968)=0,"بدون قيمة","OK")))))</f>
        <v>فارغ</v>
      </c>
      <c r="N968" s="55" t="str">
        <f aca="false">IF(AND(E968&lt;&gt;"",E968='كشف حساب مشروع'!$C$6,I968="مرحل ✔"),COUNTIFS($E$11:E968,'كشف حساب مشروع'!$C$6,$I$11:I968,"مرحل ✔"),"")</f>
        <v/>
      </c>
      <c r="O968" s="55" t="str">
        <f aca="false">IF(AND(C968&lt;&gt;"",C968='دفتر الأستاذ'!$C$6,I968="مرحل ✔"),COUNTIFS($C$11:C968,'دفتر الأستاذ'!$C$6,$I$11:I968,"مرحل ✔"),"")</f>
        <v/>
      </c>
    </row>
    <row r="969" customFormat="false" ht="15" hidden="false" customHeight="false" outlineLevel="0" collapsed="false">
      <c r="A969" s="49"/>
      <c r="B969" s="50"/>
      <c r="C969" s="49"/>
      <c r="D969" s="51" t="str">
        <f aca="false">IF(C969="","",IFERROR(INDEX('شجرة الحسابات'!$B$9:$B$208,MATCH(C969,'شجرة الحسابات'!$A$9:$A$208,0)),"⚠ حساب غير معرف"))</f>
        <v/>
      </c>
      <c r="E969" s="52"/>
      <c r="F969" s="52"/>
      <c r="G969" s="53"/>
      <c r="H969" s="53"/>
      <c r="I969" s="54" t="str">
        <f aca="false">IF(A969="",IF(M969="فارغ","","✖ بدون رقم قيد"),IF(COUNTIFS('قيود اليومية'!$A$11:$A$1010,A969,'قيود اليومية'!$M$11:$M$1010,"&lt;&gt;OK",'قيود اليومية'!$M$11:$M$1010,"&lt;&gt;فارغ")&gt;0,"✖ خطأ بالحساب",IF(ROUND(SUMIFS('قيود اليومية'!$G$11:$G$1010,'قيود اليومية'!$A$11:$A$1010,A969)-SUMIFS('قيود اليومية'!$H$11:$H$1010,'قيود اليومية'!$A$11:$A$1010,A969),2)&lt;&gt;0,"✖ غير متوازن","مرحل ✔")))</f>
        <v/>
      </c>
      <c r="J969" s="55" t="str">
        <f aca="false">IF(C969="","",IFERROR(INDEX('شجرة الحسابات'!$E$9:$E$208,MATCH(C969,'شجرة الحسابات'!$A$9:$A$208,0))&amp;"",""))</f>
        <v/>
      </c>
      <c r="K969" s="55" t="str">
        <f aca="false">IF(C969="","",IFERROR(INDEX('شجرة الحسابات'!$I$9:$I$208,MATCH(C969,'شجرة الحسابات'!$A$9:$A$208,0))&amp;"",""))</f>
        <v/>
      </c>
      <c r="L969" s="55" t="str">
        <f aca="false">IF(C969="","",IFERROR(INDEX('شجرة الحسابات'!$C$9:$C$208,MATCH(C969,'شجرة الحسابات'!$A$9:$A$208,0))&amp;"",""))</f>
        <v/>
      </c>
      <c r="M969" s="55" t="str">
        <f aca="false">IF(AND(C969="",G969="",H969=""),"فارغ",IF(ISNA(MATCH(C969,'شجرة الحسابات'!$A$9:$A$208,0)),"حساب غير معرف",IF(L969&lt;&gt;"تحليلي","حساب تجميعي",IF(AND(N(G969)&gt;0,N(H969)&gt;0),"مدين ودائن معاً",IF(N(G969)+N(H969)=0,"بدون قيمة","OK")))))</f>
        <v>فارغ</v>
      </c>
      <c r="N969" s="55" t="str">
        <f aca="false">IF(AND(E969&lt;&gt;"",E969='كشف حساب مشروع'!$C$6,I969="مرحل ✔"),COUNTIFS($E$11:E969,'كشف حساب مشروع'!$C$6,$I$11:I969,"مرحل ✔"),"")</f>
        <v/>
      </c>
      <c r="O969" s="55" t="str">
        <f aca="false">IF(AND(C969&lt;&gt;"",C969='دفتر الأستاذ'!$C$6,I969="مرحل ✔"),COUNTIFS($C$11:C969,'دفتر الأستاذ'!$C$6,$I$11:I969,"مرحل ✔"),"")</f>
        <v/>
      </c>
    </row>
    <row r="970" customFormat="false" ht="15" hidden="false" customHeight="false" outlineLevel="0" collapsed="false">
      <c r="A970" s="49"/>
      <c r="B970" s="50"/>
      <c r="C970" s="49"/>
      <c r="D970" s="51" t="str">
        <f aca="false">IF(C970="","",IFERROR(INDEX('شجرة الحسابات'!$B$9:$B$208,MATCH(C970,'شجرة الحسابات'!$A$9:$A$208,0)),"⚠ حساب غير معرف"))</f>
        <v/>
      </c>
      <c r="E970" s="52"/>
      <c r="F970" s="52"/>
      <c r="G970" s="53"/>
      <c r="H970" s="53"/>
      <c r="I970" s="54" t="str">
        <f aca="false">IF(A970="",IF(M970="فارغ","","✖ بدون رقم قيد"),IF(COUNTIFS('قيود اليومية'!$A$11:$A$1010,A970,'قيود اليومية'!$M$11:$M$1010,"&lt;&gt;OK",'قيود اليومية'!$M$11:$M$1010,"&lt;&gt;فارغ")&gt;0,"✖ خطأ بالحساب",IF(ROUND(SUMIFS('قيود اليومية'!$G$11:$G$1010,'قيود اليومية'!$A$11:$A$1010,A970)-SUMIFS('قيود اليومية'!$H$11:$H$1010,'قيود اليومية'!$A$11:$A$1010,A970),2)&lt;&gt;0,"✖ غير متوازن","مرحل ✔")))</f>
        <v/>
      </c>
      <c r="J970" s="55" t="str">
        <f aca="false">IF(C970="","",IFERROR(INDEX('شجرة الحسابات'!$E$9:$E$208,MATCH(C970,'شجرة الحسابات'!$A$9:$A$208,0))&amp;"",""))</f>
        <v/>
      </c>
      <c r="K970" s="55" t="str">
        <f aca="false">IF(C970="","",IFERROR(INDEX('شجرة الحسابات'!$I$9:$I$208,MATCH(C970,'شجرة الحسابات'!$A$9:$A$208,0))&amp;"",""))</f>
        <v/>
      </c>
      <c r="L970" s="55" t="str">
        <f aca="false">IF(C970="","",IFERROR(INDEX('شجرة الحسابات'!$C$9:$C$208,MATCH(C970,'شجرة الحسابات'!$A$9:$A$208,0))&amp;"",""))</f>
        <v/>
      </c>
      <c r="M970" s="55" t="str">
        <f aca="false">IF(AND(C970="",G970="",H970=""),"فارغ",IF(ISNA(MATCH(C970,'شجرة الحسابات'!$A$9:$A$208,0)),"حساب غير معرف",IF(L970&lt;&gt;"تحليلي","حساب تجميعي",IF(AND(N(G970)&gt;0,N(H970)&gt;0),"مدين ودائن معاً",IF(N(G970)+N(H970)=0,"بدون قيمة","OK")))))</f>
        <v>فارغ</v>
      </c>
      <c r="N970" s="55" t="str">
        <f aca="false">IF(AND(E970&lt;&gt;"",E970='كشف حساب مشروع'!$C$6,I970="مرحل ✔"),COUNTIFS($E$11:E970,'كشف حساب مشروع'!$C$6,$I$11:I970,"مرحل ✔"),"")</f>
        <v/>
      </c>
      <c r="O970" s="55" t="str">
        <f aca="false">IF(AND(C970&lt;&gt;"",C970='دفتر الأستاذ'!$C$6,I970="مرحل ✔"),COUNTIFS($C$11:C970,'دفتر الأستاذ'!$C$6,$I$11:I970,"مرحل ✔"),"")</f>
        <v/>
      </c>
    </row>
    <row r="971" customFormat="false" ht="15" hidden="false" customHeight="false" outlineLevel="0" collapsed="false">
      <c r="A971" s="49"/>
      <c r="B971" s="50"/>
      <c r="C971" s="49"/>
      <c r="D971" s="51" t="str">
        <f aca="false">IF(C971="","",IFERROR(INDEX('شجرة الحسابات'!$B$9:$B$208,MATCH(C971,'شجرة الحسابات'!$A$9:$A$208,0)),"⚠ حساب غير معرف"))</f>
        <v/>
      </c>
      <c r="E971" s="52"/>
      <c r="F971" s="52"/>
      <c r="G971" s="53"/>
      <c r="H971" s="53"/>
      <c r="I971" s="54" t="str">
        <f aca="false">IF(A971="",IF(M971="فارغ","","✖ بدون رقم قيد"),IF(COUNTIFS('قيود اليومية'!$A$11:$A$1010,A971,'قيود اليومية'!$M$11:$M$1010,"&lt;&gt;OK",'قيود اليومية'!$M$11:$M$1010,"&lt;&gt;فارغ")&gt;0,"✖ خطأ بالحساب",IF(ROUND(SUMIFS('قيود اليومية'!$G$11:$G$1010,'قيود اليومية'!$A$11:$A$1010,A971)-SUMIFS('قيود اليومية'!$H$11:$H$1010,'قيود اليومية'!$A$11:$A$1010,A971),2)&lt;&gt;0,"✖ غير متوازن","مرحل ✔")))</f>
        <v/>
      </c>
      <c r="J971" s="55" t="str">
        <f aca="false">IF(C971="","",IFERROR(INDEX('شجرة الحسابات'!$E$9:$E$208,MATCH(C971,'شجرة الحسابات'!$A$9:$A$208,0))&amp;"",""))</f>
        <v/>
      </c>
      <c r="K971" s="55" t="str">
        <f aca="false">IF(C971="","",IFERROR(INDEX('شجرة الحسابات'!$I$9:$I$208,MATCH(C971,'شجرة الحسابات'!$A$9:$A$208,0))&amp;"",""))</f>
        <v/>
      </c>
      <c r="L971" s="55" t="str">
        <f aca="false">IF(C971="","",IFERROR(INDEX('شجرة الحسابات'!$C$9:$C$208,MATCH(C971,'شجرة الحسابات'!$A$9:$A$208,0))&amp;"",""))</f>
        <v/>
      </c>
      <c r="M971" s="55" t="str">
        <f aca="false">IF(AND(C971="",G971="",H971=""),"فارغ",IF(ISNA(MATCH(C971,'شجرة الحسابات'!$A$9:$A$208,0)),"حساب غير معرف",IF(L971&lt;&gt;"تحليلي","حساب تجميعي",IF(AND(N(G971)&gt;0,N(H971)&gt;0),"مدين ودائن معاً",IF(N(G971)+N(H971)=0,"بدون قيمة","OK")))))</f>
        <v>فارغ</v>
      </c>
      <c r="N971" s="55" t="str">
        <f aca="false">IF(AND(E971&lt;&gt;"",E971='كشف حساب مشروع'!$C$6,I971="مرحل ✔"),COUNTIFS($E$11:E971,'كشف حساب مشروع'!$C$6,$I$11:I971,"مرحل ✔"),"")</f>
        <v/>
      </c>
      <c r="O971" s="55" t="str">
        <f aca="false">IF(AND(C971&lt;&gt;"",C971='دفتر الأستاذ'!$C$6,I971="مرحل ✔"),COUNTIFS($C$11:C971,'دفتر الأستاذ'!$C$6,$I$11:I971,"مرحل ✔"),"")</f>
        <v/>
      </c>
    </row>
    <row r="972" customFormat="false" ht="15" hidden="false" customHeight="false" outlineLevel="0" collapsed="false">
      <c r="A972" s="49"/>
      <c r="B972" s="50"/>
      <c r="C972" s="49"/>
      <c r="D972" s="51" t="str">
        <f aca="false">IF(C972="","",IFERROR(INDEX('شجرة الحسابات'!$B$9:$B$208,MATCH(C972,'شجرة الحسابات'!$A$9:$A$208,0)),"⚠ حساب غير معرف"))</f>
        <v/>
      </c>
      <c r="E972" s="52"/>
      <c r="F972" s="52"/>
      <c r="G972" s="53"/>
      <c r="H972" s="53"/>
      <c r="I972" s="54" t="str">
        <f aca="false">IF(A972="",IF(M972="فارغ","","✖ بدون رقم قيد"),IF(COUNTIFS('قيود اليومية'!$A$11:$A$1010,A972,'قيود اليومية'!$M$11:$M$1010,"&lt;&gt;OK",'قيود اليومية'!$M$11:$M$1010,"&lt;&gt;فارغ")&gt;0,"✖ خطأ بالحساب",IF(ROUND(SUMIFS('قيود اليومية'!$G$11:$G$1010,'قيود اليومية'!$A$11:$A$1010,A972)-SUMIFS('قيود اليومية'!$H$11:$H$1010,'قيود اليومية'!$A$11:$A$1010,A972),2)&lt;&gt;0,"✖ غير متوازن","مرحل ✔")))</f>
        <v/>
      </c>
      <c r="J972" s="55" t="str">
        <f aca="false">IF(C972="","",IFERROR(INDEX('شجرة الحسابات'!$E$9:$E$208,MATCH(C972,'شجرة الحسابات'!$A$9:$A$208,0))&amp;"",""))</f>
        <v/>
      </c>
      <c r="K972" s="55" t="str">
        <f aca="false">IF(C972="","",IFERROR(INDEX('شجرة الحسابات'!$I$9:$I$208,MATCH(C972,'شجرة الحسابات'!$A$9:$A$208,0))&amp;"",""))</f>
        <v/>
      </c>
      <c r="L972" s="55" t="str">
        <f aca="false">IF(C972="","",IFERROR(INDEX('شجرة الحسابات'!$C$9:$C$208,MATCH(C972,'شجرة الحسابات'!$A$9:$A$208,0))&amp;"",""))</f>
        <v/>
      </c>
      <c r="M972" s="55" t="str">
        <f aca="false">IF(AND(C972="",G972="",H972=""),"فارغ",IF(ISNA(MATCH(C972,'شجرة الحسابات'!$A$9:$A$208,0)),"حساب غير معرف",IF(L972&lt;&gt;"تحليلي","حساب تجميعي",IF(AND(N(G972)&gt;0,N(H972)&gt;0),"مدين ودائن معاً",IF(N(G972)+N(H972)=0,"بدون قيمة","OK")))))</f>
        <v>فارغ</v>
      </c>
      <c r="N972" s="55" t="str">
        <f aca="false">IF(AND(E972&lt;&gt;"",E972='كشف حساب مشروع'!$C$6,I972="مرحل ✔"),COUNTIFS($E$11:E972,'كشف حساب مشروع'!$C$6,$I$11:I972,"مرحل ✔"),"")</f>
        <v/>
      </c>
      <c r="O972" s="55" t="str">
        <f aca="false">IF(AND(C972&lt;&gt;"",C972='دفتر الأستاذ'!$C$6,I972="مرحل ✔"),COUNTIFS($C$11:C972,'دفتر الأستاذ'!$C$6,$I$11:I972,"مرحل ✔"),"")</f>
        <v/>
      </c>
    </row>
    <row r="973" customFormat="false" ht="15" hidden="false" customHeight="false" outlineLevel="0" collapsed="false">
      <c r="A973" s="49"/>
      <c r="B973" s="50"/>
      <c r="C973" s="49"/>
      <c r="D973" s="51" t="str">
        <f aca="false">IF(C973="","",IFERROR(INDEX('شجرة الحسابات'!$B$9:$B$208,MATCH(C973,'شجرة الحسابات'!$A$9:$A$208,0)),"⚠ حساب غير معرف"))</f>
        <v/>
      </c>
      <c r="E973" s="52"/>
      <c r="F973" s="52"/>
      <c r="G973" s="53"/>
      <c r="H973" s="53"/>
      <c r="I973" s="54" t="str">
        <f aca="false">IF(A973="",IF(M973="فارغ","","✖ بدون رقم قيد"),IF(COUNTIFS('قيود اليومية'!$A$11:$A$1010,A973,'قيود اليومية'!$M$11:$M$1010,"&lt;&gt;OK",'قيود اليومية'!$M$11:$M$1010,"&lt;&gt;فارغ")&gt;0,"✖ خطأ بالحساب",IF(ROUND(SUMIFS('قيود اليومية'!$G$11:$G$1010,'قيود اليومية'!$A$11:$A$1010,A973)-SUMIFS('قيود اليومية'!$H$11:$H$1010,'قيود اليومية'!$A$11:$A$1010,A973),2)&lt;&gt;0,"✖ غير متوازن","مرحل ✔")))</f>
        <v/>
      </c>
      <c r="J973" s="55" t="str">
        <f aca="false">IF(C973="","",IFERROR(INDEX('شجرة الحسابات'!$E$9:$E$208,MATCH(C973,'شجرة الحسابات'!$A$9:$A$208,0))&amp;"",""))</f>
        <v/>
      </c>
      <c r="K973" s="55" t="str">
        <f aca="false">IF(C973="","",IFERROR(INDEX('شجرة الحسابات'!$I$9:$I$208,MATCH(C973,'شجرة الحسابات'!$A$9:$A$208,0))&amp;"",""))</f>
        <v/>
      </c>
      <c r="L973" s="55" t="str">
        <f aca="false">IF(C973="","",IFERROR(INDEX('شجرة الحسابات'!$C$9:$C$208,MATCH(C973,'شجرة الحسابات'!$A$9:$A$208,0))&amp;"",""))</f>
        <v/>
      </c>
      <c r="M973" s="55" t="str">
        <f aca="false">IF(AND(C973="",G973="",H973=""),"فارغ",IF(ISNA(MATCH(C973,'شجرة الحسابات'!$A$9:$A$208,0)),"حساب غير معرف",IF(L973&lt;&gt;"تحليلي","حساب تجميعي",IF(AND(N(G973)&gt;0,N(H973)&gt;0),"مدين ودائن معاً",IF(N(G973)+N(H973)=0,"بدون قيمة","OK")))))</f>
        <v>فارغ</v>
      </c>
      <c r="N973" s="55" t="str">
        <f aca="false">IF(AND(E973&lt;&gt;"",E973='كشف حساب مشروع'!$C$6,I973="مرحل ✔"),COUNTIFS($E$11:E973,'كشف حساب مشروع'!$C$6,$I$11:I973,"مرحل ✔"),"")</f>
        <v/>
      </c>
      <c r="O973" s="55" t="str">
        <f aca="false">IF(AND(C973&lt;&gt;"",C973='دفتر الأستاذ'!$C$6,I973="مرحل ✔"),COUNTIFS($C$11:C973,'دفتر الأستاذ'!$C$6,$I$11:I973,"مرحل ✔"),"")</f>
        <v/>
      </c>
    </row>
    <row r="974" customFormat="false" ht="15" hidden="false" customHeight="false" outlineLevel="0" collapsed="false">
      <c r="A974" s="49"/>
      <c r="B974" s="50"/>
      <c r="C974" s="49"/>
      <c r="D974" s="51" t="str">
        <f aca="false">IF(C974="","",IFERROR(INDEX('شجرة الحسابات'!$B$9:$B$208,MATCH(C974,'شجرة الحسابات'!$A$9:$A$208,0)),"⚠ حساب غير معرف"))</f>
        <v/>
      </c>
      <c r="E974" s="52"/>
      <c r="F974" s="52"/>
      <c r="G974" s="53"/>
      <c r="H974" s="53"/>
      <c r="I974" s="54" t="str">
        <f aca="false">IF(A974="",IF(M974="فارغ","","✖ بدون رقم قيد"),IF(COUNTIFS('قيود اليومية'!$A$11:$A$1010,A974,'قيود اليومية'!$M$11:$M$1010,"&lt;&gt;OK",'قيود اليومية'!$M$11:$M$1010,"&lt;&gt;فارغ")&gt;0,"✖ خطأ بالحساب",IF(ROUND(SUMIFS('قيود اليومية'!$G$11:$G$1010,'قيود اليومية'!$A$11:$A$1010,A974)-SUMIFS('قيود اليومية'!$H$11:$H$1010,'قيود اليومية'!$A$11:$A$1010,A974),2)&lt;&gt;0,"✖ غير متوازن","مرحل ✔")))</f>
        <v/>
      </c>
      <c r="J974" s="55" t="str">
        <f aca="false">IF(C974="","",IFERROR(INDEX('شجرة الحسابات'!$E$9:$E$208,MATCH(C974,'شجرة الحسابات'!$A$9:$A$208,0))&amp;"",""))</f>
        <v/>
      </c>
      <c r="K974" s="55" t="str">
        <f aca="false">IF(C974="","",IFERROR(INDEX('شجرة الحسابات'!$I$9:$I$208,MATCH(C974,'شجرة الحسابات'!$A$9:$A$208,0))&amp;"",""))</f>
        <v/>
      </c>
      <c r="L974" s="55" t="str">
        <f aca="false">IF(C974="","",IFERROR(INDEX('شجرة الحسابات'!$C$9:$C$208,MATCH(C974,'شجرة الحسابات'!$A$9:$A$208,0))&amp;"",""))</f>
        <v/>
      </c>
      <c r="M974" s="55" t="str">
        <f aca="false">IF(AND(C974="",G974="",H974=""),"فارغ",IF(ISNA(MATCH(C974,'شجرة الحسابات'!$A$9:$A$208,0)),"حساب غير معرف",IF(L974&lt;&gt;"تحليلي","حساب تجميعي",IF(AND(N(G974)&gt;0,N(H974)&gt;0),"مدين ودائن معاً",IF(N(G974)+N(H974)=0,"بدون قيمة","OK")))))</f>
        <v>فارغ</v>
      </c>
      <c r="N974" s="55" t="str">
        <f aca="false">IF(AND(E974&lt;&gt;"",E974='كشف حساب مشروع'!$C$6,I974="مرحل ✔"),COUNTIFS($E$11:E974,'كشف حساب مشروع'!$C$6,$I$11:I974,"مرحل ✔"),"")</f>
        <v/>
      </c>
      <c r="O974" s="55" t="str">
        <f aca="false">IF(AND(C974&lt;&gt;"",C974='دفتر الأستاذ'!$C$6,I974="مرحل ✔"),COUNTIFS($C$11:C974,'دفتر الأستاذ'!$C$6,$I$11:I974,"مرحل ✔"),"")</f>
        <v/>
      </c>
    </row>
    <row r="975" customFormat="false" ht="15" hidden="false" customHeight="false" outlineLevel="0" collapsed="false">
      <c r="A975" s="49"/>
      <c r="B975" s="50"/>
      <c r="C975" s="49"/>
      <c r="D975" s="51" t="str">
        <f aca="false">IF(C975="","",IFERROR(INDEX('شجرة الحسابات'!$B$9:$B$208,MATCH(C975,'شجرة الحسابات'!$A$9:$A$208,0)),"⚠ حساب غير معرف"))</f>
        <v/>
      </c>
      <c r="E975" s="52"/>
      <c r="F975" s="52"/>
      <c r="G975" s="53"/>
      <c r="H975" s="53"/>
      <c r="I975" s="54" t="str">
        <f aca="false">IF(A975="",IF(M975="فارغ","","✖ بدون رقم قيد"),IF(COUNTIFS('قيود اليومية'!$A$11:$A$1010,A975,'قيود اليومية'!$M$11:$M$1010,"&lt;&gt;OK",'قيود اليومية'!$M$11:$M$1010,"&lt;&gt;فارغ")&gt;0,"✖ خطأ بالحساب",IF(ROUND(SUMIFS('قيود اليومية'!$G$11:$G$1010,'قيود اليومية'!$A$11:$A$1010,A975)-SUMIFS('قيود اليومية'!$H$11:$H$1010,'قيود اليومية'!$A$11:$A$1010,A975),2)&lt;&gt;0,"✖ غير متوازن","مرحل ✔")))</f>
        <v/>
      </c>
      <c r="J975" s="55" t="str">
        <f aca="false">IF(C975="","",IFERROR(INDEX('شجرة الحسابات'!$E$9:$E$208,MATCH(C975,'شجرة الحسابات'!$A$9:$A$208,0))&amp;"",""))</f>
        <v/>
      </c>
      <c r="K975" s="55" t="str">
        <f aca="false">IF(C975="","",IFERROR(INDEX('شجرة الحسابات'!$I$9:$I$208,MATCH(C975,'شجرة الحسابات'!$A$9:$A$208,0))&amp;"",""))</f>
        <v/>
      </c>
      <c r="L975" s="55" t="str">
        <f aca="false">IF(C975="","",IFERROR(INDEX('شجرة الحسابات'!$C$9:$C$208,MATCH(C975,'شجرة الحسابات'!$A$9:$A$208,0))&amp;"",""))</f>
        <v/>
      </c>
      <c r="M975" s="55" t="str">
        <f aca="false">IF(AND(C975="",G975="",H975=""),"فارغ",IF(ISNA(MATCH(C975,'شجرة الحسابات'!$A$9:$A$208,0)),"حساب غير معرف",IF(L975&lt;&gt;"تحليلي","حساب تجميعي",IF(AND(N(G975)&gt;0,N(H975)&gt;0),"مدين ودائن معاً",IF(N(G975)+N(H975)=0,"بدون قيمة","OK")))))</f>
        <v>فارغ</v>
      </c>
      <c r="N975" s="55" t="str">
        <f aca="false">IF(AND(E975&lt;&gt;"",E975='كشف حساب مشروع'!$C$6,I975="مرحل ✔"),COUNTIFS($E$11:E975,'كشف حساب مشروع'!$C$6,$I$11:I975,"مرحل ✔"),"")</f>
        <v/>
      </c>
      <c r="O975" s="55" t="str">
        <f aca="false">IF(AND(C975&lt;&gt;"",C975='دفتر الأستاذ'!$C$6,I975="مرحل ✔"),COUNTIFS($C$11:C975,'دفتر الأستاذ'!$C$6,$I$11:I975,"مرحل ✔"),"")</f>
        <v/>
      </c>
    </row>
    <row r="976" customFormat="false" ht="15" hidden="false" customHeight="false" outlineLevel="0" collapsed="false">
      <c r="A976" s="49"/>
      <c r="B976" s="50"/>
      <c r="C976" s="49"/>
      <c r="D976" s="51" t="str">
        <f aca="false">IF(C976="","",IFERROR(INDEX('شجرة الحسابات'!$B$9:$B$208,MATCH(C976,'شجرة الحسابات'!$A$9:$A$208,0)),"⚠ حساب غير معرف"))</f>
        <v/>
      </c>
      <c r="E976" s="52"/>
      <c r="F976" s="52"/>
      <c r="G976" s="53"/>
      <c r="H976" s="53"/>
      <c r="I976" s="54" t="str">
        <f aca="false">IF(A976="",IF(M976="فارغ","","✖ بدون رقم قيد"),IF(COUNTIFS('قيود اليومية'!$A$11:$A$1010,A976,'قيود اليومية'!$M$11:$M$1010,"&lt;&gt;OK",'قيود اليومية'!$M$11:$M$1010,"&lt;&gt;فارغ")&gt;0,"✖ خطأ بالحساب",IF(ROUND(SUMIFS('قيود اليومية'!$G$11:$G$1010,'قيود اليومية'!$A$11:$A$1010,A976)-SUMIFS('قيود اليومية'!$H$11:$H$1010,'قيود اليومية'!$A$11:$A$1010,A976),2)&lt;&gt;0,"✖ غير متوازن","مرحل ✔")))</f>
        <v/>
      </c>
      <c r="J976" s="55" t="str">
        <f aca="false">IF(C976="","",IFERROR(INDEX('شجرة الحسابات'!$E$9:$E$208,MATCH(C976,'شجرة الحسابات'!$A$9:$A$208,0))&amp;"",""))</f>
        <v/>
      </c>
      <c r="K976" s="55" t="str">
        <f aca="false">IF(C976="","",IFERROR(INDEX('شجرة الحسابات'!$I$9:$I$208,MATCH(C976,'شجرة الحسابات'!$A$9:$A$208,0))&amp;"",""))</f>
        <v/>
      </c>
      <c r="L976" s="55" t="str">
        <f aca="false">IF(C976="","",IFERROR(INDEX('شجرة الحسابات'!$C$9:$C$208,MATCH(C976,'شجرة الحسابات'!$A$9:$A$208,0))&amp;"",""))</f>
        <v/>
      </c>
      <c r="M976" s="55" t="str">
        <f aca="false">IF(AND(C976="",G976="",H976=""),"فارغ",IF(ISNA(MATCH(C976,'شجرة الحسابات'!$A$9:$A$208,0)),"حساب غير معرف",IF(L976&lt;&gt;"تحليلي","حساب تجميعي",IF(AND(N(G976)&gt;0,N(H976)&gt;0),"مدين ودائن معاً",IF(N(G976)+N(H976)=0,"بدون قيمة","OK")))))</f>
        <v>فارغ</v>
      </c>
      <c r="N976" s="55" t="str">
        <f aca="false">IF(AND(E976&lt;&gt;"",E976='كشف حساب مشروع'!$C$6,I976="مرحل ✔"),COUNTIFS($E$11:E976,'كشف حساب مشروع'!$C$6,$I$11:I976,"مرحل ✔"),"")</f>
        <v/>
      </c>
      <c r="O976" s="55" t="str">
        <f aca="false">IF(AND(C976&lt;&gt;"",C976='دفتر الأستاذ'!$C$6,I976="مرحل ✔"),COUNTIFS($C$11:C976,'دفتر الأستاذ'!$C$6,$I$11:I976,"مرحل ✔"),"")</f>
        <v/>
      </c>
    </row>
    <row r="977" customFormat="false" ht="15" hidden="false" customHeight="false" outlineLevel="0" collapsed="false">
      <c r="A977" s="49"/>
      <c r="B977" s="50"/>
      <c r="C977" s="49"/>
      <c r="D977" s="51" t="str">
        <f aca="false">IF(C977="","",IFERROR(INDEX('شجرة الحسابات'!$B$9:$B$208,MATCH(C977,'شجرة الحسابات'!$A$9:$A$208,0)),"⚠ حساب غير معرف"))</f>
        <v/>
      </c>
      <c r="E977" s="52"/>
      <c r="F977" s="52"/>
      <c r="G977" s="53"/>
      <c r="H977" s="53"/>
      <c r="I977" s="54" t="str">
        <f aca="false">IF(A977="",IF(M977="فارغ","","✖ بدون رقم قيد"),IF(COUNTIFS('قيود اليومية'!$A$11:$A$1010,A977,'قيود اليومية'!$M$11:$M$1010,"&lt;&gt;OK",'قيود اليومية'!$M$11:$M$1010,"&lt;&gt;فارغ")&gt;0,"✖ خطأ بالحساب",IF(ROUND(SUMIFS('قيود اليومية'!$G$11:$G$1010,'قيود اليومية'!$A$11:$A$1010,A977)-SUMIFS('قيود اليومية'!$H$11:$H$1010,'قيود اليومية'!$A$11:$A$1010,A977),2)&lt;&gt;0,"✖ غير متوازن","مرحل ✔")))</f>
        <v/>
      </c>
      <c r="J977" s="55" t="str">
        <f aca="false">IF(C977="","",IFERROR(INDEX('شجرة الحسابات'!$E$9:$E$208,MATCH(C977,'شجرة الحسابات'!$A$9:$A$208,0))&amp;"",""))</f>
        <v/>
      </c>
      <c r="K977" s="55" t="str">
        <f aca="false">IF(C977="","",IFERROR(INDEX('شجرة الحسابات'!$I$9:$I$208,MATCH(C977,'شجرة الحسابات'!$A$9:$A$208,0))&amp;"",""))</f>
        <v/>
      </c>
      <c r="L977" s="55" t="str">
        <f aca="false">IF(C977="","",IFERROR(INDEX('شجرة الحسابات'!$C$9:$C$208,MATCH(C977,'شجرة الحسابات'!$A$9:$A$208,0))&amp;"",""))</f>
        <v/>
      </c>
      <c r="M977" s="55" t="str">
        <f aca="false">IF(AND(C977="",G977="",H977=""),"فارغ",IF(ISNA(MATCH(C977,'شجرة الحسابات'!$A$9:$A$208,0)),"حساب غير معرف",IF(L977&lt;&gt;"تحليلي","حساب تجميعي",IF(AND(N(G977)&gt;0,N(H977)&gt;0),"مدين ودائن معاً",IF(N(G977)+N(H977)=0,"بدون قيمة","OK")))))</f>
        <v>فارغ</v>
      </c>
      <c r="N977" s="55" t="str">
        <f aca="false">IF(AND(E977&lt;&gt;"",E977='كشف حساب مشروع'!$C$6,I977="مرحل ✔"),COUNTIFS($E$11:E977,'كشف حساب مشروع'!$C$6,$I$11:I977,"مرحل ✔"),"")</f>
        <v/>
      </c>
      <c r="O977" s="55" t="str">
        <f aca="false">IF(AND(C977&lt;&gt;"",C977='دفتر الأستاذ'!$C$6,I977="مرحل ✔"),COUNTIFS($C$11:C977,'دفتر الأستاذ'!$C$6,$I$11:I977,"مرحل ✔"),"")</f>
        <v/>
      </c>
    </row>
    <row r="978" customFormat="false" ht="15" hidden="false" customHeight="false" outlineLevel="0" collapsed="false">
      <c r="A978" s="49"/>
      <c r="B978" s="50"/>
      <c r="C978" s="49"/>
      <c r="D978" s="51" t="str">
        <f aca="false">IF(C978="","",IFERROR(INDEX('شجرة الحسابات'!$B$9:$B$208,MATCH(C978,'شجرة الحسابات'!$A$9:$A$208,0)),"⚠ حساب غير معرف"))</f>
        <v/>
      </c>
      <c r="E978" s="52"/>
      <c r="F978" s="52"/>
      <c r="G978" s="53"/>
      <c r="H978" s="53"/>
      <c r="I978" s="54" t="str">
        <f aca="false">IF(A978="",IF(M978="فارغ","","✖ بدون رقم قيد"),IF(COUNTIFS('قيود اليومية'!$A$11:$A$1010,A978,'قيود اليومية'!$M$11:$M$1010,"&lt;&gt;OK",'قيود اليومية'!$M$11:$M$1010,"&lt;&gt;فارغ")&gt;0,"✖ خطأ بالحساب",IF(ROUND(SUMIFS('قيود اليومية'!$G$11:$G$1010,'قيود اليومية'!$A$11:$A$1010,A978)-SUMIFS('قيود اليومية'!$H$11:$H$1010,'قيود اليومية'!$A$11:$A$1010,A978),2)&lt;&gt;0,"✖ غير متوازن","مرحل ✔")))</f>
        <v/>
      </c>
      <c r="J978" s="55" t="str">
        <f aca="false">IF(C978="","",IFERROR(INDEX('شجرة الحسابات'!$E$9:$E$208,MATCH(C978,'شجرة الحسابات'!$A$9:$A$208,0))&amp;"",""))</f>
        <v/>
      </c>
      <c r="K978" s="55" t="str">
        <f aca="false">IF(C978="","",IFERROR(INDEX('شجرة الحسابات'!$I$9:$I$208,MATCH(C978,'شجرة الحسابات'!$A$9:$A$208,0))&amp;"",""))</f>
        <v/>
      </c>
      <c r="L978" s="55" t="str">
        <f aca="false">IF(C978="","",IFERROR(INDEX('شجرة الحسابات'!$C$9:$C$208,MATCH(C978,'شجرة الحسابات'!$A$9:$A$208,0))&amp;"",""))</f>
        <v/>
      </c>
      <c r="M978" s="55" t="str">
        <f aca="false">IF(AND(C978="",G978="",H978=""),"فارغ",IF(ISNA(MATCH(C978,'شجرة الحسابات'!$A$9:$A$208,0)),"حساب غير معرف",IF(L978&lt;&gt;"تحليلي","حساب تجميعي",IF(AND(N(G978)&gt;0,N(H978)&gt;0),"مدين ودائن معاً",IF(N(G978)+N(H978)=0,"بدون قيمة","OK")))))</f>
        <v>فارغ</v>
      </c>
      <c r="N978" s="55" t="str">
        <f aca="false">IF(AND(E978&lt;&gt;"",E978='كشف حساب مشروع'!$C$6,I978="مرحل ✔"),COUNTIFS($E$11:E978,'كشف حساب مشروع'!$C$6,$I$11:I978,"مرحل ✔"),"")</f>
        <v/>
      </c>
      <c r="O978" s="55" t="str">
        <f aca="false">IF(AND(C978&lt;&gt;"",C978='دفتر الأستاذ'!$C$6,I978="مرحل ✔"),COUNTIFS($C$11:C978,'دفتر الأستاذ'!$C$6,$I$11:I978,"مرحل ✔"),"")</f>
        <v/>
      </c>
    </row>
    <row r="979" customFormat="false" ht="15" hidden="false" customHeight="false" outlineLevel="0" collapsed="false">
      <c r="A979" s="49"/>
      <c r="B979" s="50"/>
      <c r="C979" s="49"/>
      <c r="D979" s="51" t="str">
        <f aca="false">IF(C979="","",IFERROR(INDEX('شجرة الحسابات'!$B$9:$B$208,MATCH(C979,'شجرة الحسابات'!$A$9:$A$208,0)),"⚠ حساب غير معرف"))</f>
        <v/>
      </c>
      <c r="E979" s="52"/>
      <c r="F979" s="52"/>
      <c r="G979" s="53"/>
      <c r="H979" s="53"/>
      <c r="I979" s="54" t="str">
        <f aca="false">IF(A979="",IF(M979="فارغ","","✖ بدون رقم قيد"),IF(COUNTIFS('قيود اليومية'!$A$11:$A$1010,A979,'قيود اليومية'!$M$11:$M$1010,"&lt;&gt;OK",'قيود اليومية'!$M$11:$M$1010,"&lt;&gt;فارغ")&gt;0,"✖ خطأ بالحساب",IF(ROUND(SUMIFS('قيود اليومية'!$G$11:$G$1010,'قيود اليومية'!$A$11:$A$1010,A979)-SUMIFS('قيود اليومية'!$H$11:$H$1010,'قيود اليومية'!$A$11:$A$1010,A979),2)&lt;&gt;0,"✖ غير متوازن","مرحل ✔")))</f>
        <v/>
      </c>
      <c r="J979" s="55" t="str">
        <f aca="false">IF(C979="","",IFERROR(INDEX('شجرة الحسابات'!$E$9:$E$208,MATCH(C979,'شجرة الحسابات'!$A$9:$A$208,0))&amp;"",""))</f>
        <v/>
      </c>
      <c r="K979" s="55" t="str">
        <f aca="false">IF(C979="","",IFERROR(INDEX('شجرة الحسابات'!$I$9:$I$208,MATCH(C979,'شجرة الحسابات'!$A$9:$A$208,0))&amp;"",""))</f>
        <v/>
      </c>
      <c r="L979" s="55" t="str">
        <f aca="false">IF(C979="","",IFERROR(INDEX('شجرة الحسابات'!$C$9:$C$208,MATCH(C979,'شجرة الحسابات'!$A$9:$A$208,0))&amp;"",""))</f>
        <v/>
      </c>
      <c r="M979" s="55" t="str">
        <f aca="false">IF(AND(C979="",G979="",H979=""),"فارغ",IF(ISNA(MATCH(C979,'شجرة الحسابات'!$A$9:$A$208,0)),"حساب غير معرف",IF(L979&lt;&gt;"تحليلي","حساب تجميعي",IF(AND(N(G979)&gt;0,N(H979)&gt;0),"مدين ودائن معاً",IF(N(G979)+N(H979)=0,"بدون قيمة","OK")))))</f>
        <v>فارغ</v>
      </c>
      <c r="N979" s="55" t="str">
        <f aca="false">IF(AND(E979&lt;&gt;"",E979='كشف حساب مشروع'!$C$6,I979="مرحل ✔"),COUNTIFS($E$11:E979,'كشف حساب مشروع'!$C$6,$I$11:I979,"مرحل ✔"),"")</f>
        <v/>
      </c>
      <c r="O979" s="55" t="str">
        <f aca="false">IF(AND(C979&lt;&gt;"",C979='دفتر الأستاذ'!$C$6,I979="مرحل ✔"),COUNTIFS($C$11:C979,'دفتر الأستاذ'!$C$6,$I$11:I979,"مرحل ✔"),"")</f>
        <v/>
      </c>
    </row>
    <row r="980" customFormat="false" ht="15" hidden="false" customHeight="false" outlineLevel="0" collapsed="false">
      <c r="A980" s="49"/>
      <c r="B980" s="50"/>
      <c r="C980" s="49"/>
      <c r="D980" s="51" t="str">
        <f aca="false">IF(C980="","",IFERROR(INDEX('شجرة الحسابات'!$B$9:$B$208,MATCH(C980,'شجرة الحسابات'!$A$9:$A$208,0)),"⚠ حساب غير معرف"))</f>
        <v/>
      </c>
      <c r="E980" s="52"/>
      <c r="F980" s="52"/>
      <c r="G980" s="53"/>
      <c r="H980" s="53"/>
      <c r="I980" s="54" t="str">
        <f aca="false">IF(A980="",IF(M980="فارغ","","✖ بدون رقم قيد"),IF(COUNTIFS('قيود اليومية'!$A$11:$A$1010,A980,'قيود اليومية'!$M$11:$M$1010,"&lt;&gt;OK",'قيود اليومية'!$M$11:$M$1010,"&lt;&gt;فارغ")&gt;0,"✖ خطأ بالحساب",IF(ROUND(SUMIFS('قيود اليومية'!$G$11:$G$1010,'قيود اليومية'!$A$11:$A$1010,A980)-SUMIFS('قيود اليومية'!$H$11:$H$1010,'قيود اليومية'!$A$11:$A$1010,A980),2)&lt;&gt;0,"✖ غير متوازن","مرحل ✔")))</f>
        <v/>
      </c>
      <c r="J980" s="55" t="str">
        <f aca="false">IF(C980="","",IFERROR(INDEX('شجرة الحسابات'!$E$9:$E$208,MATCH(C980,'شجرة الحسابات'!$A$9:$A$208,0))&amp;"",""))</f>
        <v/>
      </c>
      <c r="K980" s="55" t="str">
        <f aca="false">IF(C980="","",IFERROR(INDEX('شجرة الحسابات'!$I$9:$I$208,MATCH(C980,'شجرة الحسابات'!$A$9:$A$208,0))&amp;"",""))</f>
        <v/>
      </c>
      <c r="L980" s="55" t="str">
        <f aca="false">IF(C980="","",IFERROR(INDEX('شجرة الحسابات'!$C$9:$C$208,MATCH(C980,'شجرة الحسابات'!$A$9:$A$208,0))&amp;"",""))</f>
        <v/>
      </c>
      <c r="M980" s="55" t="str">
        <f aca="false">IF(AND(C980="",G980="",H980=""),"فارغ",IF(ISNA(MATCH(C980,'شجرة الحسابات'!$A$9:$A$208,0)),"حساب غير معرف",IF(L980&lt;&gt;"تحليلي","حساب تجميعي",IF(AND(N(G980)&gt;0,N(H980)&gt;0),"مدين ودائن معاً",IF(N(G980)+N(H980)=0,"بدون قيمة","OK")))))</f>
        <v>فارغ</v>
      </c>
      <c r="N980" s="55" t="str">
        <f aca="false">IF(AND(E980&lt;&gt;"",E980='كشف حساب مشروع'!$C$6,I980="مرحل ✔"),COUNTIFS($E$11:E980,'كشف حساب مشروع'!$C$6,$I$11:I980,"مرحل ✔"),"")</f>
        <v/>
      </c>
      <c r="O980" s="55" t="str">
        <f aca="false">IF(AND(C980&lt;&gt;"",C980='دفتر الأستاذ'!$C$6,I980="مرحل ✔"),COUNTIFS($C$11:C980,'دفتر الأستاذ'!$C$6,$I$11:I980,"مرحل ✔"),"")</f>
        <v/>
      </c>
    </row>
    <row r="981" customFormat="false" ht="15" hidden="false" customHeight="false" outlineLevel="0" collapsed="false">
      <c r="A981" s="49"/>
      <c r="B981" s="50"/>
      <c r="C981" s="49"/>
      <c r="D981" s="51" t="str">
        <f aca="false">IF(C981="","",IFERROR(INDEX('شجرة الحسابات'!$B$9:$B$208,MATCH(C981,'شجرة الحسابات'!$A$9:$A$208,0)),"⚠ حساب غير معرف"))</f>
        <v/>
      </c>
      <c r="E981" s="52"/>
      <c r="F981" s="52"/>
      <c r="G981" s="53"/>
      <c r="H981" s="53"/>
      <c r="I981" s="54" t="str">
        <f aca="false">IF(A981="",IF(M981="فارغ","","✖ بدون رقم قيد"),IF(COUNTIFS('قيود اليومية'!$A$11:$A$1010,A981,'قيود اليومية'!$M$11:$M$1010,"&lt;&gt;OK",'قيود اليومية'!$M$11:$M$1010,"&lt;&gt;فارغ")&gt;0,"✖ خطأ بالحساب",IF(ROUND(SUMIFS('قيود اليومية'!$G$11:$G$1010,'قيود اليومية'!$A$11:$A$1010,A981)-SUMIFS('قيود اليومية'!$H$11:$H$1010,'قيود اليومية'!$A$11:$A$1010,A981),2)&lt;&gt;0,"✖ غير متوازن","مرحل ✔")))</f>
        <v/>
      </c>
      <c r="J981" s="55" t="str">
        <f aca="false">IF(C981="","",IFERROR(INDEX('شجرة الحسابات'!$E$9:$E$208,MATCH(C981,'شجرة الحسابات'!$A$9:$A$208,0))&amp;"",""))</f>
        <v/>
      </c>
      <c r="K981" s="55" t="str">
        <f aca="false">IF(C981="","",IFERROR(INDEX('شجرة الحسابات'!$I$9:$I$208,MATCH(C981,'شجرة الحسابات'!$A$9:$A$208,0))&amp;"",""))</f>
        <v/>
      </c>
      <c r="L981" s="55" t="str">
        <f aca="false">IF(C981="","",IFERROR(INDEX('شجرة الحسابات'!$C$9:$C$208,MATCH(C981,'شجرة الحسابات'!$A$9:$A$208,0))&amp;"",""))</f>
        <v/>
      </c>
      <c r="M981" s="55" t="str">
        <f aca="false">IF(AND(C981="",G981="",H981=""),"فارغ",IF(ISNA(MATCH(C981,'شجرة الحسابات'!$A$9:$A$208,0)),"حساب غير معرف",IF(L981&lt;&gt;"تحليلي","حساب تجميعي",IF(AND(N(G981)&gt;0,N(H981)&gt;0),"مدين ودائن معاً",IF(N(G981)+N(H981)=0,"بدون قيمة","OK")))))</f>
        <v>فارغ</v>
      </c>
      <c r="N981" s="55" t="str">
        <f aca="false">IF(AND(E981&lt;&gt;"",E981='كشف حساب مشروع'!$C$6,I981="مرحل ✔"),COUNTIFS($E$11:E981,'كشف حساب مشروع'!$C$6,$I$11:I981,"مرحل ✔"),"")</f>
        <v/>
      </c>
      <c r="O981" s="55" t="str">
        <f aca="false">IF(AND(C981&lt;&gt;"",C981='دفتر الأستاذ'!$C$6,I981="مرحل ✔"),COUNTIFS($C$11:C981,'دفتر الأستاذ'!$C$6,$I$11:I981,"مرحل ✔"),"")</f>
        <v/>
      </c>
    </row>
    <row r="982" customFormat="false" ht="15" hidden="false" customHeight="false" outlineLevel="0" collapsed="false">
      <c r="A982" s="49"/>
      <c r="B982" s="50"/>
      <c r="C982" s="49"/>
      <c r="D982" s="51" t="str">
        <f aca="false">IF(C982="","",IFERROR(INDEX('شجرة الحسابات'!$B$9:$B$208,MATCH(C982,'شجرة الحسابات'!$A$9:$A$208,0)),"⚠ حساب غير معرف"))</f>
        <v/>
      </c>
      <c r="E982" s="52"/>
      <c r="F982" s="52"/>
      <c r="G982" s="53"/>
      <c r="H982" s="53"/>
      <c r="I982" s="54" t="str">
        <f aca="false">IF(A982="",IF(M982="فارغ","","✖ بدون رقم قيد"),IF(COUNTIFS('قيود اليومية'!$A$11:$A$1010,A982,'قيود اليومية'!$M$11:$M$1010,"&lt;&gt;OK",'قيود اليومية'!$M$11:$M$1010,"&lt;&gt;فارغ")&gt;0,"✖ خطأ بالحساب",IF(ROUND(SUMIFS('قيود اليومية'!$G$11:$G$1010,'قيود اليومية'!$A$11:$A$1010,A982)-SUMIFS('قيود اليومية'!$H$11:$H$1010,'قيود اليومية'!$A$11:$A$1010,A982),2)&lt;&gt;0,"✖ غير متوازن","مرحل ✔")))</f>
        <v/>
      </c>
      <c r="J982" s="55" t="str">
        <f aca="false">IF(C982="","",IFERROR(INDEX('شجرة الحسابات'!$E$9:$E$208,MATCH(C982,'شجرة الحسابات'!$A$9:$A$208,0))&amp;"",""))</f>
        <v/>
      </c>
      <c r="K982" s="55" t="str">
        <f aca="false">IF(C982="","",IFERROR(INDEX('شجرة الحسابات'!$I$9:$I$208,MATCH(C982,'شجرة الحسابات'!$A$9:$A$208,0))&amp;"",""))</f>
        <v/>
      </c>
      <c r="L982" s="55" t="str">
        <f aca="false">IF(C982="","",IFERROR(INDEX('شجرة الحسابات'!$C$9:$C$208,MATCH(C982,'شجرة الحسابات'!$A$9:$A$208,0))&amp;"",""))</f>
        <v/>
      </c>
      <c r="M982" s="55" t="str">
        <f aca="false">IF(AND(C982="",G982="",H982=""),"فارغ",IF(ISNA(MATCH(C982,'شجرة الحسابات'!$A$9:$A$208,0)),"حساب غير معرف",IF(L982&lt;&gt;"تحليلي","حساب تجميعي",IF(AND(N(G982)&gt;0,N(H982)&gt;0),"مدين ودائن معاً",IF(N(G982)+N(H982)=0,"بدون قيمة","OK")))))</f>
        <v>فارغ</v>
      </c>
      <c r="N982" s="55" t="str">
        <f aca="false">IF(AND(E982&lt;&gt;"",E982='كشف حساب مشروع'!$C$6,I982="مرحل ✔"),COUNTIFS($E$11:E982,'كشف حساب مشروع'!$C$6,$I$11:I982,"مرحل ✔"),"")</f>
        <v/>
      </c>
      <c r="O982" s="55" t="str">
        <f aca="false">IF(AND(C982&lt;&gt;"",C982='دفتر الأستاذ'!$C$6,I982="مرحل ✔"),COUNTIFS($C$11:C982,'دفتر الأستاذ'!$C$6,$I$11:I982,"مرحل ✔"),"")</f>
        <v/>
      </c>
    </row>
    <row r="983" customFormat="false" ht="15" hidden="false" customHeight="false" outlineLevel="0" collapsed="false">
      <c r="A983" s="49"/>
      <c r="B983" s="50"/>
      <c r="C983" s="49"/>
      <c r="D983" s="51" t="str">
        <f aca="false">IF(C983="","",IFERROR(INDEX('شجرة الحسابات'!$B$9:$B$208,MATCH(C983,'شجرة الحسابات'!$A$9:$A$208,0)),"⚠ حساب غير معرف"))</f>
        <v/>
      </c>
      <c r="E983" s="52"/>
      <c r="F983" s="52"/>
      <c r="G983" s="53"/>
      <c r="H983" s="53"/>
      <c r="I983" s="54" t="str">
        <f aca="false">IF(A983="",IF(M983="فارغ","","✖ بدون رقم قيد"),IF(COUNTIFS('قيود اليومية'!$A$11:$A$1010,A983,'قيود اليومية'!$M$11:$M$1010,"&lt;&gt;OK",'قيود اليومية'!$M$11:$M$1010,"&lt;&gt;فارغ")&gt;0,"✖ خطأ بالحساب",IF(ROUND(SUMIFS('قيود اليومية'!$G$11:$G$1010,'قيود اليومية'!$A$11:$A$1010,A983)-SUMIFS('قيود اليومية'!$H$11:$H$1010,'قيود اليومية'!$A$11:$A$1010,A983),2)&lt;&gt;0,"✖ غير متوازن","مرحل ✔")))</f>
        <v/>
      </c>
      <c r="J983" s="55" t="str">
        <f aca="false">IF(C983="","",IFERROR(INDEX('شجرة الحسابات'!$E$9:$E$208,MATCH(C983,'شجرة الحسابات'!$A$9:$A$208,0))&amp;"",""))</f>
        <v/>
      </c>
      <c r="K983" s="55" t="str">
        <f aca="false">IF(C983="","",IFERROR(INDEX('شجرة الحسابات'!$I$9:$I$208,MATCH(C983,'شجرة الحسابات'!$A$9:$A$208,0))&amp;"",""))</f>
        <v/>
      </c>
      <c r="L983" s="55" t="str">
        <f aca="false">IF(C983="","",IFERROR(INDEX('شجرة الحسابات'!$C$9:$C$208,MATCH(C983,'شجرة الحسابات'!$A$9:$A$208,0))&amp;"",""))</f>
        <v/>
      </c>
      <c r="M983" s="55" t="str">
        <f aca="false">IF(AND(C983="",G983="",H983=""),"فارغ",IF(ISNA(MATCH(C983,'شجرة الحسابات'!$A$9:$A$208,0)),"حساب غير معرف",IF(L983&lt;&gt;"تحليلي","حساب تجميعي",IF(AND(N(G983)&gt;0,N(H983)&gt;0),"مدين ودائن معاً",IF(N(G983)+N(H983)=0,"بدون قيمة","OK")))))</f>
        <v>فارغ</v>
      </c>
      <c r="N983" s="55" t="str">
        <f aca="false">IF(AND(E983&lt;&gt;"",E983='كشف حساب مشروع'!$C$6,I983="مرحل ✔"),COUNTIFS($E$11:E983,'كشف حساب مشروع'!$C$6,$I$11:I983,"مرحل ✔"),"")</f>
        <v/>
      </c>
      <c r="O983" s="55" t="str">
        <f aca="false">IF(AND(C983&lt;&gt;"",C983='دفتر الأستاذ'!$C$6,I983="مرحل ✔"),COUNTIFS($C$11:C983,'دفتر الأستاذ'!$C$6,$I$11:I983,"مرحل ✔"),"")</f>
        <v/>
      </c>
    </row>
    <row r="984" customFormat="false" ht="15" hidden="false" customHeight="false" outlineLevel="0" collapsed="false">
      <c r="A984" s="49"/>
      <c r="B984" s="50"/>
      <c r="C984" s="49"/>
      <c r="D984" s="51" t="str">
        <f aca="false">IF(C984="","",IFERROR(INDEX('شجرة الحسابات'!$B$9:$B$208,MATCH(C984,'شجرة الحسابات'!$A$9:$A$208,0)),"⚠ حساب غير معرف"))</f>
        <v/>
      </c>
      <c r="E984" s="52"/>
      <c r="F984" s="52"/>
      <c r="G984" s="53"/>
      <c r="H984" s="53"/>
      <c r="I984" s="54" t="str">
        <f aca="false">IF(A984="",IF(M984="فارغ","","✖ بدون رقم قيد"),IF(COUNTIFS('قيود اليومية'!$A$11:$A$1010,A984,'قيود اليومية'!$M$11:$M$1010,"&lt;&gt;OK",'قيود اليومية'!$M$11:$M$1010,"&lt;&gt;فارغ")&gt;0,"✖ خطأ بالحساب",IF(ROUND(SUMIFS('قيود اليومية'!$G$11:$G$1010,'قيود اليومية'!$A$11:$A$1010,A984)-SUMIFS('قيود اليومية'!$H$11:$H$1010,'قيود اليومية'!$A$11:$A$1010,A984),2)&lt;&gt;0,"✖ غير متوازن","مرحل ✔")))</f>
        <v/>
      </c>
      <c r="J984" s="55" t="str">
        <f aca="false">IF(C984="","",IFERROR(INDEX('شجرة الحسابات'!$E$9:$E$208,MATCH(C984,'شجرة الحسابات'!$A$9:$A$208,0))&amp;"",""))</f>
        <v/>
      </c>
      <c r="K984" s="55" t="str">
        <f aca="false">IF(C984="","",IFERROR(INDEX('شجرة الحسابات'!$I$9:$I$208,MATCH(C984,'شجرة الحسابات'!$A$9:$A$208,0))&amp;"",""))</f>
        <v/>
      </c>
      <c r="L984" s="55" t="str">
        <f aca="false">IF(C984="","",IFERROR(INDEX('شجرة الحسابات'!$C$9:$C$208,MATCH(C984,'شجرة الحسابات'!$A$9:$A$208,0))&amp;"",""))</f>
        <v/>
      </c>
      <c r="M984" s="55" t="str">
        <f aca="false">IF(AND(C984="",G984="",H984=""),"فارغ",IF(ISNA(MATCH(C984,'شجرة الحسابات'!$A$9:$A$208,0)),"حساب غير معرف",IF(L984&lt;&gt;"تحليلي","حساب تجميعي",IF(AND(N(G984)&gt;0,N(H984)&gt;0),"مدين ودائن معاً",IF(N(G984)+N(H984)=0,"بدون قيمة","OK")))))</f>
        <v>فارغ</v>
      </c>
      <c r="N984" s="55" t="str">
        <f aca="false">IF(AND(E984&lt;&gt;"",E984='كشف حساب مشروع'!$C$6,I984="مرحل ✔"),COUNTIFS($E$11:E984,'كشف حساب مشروع'!$C$6,$I$11:I984,"مرحل ✔"),"")</f>
        <v/>
      </c>
      <c r="O984" s="55" t="str">
        <f aca="false">IF(AND(C984&lt;&gt;"",C984='دفتر الأستاذ'!$C$6,I984="مرحل ✔"),COUNTIFS($C$11:C984,'دفتر الأستاذ'!$C$6,$I$11:I984,"مرحل ✔"),"")</f>
        <v/>
      </c>
    </row>
    <row r="985" customFormat="false" ht="15" hidden="false" customHeight="false" outlineLevel="0" collapsed="false">
      <c r="A985" s="49"/>
      <c r="B985" s="50"/>
      <c r="C985" s="49"/>
      <c r="D985" s="51" t="str">
        <f aca="false">IF(C985="","",IFERROR(INDEX('شجرة الحسابات'!$B$9:$B$208,MATCH(C985,'شجرة الحسابات'!$A$9:$A$208,0)),"⚠ حساب غير معرف"))</f>
        <v/>
      </c>
      <c r="E985" s="52"/>
      <c r="F985" s="52"/>
      <c r="G985" s="53"/>
      <c r="H985" s="53"/>
      <c r="I985" s="54" t="str">
        <f aca="false">IF(A985="",IF(M985="فارغ","","✖ بدون رقم قيد"),IF(COUNTIFS('قيود اليومية'!$A$11:$A$1010,A985,'قيود اليومية'!$M$11:$M$1010,"&lt;&gt;OK",'قيود اليومية'!$M$11:$M$1010,"&lt;&gt;فارغ")&gt;0,"✖ خطأ بالحساب",IF(ROUND(SUMIFS('قيود اليومية'!$G$11:$G$1010,'قيود اليومية'!$A$11:$A$1010,A985)-SUMIFS('قيود اليومية'!$H$11:$H$1010,'قيود اليومية'!$A$11:$A$1010,A985),2)&lt;&gt;0,"✖ غير متوازن","مرحل ✔")))</f>
        <v/>
      </c>
      <c r="J985" s="55" t="str">
        <f aca="false">IF(C985="","",IFERROR(INDEX('شجرة الحسابات'!$E$9:$E$208,MATCH(C985,'شجرة الحسابات'!$A$9:$A$208,0))&amp;"",""))</f>
        <v/>
      </c>
      <c r="K985" s="55" t="str">
        <f aca="false">IF(C985="","",IFERROR(INDEX('شجرة الحسابات'!$I$9:$I$208,MATCH(C985,'شجرة الحسابات'!$A$9:$A$208,0))&amp;"",""))</f>
        <v/>
      </c>
      <c r="L985" s="55" t="str">
        <f aca="false">IF(C985="","",IFERROR(INDEX('شجرة الحسابات'!$C$9:$C$208,MATCH(C985,'شجرة الحسابات'!$A$9:$A$208,0))&amp;"",""))</f>
        <v/>
      </c>
      <c r="M985" s="55" t="str">
        <f aca="false">IF(AND(C985="",G985="",H985=""),"فارغ",IF(ISNA(MATCH(C985,'شجرة الحسابات'!$A$9:$A$208,0)),"حساب غير معرف",IF(L985&lt;&gt;"تحليلي","حساب تجميعي",IF(AND(N(G985)&gt;0,N(H985)&gt;0),"مدين ودائن معاً",IF(N(G985)+N(H985)=0,"بدون قيمة","OK")))))</f>
        <v>فارغ</v>
      </c>
      <c r="N985" s="55" t="str">
        <f aca="false">IF(AND(E985&lt;&gt;"",E985='كشف حساب مشروع'!$C$6,I985="مرحل ✔"),COUNTIFS($E$11:E985,'كشف حساب مشروع'!$C$6,$I$11:I985,"مرحل ✔"),"")</f>
        <v/>
      </c>
      <c r="O985" s="55" t="str">
        <f aca="false">IF(AND(C985&lt;&gt;"",C985='دفتر الأستاذ'!$C$6,I985="مرحل ✔"),COUNTIFS($C$11:C985,'دفتر الأستاذ'!$C$6,$I$11:I985,"مرحل ✔"),"")</f>
        <v/>
      </c>
    </row>
    <row r="986" customFormat="false" ht="15" hidden="false" customHeight="false" outlineLevel="0" collapsed="false">
      <c r="A986" s="49"/>
      <c r="B986" s="50"/>
      <c r="C986" s="49"/>
      <c r="D986" s="51" t="str">
        <f aca="false">IF(C986="","",IFERROR(INDEX('شجرة الحسابات'!$B$9:$B$208,MATCH(C986,'شجرة الحسابات'!$A$9:$A$208,0)),"⚠ حساب غير معرف"))</f>
        <v/>
      </c>
      <c r="E986" s="52"/>
      <c r="F986" s="52"/>
      <c r="G986" s="53"/>
      <c r="H986" s="53"/>
      <c r="I986" s="54" t="str">
        <f aca="false">IF(A986="",IF(M986="فارغ","","✖ بدون رقم قيد"),IF(COUNTIFS('قيود اليومية'!$A$11:$A$1010,A986,'قيود اليومية'!$M$11:$M$1010,"&lt;&gt;OK",'قيود اليومية'!$M$11:$M$1010,"&lt;&gt;فارغ")&gt;0,"✖ خطأ بالحساب",IF(ROUND(SUMIFS('قيود اليومية'!$G$11:$G$1010,'قيود اليومية'!$A$11:$A$1010,A986)-SUMIFS('قيود اليومية'!$H$11:$H$1010,'قيود اليومية'!$A$11:$A$1010,A986),2)&lt;&gt;0,"✖ غير متوازن","مرحل ✔")))</f>
        <v/>
      </c>
      <c r="J986" s="55" t="str">
        <f aca="false">IF(C986="","",IFERROR(INDEX('شجرة الحسابات'!$E$9:$E$208,MATCH(C986,'شجرة الحسابات'!$A$9:$A$208,0))&amp;"",""))</f>
        <v/>
      </c>
      <c r="K986" s="55" t="str">
        <f aca="false">IF(C986="","",IFERROR(INDEX('شجرة الحسابات'!$I$9:$I$208,MATCH(C986,'شجرة الحسابات'!$A$9:$A$208,0))&amp;"",""))</f>
        <v/>
      </c>
      <c r="L986" s="55" t="str">
        <f aca="false">IF(C986="","",IFERROR(INDEX('شجرة الحسابات'!$C$9:$C$208,MATCH(C986,'شجرة الحسابات'!$A$9:$A$208,0))&amp;"",""))</f>
        <v/>
      </c>
      <c r="M986" s="55" t="str">
        <f aca="false">IF(AND(C986="",G986="",H986=""),"فارغ",IF(ISNA(MATCH(C986,'شجرة الحسابات'!$A$9:$A$208,0)),"حساب غير معرف",IF(L986&lt;&gt;"تحليلي","حساب تجميعي",IF(AND(N(G986)&gt;0,N(H986)&gt;0),"مدين ودائن معاً",IF(N(G986)+N(H986)=0,"بدون قيمة","OK")))))</f>
        <v>فارغ</v>
      </c>
      <c r="N986" s="55" t="str">
        <f aca="false">IF(AND(E986&lt;&gt;"",E986='كشف حساب مشروع'!$C$6,I986="مرحل ✔"),COUNTIFS($E$11:E986,'كشف حساب مشروع'!$C$6,$I$11:I986,"مرحل ✔"),"")</f>
        <v/>
      </c>
      <c r="O986" s="55" t="str">
        <f aca="false">IF(AND(C986&lt;&gt;"",C986='دفتر الأستاذ'!$C$6,I986="مرحل ✔"),COUNTIFS($C$11:C986,'دفتر الأستاذ'!$C$6,$I$11:I986,"مرحل ✔"),"")</f>
        <v/>
      </c>
    </row>
    <row r="987" customFormat="false" ht="15" hidden="false" customHeight="false" outlineLevel="0" collapsed="false">
      <c r="A987" s="49"/>
      <c r="B987" s="50"/>
      <c r="C987" s="49"/>
      <c r="D987" s="51" t="str">
        <f aca="false">IF(C987="","",IFERROR(INDEX('شجرة الحسابات'!$B$9:$B$208,MATCH(C987,'شجرة الحسابات'!$A$9:$A$208,0)),"⚠ حساب غير معرف"))</f>
        <v/>
      </c>
      <c r="E987" s="52"/>
      <c r="F987" s="52"/>
      <c r="G987" s="53"/>
      <c r="H987" s="53"/>
      <c r="I987" s="54" t="str">
        <f aca="false">IF(A987="",IF(M987="فارغ","","✖ بدون رقم قيد"),IF(COUNTIFS('قيود اليومية'!$A$11:$A$1010,A987,'قيود اليومية'!$M$11:$M$1010,"&lt;&gt;OK",'قيود اليومية'!$M$11:$M$1010,"&lt;&gt;فارغ")&gt;0,"✖ خطأ بالحساب",IF(ROUND(SUMIFS('قيود اليومية'!$G$11:$G$1010,'قيود اليومية'!$A$11:$A$1010,A987)-SUMIFS('قيود اليومية'!$H$11:$H$1010,'قيود اليومية'!$A$11:$A$1010,A987),2)&lt;&gt;0,"✖ غير متوازن","مرحل ✔")))</f>
        <v/>
      </c>
      <c r="J987" s="55" t="str">
        <f aca="false">IF(C987="","",IFERROR(INDEX('شجرة الحسابات'!$E$9:$E$208,MATCH(C987,'شجرة الحسابات'!$A$9:$A$208,0))&amp;"",""))</f>
        <v/>
      </c>
      <c r="K987" s="55" t="str">
        <f aca="false">IF(C987="","",IFERROR(INDEX('شجرة الحسابات'!$I$9:$I$208,MATCH(C987,'شجرة الحسابات'!$A$9:$A$208,0))&amp;"",""))</f>
        <v/>
      </c>
      <c r="L987" s="55" t="str">
        <f aca="false">IF(C987="","",IFERROR(INDEX('شجرة الحسابات'!$C$9:$C$208,MATCH(C987,'شجرة الحسابات'!$A$9:$A$208,0))&amp;"",""))</f>
        <v/>
      </c>
      <c r="M987" s="55" t="str">
        <f aca="false">IF(AND(C987="",G987="",H987=""),"فارغ",IF(ISNA(MATCH(C987,'شجرة الحسابات'!$A$9:$A$208,0)),"حساب غير معرف",IF(L987&lt;&gt;"تحليلي","حساب تجميعي",IF(AND(N(G987)&gt;0,N(H987)&gt;0),"مدين ودائن معاً",IF(N(G987)+N(H987)=0,"بدون قيمة","OK")))))</f>
        <v>فارغ</v>
      </c>
      <c r="N987" s="55" t="str">
        <f aca="false">IF(AND(E987&lt;&gt;"",E987='كشف حساب مشروع'!$C$6,I987="مرحل ✔"),COUNTIFS($E$11:E987,'كشف حساب مشروع'!$C$6,$I$11:I987,"مرحل ✔"),"")</f>
        <v/>
      </c>
      <c r="O987" s="55" t="str">
        <f aca="false">IF(AND(C987&lt;&gt;"",C987='دفتر الأستاذ'!$C$6,I987="مرحل ✔"),COUNTIFS($C$11:C987,'دفتر الأستاذ'!$C$6,$I$11:I987,"مرحل ✔"),"")</f>
        <v/>
      </c>
    </row>
    <row r="988" customFormat="false" ht="15" hidden="false" customHeight="false" outlineLevel="0" collapsed="false">
      <c r="A988" s="49"/>
      <c r="B988" s="50"/>
      <c r="C988" s="49"/>
      <c r="D988" s="51" t="str">
        <f aca="false">IF(C988="","",IFERROR(INDEX('شجرة الحسابات'!$B$9:$B$208,MATCH(C988,'شجرة الحسابات'!$A$9:$A$208,0)),"⚠ حساب غير معرف"))</f>
        <v/>
      </c>
      <c r="E988" s="52"/>
      <c r="F988" s="52"/>
      <c r="G988" s="53"/>
      <c r="H988" s="53"/>
      <c r="I988" s="54" t="str">
        <f aca="false">IF(A988="",IF(M988="فارغ","","✖ بدون رقم قيد"),IF(COUNTIFS('قيود اليومية'!$A$11:$A$1010,A988,'قيود اليومية'!$M$11:$M$1010,"&lt;&gt;OK",'قيود اليومية'!$M$11:$M$1010,"&lt;&gt;فارغ")&gt;0,"✖ خطأ بالحساب",IF(ROUND(SUMIFS('قيود اليومية'!$G$11:$G$1010,'قيود اليومية'!$A$11:$A$1010,A988)-SUMIFS('قيود اليومية'!$H$11:$H$1010,'قيود اليومية'!$A$11:$A$1010,A988),2)&lt;&gt;0,"✖ غير متوازن","مرحل ✔")))</f>
        <v/>
      </c>
      <c r="J988" s="55" t="str">
        <f aca="false">IF(C988="","",IFERROR(INDEX('شجرة الحسابات'!$E$9:$E$208,MATCH(C988,'شجرة الحسابات'!$A$9:$A$208,0))&amp;"",""))</f>
        <v/>
      </c>
      <c r="K988" s="55" t="str">
        <f aca="false">IF(C988="","",IFERROR(INDEX('شجرة الحسابات'!$I$9:$I$208,MATCH(C988,'شجرة الحسابات'!$A$9:$A$208,0))&amp;"",""))</f>
        <v/>
      </c>
      <c r="L988" s="55" t="str">
        <f aca="false">IF(C988="","",IFERROR(INDEX('شجرة الحسابات'!$C$9:$C$208,MATCH(C988,'شجرة الحسابات'!$A$9:$A$208,0))&amp;"",""))</f>
        <v/>
      </c>
      <c r="M988" s="55" t="str">
        <f aca="false">IF(AND(C988="",G988="",H988=""),"فارغ",IF(ISNA(MATCH(C988,'شجرة الحسابات'!$A$9:$A$208,0)),"حساب غير معرف",IF(L988&lt;&gt;"تحليلي","حساب تجميعي",IF(AND(N(G988)&gt;0,N(H988)&gt;0),"مدين ودائن معاً",IF(N(G988)+N(H988)=0,"بدون قيمة","OK")))))</f>
        <v>فارغ</v>
      </c>
      <c r="N988" s="55" t="str">
        <f aca="false">IF(AND(E988&lt;&gt;"",E988='كشف حساب مشروع'!$C$6,I988="مرحل ✔"),COUNTIFS($E$11:E988,'كشف حساب مشروع'!$C$6,$I$11:I988,"مرحل ✔"),"")</f>
        <v/>
      </c>
      <c r="O988" s="55" t="str">
        <f aca="false">IF(AND(C988&lt;&gt;"",C988='دفتر الأستاذ'!$C$6,I988="مرحل ✔"),COUNTIFS($C$11:C988,'دفتر الأستاذ'!$C$6,$I$11:I988,"مرحل ✔"),"")</f>
        <v/>
      </c>
    </row>
    <row r="989" customFormat="false" ht="15" hidden="false" customHeight="false" outlineLevel="0" collapsed="false">
      <c r="A989" s="49"/>
      <c r="B989" s="50"/>
      <c r="C989" s="49"/>
      <c r="D989" s="51" t="str">
        <f aca="false">IF(C989="","",IFERROR(INDEX('شجرة الحسابات'!$B$9:$B$208,MATCH(C989,'شجرة الحسابات'!$A$9:$A$208,0)),"⚠ حساب غير معرف"))</f>
        <v/>
      </c>
      <c r="E989" s="52"/>
      <c r="F989" s="52"/>
      <c r="G989" s="53"/>
      <c r="H989" s="53"/>
      <c r="I989" s="54" t="str">
        <f aca="false">IF(A989="",IF(M989="فارغ","","✖ بدون رقم قيد"),IF(COUNTIFS('قيود اليومية'!$A$11:$A$1010,A989,'قيود اليومية'!$M$11:$M$1010,"&lt;&gt;OK",'قيود اليومية'!$M$11:$M$1010,"&lt;&gt;فارغ")&gt;0,"✖ خطأ بالحساب",IF(ROUND(SUMIFS('قيود اليومية'!$G$11:$G$1010,'قيود اليومية'!$A$11:$A$1010,A989)-SUMIFS('قيود اليومية'!$H$11:$H$1010,'قيود اليومية'!$A$11:$A$1010,A989),2)&lt;&gt;0,"✖ غير متوازن","مرحل ✔")))</f>
        <v/>
      </c>
      <c r="J989" s="55" t="str">
        <f aca="false">IF(C989="","",IFERROR(INDEX('شجرة الحسابات'!$E$9:$E$208,MATCH(C989,'شجرة الحسابات'!$A$9:$A$208,0))&amp;"",""))</f>
        <v/>
      </c>
      <c r="K989" s="55" t="str">
        <f aca="false">IF(C989="","",IFERROR(INDEX('شجرة الحسابات'!$I$9:$I$208,MATCH(C989,'شجرة الحسابات'!$A$9:$A$208,0))&amp;"",""))</f>
        <v/>
      </c>
      <c r="L989" s="55" t="str">
        <f aca="false">IF(C989="","",IFERROR(INDEX('شجرة الحسابات'!$C$9:$C$208,MATCH(C989,'شجرة الحسابات'!$A$9:$A$208,0))&amp;"",""))</f>
        <v/>
      </c>
      <c r="M989" s="55" t="str">
        <f aca="false">IF(AND(C989="",G989="",H989=""),"فارغ",IF(ISNA(MATCH(C989,'شجرة الحسابات'!$A$9:$A$208,0)),"حساب غير معرف",IF(L989&lt;&gt;"تحليلي","حساب تجميعي",IF(AND(N(G989)&gt;0,N(H989)&gt;0),"مدين ودائن معاً",IF(N(G989)+N(H989)=0,"بدون قيمة","OK")))))</f>
        <v>فارغ</v>
      </c>
      <c r="N989" s="55" t="str">
        <f aca="false">IF(AND(E989&lt;&gt;"",E989='كشف حساب مشروع'!$C$6,I989="مرحل ✔"),COUNTIFS($E$11:E989,'كشف حساب مشروع'!$C$6,$I$11:I989,"مرحل ✔"),"")</f>
        <v/>
      </c>
      <c r="O989" s="55" t="str">
        <f aca="false">IF(AND(C989&lt;&gt;"",C989='دفتر الأستاذ'!$C$6,I989="مرحل ✔"),COUNTIFS($C$11:C989,'دفتر الأستاذ'!$C$6,$I$11:I989,"مرحل ✔"),"")</f>
        <v/>
      </c>
    </row>
    <row r="990" customFormat="false" ht="15" hidden="false" customHeight="false" outlineLevel="0" collapsed="false">
      <c r="A990" s="49"/>
      <c r="B990" s="50"/>
      <c r="C990" s="49"/>
      <c r="D990" s="51" t="str">
        <f aca="false">IF(C990="","",IFERROR(INDEX('شجرة الحسابات'!$B$9:$B$208,MATCH(C990,'شجرة الحسابات'!$A$9:$A$208,0)),"⚠ حساب غير معرف"))</f>
        <v/>
      </c>
      <c r="E990" s="52"/>
      <c r="F990" s="52"/>
      <c r="G990" s="53"/>
      <c r="H990" s="53"/>
      <c r="I990" s="54" t="str">
        <f aca="false">IF(A990="",IF(M990="فارغ","","✖ بدون رقم قيد"),IF(COUNTIFS('قيود اليومية'!$A$11:$A$1010,A990,'قيود اليومية'!$M$11:$M$1010,"&lt;&gt;OK",'قيود اليومية'!$M$11:$M$1010,"&lt;&gt;فارغ")&gt;0,"✖ خطأ بالحساب",IF(ROUND(SUMIFS('قيود اليومية'!$G$11:$G$1010,'قيود اليومية'!$A$11:$A$1010,A990)-SUMIFS('قيود اليومية'!$H$11:$H$1010,'قيود اليومية'!$A$11:$A$1010,A990),2)&lt;&gt;0,"✖ غير متوازن","مرحل ✔")))</f>
        <v/>
      </c>
      <c r="J990" s="55" t="str">
        <f aca="false">IF(C990="","",IFERROR(INDEX('شجرة الحسابات'!$E$9:$E$208,MATCH(C990,'شجرة الحسابات'!$A$9:$A$208,0))&amp;"",""))</f>
        <v/>
      </c>
      <c r="K990" s="55" t="str">
        <f aca="false">IF(C990="","",IFERROR(INDEX('شجرة الحسابات'!$I$9:$I$208,MATCH(C990,'شجرة الحسابات'!$A$9:$A$208,0))&amp;"",""))</f>
        <v/>
      </c>
      <c r="L990" s="55" t="str">
        <f aca="false">IF(C990="","",IFERROR(INDEX('شجرة الحسابات'!$C$9:$C$208,MATCH(C990,'شجرة الحسابات'!$A$9:$A$208,0))&amp;"",""))</f>
        <v/>
      </c>
      <c r="M990" s="55" t="str">
        <f aca="false">IF(AND(C990="",G990="",H990=""),"فارغ",IF(ISNA(MATCH(C990,'شجرة الحسابات'!$A$9:$A$208,0)),"حساب غير معرف",IF(L990&lt;&gt;"تحليلي","حساب تجميعي",IF(AND(N(G990)&gt;0,N(H990)&gt;0),"مدين ودائن معاً",IF(N(G990)+N(H990)=0,"بدون قيمة","OK")))))</f>
        <v>فارغ</v>
      </c>
      <c r="N990" s="55" t="str">
        <f aca="false">IF(AND(E990&lt;&gt;"",E990='كشف حساب مشروع'!$C$6,I990="مرحل ✔"),COUNTIFS($E$11:E990,'كشف حساب مشروع'!$C$6,$I$11:I990,"مرحل ✔"),"")</f>
        <v/>
      </c>
      <c r="O990" s="55" t="str">
        <f aca="false">IF(AND(C990&lt;&gt;"",C990='دفتر الأستاذ'!$C$6,I990="مرحل ✔"),COUNTIFS($C$11:C990,'دفتر الأستاذ'!$C$6,$I$11:I990,"مرحل ✔"),"")</f>
        <v/>
      </c>
    </row>
    <row r="991" customFormat="false" ht="15" hidden="false" customHeight="false" outlineLevel="0" collapsed="false">
      <c r="A991" s="49"/>
      <c r="B991" s="50"/>
      <c r="C991" s="49"/>
      <c r="D991" s="51" t="str">
        <f aca="false">IF(C991="","",IFERROR(INDEX('شجرة الحسابات'!$B$9:$B$208,MATCH(C991,'شجرة الحسابات'!$A$9:$A$208,0)),"⚠ حساب غير معرف"))</f>
        <v/>
      </c>
      <c r="E991" s="52"/>
      <c r="F991" s="52"/>
      <c r="G991" s="53"/>
      <c r="H991" s="53"/>
      <c r="I991" s="54" t="str">
        <f aca="false">IF(A991="",IF(M991="فارغ","","✖ بدون رقم قيد"),IF(COUNTIFS('قيود اليومية'!$A$11:$A$1010,A991,'قيود اليومية'!$M$11:$M$1010,"&lt;&gt;OK",'قيود اليومية'!$M$11:$M$1010,"&lt;&gt;فارغ")&gt;0,"✖ خطأ بالحساب",IF(ROUND(SUMIFS('قيود اليومية'!$G$11:$G$1010,'قيود اليومية'!$A$11:$A$1010,A991)-SUMIFS('قيود اليومية'!$H$11:$H$1010,'قيود اليومية'!$A$11:$A$1010,A991),2)&lt;&gt;0,"✖ غير متوازن","مرحل ✔")))</f>
        <v/>
      </c>
      <c r="J991" s="55" t="str">
        <f aca="false">IF(C991="","",IFERROR(INDEX('شجرة الحسابات'!$E$9:$E$208,MATCH(C991,'شجرة الحسابات'!$A$9:$A$208,0))&amp;"",""))</f>
        <v/>
      </c>
      <c r="K991" s="55" t="str">
        <f aca="false">IF(C991="","",IFERROR(INDEX('شجرة الحسابات'!$I$9:$I$208,MATCH(C991,'شجرة الحسابات'!$A$9:$A$208,0))&amp;"",""))</f>
        <v/>
      </c>
      <c r="L991" s="55" t="str">
        <f aca="false">IF(C991="","",IFERROR(INDEX('شجرة الحسابات'!$C$9:$C$208,MATCH(C991,'شجرة الحسابات'!$A$9:$A$208,0))&amp;"",""))</f>
        <v/>
      </c>
      <c r="M991" s="55" t="str">
        <f aca="false">IF(AND(C991="",G991="",H991=""),"فارغ",IF(ISNA(MATCH(C991,'شجرة الحسابات'!$A$9:$A$208,0)),"حساب غير معرف",IF(L991&lt;&gt;"تحليلي","حساب تجميعي",IF(AND(N(G991)&gt;0,N(H991)&gt;0),"مدين ودائن معاً",IF(N(G991)+N(H991)=0,"بدون قيمة","OK")))))</f>
        <v>فارغ</v>
      </c>
      <c r="N991" s="55" t="str">
        <f aca="false">IF(AND(E991&lt;&gt;"",E991='كشف حساب مشروع'!$C$6,I991="مرحل ✔"),COUNTIFS($E$11:E991,'كشف حساب مشروع'!$C$6,$I$11:I991,"مرحل ✔"),"")</f>
        <v/>
      </c>
      <c r="O991" s="55" t="str">
        <f aca="false">IF(AND(C991&lt;&gt;"",C991='دفتر الأستاذ'!$C$6,I991="مرحل ✔"),COUNTIFS($C$11:C991,'دفتر الأستاذ'!$C$6,$I$11:I991,"مرحل ✔"),"")</f>
        <v/>
      </c>
    </row>
    <row r="992" customFormat="false" ht="15" hidden="false" customHeight="false" outlineLevel="0" collapsed="false">
      <c r="A992" s="49"/>
      <c r="B992" s="50"/>
      <c r="C992" s="49"/>
      <c r="D992" s="51" t="str">
        <f aca="false">IF(C992="","",IFERROR(INDEX('شجرة الحسابات'!$B$9:$B$208,MATCH(C992,'شجرة الحسابات'!$A$9:$A$208,0)),"⚠ حساب غير معرف"))</f>
        <v/>
      </c>
      <c r="E992" s="52"/>
      <c r="F992" s="52"/>
      <c r="G992" s="53"/>
      <c r="H992" s="53"/>
      <c r="I992" s="54" t="str">
        <f aca="false">IF(A992="",IF(M992="فارغ","","✖ بدون رقم قيد"),IF(COUNTIFS('قيود اليومية'!$A$11:$A$1010,A992,'قيود اليومية'!$M$11:$M$1010,"&lt;&gt;OK",'قيود اليومية'!$M$11:$M$1010,"&lt;&gt;فارغ")&gt;0,"✖ خطأ بالحساب",IF(ROUND(SUMIFS('قيود اليومية'!$G$11:$G$1010,'قيود اليومية'!$A$11:$A$1010,A992)-SUMIFS('قيود اليومية'!$H$11:$H$1010,'قيود اليومية'!$A$11:$A$1010,A992),2)&lt;&gt;0,"✖ غير متوازن","مرحل ✔")))</f>
        <v/>
      </c>
      <c r="J992" s="55" t="str">
        <f aca="false">IF(C992="","",IFERROR(INDEX('شجرة الحسابات'!$E$9:$E$208,MATCH(C992,'شجرة الحسابات'!$A$9:$A$208,0))&amp;"",""))</f>
        <v/>
      </c>
      <c r="K992" s="55" t="str">
        <f aca="false">IF(C992="","",IFERROR(INDEX('شجرة الحسابات'!$I$9:$I$208,MATCH(C992,'شجرة الحسابات'!$A$9:$A$208,0))&amp;"",""))</f>
        <v/>
      </c>
      <c r="L992" s="55" t="str">
        <f aca="false">IF(C992="","",IFERROR(INDEX('شجرة الحسابات'!$C$9:$C$208,MATCH(C992,'شجرة الحسابات'!$A$9:$A$208,0))&amp;"",""))</f>
        <v/>
      </c>
      <c r="M992" s="55" t="str">
        <f aca="false">IF(AND(C992="",G992="",H992=""),"فارغ",IF(ISNA(MATCH(C992,'شجرة الحسابات'!$A$9:$A$208,0)),"حساب غير معرف",IF(L992&lt;&gt;"تحليلي","حساب تجميعي",IF(AND(N(G992)&gt;0,N(H992)&gt;0),"مدين ودائن معاً",IF(N(G992)+N(H992)=0,"بدون قيمة","OK")))))</f>
        <v>فارغ</v>
      </c>
      <c r="N992" s="55" t="str">
        <f aca="false">IF(AND(E992&lt;&gt;"",E992='كشف حساب مشروع'!$C$6,I992="مرحل ✔"),COUNTIFS($E$11:E992,'كشف حساب مشروع'!$C$6,$I$11:I992,"مرحل ✔"),"")</f>
        <v/>
      </c>
      <c r="O992" s="55" t="str">
        <f aca="false">IF(AND(C992&lt;&gt;"",C992='دفتر الأستاذ'!$C$6,I992="مرحل ✔"),COUNTIFS($C$11:C992,'دفتر الأستاذ'!$C$6,$I$11:I992,"مرحل ✔"),"")</f>
        <v/>
      </c>
    </row>
    <row r="993" customFormat="false" ht="15" hidden="false" customHeight="false" outlineLevel="0" collapsed="false">
      <c r="A993" s="49"/>
      <c r="B993" s="50"/>
      <c r="C993" s="49"/>
      <c r="D993" s="51" t="str">
        <f aca="false">IF(C993="","",IFERROR(INDEX('شجرة الحسابات'!$B$9:$B$208,MATCH(C993,'شجرة الحسابات'!$A$9:$A$208,0)),"⚠ حساب غير معرف"))</f>
        <v/>
      </c>
      <c r="E993" s="52"/>
      <c r="F993" s="52"/>
      <c r="G993" s="53"/>
      <c r="H993" s="53"/>
      <c r="I993" s="54" t="str">
        <f aca="false">IF(A993="",IF(M993="فارغ","","✖ بدون رقم قيد"),IF(COUNTIFS('قيود اليومية'!$A$11:$A$1010,A993,'قيود اليومية'!$M$11:$M$1010,"&lt;&gt;OK",'قيود اليومية'!$M$11:$M$1010,"&lt;&gt;فارغ")&gt;0,"✖ خطأ بالحساب",IF(ROUND(SUMIFS('قيود اليومية'!$G$11:$G$1010,'قيود اليومية'!$A$11:$A$1010,A993)-SUMIFS('قيود اليومية'!$H$11:$H$1010,'قيود اليومية'!$A$11:$A$1010,A993),2)&lt;&gt;0,"✖ غير متوازن","مرحل ✔")))</f>
        <v/>
      </c>
      <c r="J993" s="55" t="str">
        <f aca="false">IF(C993="","",IFERROR(INDEX('شجرة الحسابات'!$E$9:$E$208,MATCH(C993,'شجرة الحسابات'!$A$9:$A$208,0))&amp;"",""))</f>
        <v/>
      </c>
      <c r="K993" s="55" t="str">
        <f aca="false">IF(C993="","",IFERROR(INDEX('شجرة الحسابات'!$I$9:$I$208,MATCH(C993,'شجرة الحسابات'!$A$9:$A$208,0))&amp;"",""))</f>
        <v/>
      </c>
      <c r="L993" s="55" t="str">
        <f aca="false">IF(C993="","",IFERROR(INDEX('شجرة الحسابات'!$C$9:$C$208,MATCH(C993,'شجرة الحسابات'!$A$9:$A$208,0))&amp;"",""))</f>
        <v/>
      </c>
      <c r="M993" s="55" t="str">
        <f aca="false">IF(AND(C993="",G993="",H993=""),"فارغ",IF(ISNA(MATCH(C993,'شجرة الحسابات'!$A$9:$A$208,0)),"حساب غير معرف",IF(L993&lt;&gt;"تحليلي","حساب تجميعي",IF(AND(N(G993)&gt;0,N(H993)&gt;0),"مدين ودائن معاً",IF(N(G993)+N(H993)=0,"بدون قيمة","OK")))))</f>
        <v>فارغ</v>
      </c>
      <c r="N993" s="55" t="str">
        <f aca="false">IF(AND(E993&lt;&gt;"",E993='كشف حساب مشروع'!$C$6,I993="مرحل ✔"),COUNTIFS($E$11:E993,'كشف حساب مشروع'!$C$6,$I$11:I993,"مرحل ✔"),"")</f>
        <v/>
      </c>
      <c r="O993" s="55" t="str">
        <f aca="false">IF(AND(C993&lt;&gt;"",C993='دفتر الأستاذ'!$C$6,I993="مرحل ✔"),COUNTIFS($C$11:C993,'دفتر الأستاذ'!$C$6,$I$11:I993,"مرحل ✔"),"")</f>
        <v/>
      </c>
    </row>
    <row r="994" customFormat="false" ht="15" hidden="false" customHeight="false" outlineLevel="0" collapsed="false">
      <c r="A994" s="49"/>
      <c r="B994" s="50"/>
      <c r="C994" s="49"/>
      <c r="D994" s="51" t="str">
        <f aca="false">IF(C994="","",IFERROR(INDEX('شجرة الحسابات'!$B$9:$B$208,MATCH(C994,'شجرة الحسابات'!$A$9:$A$208,0)),"⚠ حساب غير معرف"))</f>
        <v/>
      </c>
      <c r="E994" s="52"/>
      <c r="F994" s="52"/>
      <c r="G994" s="53"/>
      <c r="H994" s="53"/>
      <c r="I994" s="54" t="str">
        <f aca="false">IF(A994="",IF(M994="فارغ","","✖ بدون رقم قيد"),IF(COUNTIFS('قيود اليومية'!$A$11:$A$1010,A994,'قيود اليومية'!$M$11:$M$1010,"&lt;&gt;OK",'قيود اليومية'!$M$11:$M$1010,"&lt;&gt;فارغ")&gt;0,"✖ خطأ بالحساب",IF(ROUND(SUMIFS('قيود اليومية'!$G$11:$G$1010,'قيود اليومية'!$A$11:$A$1010,A994)-SUMIFS('قيود اليومية'!$H$11:$H$1010,'قيود اليومية'!$A$11:$A$1010,A994),2)&lt;&gt;0,"✖ غير متوازن","مرحل ✔")))</f>
        <v/>
      </c>
      <c r="J994" s="55" t="str">
        <f aca="false">IF(C994="","",IFERROR(INDEX('شجرة الحسابات'!$E$9:$E$208,MATCH(C994,'شجرة الحسابات'!$A$9:$A$208,0))&amp;"",""))</f>
        <v/>
      </c>
      <c r="K994" s="55" t="str">
        <f aca="false">IF(C994="","",IFERROR(INDEX('شجرة الحسابات'!$I$9:$I$208,MATCH(C994,'شجرة الحسابات'!$A$9:$A$208,0))&amp;"",""))</f>
        <v/>
      </c>
      <c r="L994" s="55" t="str">
        <f aca="false">IF(C994="","",IFERROR(INDEX('شجرة الحسابات'!$C$9:$C$208,MATCH(C994,'شجرة الحسابات'!$A$9:$A$208,0))&amp;"",""))</f>
        <v/>
      </c>
      <c r="M994" s="55" t="str">
        <f aca="false">IF(AND(C994="",G994="",H994=""),"فارغ",IF(ISNA(MATCH(C994,'شجرة الحسابات'!$A$9:$A$208,0)),"حساب غير معرف",IF(L994&lt;&gt;"تحليلي","حساب تجميعي",IF(AND(N(G994)&gt;0,N(H994)&gt;0),"مدين ودائن معاً",IF(N(G994)+N(H994)=0,"بدون قيمة","OK")))))</f>
        <v>فارغ</v>
      </c>
      <c r="N994" s="55" t="str">
        <f aca="false">IF(AND(E994&lt;&gt;"",E994='كشف حساب مشروع'!$C$6,I994="مرحل ✔"),COUNTIFS($E$11:E994,'كشف حساب مشروع'!$C$6,$I$11:I994,"مرحل ✔"),"")</f>
        <v/>
      </c>
      <c r="O994" s="55" t="str">
        <f aca="false">IF(AND(C994&lt;&gt;"",C994='دفتر الأستاذ'!$C$6,I994="مرحل ✔"),COUNTIFS($C$11:C994,'دفتر الأستاذ'!$C$6,$I$11:I994,"مرحل ✔"),"")</f>
        <v/>
      </c>
    </row>
    <row r="995" customFormat="false" ht="15" hidden="false" customHeight="false" outlineLevel="0" collapsed="false">
      <c r="A995" s="49"/>
      <c r="B995" s="50"/>
      <c r="C995" s="49"/>
      <c r="D995" s="51" t="str">
        <f aca="false">IF(C995="","",IFERROR(INDEX('شجرة الحسابات'!$B$9:$B$208,MATCH(C995,'شجرة الحسابات'!$A$9:$A$208,0)),"⚠ حساب غير معرف"))</f>
        <v/>
      </c>
      <c r="E995" s="52"/>
      <c r="F995" s="52"/>
      <c r="G995" s="53"/>
      <c r="H995" s="53"/>
      <c r="I995" s="54" t="str">
        <f aca="false">IF(A995="",IF(M995="فارغ","","✖ بدون رقم قيد"),IF(COUNTIFS('قيود اليومية'!$A$11:$A$1010,A995,'قيود اليومية'!$M$11:$M$1010,"&lt;&gt;OK",'قيود اليومية'!$M$11:$M$1010,"&lt;&gt;فارغ")&gt;0,"✖ خطأ بالحساب",IF(ROUND(SUMIFS('قيود اليومية'!$G$11:$G$1010,'قيود اليومية'!$A$11:$A$1010,A995)-SUMIFS('قيود اليومية'!$H$11:$H$1010,'قيود اليومية'!$A$11:$A$1010,A995),2)&lt;&gt;0,"✖ غير متوازن","مرحل ✔")))</f>
        <v/>
      </c>
      <c r="J995" s="55" t="str">
        <f aca="false">IF(C995="","",IFERROR(INDEX('شجرة الحسابات'!$E$9:$E$208,MATCH(C995,'شجرة الحسابات'!$A$9:$A$208,0))&amp;"",""))</f>
        <v/>
      </c>
      <c r="K995" s="55" t="str">
        <f aca="false">IF(C995="","",IFERROR(INDEX('شجرة الحسابات'!$I$9:$I$208,MATCH(C995,'شجرة الحسابات'!$A$9:$A$208,0))&amp;"",""))</f>
        <v/>
      </c>
      <c r="L995" s="55" t="str">
        <f aca="false">IF(C995="","",IFERROR(INDEX('شجرة الحسابات'!$C$9:$C$208,MATCH(C995,'شجرة الحسابات'!$A$9:$A$208,0))&amp;"",""))</f>
        <v/>
      </c>
      <c r="M995" s="55" t="str">
        <f aca="false">IF(AND(C995="",G995="",H995=""),"فارغ",IF(ISNA(MATCH(C995,'شجرة الحسابات'!$A$9:$A$208,0)),"حساب غير معرف",IF(L995&lt;&gt;"تحليلي","حساب تجميعي",IF(AND(N(G995)&gt;0,N(H995)&gt;0),"مدين ودائن معاً",IF(N(G995)+N(H995)=0,"بدون قيمة","OK")))))</f>
        <v>فارغ</v>
      </c>
      <c r="N995" s="55" t="str">
        <f aca="false">IF(AND(E995&lt;&gt;"",E995='كشف حساب مشروع'!$C$6,I995="مرحل ✔"),COUNTIFS($E$11:E995,'كشف حساب مشروع'!$C$6,$I$11:I995,"مرحل ✔"),"")</f>
        <v/>
      </c>
      <c r="O995" s="55" t="str">
        <f aca="false">IF(AND(C995&lt;&gt;"",C995='دفتر الأستاذ'!$C$6,I995="مرحل ✔"),COUNTIFS($C$11:C995,'دفتر الأستاذ'!$C$6,$I$11:I995,"مرحل ✔"),"")</f>
        <v/>
      </c>
    </row>
    <row r="996" customFormat="false" ht="15" hidden="false" customHeight="false" outlineLevel="0" collapsed="false">
      <c r="A996" s="49"/>
      <c r="B996" s="50"/>
      <c r="C996" s="49"/>
      <c r="D996" s="51" t="str">
        <f aca="false">IF(C996="","",IFERROR(INDEX('شجرة الحسابات'!$B$9:$B$208,MATCH(C996,'شجرة الحسابات'!$A$9:$A$208,0)),"⚠ حساب غير معرف"))</f>
        <v/>
      </c>
      <c r="E996" s="52"/>
      <c r="F996" s="52"/>
      <c r="G996" s="53"/>
      <c r="H996" s="53"/>
      <c r="I996" s="54" t="str">
        <f aca="false">IF(A996="",IF(M996="فارغ","","✖ بدون رقم قيد"),IF(COUNTIFS('قيود اليومية'!$A$11:$A$1010,A996,'قيود اليومية'!$M$11:$M$1010,"&lt;&gt;OK",'قيود اليومية'!$M$11:$M$1010,"&lt;&gt;فارغ")&gt;0,"✖ خطأ بالحساب",IF(ROUND(SUMIFS('قيود اليومية'!$G$11:$G$1010,'قيود اليومية'!$A$11:$A$1010,A996)-SUMIFS('قيود اليومية'!$H$11:$H$1010,'قيود اليومية'!$A$11:$A$1010,A996),2)&lt;&gt;0,"✖ غير متوازن","مرحل ✔")))</f>
        <v/>
      </c>
      <c r="J996" s="55" t="str">
        <f aca="false">IF(C996="","",IFERROR(INDEX('شجرة الحسابات'!$E$9:$E$208,MATCH(C996,'شجرة الحسابات'!$A$9:$A$208,0))&amp;"",""))</f>
        <v/>
      </c>
      <c r="K996" s="55" t="str">
        <f aca="false">IF(C996="","",IFERROR(INDEX('شجرة الحسابات'!$I$9:$I$208,MATCH(C996,'شجرة الحسابات'!$A$9:$A$208,0))&amp;"",""))</f>
        <v/>
      </c>
      <c r="L996" s="55" t="str">
        <f aca="false">IF(C996="","",IFERROR(INDEX('شجرة الحسابات'!$C$9:$C$208,MATCH(C996,'شجرة الحسابات'!$A$9:$A$208,0))&amp;"",""))</f>
        <v/>
      </c>
      <c r="M996" s="55" t="str">
        <f aca="false">IF(AND(C996="",G996="",H996=""),"فارغ",IF(ISNA(MATCH(C996,'شجرة الحسابات'!$A$9:$A$208,0)),"حساب غير معرف",IF(L996&lt;&gt;"تحليلي","حساب تجميعي",IF(AND(N(G996)&gt;0,N(H996)&gt;0),"مدين ودائن معاً",IF(N(G996)+N(H996)=0,"بدون قيمة","OK")))))</f>
        <v>فارغ</v>
      </c>
      <c r="N996" s="55" t="str">
        <f aca="false">IF(AND(E996&lt;&gt;"",E996='كشف حساب مشروع'!$C$6,I996="مرحل ✔"),COUNTIFS($E$11:E996,'كشف حساب مشروع'!$C$6,$I$11:I996,"مرحل ✔"),"")</f>
        <v/>
      </c>
      <c r="O996" s="55" t="str">
        <f aca="false">IF(AND(C996&lt;&gt;"",C996='دفتر الأستاذ'!$C$6,I996="مرحل ✔"),COUNTIFS($C$11:C996,'دفتر الأستاذ'!$C$6,$I$11:I996,"مرحل ✔"),"")</f>
        <v/>
      </c>
    </row>
    <row r="997" customFormat="false" ht="15" hidden="false" customHeight="false" outlineLevel="0" collapsed="false">
      <c r="A997" s="49"/>
      <c r="B997" s="50"/>
      <c r="C997" s="49"/>
      <c r="D997" s="51" t="str">
        <f aca="false">IF(C997="","",IFERROR(INDEX('شجرة الحسابات'!$B$9:$B$208,MATCH(C997,'شجرة الحسابات'!$A$9:$A$208,0)),"⚠ حساب غير معرف"))</f>
        <v/>
      </c>
      <c r="E997" s="52"/>
      <c r="F997" s="52"/>
      <c r="G997" s="53"/>
      <c r="H997" s="53"/>
      <c r="I997" s="54" t="str">
        <f aca="false">IF(A997="",IF(M997="فارغ","","✖ بدون رقم قيد"),IF(COUNTIFS('قيود اليومية'!$A$11:$A$1010,A997,'قيود اليومية'!$M$11:$M$1010,"&lt;&gt;OK",'قيود اليومية'!$M$11:$M$1010,"&lt;&gt;فارغ")&gt;0,"✖ خطأ بالحساب",IF(ROUND(SUMIFS('قيود اليومية'!$G$11:$G$1010,'قيود اليومية'!$A$11:$A$1010,A997)-SUMIFS('قيود اليومية'!$H$11:$H$1010,'قيود اليومية'!$A$11:$A$1010,A997),2)&lt;&gt;0,"✖ غير متوازن","مرحل ✔")))</f>
        <v/>
      </c>
      <c r="J997" s="55" t="str">
        <f aca="false">IF(C997="","",IFERROR(INDEX('شجرة الحسابات'!$E$9:$E$208,MATCH(C997,'شجرة الحسابات'!$A$9:$A$208,0))&amp;"",""))</f>
        <v/>
      </c>
      <c r="K997" s="55" t="str">
        <f aca="false">IF(C997="","",IFERROR(INDEX('شجرة الحسابات'!$I$9:$I$208,MATCH(C997,'شجرة الحسابات'!$A$9:$A$208,0))&amp;"",""))</f>
        <v/>
      </c>
      <c r="L997" s="55" t="str">
        <f aca="false">IF(C997="","",IFERROR(INDEX('شجرة الحسابات'!$C$9:$C$208,MATCH(C997,'شجرة الحسابات'!$A$9:$A$208,0))&amp;"",""))</f>
        <v/>
      </c>
      <c r="M997" s="55" t="str">
        <f aca="false">IF(AND(C997="",G997="",H997=""),"فارغ",IF(ISNA(MATCH(C997,'شجرة الحسابات'!$A$9:$A$208,0)),"حساب غير معرف",IF(L997&lt;&gt;"تحليلي","حساب تجميعي",IF(AND(N(G997)&gt;0,N(H997)&gt;0),"مدين ودائن معاً",IF(N(G997)+N(H997)=0,"بدون قيمة","OK")))))</f>
        <v>فارغ</v>
      </c>
      <c r="N997" s="55" t="str">
        <f aca="false">IF(AND(E997&lt;&gt;"",E997='كشف حساب مشروع'!$C$6,I997="مرحل ✔"),COUNTIFS($E$11:E997,'كشف حساب مشروع'!$C$6,$I$11:I997,"مرحل ✔"),"")</f>
        <v/>
      </c>
      <c r="O997" s="55" t="str">
        <f aca="false">IF(AND(C997&lt;&gt;"",C997='دفتر الأستاذ'!$C$6,I997="مرحل ✔"),COUNTIFS($C$11:C997,'دفتر الأستاذ'!$C$6,$I$11:I997,"مرحل ✔"),"")</f>
        <v/>
      </c>
    </row>
    <row r="998" customFormat="false" ht="15" hidden="false" customHeight="false" outlineLevel="0" collapsed="false">
      <c r="A998" s="49"/>
      <c r="B998" s="50"/>
      <c r="C998" s="49"/>
      <c r="D998" s="51" t="str">
        <f aca="false">IF(C998="","",IFERROR(INDEX('شجرة الحسابات'!$B$9:$B$208,MATCH(C998,'شجرة الحسابات'!$A$9:$A$208,0)),"⚠ حساب غير معرف"))</f>
        <v/>
      </c>
      <c r="E998" s="52"/>
      <c r="F998" s="52"/>
      <c r="G998" s="53"/>
      <c r="H998" s="53"/>
      <c r="I998" s="54" t="str">
        <f aca="false">IF(A998="",IF(M998="فارغ","","✖ بدون رقم قيد"),IF(COUNTIFS('قيود اليومية'!$A$11:$A$1010,A998,'قيود اليومية'!$M$11:$M$1010,"&lt;&gt;OK",'قيود اليومية'!$M$11:$M$1010,"&lt;&gt;فارغ")&gt;0,"✖ خطأ بالحساب",IF(ROUND(SUMIFS('قيود اليومية'!$G$11:$G$1010,'قيود اليومية'!$A$11:$A$1010,A998)-SUMIFS('قيود اليومية'!$H$11:$H$1010,'قيود اليومية'!$A$11:$A$1010,A998),2)&lt;&gt;0,"✖ غير متوازن","مرحل ✔")))</f>
        <v/>
      </c>
      <c r="J998" s="55" t="str">
        <f aca="false">IF(C998="","",IFERROR(INDEX('شجرة الحسابات'!$E$9:$E$208,MATCH(C998,'شجرة الحسابات'!$A$9:$A$208,0))&amp;"",""))</f>
        <v/>
      </c>
      <c r="K998" s="55" t="str">
        <f aca="false">IF(C998="","",IFERROR(INDEX('شجرة الحسابات'!$I$9:$I$208,MATCH(C998,'شجرة الحسابات'!$A$9:$A$208,0))&amp;"",""))</f>
        <v/>
      </c>
      <c r="L998" s="55" t="str">
        <f aca="false">IF(C998="","",IFERROR(INDEX('شجرة الحسابات'!$C$9:$C$208,MATCH(C998,'شجرة الحسابات'!$A$9:$A$208,0))&amp;"",""))</f>
        <v/>
      </c>
      <c r="M998" s="55" t="str">
        <f aca="false">IF(AND(C998="",G998="",H998=""),"فارغ",IF(ISNA(MATCH(C998,'شجرة الحسابات'!$A$9:$A$208,0)),"حساب غير معرف",IF(L998&lt;&gt;"تحليلي","حساب تجميعي",IF(AND(N(G998)&gt;0,N(H998)&gt;0),"مدين ودائن معاً",IF(N(G998)+N(H998)=0,"بدون قيمة","OK")))))</f>
        <v>فارغ</v>
      </c>
      <c r="N998" s="55" t="str">
        <f aca="false">IF(AND(E998&lt;&gt;"",E998='كشف حساب مشروع'!$C$6,I998="مرحل ✔"),COUNTIFS($E$11:E998,'كشف حساب مشروع'!$C$6,$I$11:I998,"مرحل ✔"),"")</f>
        <v/>
      </c>
      <c r="O998" s="55" t="str">
        <f aca="false">IF(AND(C998&lt;&gt;"",C998='دفتر الأستاذ'!$C$6,I998="مرحل ✔"),COUNTIFS($C$11:C998,'دفتر الأستاذ'!$C$6,$I$11:I998,"مرحل ✔"),"")</f>
        <v/>
      </c>
    </row>
    <row r="999" customFormat="false" ht="15" hidden="false" customHeight="false" outlineLevel="0" collapsed="false">
      <c r="A999" s="49"/>
      <c r="B999" s="50"/>
      <c r="C999" s="49"/>
      <c r="D999" s="51" t="str">
        <f aca="false">IF(C999="","",IFERROR(INDEX('شجرة الحسابات'!$B$9:$B$208,MATCH(C999,'شجرة الحسابات'!$A$9:$A$208,0)),"⚠ حساب غير معرف"))</f>
        <v/>
      </c>
      <c r="E999" s="52"/>
      <c r="F999" s="52"/>
      <c r="G999" s="53"/>
      <c r="H999" s="53"/>
      <c r="I999" s="54" t="str">
        <f aca="false">IF(A999="",IF(M999="فارغ","","✖ بدون رقم قيد"),IF(COUNTIFS('قيود اليومية'!$A$11:$A$1010,A999,'قيود اليومية'!$M$11:$M$1010,"&lt;&gt;OK",'قيود اليومية'!$M$11:$M$1010,"&lt;&gt;فارغ")&gt;0,"✖ خطأ بالحساب",IF(ROUND(SUMIFS('قيود اليومية'!$G$11:$G$1010,'قيود اليومية'!$A$11:$A$1010,A999)-SUMIFS('قيود اليومية'!$H$11:$H$1010,'قيود اليومية'!$A$11:$A$1010,A999),2)&lt;&gt;0,"✖ غير متوازن","مرحل ✔")))</f>
        <v/>
      </c>
      <c r="J999" s="55" t="str">
        <f aca="false">IF(C999="","",IFERROR(INDEX('شجرة الحسابات'!$E$9:$E$208,MATCH(C999,'شجرة الحسابات'!$A$9:$A$208,0))&amp;"",""))</f>
        <v/>
      </c>
      <c r="K999" s="55" t="str">
        <f aca="false">IF(C999="","",IFERROR(INDEX('شجرة الحسابات'!$I$9:$I$208,MATCH(C999,'شجرة الحسابات'!$A$9:$A$208,0))&amp;"",""))</f>
        <v/>
      </c>
      <c r="L999" s="55" t="str">
        <f aca="false">IF(C999="","",IFERROR(INDEX('شجرة الحسابات'!$C$9:$C$208,MATCH(C999,'شجرة الحسابات'!$A$9:$A$208,0))&amp;"",""))</f>
        <v/>
      </c>
      <c r="M999" s="55" t="str">
        <f aca="false">IF(AND(C999="",G999="",H999=""),"فارغ",IF(ISNA(MATCH(C999,'شجرة الحسابات'!$A$9:$A$208,0)),"حساب غير معرف",IF(L999&lt;&gt;"تحليلي","حساب تجميعي",IF(AND(N(G999)&gt;0,N(H999)&gt;0),"مدين ودائن معاً",IF(N(G999)+N(H999)=0,"بدون قيمة","OK")))))</f>
        <v>فارغ</v>
      </c>
      <c r="N999" s="55" t="str">
        <f aca="false">IF(AND(E999&lt;&gt;"",E999='كشف حساب مشروع'!$C$6,I999="مرحل ✔"),COUNTIFS($E$11:E999,'كشف حساب مشروع'!$C$6,$I$11:I999,"مرحل ✔"),"")</f>
        <v/>
      </c>
      <c r="O999" s="55" t="str">
        <f aca="false">IF(AND(C999&lt;&gt;"",C999='دفتر الأستاذ'!$C$6,I999="مرحل ✔"),COUNTIFS($C$11:C999,'دفتر الأستاذ'!$C$6,$I$11:I999,"مرحل ✔"),"")</f>
        <v/>
      </c>
    </row>
    <row r="1000" customFormat="false" ht="15" hidden="false" customHeight="false" outlineLevel="0" collapsed="false">
      <c r="A1000" s="49"/>
      <c r="B1000" s="50"/>
      <c r="C1000" s="49"/>
      <c r="D1000" s="51" t="str">
        <f aca="false">IF(C1000="","",IFERROR(INDEX('شجرة الحسابات'!$B$9:$B$208,MATCH(C1000,'شجرة الحسابات'!$A$9:$A$208,0)),"⚠ حساب غير معرف"))</f>
        <v/>
      </c>
      <c r="E1000" s="52"/>
      <c r="F1000" s="52"/>
      <c r="G1000" s="53"/>
      <c r="H1000" s="53"/>
      <c r="I1000" s="54" t="str">
        <f aca="false">IF(A1000="",IF(M1000="فارغ","","✖ بدون رقم قيد"),IF(COUNTIFS('قيود اليومية'!$A$11:$A$1010,A1000,'قيود اليومية'!$M$11:$M$1010,"&lt;&gt;OK",'قيود اليومية'!$M$11:$M$1010,"&lt;&gt;فارغ")&gt;0,"✖ خطأ بالحساب",IF(ROUND(SUMIFS('قيود اليومية'!$G$11:$G$1010,'قيود اليومية'!$A$11:$A$1010,A1000)-SUMIFS('قيود اليومية'!$H$11:$H$1010,'قيود اليومية'!$A$11:$A$1010,A1000),2)&lt;&gt;0,"✖ غير متوازن","مرحل ✔")))</f>
        <v/>
      </c>
      <c r="J1000" s="55" t="str">
        <f aca="false">IF(C1000="","",IFERROR(INDEX('شجرة الحسابات'!$E$9:$E$208,MATCH(C1000,'شجرة الحسابات'!$A$9:$A$208,0))&amp;"",""))</f>
        <v/>
      </c>
      <c r="K1000" s="55" t="str">
        <f aca="false">IF(C1000="","",IFERROR(INDEX('شجرة الحسابات'!$I$9:$I$208,MATCH(C1000,'شجرة الحسابات'!$A$9:$A$208,0))&amp;"",""))</f>
        <v/>
      </c>
      <c r="L1000" s="55" t="str">
        <f aca="false">IF(C1000="","",IFERROR(INDEX('شجرة الحسابات'!$C$9:$C$208,MATCH(C1000,'شجرة الحسابات'!$A$9:$A$208,0))&amp;"",""))</f>
        <v/>
      </c>
      <c r="M1000" s="55" t="str">
        <f aca="false">IF(AND(C1000="",G1000="",H1000=""),"فارغ",IF(ISNA(MATCH(C1000,'شجرة الحسابات'!$A$9:$A$208,0)),"حساب غير معرف",IF(L1000&lt;&gt;"تحليلي","حساب تجميعي",IF(AND(N(G1000)&gt;0,N(H1000)&gt;0),"مدين ودائن معاً",IF(N(G1000)+N(H1000)=0,"بدون قيمة","OK")))))</f>
        <v>فارغ</v>
      </c>
      <c r="N1000" s="55" t="str">
        <f aca="false">IF(AND(E1000&lt;&gt;"",E1000='كشف حساب مشروع'!$C$6,I1000="مرحل ✔"),COUNTIFS($E$11:E1000,'كشف حساب مشروع'!$C$6,$I$11:I1000,"مرحل ✔"),"")</f>
        <v/>
      </c>
      <c r="O1000" s="55" t="str">
        <f aca="false">IF(AND(C1000&lt;&gt;"",C1000='دفتر الأستاذ'!$C$6,I1000="مرحل ✔"),COUNTIFS($C$11:C1000,'دفتر الأستاذ'!$C$6,$I$11:I1000,"مرحل ✔"),"")</f>
        <v/>
      </c>
    </row>
    <row r="1001" customFormat="false" ht="15" hidden="false" customHeight="false" outlineLevel="0" collapsed="false">
      <c r="A1001" s="49"/>
      <c r="B1001" s="50"/>
      <c r="C1001" s="49"/>
      <c r="D1001" s="51" t="str">
        <f aca="false">IF(C1001="","",IFERROR(INDEX('شجرة الحسابات'!$B$9:$B$208,MATCH(C1001,'شجرة الحسابات'!$A$9:$A$208,0)),"⚠ حساب غير معرف"))</f>
        <v/>
      </c>
      <c r="E1001" s="52"/>
      <c r="F1001" s="52"/>
      <c r="G1001" s="53"/>
      <c r="H1001" s="53"/>
      <c r="I1001" s="54" t="str">
        <f aca="false">IF(A1001="",IF(M1001="فارغ","","✖ بدون رقم قيد"),IF(COUNTIFS('قيود اليومية'!$A$11:$A$1010,A1001,'قيود اليومية'!$M$11:$M$1010,"&lt;&gt;OK",'قيود اليومية'!$M$11:$M$1010,"&lt;&gt;فارغ")&gt;0,"✖ خطأ بالحساب",IF(ROUND(SUMIFS('قيود اليومية'!$G$11:$G$1010,'قيود اليومية'!$A$11:$A$1010,A1001)-SUMIFS('قيود اليومية'!$H$11:$H$1010,'قيود اليومية'!$A$11:$A$1010,A1001),2)&lt;&gt;0,"✖ غير متوازن","مرحل ✔")))</f>
        <v/>
      </c>
      <c r="J1001" s="55" t="str">
        <f aca="false">IF(C1001="","",IFERROR(INDEX('شجرة الحسابات'!$E$9:$E$208,MATCH(C1001,'شجرة الحسابات'!$A$9:$A$208,0))&amp;"",""))</f>
        <v/>
      </c>
      <c r="K1001" s="55" t="str">
        <f aca="false">IF(C1001="","",IFERROR(INDEX('شجرة الحسابات'!$I$9:$I$208,MATCH(C1001,'شجرة الحسابات'!$A$9:$A$208,0))&amp;"",""))</f>
        <v/>
      </c>
      <c r="L1001" s="55" t="str">
        <f aca="false">IF(C1001="","",IFERROR(INDEX('شجرة الحسابات'!$C$9:$C$208,MATCH(C1001,'شجرة الحسابات'!$A$9:$A$208,0))&amp;"",""))</f>
        <v/>
      </c>
      <c r="M1001" s="55" t="str">
        <f aca="false">IF(AND(C1001="",G1001="",H1001=""),"فارغ",IF(ISNA(MATCH(C1001,'شجرة الحسابات'!$A$9:$A$208,0)),"حساب غير معرف",IF(L1001&lt;&gt;"تحليلي","حساب تجميعي",IF(AND(N(G1001)&gt;0,N(H1001)&gt;0),"مدين ودائن معاً",IF(N(G1001)+N(H1001)=0,"بدون قيمة","OK")))))</f>
        <v>فارغ</v>
      </c>
      <c r="N1001" s="55" t="str">
        <f aca="false">IF(AND(E1001&lt;&gt;"",E1001='كشف حساب مشروع'!$C$6,I1001="مرحل ✔"),COUNTIFS($E$11:E1001,'كشف حساب مشروع'!$C$6,$I$11:I1001,"مرحل ✔"),"")</f>
        <v/>
      </c>
      <c r="O1001" s="55" t="str">
        <f aca="false">IF(AND(C1001&lt;&gt;"",C1001='دفتر الأستاذ'!$C$6,I1001="مرحل ✔"),COUNTIFS($C$11:C1001,'دفتر الأستاذ'!$C$6,$I$11:I1001,"مرحل ✔"),"")</f>
        <v/>
      </c>
    </row>
    <row r="1002" customFormat="false" ht="15" hidden="false" customHeight="false" outlineLevel="0" collapsed="false">
      <c r="A1002" s="49"/>
      <c r="B1002" s="50"/>
      <c r="C1002" s="49"/>
      <c r="D1002" s="51" t="str">
        <f aca="false">IF(C1002="","",IFERROR(INDEX('شجرة الحسابات'!$B$9:$B$208,MATCH(C1002,'شجرة الحسابات'!$A$9:$A$208,0)),"⚠ حساب غير معرف"))</f>
        <v/>
      </c>
      <c r="E1002" s="52"/>
      <c r="F1002" s="52"/>
      <c r="G1002" s="53"/>
      <c r="H1002" s="53"/>
      <c r="I1002" s="54" t="str">
        <f aca="false">IF(A1002="",IF(M1002="فارغ","","✖ بدون رقم قيد"),IF(COUNTIFS('قيود اليومية'!$A$11:$A$1010,A1002,'قيود اليومية'!$M$11:$M$1010,"&lt;&gt;OK",'قيود اليومية'!$M$11:$M$1010,"&lt;&gt;فارغ")&gt;0,"✖ خطأ بالحساب",IF(ROUND(SUMIFS('قيود اليومية'!$G$11:$G$1010,'قيود اليومية'!$A$11:$A$1010,A1002)-SUMIFS('قيود اليومية'!$H$11:$H$1010,'قيود اليومية'!$A$11:$A$1010,A1002),2)&lt;&gt;0,"✖ غير متوازن","مرحل ✔")))</f>
        <v/>
      </c>
      <c r="J1002" s="55" t="str">
        <f aca="false">IF(C1002="","",IFERROR(INDEX('شجرة الحسابات'!$E$9:$E$208,MATCH(C1002,'شجرة الحسابات'!$A$9:$A$208,0))&amp;"",""))</f>
        <v/>
      </c>
      <c r="K1002" s="55" t="str">
        <f aca="false">IF(C1002="","",IFERROR(INDEX('شجرة الحسابات'!$I$9:$I$208,MATCH(C1002,'شجرة الحسابات'!$A$9:$A$208,0))&amp;"",""))</f>
        <v/>
      </c>
      <c r="L1002" s="55" t="str">
        <f aca="false">IF(C1002="","",IFERROR(INDEX('شجرة الحسابات'!$C$9:$C$208,MATCH(C1002,'شجرة الحسابات'!$A$9:$A$208,0))&amp;"",""))</f>
        <v/>
      </c>
      <c r="M1002" s="55" t="str">
        <f aca="false">IF(AND(C1002="",G1002="",H1002=""),"فارغ",IF(ISNA(MATCH(C1002,'شجرة الحسابات'!$A$9:$A$208,0)),"حساب غير معرف",IF(L1002&lt;&gt;"تحليلي","حساب تجميعي",IF(AND(N(G1002)&gt;0,N(H1002)&gt;0),"مدين ودائن معاً",IF(N(G1002)+N(H1002)=0,"بدون قيمة","OK")))))</f>
        <v>فارغ</v>
      </c>
      <c r="N1002" s="55" t="str">
        <f aca="false">IF(AND(E1002&lt;&gt;"",E1002='كشف حساب مشروع'!$C$6,I1002="مرحل ✔"),COUNTIFS($E$11:E1002,'كشف حساب مشروع'!$C$6,$I$11:I1002,"مرحل ✔"),"")</f>
        <v/>
      </c>
      <c r="O1002" s="55" t="str">
        <f aca="false">IF(AND(C1002&lt;&gt;"",C1002='دفتر الأستاذ'!$C$6,I1002="مرحل ✔"),COUNTIFS($C$11:C1002,'دفتر الأستاذ'!$C$6,$I$11:I1002,"مرحل ✔"),"")</f>
        <v/>
      </c>
    </row>
    <row r="1003" customFormat="false" ht="15" hidden="false" customHeight="false" outlineLevel="0" collapsed="false">
      <c r="A1003" s="49"/>
      <c r="B1003" s="50"/>
      <c r="C1003" s="49"/>
      <c r="D1003" s="51" t="str">
        <f aca="false">IF(C1003="","",IFERROR(INDEX('شجرة الحسابات'!$B$9:$B$208,MATCH(C1003,'شجرة الحسابات'!$A$9:$A$208,0)),"⚠ حساب غير معرف"))</f>
        <v/>
      </c>
      <c r="E1003" s="52"/>
      <c r="F1003" s="52"/>
      <c r="G1003" s="53"/>
      <c r="H1003" s="53"/>
      <c r="I1003" s="54" t="str">
        <f aca="false">IF(A1003="",IF(M1003="فارغ","","✖ بدون رقم قيد"),IF(COUNTIFS('قيود اليومية'!$A$11:$A$1010,A1003,'قيود اليومية'!$M$11:$M$1010,"&lt;&gt;OK",'قيود اليومية'!$M$11:$M$1010,"&lt;&gt;فارغ")&gt;0,"✖ خطأ بالحساب",IF(ROUND(SUMIFS('قيود اليومية'!$G$11:$G$1010,'قيود اليومية'!$A$11:$A$1010,A1003)-SUMIFS('قيود اليومية'!$H$11:$H$1010,'قيود اليومية'!$A$11:$A$1010,A1003),2)&lt;&gt;0,"✖ غير متوازن","مرحل ✔")))</f>
        <v/>
      </c>
      <c r="J1003" s="55" t="str">
        <f aca="false">IF(C1003="","",IFERROR(INDEX('شجرة الحسابات'!$E$9:$E$208,MATCH(C1003,'شجرة الحسابات'!$A$9:$A$208,0))&amp;"",""))</f>
        <v/>
      </c>
      <c r="K1003" s="55" t="str">
        <f aca="false">IF(C1003="","",IFERROR(INDEX('شجرة الحسابات'!$I$9:$I$208,MATCH(C1003,'شجرة الحسابات'!$A$9:$A$208,0))&amp;"",""))</f>
        <v/>
      </c>
      <c r="L1003" s="55" t="str">
        <f aca="false">IF(C1003="","",IFERROR(INDEX('شجرة الحسابات'!$C$9:$C$208,MATCH(C1003,'شجرة الحسابات'!$A$9:$A$208,0))&amp;"",""))</f>
        <v/>
      </c>
      <c r="M1003" s="55" t="str">
        <f aca="false">IF(AND(C1003="",G1003="",H1003=""),"فارغ",IF(ISNA(MATCH(C1003,'شجرة الحسابات'!$A$9:$A$208,0)),"حساب غير معرف",IF(L1003&lt;&gt;"تحليلي","حساب تجميعي",IF(AND(N(G1003)&gt;0,N(H1003)&gt;0),"مدين ودائن معاً",IF(N(G1003)+N(H1003)=0,"بدون قيمة","OK")))))</f>
        <v>فارغ</v>
      </c>
      <c r="N1003" s="55" t="str">
        <f aca="false">IF(AND(E1003&lt;&gt;"",E1003='كشف حساب مشروع'!$C$6,I1003="مرحل ✔"),COUNTIFS($E$11:E1003,'كشف حساب مشروع'!$C$6,$I$11:I1003,"مرحل ✔"),"")</f>
        <v/>
      </c>
      <c r="O1003" s="55" t="str">
        <f aca="false">IF(AND(C1003&lt;&gt;"",C1003='دفتر الأستاذ'!$C$6,I1003="مرحل ✔"),COUNTIFS($C$11:C1003,'دفتر الأستاذ'!$C$6,$I$11:I1003,"مرحل ✔"),"")</f>
        <v/>
      </c>
    </row>
    <row r="1004" customFormat="false" ht="15" hidden="false" customHeight="false" outlineLevel="0" collapsed="false">
      <c r="A1004" s="49"/>
      <c r="B1004" s="50"/>
      <c r="C1004" s="49"/>
      <c r="D1004" s="51" t="str">
        <f aca="false">IF(C1004="","",IFERROR(INDEX('شجرة الحسابات'!$B$9:$B$208,MATCH(C1004,'شجرة الحسابات'!$A$9:$A$208,0)),"⚠ حساب غير معرف"))</f>
        <v/>
      </c>
      <c r="E1004" s="52"/>
      <c r="F1004" s="52"/>
      <c r="G1004" s="53"/>
      <c r="H1004" s="53"/>
      <c r="I1004" s="54" t="str">
        <f aca="false">IF(A1004="",IF(M1004="فارغ","","✖ بدون رقم قيد"),IF(COUNTIFS('قيود اليومية'!$A$11:$A$1010,A1004,'قيود اليومية'!$M$11:$M$1010,"&lt;&gt;OK",'قيود اليومية'!$M$11:$M$1010,"&lt;&gt;فارغ")&gt;0,"✖ خطأ بالحساب",IF(ROUND(SUMIFS('قيود اليومية'!$G$11:$G$1010,'قيود اليومية'!$A$11:$A$1010,A1004)-SUMIFS('قيود اليومية'!$H$11:$H$1010,'قيود اليومية'!$A$11:$A$1010,A1004),2)&lt;&gt;0,"✖ غير متوازن","مرحل ✔")))</f>
        <v/>
      </c>
      <c r="J1004" s="55" t="str">
        <f aca="false">IF(C1004="","",IFERROR(INDEX('شجرة الحسابات'!$E$9:$E$208,MATCH(C1004,'شجرة الحسابات'!$A$9:$A$208,0))&amp;"",""))</f>
        <v/>
      </c>
      <c r="K1004" s="55" t="str">
        <f aca="false">IF(C1004="","",IFERROR(INDEX('شجرة الحسابات'!$I$9:$I$208,MATCH(C1004,'شجرة الحسابات'!$A$9:$A$208,0))&amp;"",""))</f>
        <v/>
      </c>
      <c r="L1004" s="55" t="str">
        <f aca="false">IF(C1004="","",IFERROR(INDEX('شجرة الحسابات'!$C$9:$C$208,MATCH(C1004,'شجرة الحسابات'!$A$9:$A$208,0))&amp;"",""))</f>
        <v/>
      </c>
      <c r="M1004" s="55" t="str">
        <f aca="false">IF(AND(C1004="",G1004="",H1004=""),"فارغ",IF(ISNA(MATCH(C1004,'شجرة الحسابات'!$A$9:$A$208,0)),"حساب غير معرف",IF(L1004&lt;&gt;"تحليلي","حساب تجميعي",IF(AND(N(G1004)&gt;0,N(H1004)&gt;0),"مدين ودائن معاً",IF(N(G1004)+N(H1004)=0,"بدون قيمة","OK")))))</f>
        <v>فارغ</v>
      </c>
      <c r="N1004" s="55" t="str">
        <f aca="false">IF(AND(E1004&lt;&gt;"",E1004='كشف حساب مشروع'!$C$6,I1004="مرحل ✔"),COUNTIFS($E$11:E1004,'كشف حساب مشروع'!$C$6,$I$11:I1004,"مرحل ✔"),"")</f>
        <v/>
      </c>
      <c r="O1004" s="55" t="str">
        <f aca="false">IF(AND(C1004&lt;&gt;"",C1004='دفتر الأستاذ'!$C$6,I1004="مرحل ✔"),COUNTIFS($C$11:C1004,'دفتر الأستاذ'!$C$6,$I$11:I1004,"مرحل ✔"),"")</f>
        <v/>
      </c>
    </row>
    <row r="1005" customFormat="false" ht="15" hidden="false" customHeight="false" outlineLevel="0" collapsed="false">
      <c r="A1005" s="49"/>
      <c r="B1005" s="50"/>
      <c r="C1005" s="49"/>
      <c r="D1005" s="51" t="str">
        <f aca="false">IF(C1005="","",IFERROR(INDEX('شجرة الحسابات'!$B$9:$B$208,MATCH(C1005,'شجرة الحسابات'!$A$9:$A$208,0)),"⚠ حساب غير معرف"))</f>
        <v/>
      </c>
      <c r="E1005" s="52"/>
      <c r="F1005" s="52"/>
      <c r="G1005" s="53"/>
      <c r="H1005" s="53"/>
      <c r="I1005" s="54" t="str">
        <f aca="false">IF(A1005="",IF(M1005="فارغ","","✖ بدون رقم قيد"),IF(COUNTIFS('قيود اليومية'!$A$11:$A$1010,A1005,'قيود اليومية'!$M$11:$M$1010,"&lt;&gt;OK",'قيود اليومية'!$M$11:$M$1010,"&lt;&gt;فارغ")&gt;0,"✖ خطأ بالحساب",IF(ROUND(SUMIFS('قيود اليومية'!$G$11:$G$1010,'قيود اليومية'!$A$11:$A$1010,A1005)-SUMIFS('قيود اليومية'!$H$11:$H$1010,'قيود اليومية'!$A$11:$A$1010,A1005),2)&lt;&gt;0,"✖ غير متوازن","مرحل ✔")))</f>
        <v/>
      </c>
      <c r="J1005" s="55" t="str">
        <f aca="false">IF(C1005="","",IFERROR(INDEX('شجرة الحسابات'!$E$9:$E$208,MATCH(C1005,'شجرة الحسابات'!$A$9:$A$208,0))&amp;"",""))</f>
        <v/>
      </c>
      <c r="K1005" s="55" t="str">
        <f aca="false">IF(C1005="","",IFERROR(INDEX('شجرة الحسابات'!$I$9:$I$208,MATCH(C1005,'شجرة الحسابات'!$A$9:$A$208,0))&amp;"",""))</f>
        <v/>
      </c>
      <c r="L1005" s="55" t="str">
        <f aca="false">IF(C1005="","",IFERROR(INDEX('شجرة الحسابات'!$C$9:$C$208,MATCH(C1005,'شجرة الحسابات'!$A$9:$A$208,0))&amp;"",""))</f>
        <v/>
      </c>
      <c r="M1005" s="55" t="str">
        <f aca="false">IF(AND(C1005="",G1005="",H1005=""),"فارغ",IF(ISNA(MATCH(C1005,'شجرة الحسابات'!$A$9:$A$208,0)),"حساب غير معرف",IF(L1005&lt;&gt;"تحليلي","حساب تجميعي",IF(AND(N(G1005)&gt;0,N(H1005)&gt;0),"مدين ودائن معاً",IF(N(G1005)+N(H1005)=0,"بدون قيمة","OK")))))</f>
        <v>فارغ</v>
      </c>
      <c r="N1005" s="55" t="str">
        <f aca="false">IF(AND(E1005&lt;&gt;"",E1005='كشف حساب مشروع'!$C$6,I1005="مرحل ✔"),COUNTIFS($E$11:E1005,'كشف حساب مشروع'!$C$6,$I$11:I1005,"مرحل ✔"),"")</f>
        <v/>
      </c>
      <c r="O1005" s="55" t="str">
        <f aca="false">IF(AND(C1005&lt;&gt;"",C1005='دفتر الأستاذ'!$C$6,I1005="مرحل ✔"),COUNTIFS($C$11:C1005,'دفتر الأستاذ'!$C$6,$I$11:I1005,"مرحل ✔"),"")</f>
        <v/>
      </c>
    </row>
    <row r="1006" customFormat="false" ht="15" hidden="false" customHeight="false" outlineLevel="0" collapsed="false">
      <c r="A1006" s="49"/>
      <c r="B1006" s="50"/>
      <c r="C1006" s="49"/>
      <c r="D1006" s="51" t="str">
        <f aca="false">IF(C1006="","",IFERROR(INDEX('شجرة الحسابات'!$B$9:$B$208,MATCH(C1006,'شجرة الحسابات'!$A$9:$A$208,0)),"⚠ حساب غير معرف"))</f>
        <v/>
      </c>
      <c r="E1006" s="52"/>
      <c r="F1006" s="52"/>
      <c r="G1006" s="53"/>
      <c r="H1006" s="53"/>
      <c r="I1006" s="54" t="str">
        <f aca="false">IF(A1006="",IF(M1006="فارغ","","✖ بدون رقم قيد"),IF(COUNTIFS('قيود اليومية'!$A$11:$A$1010,A1006,'قيود اليومية'!$M$11:$M$1010,"&lt;&gt;OK",'قيود اليومية'!$M$11:$M$1010,"&lt;&gt;فارغ")&gt;0,"✖ خطأ بالحساب",IF(ROUND(SUMIFS('قيود اليومية'!$G$11:$G$1010,'قيود اليومية'!$A$11:$A$1010,A1006)-SUMIFS('قيود اليومية'!$H$11:$H$1010,'قيود اليومية'!$A$11:$A$1010,A1006),2)&lt;&gt;0,"✖ غير متوازن","مرحل ✔")))</f>
        <v/>
      </c>
      <c r="J1006" s="55" t="str">
        <f aca="false">IF(C1006="","",IFERROR(INDEX('شجرة الحسابات'!$E$9:$E$208,MATCH(C1006,'شجرة الحسابات'!$A$9:$A$208,0))&amp;"",""))</f>
        <v/>
      </c>
      <c r="K1006" s="55" t="str">
        <f aca="false">IF(C1006="","",IFERROR(INDEX('شجرة الحسابات'!$I$9:$I$208,MATCH(C1006,'شجرة الحسابات'!$A$9:$A$208,0))&amp;"",""))</f>
        <v/>
      </c>
      <c r="L1006" s="55" t="str">
        <f aca="false">IF(C1006="","",IFERROR(INDEX('شجرة الحسابات'!$C$9:$C$208,MATCH(C1006,'شجرة الحسابات'!$A$9:$A$208,0))&amp;"",""))</f>
        <v/>
      </c>
      <c r="M1006" s="55" t="str">
        <f aca="false">IF(AND(C1006="",G1006="",H1006=""),"فارغ",IF(ISNA(MATCH(C1006,'شجرة الحسابات'!$A$9:$A$208,0)),"حساب غير معرف",IF(L1006&lt;&gt;"تحليلي","حساب تجميعي",IF(AND(N(G1006)&gt;0,N(H1006)&gt;0),"مدين ودائن معاً",IF(N(G1006)+N(H1006)=0,"بدون قيمة","OK")))))</f>
        <v>فارغ</v>
      </c>
      <c r="N1006" s="55" t="str">
        <f aca="false">IF(AND(E1006&lt;&gt;"",E1006='كشف حساب مشروع'!$C$6,I1006="مرحل ✔"),COUNTIFS($E$11:E1006,'كشف حساب مشروع'!$C$6,$I$11:I1006,"مرحل ✔"),"")</f>
        <v/>
      </c>
      <c r="O1006" s="55" t="str">
        <f aca="false">IF(AND(C1006&lt;&gt;"",C1006='دفتر الأستاذ'!$C$6,I1006="مرحل ✔"),COUNTIFS($C$11:C1006,'دفتر الأستاذ'!$C$6,$I$11:I1006,"مرحل ✔"),"")</f>
        <v/>
      </c>
    </row>
    <row r="1007" customFormat="false" ht="15" hidden="false" customHeight="false" outlineLevel="0" collapsed="false">
      <c r="A1007" s="49"/>
      <c r="B1007" s="50"/>
      <c r="C1007" s="49"/>
      <c r="D1007" s="51" t="str">
        <f aca="false">IF(C1007="","",IFERROR(INDEX('شجرة الحسابات'!$B$9:$B$208,MATCH(C1007,'شجرة الحسابات'!$A$9:$A$208,0)),"⚠ حساب غير معرف"))</f>
        <v/>
      </c>
      <c r="E1007" s="52"/>
      <c r="F1007" s="52"/>
      <c r="G1007" s="53"/>
      <c r="H1007" s="53"/>
      <c r="I1007" s="54" t="str">
        <f aca="false">IF(A1007="",IF(M1007="فارغ","","✖ بدون رقم قيد"),IF(COUNTIFS('قيود اليومية'!$A$11:$A$1010,A1007,'قيود اليومية'!$M$11:$M$1010,"&lt;&gt;OK",'قيود اليومية'!$M$11:$M$1010,"&lt;&gt;فارغ")&gt;0,"✖ خطأ بالحساب",IF(ROUND(SUMIFS('قيود اليومية'!$G$11:$G$1010,'قيود اليومية'!$A$11:$A$1010,A1007)-SUMIFS('قيود اليومية'!$H$11:$H$1010,'قيود اليومية'!$A$11:$A$1010,A1007),2)&lt;&gt;0,"✖ غير متوازن","مرحل ✔")))</f>
        <v/>
      </c>
      <c r="J1007" s="55" t="str">
        <f aca="false">IF(C1007="","",IFERROR(INDEX('شجرة الحسابات'!$E$9:$E$208,MATCH(C1007,'شجرة الحسابات'!$A$9:$A$208,0))&amp;"",""))</f>
        <v/>
      </c>
      <c r="K1007" s="55" t="str">
        <f aca="false">IF(C1007="","",IFERROR(INDEX('شجرة الحسابات'!$I$9:$I$208,MATCH(C1007,'شجرة الحسابات'!$A$9:$A$208,0))&amp;"",""))</f>
        <v/>
      </c>
      <c r="L1007" s="55" t="str">
        <f aca="false">IF(C1007="","",IFERROR(INDEX('شجرة الحسابات'!$C$9:$C$208,MATCH(C1007,'شجرة الحسابات'!$A$9:$A$208,0))&amp;"",""))</f>
        <v/>
      </c>
      <c r="M1007" s="55" t="str">
        <f aca="false">IF(AND(C1007="",G1007="",H1007=""),"فارغ",IF(ISNA(MATCH(C1007,'شجرة الحسابات'!$A$9:$A$208,0)),"حساب غير معرف",IF(L1007&lt;&gt;"تحليلي","حساب تجميعي",IF(AND(N(G1007)&gt;0,N(H1007)&gt;0),"مدين ودائن معاً",IF(N(G1007)+N(H1007)=0,"بدون قيمة","OK")))))</f>
        <v>فارغ</v>
      </c>
      <c r="N1007" s="55" t="str">
        <f aca="false">IF(AND(E1007&lt;&gt;"",E1007='كشف حساب مشروع'!$C$6,I1007="مرحل ✔"),COUNTIFS($E$11:E1007,'كشف حساب مشروع'!$C$6,$I$11:I1007,"مرحل ✔"),"")</f>
        <v/>
      </c>
      <c r="O1007" s="55" t="str">
        <f aca="false">IF(AND(C1007&lt;&gt;"",C1007='دفتر الأستاذ'!$C$6,I1007="مرحل ✔"),COUNTIFS($C$11:C1007,'دفتر الأستاذ'!$C$6,$I$11:I1007,"مرحل ✔"),"")</f>
        <v/>
      </c>
    </row>
    <row r="1008" customFormat="false" ht="15" hidden="false" customHeight="false" outlineLevel="0" collapsed="false">
      <c r="A1008" s="49"/>
      <c r="B1008" s="50"/>
      <c r="C1008" s="49"/>
      <c r="D1008" s="51" t="str">
        <f aca="false">IF(C1008="","",IFERROR(INDEX('شجرة الحسابات'!$B$9:$B$208,MATCH(C1008,'شجرة الحسابات'!$A$9:$A$208,0)),"⚠ حساب غير معرف"))</f>
        <v/>
      </c>
      <c r="E1008" s="52"/>
      <c r="F1008" s="52"/>
      <c r="G1008" s="53"/>
      <c r="H1008" s="53"/>
      <c r="I1008" s="54" t="str">
        <f aca="false">IF(A1008="",IF(M1008="فارغ","","✖ بدون رقم قيد"),IF(COUNTIFS('قيود اليومية'!$A$11:$A$1010,A1008,'قيود اليومية'!$M$11:$M$1010,"&lt;&gt;OK",'قيود اليومية'!$M$11:$M$1010,"&lt;&gt;فارغ")&gt;0,"✖ خطأ بالحساب",IF(ROUND(SUMIFS('قيود اليومية'!$G$11:$G$1010,'قيود اليومية'!$A$11:$A$1010,A1008)-SUMIFS('قيود اليومية'!$H$11:$H$1010,'قيود اليومية'!$A$11:$A$1010,A1008),2)&lt;&gt;0,"✖ غير متوازن","مرحل ✔")))</f>
        <v/>
      </c>
      <c r="J1008" s="55" t="str">
        <f aca="false">IF(C1008="","",IFERROR(INDEX('شجرة الحسابات'!$E$9:$E$208,MATCH(C1008,'شجرة الحسابات'!$A$9:$A$208,0))&amp;"",""))</f>
        <v/>
      </c>
      <c r="K1008" s="55" t="str">
        <f aca="false">IF(C1008="","",IFERROR(INDEX('شجرة الحسابات'!$I$9:$I$208,MATCH(C1008,'شجرة الحسابات'!$A$9:$A$208,0))&amp;"",""))</f>
        <v/>
      </c>
      <c r="L1008" s="55" t="str">
        <f aca="false">IF(C1008="","",IFERROR(INDEX('شجرة الحسابات'!$C$9:$C$208,MATCH(C1008,'شجرة الحسابات'!$A$9:$A$208,0))&amp;"",""))</f>
        <v/>
      </c>
      <c r="M1008" s="55" t="str">
        <f aca="false">IF(AND(C1008="",G1008="",H1008=""),"فارغ",IF(ISNA(MATCH(C1008,'شجرة الحسابات'!$A$9:$A$208,0)),"حساب غير معرف",IF(L1008&lt;&gt;"تحليلي","حساب تجميعي",IF(AND(N(G1008)&gt;0,N(H1008)&gt;0),"مدين ودائن معاً",IF(N(G1008)+N(H1008)=0,"بدون قيمة","OK")))))</f>
        <v>فارغ</v>
      </c>
      <c r="N1008" s="55" t="str">
        <f aca="false">IF(AND(E1008&lt;&gt;"",E1008='كشف حساب مشروع'!$C$6,I1008="مرحل ✔"),COUNTIFS($E$11:E1008,'كشف حساب مشروع'!$C$6,$I$11:I1008,"مرحل ✔"),"")</f>
        <v/>
      </c>
      <c r="O1008" s="55" t="str">
        <f aca="false">IF(AND(C1008&lt;&gt;"",C1008='دفتر الأستاذ'!$C$6,I1008="مرحل ✔"),COUNTIFS($C$11:C1008,'دفتر الأستاذ'!$C$6,$I$11:I1008,"مرحل ✔"),"")</f>
        <v/>
      </c>
    </row>
    <row r="1009" customFormat="false" ht="15" hidden="false" customHeight="false" outlineLevel="0" collapsed="false">
      <c r="A1009" s="49"/>
      <c r="B1009" s="50"/>
      <c r="C1009" s="49"/>
      <c r="D1009" s="51" t="str">
        <f aca="false">IF(C1009="","",IFERROR(INDEX('شجرة الحسابات'!$B$9:$B$208,MATCH(C1009,'شجرة الحسابات'!$A$9:$A$208,0)),"⚠ حساب غير معرف"))</f>
        <v/>
      </c>
      <c r="E1009" s="52"/>
      <c r="F1009" s="52"/>
      <c r="G1009" s="53"/>
      <c r="H1009" s="53"/>
      <c r="I1009" s="54" t="str">
        <f aca="false">IF(A1009="",IF(M1009="فارغ","","✖ بدون رقم قيد"),IF(COUNTIFS('قيود اليومية'!$A$11:$A$1010,A1009,'قيود اليومية'!$M$11:$M$1010,"&lt;&gt;OK",'قيود اليومية'!$M$11:$M$1010,"&lt;&gt;فارغ")&gt;0,"✖ خطأ بالحساب",IF(ROUND(SUMIFS('قيود اليومية'!$G$11:$G$1010,'قيود اليومية'!$A$11:$A$1010,A1009)-SUMIFS('قيود اليومية'!$H$11:$H$1010,'قيود اليومية'!$A$11:$A$1010,A1009),2)&lt;&gt;0,"✖ غير متوازن","مرحل ✔")))</f>
        <v/>
      </c>
      <c r="J1009" s="55" t="str">
        <f aca="false">IF(C1009="","",IFERROR(INDEX('شجرة الحسابات'!$E$9:$E$208,MATCH(C1009,'شجرة الحسابات'!$A$9:$A$208,0))&amp;"",""))</f>
        <v/>
      </c>
      <c r="K1009" s="55" t="str">
        <f aca="false">IF(C1009="","",IFERROR(INDEX('شجرة الحسابات'!$I$9:$I$208,MATCH(C1009,'شجرة الحسابات'!$A$9:$A$208,0))&amp;"",""))</f>
        <v/>
      </c>
      <c r="L1009" s="55" t="str">
        <f aca="false">IF(C1009="","",IFERROR(INDEX('شجرة الحسابات'!$C$9:$C$208,MATCH(C1009,'شجرة الحسابات'!$A$9:$A$208,0))&amp;"",""))</f>
        <v/>
      </c>
      <c r="M1009" s="55" t="str">
        <f aca="false">IF(AND(C1009="",G1009="",H1009=""),"فارغ",IF(ISNA(MATCH(C1009,'شجرة الحسابات'!$A$9:$A$208,0)),"حساب غير معرف",IF(L1009&lt;&gt;"تحليلي","حساب تجميعي",IF(AND(N(G1009)&gt;0,N(H1009)&gt;0),"مدين ودائن معاً",IF(N(G1009)+N(H1009)=0,"بدون قيمة","OK")))))</f>
        <v>فارغ</v>
      </c>
      <c r="N1009" s="55" t="str">
        <f aca="false">IF(AND(E1009&lt;&gt;"",E1009='كشف حساب مشروع'!$C$6,I1009="مرحل ✔"),COUNTIFS($E$11:E1009,'كشف حساب مشروع'!$C$6,$I$11:I1009,"مرحل ✔"),"")</f>
        <v/>
      </c>
      <c r="O1009" s="55" t="str">
        <f aca="false">IF(AND(C1009&lt;&gt;"",C1009='دفتر الأستاذ'!$C$6,I1009="مرحل ✔"),COUNTIFS($C$11:C1009,'دفتر الأستاذ'!$C$6,$I$11:I1009,"مرحل ✔"),"")</f>
        <v/>
      </c>
    </row>
    <row r="1010" customFormat="false" ht="15" hidden="false" customHeight="false" outlineLevel="0" collapsed="false">
      <c r="A1010" s="49"/>
      <c r="B1010" s="50"/>
      <c r="C1010" s="49"/>
      <c r="D1010" s="51" t="str">
        <f aca="false">IF(C1010="","",IFERROR(INDEX('شجرة الحسابات'!$B$9:$B$208,MATCH(C1010,'شجرة الحسابات'!$A$9:$A$208,0)),"⚠ حساب غير معرف"))</f>
        <v/>
      </c>
      <c r="E1010" s="52"/>
      <c r="F1010" s="52"/>
      <c r="G1010" s="53"/>
      <c r="H1010" s="53"/>
      <c r="I1010" s="54" t="str">
        <f aca="false">IF(A1010="",IF(M1010="فارغ","","✖ بدون رقم قيد"),IF(COUNTIFS('قيود اليومية'!$A$11:$A$1010,A1010,'قيود اليومية'!$M$11:$M$1010,"&lt;&gt;OK",'قيود اليومية'!$M$11:$M$1010,"&lt;&gt;فارغ")&gt;0,"✖ خطأ بالحساب",IF(ROUND(SUMIFS('قيود اليومية'!$G$11:$G$1010,'قيود اليومية'!$A$11:$A$1010,A1010)-SUMIFS('قيود اليومية'!$H$11:$H$1010,'قيود اليومية'!$A$11:$A$1010,A1010),2)&lt;&gt;0,"✖ غير متوازن","مرحل ✔")))</f>
        <v/>
      </c>
      <c r="J1010" s="55" t="str">
        <f aca="false">IF(C1010="","",IFERROR(INDEX('شجرة الحسابات'!$E$9:$E$208,MATCH(C1010,'شجرة الحسابات'!$A$9:$A$208,0))&amp;"",""))</f>
        <v/>
      </c>
      <c r="K1010" s="55" t="str">
        <f aca="false">IF(C1010="","",IFERROR(INDEX('شجرة الحسابات'!$I$9:$I$208,MATCH(C1010,'شجرة الحسابات'!$A$9:$A$208,0))&amp;"",""))</f>
        <v/>
      </c>
      <c r="L1010" s="55" t="str">
        <f aca="false">IF(C1010="","",IFERROR(INDEX('شجرة الحسابات'!$C$9:$C$208,MATCH(C1010,'شجرة الحسابات'!$A$9:$A$208,0))&amp;"",""))</f>
        <v/>
      </c>
      <c r="M1010" s="55" t="str">
        <f aca="false">IF(AND(C1010="",G1010="",H1010=""),"فارغ",IF(ISNA(MATCH(C1010,'شجرة الحسابات'!$A$9:$A$208,0)),"حساب غير معرف",IF(L1010&lt;&gt;"تحليلي","حساب تجميعي",IF(AND(N(G1010)&gt;0,N(H1010)&gt;0),"مدين ودائن معاً",IF(N(G1010)+N(H1010)=0,"بدون قيمة","OK")))))</f>
        <v>فارغ</v>
      </c>
      <c r="N1010" s="55" t="str">
        <f aca="false">IF(AND(E1010&lt;&gt;"",E1010='كشف حساب مشروع'!$C$6,I1010="مرحل ✔"),COUNTIFS($E$11:E1010,'كشف حساب مشروع'!$C$6,$I$11:I1010,"مرحل ✔"),"")</f>
        <v/>
      </c>
      <c r="O1010" s="55" t="str">
        <f aca="false">IF(AND(C1010&lt;&gt;"",C1010='دفتر الأستاذ'!$C$6,I1010="مرحل ✔"),COUNTIFS($C$11:C1010,'دفتر الأستاذ'!$C$6,$I$11:I1010,"مرحل ✔"),"")</f>
        <v/>
      </c>
    </row>
  </sheetData>
  <autoFilter ref="A10:I1010"/>
  <mergeCells count="5">
    <mergeCell ref="A1:I1"/>
    <mergeCell ref="A2:I2"/>
    <mergeCell ref="A5:B5"/>
    <mergeCell ref="A8:I8"/>
    <mergeCell ref="A9:I9"/>
  </mergeCells>
  <conditionalFormatting sqref="F6">
    <cfRule type="expression" priority="2" aboveAverage="0" equalAverage="0" bottom="0" percent="0" rank="0" text="" dxfId="0">
      <formula>ISNUMBER(SEARCH("✔",F6))</formula>
    </cfRule>
    <cfRule type="expression" priority="3" aboveAverage="0" equalAverage="0" bottom="0" percent="0" rank="0" text="" dxfId="1">
      <formula>ISNUMBER(SEARCH("✖",F6))</formula>
    </cfRule>
    <cfRule type="expression" priority="4" aboveAverage="0" equalAverage="0" bottom="0" percent="0" rank="0" text="" dxfId="2">
      <formula>ISNUMBER(SEARCH("⚠",F6))</formula>
    </cfRule>
  </conditionalFormatting>
  <conditionalFormatting sqref="A8">
    <cfRule type="expression" priority="5" aboveAverage="0" equalAverage="0" bottom="0" percent="0" rank="0" text="" dxfId="0">
      <formula>ISNUMBER(SEARCH("✔",$A$8))</formula>
    </cfRule>
    <cfRule type="expression" priority="6" aboveAverage="0" equalAverage="0" bottom="0" percent="0" rank="0" text="" dxfId="1">
      <formula>ISNUMBER(SEARCH("✖",$A$8))</formula>
    </cfRule>
    <cfRule type="expression" priority="7" aboveAverage="0" equalAverage="0" bottom="0" percent="0" rank="0" text="" dxfId="2">
      <formula>ISNUMBER(SEARCH("⚠",$A$8))</formula>
    </cfRule>
  </conditionalFormatting>
  <conditionalFormatting sqref="A11:H1010">
    <cfRule type="expression" priority="8" aboveAverage="0" equalAverage="0" bottom="0" percent="0" rank="0" text="" dxfId="20">
      <formula>ISNUMBER(SEARCH("✖",$I11))</formula>
    </cfRule>
    <cfRule type="expression" priority="9" aboveAverage="0" equalAverage="0" bottom="0" percent="0" rank="0" text="" dxfId="21">
      <formula>AND($A11&lt;&gt;"",MOD($A11,2)=0)</formula>
    </cfRule>
  </conditionalFormatting>
  <conditionalFormatting sqref="D11:D1010">
    <cfRule type="expression" priority="10" aboveAverage="0" equalAverage="0" bottom="0" percent="0" rank="0" text="" dxfId="22">
      <formula>ISNUMBER(SEARCH("⚠",D11))</formula>
    </cfRule>
  </conditionalFormatting>
  <conditionalFormatting sqref="I11:I1010">
    <cfRule type="expression" priority="11" aboveAverage="0" equalAverage="0" bottom="0" percent="0" rank="0" text="" dxfId="0">
      <formula>ISNUMBER(SEARCH("✔",I11))</formula>
    </cfRule>
    <cfRule type="expression" priority="12" aboveAverage="0" equalAverage="0" bottom="0" percent="0" rank="0" text="" dxfId="1">
      <formula>ISNUMBER(SEARCH("✖",I11))</formula>
    </cfRule>
    <cfRule type="expression" priority="13" aboveAverage="0" equalAverage="0" bottom="0" percent="0" rank="0" text="" dxfId="2">
      <formula>ISNUMBER(SEARCH("⚠",I11))</formula>
    </cfRule>
  </conditionalFormatting>
  <conditionalFormatting sqref="M11:M1010">
    <cfRule type="expression" priority="14" aboveAverage="0" equalAverage="0" bottom="0" percent="0" rank="0" text="" dxfId="22">
      <formula>AND(M11&lt;&gt;"OK",M11&lt;&gt;"فارغ")</formula>
    </cfRule>
  </conditionalFormatting>
  <dataValidations count="5">
    <dataValidation allowBlank="true" error="من فضلك اختر قيمة من القائمة المنسدلة." errorStyle="stop" errorTitle="قيمة غير مسموحة" operator="between" prompt="اختر رقم الحساب التحليلي من شجرة الحسابات" promptTitle="رقم الحساب" showDropDown="false" showErrorMessage="true" showInputMessage="true" sqref="C11:C1010" type="list">
      <formula1>ACC_NO</formula1>
      <formula2>0</formula2>
    </dataValidation>
    <dataValidation allowBlank="true" error="من فضلك اختر قيمة من القائمة المنسدلة." errorStyle="stop" errorTitle="قيمة غير مسموحة" operator="between" prompt="اختر المشروع (اتركه فارغاً للمصاريف العامة)" promptTitle="اسم المشروع" showDropDown="false" showErrorMessage="true" showInputMessage="true" sqref="E11:E1010" type="list">
      <formula1>PRJ_NAMES</formula1>
      <formula2>0</formula2>
    </dataValidation>
    <dataValidation allowBlank="false" error="أدخل تاريخاً صحيحاً (yyyy/mm/dd)." errorStyle="stop" errorTitle="تاريخ غير صحيح" operator="greaterThan" showDropDown="false" showErrorMessage="true" showInputMessage="false" sqref="B11:B1010" type="date">
      <formula1>36526</formula1>
      <formula2>0</formula2>
    </dataValidation>
    <dataValidation allowBlank="false" error="المبلغ يجب أن يكون رقماً موجباً." errorStyle="stop" errorTitle="مبلغ غير صحيح" operator="greaterThanOrEqual" showDropDown="false" showErrorMessage="true" showInputMessage="false" sqref="G11:H1010" type="decimal">
      <formula1>0</formula1>
      <formula2>0</formula2>
    </dataValidation>
    <dataValidation allowBlank="false" error="رقم القيد يجب أن يكون رقماً صحيحاً." errorStyle="stop" errorTitle="رقم قيد غير صحيح" operator="greaterThan" showDropDown="false" showErrorMessage="true" showInputMessage="false" sqref="A11:A1010" type="whole">
      <formula1>0</formula1>
      <formula2>0</formula2>
    </dataValidation>
  </dataValidations>
  <hyperlinks>
    <hyperlink ref="A3" location="'الرئيسية'!A1" display="🏠 الرئيسية"/>
    <hyperlink ref="B3" location="'شجرة الحسابات'!A1" display="🌳 الشجرة"/>
    <hyperlink ref="C3" location="'تجميع المشروعات'!A1" display="🏗 المشروعات"/>
    <hyperlink ref="D3" location="'كشف حساب مشروع'!A1" display="📄 كشف مشروع"/>
    <hyperlink ref="E3" location="'دفتر الأستاذ'!A1" display="📒 الأستاذ"/>
    <hyperlink ref="F3" location="'ميزان المراجعة'!A1" display="⚖ الميزان"/>
    <hyperlink ref="G3" location="'قائمة الدخل'!A1" display="📈 الدخل"/>
    <hyperlink ref="H3" location="'المركز المالي'!A1" display="🏦 المركز المالي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6C3A"/>
    <pageSetUpPr fitToPage="true"/>
  </sheetPr>
  <dimension ref="A1:U30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6"/>
    <col collapsed="false" customWidth="true" hidden="false" outlineLevel="0" max="5" min="4" style="0" width="16"/>
    <col collapsed="false" customWidth="true" hidden="false" outlineLevel="0" max="7" min="6" style="0" width="12"/>
    <col collapsed="false" customWidth="true" hidden="false" outlineLevel="0" max="16" min="8" style="0" width="15"/>
    <col collapsed="false" customWidth="true" hidden="false" outlineLevel="0" max="19" min="17" style="0" width="10"/>
    <col collapsed="false" customWidth="true" hidden="false" outlineLevel="0" max="21" min="20" style="0" width="15"/>
  </cols>
  <sheetData>
    <row r="1" customFormat="false" ht="37.5" hidden="false" customHeight="true" outlineLevel="0" collapsed="false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A2" s="2" t="str">
        <f aca="false">الرئيسية!$C$6&amp;"   |   الفترة المنتهية في: "&amp;TEXT(الرئيسية!$C$7,"yyyy/mm/dd")&amp;"   |   المبالغ بـ "&amp;الرئيسية!$G$7</f>
        <v>شركة الإعمار الحديثة للمقاولات العامة   |   الفترة المنتهية في: 2026/03/31   |   المبالغ بـ ريال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25.5" hidden="false" customHeight="true" outlineLevel="0" collapsed="false">
      <c r="A3" s="26" t="s">
        <v>42</v>
      </c>
      <c r="B3" s="16" t="s">
        <v>149</v>
      </c>
      <c r="C3" s="16" t="s">
        <v>43</v>
      </c>
      <c r="D3" s="16" t="s">
        <v>45</v>
      </c>
      <c r="E3" s="16" t="s">
        <v>46</v>
      </c>
      <c r="F3" s="16" t="s">
        <v>47</v>
      </c>
      <c r="G3" s="16" t="s">
        <v>48</v>
      </c>
      <c r="H3" s="16" t="s">
        <v>49</v>
      </c>
    </row>
    <row r="4" customFormat="false" ht="7.5" hidden="false" customHeight="true" outlineLevel="0" collapsed="false"/>
    <row r="5" customFormat="false" ht="21.75" hidden="false" customHeight="true" outlineLevel="0" collapsed="false">
      <c r="A5" s="8" t="s">
        <v>228</v>
      </c>
      <c r="B5" s="8"/>
      <c r="C5" s="8" t="s">
        <v>229</v>
      </c>
      <c r="D5" s="7" t="s">
        <v>230</v>
      </c>
      <c r="E5" s="7"/>
      <c r="F5" s="56" t="s">
        <v>231</v>
      </c>
      <c r="G5" s="56"/>
      <c r="H5" s="56"/>
      <c r="I5" s="9" t="s">
        <v>232</v>
      </c>
      <c r="J5" s="9"/>
      <c r="K5" s="9"/>
      <c r="L5" s="9" t="s">
        <v>233</v>
      </c>
      <c r="M5" s="9"/>
      <c r="N5" s="13" t="s">
        <v>78</v>
      </c>
      <c r="O5" s="13"/>
      <c r="P5" s="13"/>
    </row>
    <row r="6" customFormat="false" ht="30" hidden="false" customHeight="true" outlineLevel="0" collapsed="false">
      <c r="A6" s="27" t="n">
        <f aca="false">COUNTA(B9:B28)</f>
        <v>3</v>
      </c>
      <c r="B6" s="27"/>
      <c r="C6" s="11" t="n">
        <f aca="false">D29</f>
        <v>10000000</v>
      </c>
      <c r="D6" s="10" t="n">
        <f aca="false">O29</f>
        <v>2700000</v>
      </c>
      <c r="E6" s="10"/>
      <c r="F6" s="57" t="n">
        <f aca="false">M29</f>
        <v>2075000</v>
      </c>
      <c r="G6" s="57"/>
      <c r="H6" s="57"/>
      <c r="I6" s="12" t="n">
        <f aca="false">P29</f>
        <v>625000</v>
      </c>
      <c r="J6" s="12"/>
      <c r="K6" s="12"/>
      <c r="L6" s="58" t="n">
        <f aca="false">IFERROR(P29/O29,0)</f>
        <v>0.231481481481481</v>
      </c>
      <c r="M6" s="58"/>
      <c r="N6" s="59" t="n">
        <f aca="false">T29</f>
        <v>195000</v>
      </c>
      <c r="O6" s="59"/>
      <c r="P6" s="59"/>
    </row>
    <row r="8" customFormat="false" ht="33.75" hidden="false" customHeight="true" outlineLevel="0" collapsed="false">
      <c r="A8" s="31" t="s">
        <v>234</v>
      </c>
      <c r="B8" s="31" t="s">
        <v>162</v>
      </c>
      <c r="C8" s="31" t="s">
        <v>235</v>
      </c>
      <c r="D8" s="31" t="s">
        <v>236</v>
      </c>
      <c r="E8" s="31" t="s">
        <v>237</v>
      </c>
      <c r="F8" s="31" t="s">
        <v>238</v>
      </c>
      <c r="G8" s="31" t="s">
        <v>239</v>
      </c>
      <c r="H8" s="60" t="s">
        <v>129</v>
      </c>
      <c r="I8" s="60" t="s">
        <v>131</v>
      </c>
      <c r="J8" s="60" t="s">
        <v>133</v>
      </c>
      <c r="K8" s="60" t="s">
        <v>135</v>
      </c>
      <c r="L8" s="60" t="s">
        <v>137</v>
      </c>
      <c r="M8" s="60" t="s">
        <v>240</v>
      </c>
      <c r="N8" s="60" t="s">
        <v>241</v>
      </c>
      <c r="O8" s="60" t="s">
        <v>120</v>
      </c>
      <c r="P8" s="60" t="s">
        <v>11</v>
      </c>
      <c r="Q8" s="60" t="s">
        <v>242</v>
      </c>
      <c r="R8" s="60" t="s">
        <v>243</v>
      </c>
      <c r="S8" s="60" t="s">
        <v>244</v>
      </c>
      <c r="T8" s="60" t="s">
        <v>245</v>
      </c>
      <c r="U8" s="60" t="s">
        <v>246</v>
      </c>
    </row>
    <row r="9" customFormat="false" ht="15" hidden="false" customHeight="false" outlineLevel="0" collapsed="false">
      <c r="A9" s="32" t="s">
        <v>247</v>
      </c>
      <c r="B9" s="33" t="s">
        <v>176</v>
      </c>
      <c r="C9" s="33" t="s">
        <v>248</v>
      </c>
      <c r="D9" s="61" t="n">
        <v>5000000</v>
      </c>
      <c r="E9" s="61" t="n">
        <v>4100000</v>
      </c>
      <c r="F9" s="62" t="n">
        <v>46023</v>
      </c>
      <c r="G9" s="32" t="s">
        <v>249</v>
      </c>
      <c r="H9" s="34" t="n">
        <f aca="false">IF($B9="","",SUMIFS('قيود اليومية'!$G$11:$G$1010,'قيود اليومية'!$E$11:$E$1010,$B9,'قيود اليومية'!$K$11:$K$1010,"مواد",'قيود اليومية'!$I$11:$I$1010,"مرحل ✔")-SUMIFS('قيود اليومية'!$H$11:$H$1010,'قيود اليومية'!$E$11:$E$1010,$B9,'قيود اليومية'!$K$11:$K$1010,"مواد",'قيود اليومية'!$I$11:$I$1010,"مرحل ✔"))</f>
        <v>420000</v>
      </c>
      <c r="I9" s="34" t="n">
        <f aca="false">IF($B9="","",SUMIFS('قيود اليومية'!$G$11:$G$1010,'قيود اليومية'!$E$11:$E$1010,$B9,'قيود اليومية'!$K$11:$K$1010,"أجور عمال",'قيود اليومية'!$I$11:$I$1010,"مرحل ✔")-SUMIFS('قيود اليومية'!$H$11:$H$1010,'قيود اليومية'!$E$11:$E$1010,$B9,'قيود اليومية'!$K$11:$K$1010,"أجور عمال",'قيود اليومية'!$I$11:$I$1010,"مرحل ✔"))</f>
        <v>180000</v>
      </c>
      <c r="J9" s="34" t="n">
        <f aca="false">IF($B9="","",SUMIFS('قيود اليومية'!$G$11:$G$1010,'قيود اليومية'!$E$11:$E$1010,$B9,'قيود اليومية'!$K$11:$K$1010,"مقاولو باطن",'قيود اليومية'!$I$11:$I$1010,"مرحل ✔")-SUMIFS('قيود اليومية'!$H$11:$H$1010,'قيود اليومية'!$E$11:$E$1010,$B9,'قيود اليومية'!$K$11:$K$1010,"مقاولو باطن",'قيود اليومية'!$I$11:$I$1010,"مرحل ✔"))</f>
        <v>600000</v>
      </c>
      <c r="K9" s="34" t="n">
        <f aca="false">IF($B9="","",SUMIFS('قيود اليومية'!$G$11:$G$1010,'قيود اليومية'!$E$11:$E$1010,$B9,'قيود اليومية'!$K$11:$K$1010,"معدات",'قيود اليومية'!$I$11:$I$1010,"مرحل ✔")-SUMIFS('قيود اليومية'!$H$11:$H$1010,'قيود اليومية'!$E$11:$E$1010,$B9,'قيود اليومية'!$K$11:$K$1010,"معدات",'قيود اليومية'!$I$11:$I$1010,"مرحل ✔"))</f>
        <v>60000</v>
      </c>
      <c r="L9" s="34" t="n">
        <f aca="false">IF($B9="","",SUMIFS('قيود اليومية'!$G$11:$G$1010,'قيود اليومية'!$E$11:$E$1010,$B9,'قيود اليومية'!$K$11:$K$1010,"مصاريف موقع",'قيود اليومية'!$I$11:$I$1010,"مرحل ✔")-SUMIFS('قيود اليومية'!$H$11:$H$1010,'قيود اليومية'!$E$11:$E$1010,$B9,'قيود اليومية'!$K$11:$K$1010,"مصاريف موقع",'قيود اليومية'!$I$11:$I$1010,"مرحل ✔"))</f>
        <v>32000</v>
      </c>
      <c r="M9" s="63" t="n">
        <f aca="false">IF($B9="","",SUM(H9:L9))</f>
        <v>1292000</v>
      </c>
      <c r="N9" s="34" t="n">
        <f aca="false">IF($B9="","",SUMIFS('قيود اليومية'!$G$11:$G$1010,'قيود اليومية'!$E$11:$E$1010,$B9,'قيود اليومية'!$C$11:$C$1010,1108,'قيود اليومية'!$I$11:$I$1010,"مرحل ✔")-SUMIFS('قيود اليومية'!$H$11:$H$1010,'قيود اليومية'!$E$11:$E$1010,$B9,'قيود اليومية'!$C$11:$C$1010,1108,'قيود اليومية'!$I$11:$I$1010,"مرحل ✔"))</f>
        <v>0</v>
      </c>
      <c r="O9" s="63" t="n">
        <f aca="false">IF($B9="","",SUMIFS('قيود اليومية'!$H$11:$H$1010,'قيود اليومية'!$E$11:$E$1010,$B9,'قيود اليومية'!$J$11:$J$1010,"الإيرادات",'قيود اليومية'!$C$11:$C$1010,"&lt;4200",'قيود اليومية'!$I$11:$I$1010,"مرحل ✔")-SUMIFS('قيود اليومية'!$G$11:$G$1010,'قيود اليومية'!$E$11:$E$1010,$B9,'قيود اليومية'!$J$11:$J$1010,"الإيرادات",'قيود اليومية'!$C$11:$C$1010,"&lt;4200",'قيود اليومية'!$I$11:$I$1010,"مرحل ✔"))</f>
        <v>1620000</v>
      </c>
      <c r="P9" s="63" t="n">
        <f aca="false">IF($B9="","",O9-M9)</f>
        <v>328000</v>
      </c>
      <c r="Q9" s="64" t="n">
        <f aca="false">IF($B9="","",IFERROR(P9/O9,0))</f>
        <v>0.202469135802469</v>
      </c>
      <c r="R9" s="64" t="n">
        <f aca="false">IF($B9="","",IFERROR((M9+N9)/E9,0))</f>
        <v>0.315121951219512</v>
      </c>
      <c r="S9" s="64" t="n">
        <f aca="false">IF($B9="","",IFERROR(O9/D9,0))</f>
        <v>0.324</v>
      </c>
      <c r="T9" s="34" t="n">
        <f aca="false">IF($B9="","",SUMIFS('قيود اليومية'!$G$11:$G$1010,'قيود اليومية'!$E$11:$E$1010,$B9,'قيود اليومية'!$C$11:$C$1010,1104,'قيود اليومية'!$I$11:$I$1010,"مرحل ✔")-SUMIFS('قيود اليومية'!$H$11:$H$1010,'قيود اليومية'!$E$11:$E$1010,$B9,'قيود اليومية'!$C$11:$C$1010,1104,'قيود اليومية'!$I$11:$I$1010,"مرحل ✔"))</f>
        <v>150000</v>
      </c>
      <c r="U9" s="34" t="n">
        <f aca="false">IF($B9="","",SUMIFS('قيود اليومية'!$H$11:$H$1010,'قيود اليومية'!$E$11:$E$1010,$B9,'قيود اليومية'!$C$11:$C$1010,2104,'قيود اليومية'!$I$11:$I$1010,"مرحل ✔")-SUMIFS('قيود اليومية'!$G$11:$G$1010,'قيود اليومية'!$E$11:$E$1010,$B9,'قيود اليومية'!$C$11:$C$1010,2104,'قيود اليومية'!$I$11:$I$1010,"مرحل ✔"))</f>
        <v>525000</v>
      </c>
    </row>
    <row r="10" customFormat="false" ht="15" hidden="false" customHeight="false" outlineLevel="0" collapsed="false">
      <c r="A10" s="32" t="s">
        <v>250</v>
      </c>
      <c r="B10" s="33" t="s">
        <v>178</v>
      </c>
      <c r="C10" s="33" t="s">
        <v>251</v>
      </c>
      <c r="D10" s="61" t="n">
        <v>3200000</v>
      </c>
      <c r="E10" s="61" t="n">
        <v>2650000</v>
      </c>
      <c r="F10" s="62" t="n">
        <v>46032</v>
      </c>
      <c r="G10" s="32" t="s">
        <v>249</v>
      </c>
      <c r="H10" s="34" t="n">
        <f aca="false">IF($B10="","",SUMIFS('قيود اليومية'!$G$11:$G$1010,'قيود اليومية'!$E$11:$E$1010,$B10,'قيود اليومية'!$K$11:$K$1010,"مواد",'قيود اليومية'!$I$11:$I$1010,"مرحل ✔")-SUMIFS('قيود اليومية'!$H$11:$H$1010,'قيود اليومية'!$E$11:$E$1010,$B10,'قيود اليومية'!$K$11:$K$1010,"مواد",'قيود اليومية'!$I$11:$I$1010,"مرحل ✔"))</f>
        <v>260000</v>
      </c>
      <c r="I10" s="34" t="n">
        <f aca="false">IF($B10="","",SUMIFS('قيود اليومية'!$G$11:$G$1010,'قيود اليومية'!$E$11:$E$1010,$B10,'قيود اليومية'!$K$11:$K$1010,"أجور عمال",'قيود اليومية'!$I$11:$I$1010,"مرحل ✔")-SUMIFS('قيود اليومية'!$H$11:$H$1010,'قيود اليومية'!$E$11:$E$1010,$B10,'قيود اليومية'!$K$11:$K$1010,"أجور عمال",'قيود اليومية'!$I$11:$I$1010,"مرحل ✔"))</f>
        <v>160000</v>
      </c>
      <c r="J10" s="34" t="n">
        <f aca="false">IF($B10="","",SUMIFS('قيود اليومية'!$G$11:$G$1010,'قيود اليومية'!$E$11:$E$1010,$B10,'قيود اليومية'!$K$11:$K$1010,"مقاولو باطن",'قيود اليومية'!$I$11:$I$1010,"مرحل ✔")-SUMIFS('قيود اليومية'!$H$11:$H$1010,'قيود اليومية'!$E$11:$E$1010,$B10,'قيود اليومية'!$K$11:$K$1010,"مقاولو باطن",'قيود اليومية'!$I$11:$I$1010,"مرحل ✔"))</f>
        <v>250000</v>
      </c>
      <c r="K10" s="34" t="n">
        <f aca="false">IF($B10="","",SUMIFS('قيود اليومية'!$G$11:$G$1010,'قيود اليومية'!$E$11:$E$1010,$B10,'قيود اليومية'!$K$11:$K$1010,"معدات",'قيود اليومية'!$I$11:$I$1010,"مرحل ✔")-SUMIFS('قيود اليومية'!$H$11:$H$1010,'قيود اليومية'!$E$11:$E$1010,$B10,'قيود اليومية'!$K$11:$K$1010,"معدات",'قيود اليومية'!$I$11:$I$1010,"مرحل ✔"))</f>
        <v>95000</v>
      </c>
      <c r="L10" s="34" t="n">
        <f aca="false">IF($B10="","",SUMIFS('قيود اليومية'!$G$11:$G$1010,'قيود اليومية'!$E$11:$E$1010,$B10,'قيود اليومية'!$K$11:$K$1010,"مصاريف موقع",'قيود اليومية'!$I$11:$I$1010,"مرحل ✔")-SUMIFS('قيود اليومية'!$H$11:$H$1010,'قيود اليومية'!$E$11:$E$1010,$B10,'قيود اليومية'!$K$11:$K$1010,"مصاريف موقع",'قيود اليومية'!$I$11:$I$1010,"مرحل ✔"))</f>
        <v>18000</v>
      </c>
      <c r="M10" s="63" t="n">
        <f aca="false">IF($B10="","",SUM(H10:L10))</f>
        <v>783000</v>
      </c>
      <c r="N10" s="34" t="n">
        <f aca="false">IF($B10="","",SUMIFS('قيود اليومية'!$G$11:$G$1010,'قيود اليومية'!$E$11:$E$1010,$B10,'قيود اليومية'!$C$11:$C$1010,1108,'قيود اليومية'!$I$11:$I$1010,"مرحل ✔")-SUMIFS('قيود اليومية'!$H$11:$H$1010,'قيود اليومية'!$E$11:$E$1010,$B10,'قيود اليومية'!$C$11:$C$1010,1108,'قيود اليومية'!$I$11:$I$1010,"مرحل ✔"))</f>
        <v>0</v>
      </c>
      <c r="O10" s="63" t="n">
        <f aca="false">IF($B10="","",SUMIFS('قيود اليومية'!$H$11:$H$1010,'قيود اليومية'!$E$11:$E$1010,$B10,'قيود اليومية'!$J$11:$J$1010,"الإيرادات",'قيود اليومية'!$C$11:$C$1010,"&lt;4200",'قيود اليومية'!$I$11:$I$1010,"مرحل ✔")-SUMIFS('قيود اليومية'!$G$11:$G$1010,'قيود اليومية'!$E$11:$E$1010,$B10,'قيود اليومية'!$J$11:$J$1010,"الإيرادات",'قيود اليومية'!$C$11:$C$1010,"&lt;4200",'قيود اليومية'!$I$11:$I$1010,"مرحل ✔"))</f>
        <v>1080000</v>
      </c>
      <c r="P10" s="63" t="n">
        <f aca="false">IF($B10="","",O10-M10)</f>
        <v>297000</v>
      </c>
      <c r="Q10" s="64" t="n">
        <f aca="false">IF($B10="","",IFERROR(P10/O10,0))</f>
        <v>0.275</v>
      </c>
      <c r="R10" s="64" t="n">
        <f aca="false">IF($B10="","",IFERROR((M10+N10)/E10,0))</f>
        <v>0.295471698113208</v>
      </c>
      <c r="S10" s="64" t="n">
        <f aca="false">IF($B10="","",IFERROR(O10/D10,0))</f>
        <v>0.3375</v>
      </c>
      <c r="T10" s="34" t="n">
        <f aca="false">IF($B10="","",SUMIFS('قيود اليومية'!$G$11:$G$1010,'قيود اليومية'!$E$11:$E$1010,$B10,'قيود اليومية'!$C$11:$C$1010,1104,'قيود اليومية'!$I$11:$I$1010,"مرحل ✔")-SUMIFS('قيود اليومية'!$H$11:$H$1010,'قيود اليومية'!$E$11:$E$1010,$B10,'قيود اليومية'!$C$11:$C$1010,1104,'قيود اليومية'!$I$11:$I$1010,"مرحل ✔"))</f>
        <v>45000</v>
      </c>
      <c r="U10" s="34" t="n">
        <f aca="false">IF($B10="","",SUMIFS('قيود اليومية'!$H$11:$H$1010,'قيود اليومية'!$E$11:$E$1010,$B10,'قيود اليومية'!$C$11:$C$1010,2104,'قيود اليومية'!$I$11:$I$1010,"مرحل ✔")-SUMIFS('قيود اليومية'!$G$11:$G$1010,'قيود اليومية'!$E$11:$E$1010,$B10,'قيود اليومية'!$C$11:$C$1010,2104,'قيود اليومية'!$I$11:$I$1010,"مرحل ✔"))</f>
        <v>230000</v>
      </c>
    </row>
    <row r="11" customFormat="false" ht="15" hidden="false" customHeight="false" outlineLevel="0" collapsed="false">
      <c r="A11" s="32" t="s">
        <v>252</v>
      </c>
      <c r="B11" s="33" t="s">
        <v>212</v>
      </c>
      <c r="C11" s="33" t="s">
        <v>253</v>
      </c>
      <c r="D11" s="61" t="n">
        <v>1800000</v>
      </c>
      <c r="E11" s="61" t="n">
        <v>1500000</v>
      </c>
      <c r="F11" s="62" t="n">
        <v>46106</v>
      </c>
      <c r="G11" s="32" t="s">
        <v>254</v>
      </c>
      <c r="H11" s="34" t="n">
        <f aca="false">IF($B11="","",SUMIFS('قيود اليومية'!$G$11:$G$1010,'قيود اليومية'!$E$11:$E$1010,$B11,'قيود اليومية'!$K$11:$K$1010,"مواد",'قيود اليومية'!$I$11:$I$1010,"مرحل ✔")-SUMIFS('قيود اليومية'!$H$11:$H$1010,'قيود اليومية'!$E$11:$E$1010,$B11,'قيود اليومية'!$K$11:$K$1010,"مواد",'قيود اليومية'!$I$11:$I$1010,"مرحل ✔"))</f>
        <v>0</v>
      </c>
      <c r="I11" s="34" t="n">
        <f aca="false">IF($B11="","",SUMIFS('قيود اليومية'!$G$11:$G$1010,'قيود اليومية'!$E$11:$E$1010,$B11,'قيود اليومية'!$K$11:$K$1010,"أجور عمال",'قيود اليومية'!$I$11:$I$1010,"مرحل ✔")-SUMIFS('قيود اليومية'!$H$11:$H$1010,'قيود اليومية'!$E$11:$E$1010,$B11,'قيود اليومية'!$K$11:$K$1010,"أجور عمال",'قيود اليومية'!$I$11:$I$1010,"مرحل ✔"))</f>
        <v>0</v>
      </c>
      <c r="J11" s="34" t="n">
        <f aca="false">IF($B11="","",SUMIFS('قيود اليومية'!$G$11:$G$1010,'قيود اليومية'!$E$11:$E$1010,$B11,'قيود اليومية'!$K$11:$K$1010,"مقاولو باطن",'قيود اليومية'!$I$11:$I$1010,"مرحل ✔")-SUMIFS('قيود اليومية'!$H$11:$H$1010,'قيود اليومية'!$E$11:$E$1010,$B11,'قيود اليومية'!$K$11:$K$1010,"مقاولو باطن",'قيود اليومية'!$I$11:$I$1010,"مرحل ✔"))</f>
        <v>0</v>
      </c>
      <c r="K11" s="34" t="n">
        <f aca="false">IF($B11="","",SUMIFS('قيود اليومية'!$G$11:$G$1010,'قيود اليومية'!$E$11:$E$1010,$B11,'قيود اليومية'!$K$11:$K$1010,"معدات",'قيود اليومية'!$I$11:$I$1010,"مرحل ✔")-SUMIFS('قيود اليومية'!$H$11:$H$1010,'قيود اليومية'!$E$11:$E$1010,$B11,'قيود اليومية'!$K$11:$K$1010,"معدات",'قيود اليومية'!$I$11:$I$1010,"مرحل ✔"))</f>
        <v>0</v>
      </c>
      <c r="L11" s="34" t="n">
        <f aca="false">IF($B11="","",SUMIFS('قيود اليومية'!$G$11:$G$1010,'قيود اليومية'!$E$11:$E$1010,$B11,'قيود اليومية'!$K$11:$K$1010,"مصاريف موقع",'قيود اليومية'!$I$11:$I$1010,"مرحل ✔")-SUMIFS('قيود اليومية'!$H$11:$H$1010,'قيود اليومية'!$E$11:$E$1010,$B11,'قيود اليومية'!$K$11:$K$1010,"مصاريف موقع",'قيود اليومية'!$I$11:$I$1010,"مرحل ✔"))</f>
        <v>0</v>
      </c>
      <c r="M11" s="63" t="n">
        <f aca="false">IF($B11="","",SUM(H11:L11))</f>
        <v>0</v>
      </c>
      <c r="N11" s="34" t="n">
        <f aca="false">IF($B11="","",SUMIFS('قيود اليومية'!$G$11:$G$1010,'قيود اليومية'!$E$11:$E$1010,$B11,'قيود اليومية'!$C$11:$C$1010,1108,'قيود اليومية'!$I$11:$I$1010,"مرحل ✔")-SUMIFS('قيود اليومية'!$H$11:$H$1010,'قيود اليومية'!$E$11:$E$1010,$B11,'قيود اليومية'!$C$11:$C$1010,1108,'قيود اليومية'!$I$11:$I$1010,"مرحل ✔"))</f>
        <v>95000</v>
      </c>
      <c r="O11" s="63" t="n">
        <f aca="false">IF($B11="","",SUMIFS('قيود اليومية'!$H$11:$H$1010,'قيود اليومية'!$E$11:$E$1010,$B11,'قيود اليومية'!$J$11:$J$1010,"الإيرادات",'قيود اليومية'!$C$11:$C$1010,"&lt;4200",'قيود اليومية'!$I$11:$I$1010,"مرحل ✔")-SUMIFS('قيود اليومية'!$G$11:$G$1010,'قيود اليومية'!$E$11:$E$1010,$B11,'قيود اليومية'!$J$11:$J$1010,"الإيرادات",'قيود اليومية'!$C$11:$C$1010,"&lt;4200",'قيود اليومية'!$I$11:$I$1010,"مرحل ✔"))</f>
        <v>0</v>
      </c>
      <c r="P11" s="63" t="n">
        <f aca="false">IF($B11="","",O11-M11)</f>
        <v>0</v>
      </c>
      <c r="Q11" s="64" t="n">
        <f aca="false">IF($B11="","",IFERROR(P11/O11,0))</f>
        <v>0</v>
      </c>
      <c r="R11" s="64" t="n">
        <f aca="false">IF($B11="","",IFERROR((M11+N11)/E11,0))</f>
        <v>0.0633333333333333</v>
      </c>
      <c r="S11" s="64" t="n">
        <f aca="false">IF($B11="","",IFERROR(O11/D11,0))</f>
        <v>0</v>
      </c>
      <c r="T11" s="34" t="n">
        <f aca="false">IF($B11="","",SUMIFS('قيود اليومية'!$G$11:$G$1010,'قيود اليومية'!$E$11:$E$1010,$B11,'قيود اليومية'!$C$11:$C$1010,1104,'قيود اليومية'!$I$11:$I$1010,"مرحل ✔")-SUMIFS('قيود اليومية'!$H$11:$H$1010,'قيود اليومية'!$E$11:$E$1010,$B11,'قيود اليومية'!$C$11:$C$1010,1104,'قيود اليومية'!$I$11:$I$1010,"مرحل ✔"))</f>
        <v>0</v>
      </c>
      <c r="U11" s="34" t="n">
        <f aca="false">IF($B11="","",SUMIFS('قيود اليومية'!$H$11:$H$1010,'قيود اليومية'!$E$11:$E$1010,$B11,'قيود اليومية'!$C$11:$C$1010,2104,'قيود اليومية'!$I$11:$I$1010,"مرحل ✔")-SUMIFS('قيود اليومية'!$G$11:$G$1010,'قيود اليومية'!$E$11:$E$1010,$B11,'قيود اليومية'!$C$11:$C$1010,2104,'قيود اليومية'!$I$11:$I$1010,"مرحل ✔"))</f>
        <v>0</v>
      </c>
    </row>
    <row r="12" customFormat="false" ht="15" hidden="false" customHeight="false" outlineLevel="0" collapsed="false">
      <c r="A12" s="32"/>
      <c r="B12" s="33"/>
      <c r="C12" s="33"/>
      <c r="D12" s="61"/>
      <c r="E12" s="61"/>
      <c r="F12" s="62"/>
      <c r="G12" s="32"/>
      <c r="H12" s="34" t="str">
        <f aca="false">IF($B12="","",SUMIFS('قيود اليومية'!$G$11:$G$1010,'قيود اليومية'!$E$11:$E$1010,$B12,'قيود اليومية'!$K$11:$K$1010,"مواد",'قيود اليومية'!$I$11:$I$1010,"مرحل ✔")-SUMIFS('قيود اليومية'!$H$11:$H$1010,'قيود اليومية'!$E$11:$E$1010,$B12,'قيود اليومية'!$K$11:$K$1010,"مواد",'قيود اليومية'!$I$11:$I$1010,"مرحل ✔"))</f>
        <v/>
      </c>
      <c r="I12" s="34" t="str">
        <f aca="false">IF($B12="","",SUMIFS('قيود اليومية'!$G$11:$G$1010,'قيود اليومية'!$E$11:$E$1010,$B12,'قيود اليومية'!$K$11:$K$1010,"أجور عمال",'قيود اليومية'!$I$11:$I$1010,"مرحل ✔")-SUMIFS('قيود اليومية'!$H$11:$H$1010,'قيود اليومية'!$E$11:$E$1010,$B12,'قيود اليومية'!$K$11:$K$1010,"أجور عمال",'قيود اليومية'!$I$11:$I$1010,"مرحل ✔"))</f>
        <v/>
      </c>
      <c r="J12" s="34" t="str">
        <f aca="false">IF($B12="","",SUMIFS('قيود اليومية'!$G$11:$G$1010,'قيود اليومية'!$E$11:$E$1010,$B12,'قيود اليومية'!$K$11:$K$1010,"مقاولو باطن",'قيود اليومية'!$I$11:$I$1010,"مرحل ✔")-SUMIFS('قيود اليومية'!$H$11:$H$1010,'قيود اليومية'!$E$11:$E$1010,$B12,'قيود اليومية'!$K$11:$K$1010,"مقاولو باطن",'قيود اليومية'!$I$11:$I$1010,"مرحل ✔"))</f>
        <v/>
      </c>
      <c r="K12" s="34" t="str">
        <f aca="false">IF($B12="","",SUMIFS('قيود اليومية'!$G$11:$G$1010,'قيود اليومية'!$E$11:$E$1010,$B12,'قيود اليومية'!$K$11:$K$1010,"معدات",'قيود اليومية'!$I$11:$I$1010,"مرحل ✔")-SUMIFS('قيود اليومية'!$H$11:$H$1010,'قيود اليومية'!$E$11:$E$1010,$B12,'قيود اليومية'!$K$11:$K$1010,"معدات",'قيود اليومية'!$I$11:$I$1010,"مرحل ✔"))</f>
        <v/>
      </c>
      <c r="L12" s="34" t="str">
        <f aca="false">IF($B12="","",SUMIFS('قيود اليومية'!$G$11:$G$1010,'قيود اليومية'!$E$11:$E$1010,$B12,'قيود اليومية'!$K$11:$K$1010,"مصاريف موقع",'قيود اليومية'!$I$11:$I$1010,"مرحل ✔")-SUMIFS('قيود اليومية'!$H$11:$H$1010,'قيود اليومية'!$E$11:$E$1010,$B12,'قيود اليومية'!$K$11:$K$1010,"مصاريف موقع",'قيود اليومية'!$I$11:$I$1010,"مرحل ✔"))</f>
        <v/>
      </c>
      <c r="M12" s="63" t="str">
        <f aca="false">IF($B12="","",SUM(H12:L12))</f>
        <v/>
      </c>
      <c r="N12" s="34" t="str">
        <f aca="false">IF($B12="","",SUMIFS('قيود اليومية'!$G$11:$G$1010,'قيود اليومية'!$E$11:$E$1010,$B12,'قيود اليومية'!$C$11:$C$1010,1108,'قيود اليومية'!$I$11:$I$1010,"مرحل ✔")-SUMIFS('قيود اليومية'!$H$11:$H$1010,'قيود اليومية'!$E$11:$E$1010,$B12,'قيود اليومية'!$C$11:$C$1010,1108,'قيود اليومية'!$I$11:$I$1010,"مرحل ✔"))</f>
        <v/>
      </c>
      <c r="O12" s="63" t="str">
        <f aca="false">IF($B12="","",SUMIFS('قيود اليومية'!$H$11:$H$1010,'قيود اليومية'!$E$11:$E$1010,$B12,'قيود اليومية'!$J$11:$J$1010,"الإيرادات",'قيود اليومية'!$C$11:$C$1010,"&lt;4200",'قيود اليومية'!$I$11:$I$1010,"مرحل ✔")-SUMIFS('قيود اليومية'!$G$11:$G$1010,'قيود اليومية'!$E$11:$E$1010,$B12,'قيود اليومية'!$J$11:$J$1010,"الإيرادات",'قيود اليومية'!$C$11:$C$1010,"&lt;4200",'قيود اليومية'!$I$11:$I$1010,"مرحل ✔"))</f>
        <v/>
      </c>
      <c r="P12" s="63" t="str">
        <f aca="false">IF($B12="","",O12-M12)</f>
        <v/>
      </c>
      <c r="Q12" s="64" t="str">
        <f aca="false">IF($B12="","",IFERROR(P12/O12,0))</f>
        <v/>
      </c>
      <c r="R12" s="64" t="str">
        <f aca="false">IF($B12="","",IFERROR((M12+N12)/E12,0))</f>
        <v/>
      </c>
      <c r="S12" s="64" t="str">
        <f aca="false">IF($B12="","",IFERROR(O12/D12,0))</f>
        <v/>
      </c>
      <c r="T12" s="34" t="str">
        <f aca="false">IF($B12="","",SUMIFS('قيود اليومية'!$G$11:$G$1010,'قيود اليومية'!$E$11:$E$1010,$B12,'قيود اليومية'!$C$11:$C$1010,1104,'قيود اليومية'!$I$11:$I$1010,"مرحل ✔")-SUMIFS('قيود اليومية'!$H$11:$H$1010,'قيود اليومية'!$E$11:$E$1010,$B12,'قيود اليومية'!$C$11:$C$1010,1104,'قيود اليومية'!$I$11:$I$1010,"مرحل ✔"))</f>
        <v/>
      </c>
      <c r="U12" s="34" t="str">
        <f aca="false">IF($B12="","",SUMIFS('قيود اليومية'!$H$11:$H$1010,'قيود اليومية'!$E$11:$E$1010,$B12,'قيود اليومية'!$C$11:$C$1010,2104,'قيود اليومية'!$I$11:$I$1010,"مرحل ✔")-SUMIFS('قيود اليومية'!$G$11:$G$1010,'قيود اليومية'!$E$11:$E$1010,$B12,'قيود اليومية'!$C$11:$C$1010,2104,'قيود اليومية'!$I$11:$I$1010,"مرحل ✔"))</f>
        <v/>
      </c>
    </row>
    <row r="13" customFormat="false" ht="15" hidden="false" customHeight="false" outlineLevel="0" collapsed="false">
      <c r="A13" s="32"/>
      <c r="B13" s="33"/>
      <c r="C13" s="33"/>
      <c r="D13" s="61"/>
      <c r="E13" s="61"/>
      <c r="F13" s="62"/>
      <c r="G13" s="32"/>
      <c r="H13" s="34" t="str">
        <f aca="false">IF($B13="","",SUMIFS('قيود اليومية'!$G$11:$G$1010,'قيود اليومية'!$E$11:$E$1010,$B13,'قيود اليومية'!$K$11:$K$1010,"مواد",'قيود اليومية'!$I$11:$I$1010,"مرحل ✔")-SUMIFS('قيود اليومية'!$H$11:$H$1010,'قيود اليومية'!$E$11:$E$1010,$B13,'قيود اليومية'!$K$11:$K$1010,"مواد",'قيود اليومية'!$I$11:$I$1010,"مرحل ✔"))</f>
        <v/>
      </c>
      <c r="I13" s="34" t="str">
        <f aca="false">IF($B13="","",SUMIFS('قيود اليومية'!$G$11:$G$1010,'قيود اليومية'!$E$11:$E$1010,$B13,'قيود اليومية'!$K$11:$K$1010,"أجور عمال",'قيود اليومية'!$I$11:$I$1010,"مرحل ✔")-SUMIFS('قيود اليومية'!$H$11:$H$1010,'قيود اليومية'!$E$11:$E$1010,$B13,'قيود اليومية'!$K$11:$K$1010,"أجور عمال",'قيود اليومية'!$I$11:$I$1010,"مرحل ✔"))</f>
        <v/>
      </c>
      <c r="J13" s="34" t="str">
        <f aca="false">IF($B13="","",SUMIFS('قيود اليومية'!$G$11:$G$1010,'قيود اليومية'!$E$11:$E$1010,$B13,'قيود اليومية'!$K$11:$K$1010,"مقاولو باطن",'قيود اليومية'!$I$11:$I$1010,"مرحل ✔")-SUMIFS('قيود اليومية'!$H$11:$H$1010,'قيود اليومية'!$E$11:$E$1010,$B13,'قيود اليومية'!$K$11:$K$1010,"مقاولو باطن",'قيود اليومية'!$I$11:$I$1010,"مرحل ✔"))</f>
        <v/>
      </c>
      <c r="K13" s="34" t="str">
        <f aca="false">IF($B13="","",SUMIFS('قيود اليومية'!$G$11:$G$1010,'قيود اليومية'!$E$11:$E$1010,$B13,'قيود اليومية'!$K$11:$K$1010,"معدات",'قيود اليومية'!$I$11:$I$1010,"مرحل ✔")-SUMIFS('قيود اليومية'!$H$11:$H$1010,'قيود اليومية'!$E$11:$E$1010,$B13,'قيود اليومية'!$K$11:$K$1010,"معدات",'قيود اليومية'!$I$11:$I$1010,"مرحل ✔"))</f>
        <v/>
      </c>
      <c r="L13" s="34" t="str">
        <f aca="false">IF($B13="","",SUMIFS('قيود اليومية'!$G$11:$G$1010,'قيود اليومية'!$E$11:$E$1010,$B13,'قيود اليومية'!$K$11:$K$1010,"مصاريف موقع",'قيود اليومية'!$I$11:$I$1010,"مرحل ✔")-SUMIFS('قيود اليومية'!$H$11:$H$1010,'قيود اليومية'!$E$11:$E$1010,$B13,'قيود اليومية'!$K$11:$K$1010,"مصاريف موقع",'قيود اليومية'!$I$11:$I$1010,"مرحل ✔"))</f>
        <v/>
      </c>
      <c r="M13" s="63" t="str">
        <f aca="false">IF($B13="","",SUM(H13:L13))</f>
        <v/>
      </c>
      <c r="N13" s="34" t="str">
        <f aca="false">IF($B13="","",SUMIFS('قيود اليومية'!$G$11:$G$1010,'قيود اليومية'!$E$11:$E$1010,$B13,'قيود اليومية'!$C$11:$C$1010,1108,'قيود اليومية'!$I$11:$I$1010,"مرحل ✔")-SUMIFS('قيود اليومية'!$H$11:$H$1010,'قيود اليومية'!$E$11:$E$1010,$B13,'قيود اليومية'!$C$11:$C$1010,1108,'قيود اليومية'!$I$11:$I$1010,"مرحل ✔"))</f>
        <v/>
      </c>
      <c r="O13" s="63" t="str">
        <f aca="false">IF($B13="","",SUMIFS('قيود اليومية'!$H$11:$H$1010,'قيود اليومية'!$E$11:$E$1010,$B13,'قيود اليومية'!$J$11:$J$1010,"الإيرادات",'قيود اليومية'!$C$11:$C$1010,"&lt;4200",'قيود اليومية'!$I$11:$I$1010,"مرحل ✔")-SUMIFS('قيود اليومية'!$G$11:$G$1010,'قيود اليومية'!$E$11:$E$1010,$B13,'قيود اليومية'!$J$11:$J$1010,"الإيرادات",'قيود اليومية'!$C$11:$C$1010,"&lt;4200",'قيود اليومية'!$I$11:$I$1010,"مرحل ✔"))</f>
        <v/>
      </c>
      <c r="P13" s="63" t="str">
        <f aca="false">IF($B13="","",O13-M13)</f>
        <v/>
      </c>
      <c r="Q13" s="64" t="str">
        <f aca="false">IF($B13="","",IFERROR(P13/O13,0))</f>
        <v/>
      </c>
      <c r="R13" s="64" t="str">
        <f aca="false">IF($B13="","",IFERROR((M13+N13)/E13,0))</f>
        <v/>
      </c>
      <c r="S13" s="64" t="str">
        <f aca="false">IF($B13="","",IFERROR(O13/D13,0))</f>
        <v/>
      </c>
      <c r="T13" s="34" t="str">
        <f aca="false">IF($B13="","",SUMIFS('قيود اليومية'!$G$11:$G$1010,'قيود اليومية'!$E$11:$E$1010,$B13,'قيود اليومية'!$C$11:$C$1010,1104,'قيود اليومية'!$I$11:$I$1010,"مرحل ✔")-SUMIFS('قيود اليومية'!$H$11:$H$1010,'قيود اليومية'!$E$11:$E$1010,$B13,'قيود اليومية'!$C$11:$C$1010,1104,'قيود اليومية'!$I$11:$I$1010,"مرحل ✔"))</f>
        <v/>
      </c>
      <c r="U13" s="34" t="str">
        <f aca="false">IF($B13="","",SUMIFS('قيود اليومية'!$H$11:$H$1010,'قيود اليومية'!$E$11:$E$1010,$B13,'قيود اليومية'!$C$11:$C$1010,2104,'قيود اليومية'!$I$11:$I$1010,"مرحل ✔")-SUMIFS('قيود اليومية'!$G$11:$G$1010,'قيود اليومية'!$E$11:$E$1010,$B13,'قيود اليومية'!$C$11:$C$1010,2104,'قيود اليومية'!$I$11:$I$1010,"مرحل ✔"))</f>
        <v/>
      </c>
    </row>
    <row r="14" customFormat="false" ht="15" hidden="false" customHeight="false" outlineLevel="0" collapsed="false">
      <c r="A14" s="32"/>
      <c r="B14" s="33"/>
      <c r="C14" s="33"/>
      <c r="D14" s="61"/>
      <c r="E14" s="61"/>
      <c r="F14" s="62"/>
      <c r="G14" s="32"/>
      <c r="H14" s="34" t="str">
        <f aca="false">IF($B14="","",SUMIFS('قيود اليومية'!$G$11:$G$1010,'قيود اليومية'!$E$11:$E$1010,$B14,'قيود اليومية'!$K$11:$K$1010,"مواد",'قيود اليومية'!$I$11:$I$1010,"مرحل ✔")-SUMIFS('قيود اليومية'!$H$11:$H$1010,'قيود اليومية'!$E$11:$E$1010,$B14,'قيود اليومية'!$K$11:$K$1010,"مواد",'قيود اليومية'!$I$11:$I$1010,"مرحل ✔"))</f>
        <v/>
      </c>
      <c r="I14" s="34" t="str">
        <f aca="false">IF($B14="","",SUMIFS('قيود اليومية'!$G$11:$G$1010,'قيود اليومية'!$E$11:$E$1010,$B14,'قيود اليومية'!$K$11:$K$1010,"أجور عمال",'قيود اليومية'!$I$11:$I$1010,"مرحل ✔")-SUMIFS('قيود اليومية'!$H$11:$H$1010,'قيود اليومية'!$E$11:$E$1010,$B14,'قيود اليومية'!$K$11:$K$1010,"أجور عمال",'قيود اليومية'!$I$11:$I$1010,"مرحل ✔"))</f>
        <v/>
      </c>
      <c r="J14" s="34" t="str">
        <f aca="false">IF($B14="","",SUMIFS('قيود اليومية'!$G$11:$G$1010,'قيود اليومية'!$E$11:$E$1010,$B14,'قيود اليومية'!$K$11:$K$1010,"مقاولو باطن",'قيود اليومية'!$I$11:$I$1010,"مرحل ✔")-SUMIFS('قيود اليومية'!$H$11:$H$1010,'قيود اليومية'!$E$11:$E$1010,$B14,'قيود اليومية'!$K$11:$K$1010,"مقاولو باطن",'قيود اليومية'!$I$11:$I$1010,"مرحل ✔"))</f>
        <v/>
      </c>
      <c r="K14" s="34" t="str">
        <f aca="false">IF($B14="","",SUMIFS('قيود اليومية'!$G$11:$G$1010,'قيود اليومية'!$E$11:$E$1010,$B14,'قيود اليومية'!$K$11:$K$1010,"معدات",'قيود اليومية'!$I$11:$I$1010,"مرحل ✔")-SUMIFS('قيود اليومية'!$H$11:$H$1010,'قيود اليومية'!$E$11:$E$1010,$B14,'قيود اليومية'!$K$11:$K$1010,"معدات",'قيود اليومية'!$I$11:$I$1010,"مرحل ✔"))</f>
        <v/>
      </c>
      <c r="L14" s="34" t="str">
        <f aca="false">IF($B14="","",SUMIFS('قيود اليومية'!$G$11:$G$1010,'قيود اليومية'!$E$11:$E$1010,$B14,'قيود اليومية'!$K$11:$K$1010,"مصاريف موقع",'قيود اليومية'!$I$11:$I$1010,"مرحل ✔")-SUMIFS('قيود اليومية'!$H$11:$H$1010,'قيود اليومية'!$E$11:$E$1010,$B14,'قيود اليومية'!$K$11:$K$1010,"مصاريف موقع",'قيود اليومية'!$I$11:$I$1010,"مرحل ✔"))</f>
        <v/>
      </c>
      <c r="M14" s="63" t="str">
        <f aca="false">IF($B14="","",SUM(H14:L14))</f>
        <v/>
      </c>
      <c r="N14" s="34" t="str">
        <f aca="false">IF($B14="","",SUMIFS('قيود اليومية'!$G$11:$G$1010,'قيود اليومية'!$E$11:$E$1010,$B14,'قيود اليومية'!$C$11:$C$1010,1108,'قيود اليومية'!$I$11:$I$1010,"مرحل ✔")-SUMIFS('قيود اليومية'!$H$11:$H$1010,'قيود اليومية'!$E$11:$E$1010,$B14,'قيود اليومية'!$C$11:$C$1010,1108,'قيود اليومية'!$I$11:$I$1010,"مرحل ✔"))</f>
        <v/>
      </c>
      <c r="O14" s="63" t="str">
        <f aca="false">IF($B14="","",SUMIFS('قيود اليومية'!$H$11:$H$1010,'قيود اليومية'!$E$11:$E$1010,$B14,'قيود اليومية'!$J$11:$J$1010,"الإيرادات",'قيود اليومية'!$C$11:$C$1010,"&lt;4200",'قيود اليومية'!$I$11:$I$1010,"مرحل ✔")-SUMIFS('قيود اليومية'!$G$11:$G$1010,'قيود اليومية'!$E$11:$E$1010,$B14,'قيود اليومية'!$J$11:$J$1010,"الإيرادات",'قيود اليومية'!$C$11:$C$1010,"&lt;4200",'قيود اليومية'!$I$11:$I$1010,"مرحل ✔"))</f>
        <v/>
      </c>
      <c r="P14" s="63" t="str">
        <f aca="false">IF($B14="","",O14-M14)</f>
        <v/>
      </c>
      <c r="Q14" s="64" t="str">
        <f aca="false">IF($B14="","",IFERROR(P14/O14,0))</f>
        <v/>
      </c>
      <c r="R14" s="64" t="str">
        <f aca="false">IF($B14="","",IFERROR((M14+N14)/E14,0))</f>
        <v/>
      </c>
      <c r="S14" s="64" t="str">
        <f aca="false">IF($B14="","",IFERROR(O14/D14,0))</f>
        <v/>
      </c>
      <c r="T14" s="34" t="str">
        <f aca="false">IF($B14="","",SUMIFS('قيود اليومية'!$G$11:$G$1010,'قيود اليومية'!$E$11:$E$1010,$B14,'قيود اليومية'!$C$11:$C$1010,1104,'قيود اليومية'!$I$11:$I$1010,"مرحل ✔")-SUMIFS('قيود اليومية'!$H$11:$H$1010,'قيود اليومية'!$E$11:$E$1010,$B14,'قيود اليومية'!$C$11:$C$1010,1104,'قيود اليومية'!$I$11:$I$1010,"مرحل ✔"))</f>
        <v/>
      </c>
      <c r="U14" s="34" t="str">
        <f aca="false">IF($B14="","",SUMIFS('قيود اليومية'!$H$11:$H$1010,'قيود اليومية'!$E$11:$E$1010,$B14,'قيود اليومية'!$C$11:$C$1010,2104,'قيود اليومية'!$I$11:$I$1010,"مرحل ✔")-SUMIFS('قيود اليومية'!$G$11:$G$1010,'قيود اليومية'!$E$11:$E$1010,$B14,'قيود اليومية'!$C$11:$C$1010,2104,'قيود اليومية'!$I$11:$I$1010,"مرحل ✔"))</f>
        <v/>
      </c>
    </row>
    <row r="15" customFormat="false" ht="15" hidden="false" customHeight="false" outlineLevel="0" collapsed="false">
      <c r="A15" s="32"/>
      <c r="B15" s="33"/>
      <c r="C15" s="33"/>
      <c r="D15" s="61"/>
      <c r="E15" s="61"/>
      <c r="F15" s="62"/>
      <c r="G15" s="32"/>
      <c r="H15" s="34" t="str">
        <f aca="false">IF($B15="","",SUMIFS('قيود اليومية'!$G$11:$G$1010,'قيود اليومية'!$E$11:$E$1010,$B15,'قيود اليومية'!$K$11:$K$1010,"مواد",'قيود اليومية'!$I$11:$I$1010,"مرحل ✔")-SUMIFS('قيود اليومية'!$H$11:$H$1010,'قيود اليومية'!$E$11:$E$1010,$B15,'قيود اليومية'!$K$11:$K$1010,"مواد",'قيود اليومية'!$I$11:$I$1010,"مرحل ✔"))</f>
        <v/>
      </c>
      <c r="I15" s="34" t="str">
        <f aca="false">IF($B15="","",SUMIFS('قيود اليومية'!$G$11:$G$1010,'قيود اليومية'!$E$11:$E$1010,$B15,'قيود اليومية'!$K$11:$K$1010,"أجور عمال",'قيود اليومية'!$I$11:$I$1010,"مرحل ✔")-SUMIFS('قيود اليومية'!$H$11:$H$1010,'قيود اليومية'!$E$11:$E$1010,$B15,'قيود اليومية'!$K$11:$K$1010,"أجور عمال",'قيود اليومية'!$I$11:$I$1010,"مرحل ✔"))</f>
        <v/>
      </c>
      <c r="J15" s="34" t="str">
        <f aca="false">IF($B15="","",SUMIFS('قيود اليومية'!$G$11:$G$1010,'قيود اليومية'!$E$11:$E$1010,$B15,'قيود اليومية'!$K$11:$K$1010,"مقاولو باطن",'قيود اليومية'!$I$11:$I$1010,"مرحل ✔")-SUMIFS('قيود اليومية'!$H$11:$H$1010,'قيود اليومية'!$E$11:$E$1010,$B15,'قيود اليومية'!$K$11:$K$1010,"مقاولو باطن",'قيود اليومية'!$I$11:$I$1010,"مرحل ✔"))</f>
        <v/>
      </c>
      <c r="K15" s="34" t="str">
        <f aca="false">IF($B15="","",SUMIFS('قيود اليومية'!$G$11:$G$1010,'قيود اليومية'!$E$11:$E$1010,$B15,'قيود اليومية'!$K$11:$K$1010,"معدات",'قيود اليومية'!$I$11:$I$1010,"مرحل ✔")-SUMIFS('قيود اليومية'!$H$11:$H$1010,'قيود اليومية'!$E$11:$E$1010,$B15,'قيود اليومية'!$K$11:$K$1010,"معدات",'قيود اليومية'!$I$11:$I$1010,"مرحل ✔"))</f>
        <v/>
      </c>
      <c r="L15" s="34" t="str">
        <f aca="false">IF($B15="","",SUMIFS('قيود اليومية'!$G$11:$G$1010,'قيود اليومية'!$E$11:$E$1010,$B15,'قيود اليومية'!$K$11:$K$1010,"مصاريف موقع",'قيود اليومية'!$I$11:$I$1010,"مرحل ✔")-SUMIFS('قيود اليومية'!$H$11:$H$1010,'قيود اليومية'!$E$11:$E$1010,$B15,'قيود اليومية'!$K$11:$K$1010,"مصاريف موقع",'قيود اليومية'!$I$11:$I$1010,"مرحل ✔"))</f>
        <v/>
      </c>
      <c r="M15" s="63" t="str">
        <f aca="false">IF($B15="","",SUM(H15:L15))</f>
        <v/>
      </c>
      <c r="N15" s="34" t="str">
        <f aca="false">IF($B15="","",SUMIFS('قيود اليومية'!$G$11:$G$1010,'قيود اليومية'!$E$11:$E$1010,$B15,'قيود اليومية'!$C$11:$C$1010,1108,'قيود اليومية'!$I$11:$I$1010,"مرحل ✔")-SUMIFS('قيود اليومية'!$H$11:$H$1010,'قيود اليومية'!$E$11:$E$1010,$B15,'قيود اليومية'!$C$11:$C$1010,1108,'قيود اليومية'!$I$11:$I$1010,"مرحل ✔"))</f>
        <v/>
      </c>
      <c r="O15" s="63" t="str">
        <f aca="false">IF($B15="","",SUMIFS('قيود اليومية'!$H$11:$H$1010,'قيود اليومية'!$E$11:$E$1010,$B15,'قيود اليومية'!$J$11:$J$1010,"الإيرادات",'قيود اليومية'!$C$11:$C$1010,"&lt;4200",'قيود اليومية'!$I$11:$I$1010,"مرحل ✔")-SUMIFS('قيود اليومية'!$G$11:$G$1010,'قيود اليومية'!$E$11:$E$1010,$B15,'قيود اليومية'!$J$11:$J$1010,"الإيرادات",'قيود اليومية'!$C$11:$C$1010,"&lt;4200",'قيود اليومية'!$I$11:$I$1010,"مرحل ✔"))</f>
        <v/>
      </c>
      <c r="P15" s="63" t="str">
        <f aca="false">IF($B15="","",O15-M15)</f>
        <v/>
      </c>
      <c r="Q15" s="64" t="str">
        <f aca="false">IF($B15="","",IFERROR(P15/O15,0))</f>
        <v/>
      </c>
      <c r="R15" s="64" t="str">
        <f aca="false">IF($B15="","",IFERROR((M15+N15)/E15,0))</f>
        <v/>
      </c>
      <c r="S15" s="64" t="str">
        <f aca="false">IF($B15="","",IFERROR(O15/D15,0))</f>
        <v/>
      </c>
      <c r="T15" s="34" t="str">
        <f aca="false">IF($B15="","",SUMIFS('قيود اليومية'!$G$11:$G$1010,'قيود اليومية'!$E$11:$E$1010,$B15,'قيود اليومية'!$C$11:$C$1010,1104,'قيود اليومية'!$I$11:$I$1010,"مرحل ✔")-SUMIFS('قيود اليومية'!$H$11:$H$1010,'قيود اليومية'!$E$11:$E$1010,$B15,'قيود اليومية'!$C$11:$C$1010,1104,'قيود اليومية'!$I$11:$I$1010,"مرحل ✔"))</f>
        <v/>
      </c>
      <c r="U15" s="34" t="str">
        <f aca="false">IF($B15="","",SUMIFS('قيود اليومية'!$H$11:$H$1010,'قيود اليومية'!$E$11:$E$1010,$B15,'قيود اليومية'!$C$11:$C$1010,2104,'قيود اليومية'!$I$11:$I$1010,"مرحل ✔")-SUMIFS('قيود اليومية'!$G$11:$G$1010,'قيود اليومية'!$E$11:$E$1010,$B15,'قيود اليومية'!$C$11:$C$1010,2104,'قيود اليومية'!$I$11:$I$1010,"مرحل ✔"))</f>
        <v/>
      </c>
    </row>
    <row r="16" customFormat="false" ht="15" hidden="false" customHeight="false" outlineLevel="0" collapsed="false">
      <c r="A16" s="32"/>
      <c r="B16" s="33"/>
      <c r="C16" s="33"/>
      <c r="D16" s="61"/>
      <c r="E16" s="61"/>
      <c r="F16" s="62"/>
      <c r="G16" s="32"/>
      <c r="H16" s="34" t="str">
        <f aca="false">IF($B16="","",SUMIFS('قيود اليومية'!$G$11:$G$1010,'قيود اليومية'!$E$11:$E$1010,$B16,'قيود اليومية'!$K$11:$K$1010,"مواد",'قيود اليومية'!$I$11:$I$1010,"مرحل ✔")-SUMIFS('قيود اليومية'!$H$11:$H$1010,'قيود اليومية'!$E$11:$E$1010,$B16,'قيود اليومية'!$K$11:$K$1010,"مواد",'قيود اليومية'!$I$11:$I$1010,"مرحل ✔"))</f>
        <v/>
      </c>
      <c r="I16" s="34" t="str">
        <f aca="false">IF($B16="","",SUMIFS('قيود اليومية'!$G$11:$G$1010,'قيود اليومية'!$E$11:$E$1010,$B16,'قيود اليومية'!$K$11:$K$1010,"أجور عمال",'قيود اليومية'!$I$11:$I$1010,"مرحل ✔")-SUMIFS('قيود اليومية'!$H$11:$H$1010,'قيود اليومية'!$E$11:$E$1010,$B16,'قيود اليومية'!$K$11:$K$1010,"أجور عمال",'قيود اليومية'!$I$11:$I$1010,"مرحل ✔"))</f>
        <v/>
      </c>
      <c r="J16" s="34" t="str">
        <f aca="false">IF($B16="","",SUMIFS('قيود اليومية'!$G$11:$G$1010,'قيود اليومية'!$E$11:$E$1010,$B16,'قيود اليومية'!$K$11:$K$1010,"مقاولو باطن",'قيود اليومية'!$I$11:$I$1010,"مرحل ✔")-SUMIFS('قيود اليومية'!$H$11:$H$1010,'قيود اليومية'!$E$11:$E$1010,$B16,'قيود اليومية'!$K$11:$K$1010,"مقاولو باطن",'قيود اليومية'!$I$11:$I$1010,"مرحل ✔"))</f>
        <v/>
      </c>
      <c r="K16" s="34" t="str">
        <f aca="false">IF($B16="","",SUMIFS('قيود اليومية'!$G$11:$G$1010,'قيود اليومية'!$E$11:$E$1010,$B16,'قيود اليومية'!$K$11:$K$1010,"معدات",'قيود اليومية'!$I$11:$I$1010,"مرحل ✔")-SUMIFS('قيود اليومية'!$H$11:$H$1010,'قيود اليومية'!$E$11:$E$1010,$B16,'قيود اليومية'!$K$11:$K$1010,"معدات",'قيود اليومية'!$I$11:$I$1010,"مرحل ✔"))</f>
        <v/>
      </c>
      <c r="L16" s="34" t="str">
        <f aca="false">IF($B16="","",SUMIFS('قيود اليومية'!$G$11:$G$1010,'قيود اليومية'!$E$11:$E$1010,$B16,'قيود اليومية'!$K$11:$K$1010,"مصاريف موقع",'قيود اليومية'!$I$11:$I$1010,"مرحل ✔")-SUMIFS('قيود اليومية'!$H$11:$H$1010,'قيود اليومية'!$E$11:$E$1010,$B16,'قيود اليومية'!$K$11:$K$1010,"مصاريف موقع",'قيود اليومية'!$I$11:$I$1010,"مرحل ✔"))</f>
        <v/>
      </c>
      <c r="M16" s="63" t="str">
        <f aca="false">IF($B16="","",SUM(H16:L16))</f>
        <v/>
      </c>
      <c r="N16" s="34" t="str">
        <f aca="false">IF($B16="","",SUMIFS('قيود اليومية'!$G$11:$G$1010,'قيود اليومية'!$E$11:$E$1010,$B16,'قيود اليومية'!$C$11:$C$1010,1108,'قيود اليومية'!$I$11:$I$1010,"مرحل ✔")-SUMIFS('قيود اليومية'!$H$11:$H$1010,'قيود اليومية'!$E$11:$E$1010,$B16,'قيود اليومية'!$C$11:$C$1010,1108,'قيود اليومية'!$I$11:$I$1010,"مرحل ✔"))</f>
        <v/>
      </c>
      <c r="O16" s="63" t="str">
        <f aca="false">IF($B16="","",SUMIFS('قيود اليومية'!$H$11:$H$1010,'قيود اليومية'!$E$11:$E$1010,$B16,'قيود اليومية'!$J$11:$J$1010,"الإيرادات",'قيود اليومية'!$C$11:$C$1010,"&lt;4200",'قيود اليومية'!$I$11:$I$1010,"مرحل ✔")-SUMIFS('قيود اليومية'!$G$11:$G$1010,'قيود اليومية'!$E$11:$E$1010,$B16,'قيود اليومية'!$J$11:$J$1010,"الإيرادات",'قيود اليومية'!$C$11:$C$1010,"&lt;4200",'قيود اليومية'!$I$11:$I$1010,"مرحل ✔"))</f>
        <v/>
      </c>
      <c r="P16" s="63" t="str">
        <f aca="false">IF($B16="","",O16-M16)</f>
        <v/>
      </c>
      <c r="Q16" s="64" t="str">
        <f aca="false">IF($B16="","",IFERROR(P16/O16,0))</f>
        <v/>
      </c>
      <c r="R16" s="64" t="str">
        <f aca="false">IF($B16="","",IFERROR((M16+N16)/E16,0))</f>
        <v/>
      </c>
      <c r="S16" s="64" t="str">
        <f aca="false">IF($B16="","",IFERROR(O16/D16,0))</f>
        <v/>
      </c>
      <c r="T16" s="34" t="str">
        <f aca="false">IF($B16="","",SUMIFS('قيود اليومية'!$G$11:$G$1010,'قيود اليومية'!$E$11:$E$1010,$B16,'قيود اليومية'!$C$11:$C$1010,1104,'قيود اليومية'!$I$11:$I$1010,"مرحل ✔")-SUMIFS('قيود اليومية'!$H$11:$H$1010,'قيود اليومية'!$E$11:$E$1010,$B16,'قيود اليومية'!$C$11:$C$1010,1104,'قيود اليومية'!$I$11:$I$1010,"مرحل ✔"))</f>
        <v/>
      </c>
      <c r="U16" s="34" t="str">
        <f aca="false">IF($B16="","",SUMIFS('قيود اليومية'!$H$11:$H$1010,'قيود اليومية'!$E$11:$E$1010,$B16,'قيود اليومية'!$C$11:$C$1010,2104,'قيود اليومية'!$I$11:$I$1010,"مرحل ✔")-SUMIFS('قيود اليومية'!$G$11:$G$1010,'قيود اليومية'!$E$11:$E$1010,$B16,'قيود اليومية'!$C$11:$C$1010,2104,'قيود اليومية'!$I$11:$I$1010,"مرحل ✔"))</f>
        <v/>
      </c>
    </row>
    <row r="17" customFormat="false" ht="15" hidden="false" customHeight="false" outlineLevel="0" collapsed="false">
      <c r="A17" s="32"/>
      <c r="B17" s="33"/>
      <c r="C17" s="33"/>
      <c r="D17" s="61"/>
      <c r="E17" s="61"/>
      <c r="F17" s="62"/>
      <c r="G17" s="32"/>
      <c r="H17" s="34" t="str">
        <f aca="false">IF($B17="","",SUMIFS('قيود اليومية'!$G$11:$G$1010,'قيود اليومية'!$E$11:$E$1010,$B17,'قيود اليومية'!$K$11:$K$1010,"مواد",'قيود اليومية'!$I$11:$I$1010,"مرحل ✔")-SUMIFS('قيود اليومية'!$H$11:$H$1010,'قيود اليومية'!$E$11:$E$1010,$B17,'قيود اليومية'!$K$11:$K$1010,"مواد",'قيود اليومية'!$I$11:$I$1010,"مرحل ✔"))</f>
        <v/>
      </c>
      <c r="I17" s="34" t="str">
        <f aca="false">IF($B17="","",SUMIFS('قيود اليومية'!$G$11:$G$1010,'قيود اليومية'!$E$11:$E$1010,$B17,'قيود اليومية'!$K$11:$K$1010,"أجور عمال",'قيود اليومية'!$I$11:$I$1010,"مرحل ✔")-SUMIFS('قيود اليومية'!$H$11:$H$1010,'قيود اليومية'!$E$11:$E$1010,$B17,'قيود اليومية'!$K$11:$K$1010,"أجور عمال",'قيود اليومية'!$I$11:$I$1010,"مرحل ✔"))</f>
        <v/>
      </c>
      <c r="J17" s="34" t="str">
        <f aca="false">IF($B17="","",SUMIFS('قيود اليومية'!$G$11:$G$1010,'قيود اليومية'!$E$11:$E$1010,$B17,'قيود اليومية'!$K$11:$K$1010,"مقاولو باطن",'قيود اليومية'!$I$11:$I$1010,"مرحل ✔")-SUMIFS('قيود اليومية'!$H$11:$H$1010,'قيود اليومية'!$E$11:$E$1010,$B17,'قيود اليومية'!$K$11:$K$1010,"مقاولو باطن",'قيود اليومية'!$I$11:$I$1010,"مرحل ✔"))</f>
        <v/>
      </c>
      <c r="K17" s="34" t="str">
        <f aca="false">IF($B17="","",SUMIFS('قيود اليومية'!$G$11:$G$1010,'قيود اليومية'!$E$11:$E$1010,$B17,'قيود اليومية'!$K$11:$K$1010,"معدات",'قيود اليومية'!$I$11:$I$1010,"مرحل ✔")-SUMIFS('قيود اليومية'!$H$11:$H$1010,'قيود اليومية'!$E$11:$E$1010,$B17,'قيود اليومية'!$K$11:$K$1010,"معدات",'قيود اليومية'!$I$11:$I$1010,"مرحل ✔"))</f>
        <v/>
      </c>
      <c r="L17" s="34" t="str">
        <f aca="false">IF($B17="","",SUMIFS('قيود اليومية'!$G$11:$G$1010,'قيود اليومية'!$E$11:$E$1010,$B17,'قيود اليومية'!$K$11:$K$1010,"مصاريف موقع",'قيود اليومية'!$I$11:$I$1010,"مرحل ✔")-SUMIFS('قيود اليومية'!$H$11:$H$1010,'قيود اليومية'!$E$11:$E$1010,$B17,'قيود اليومية'!$K$11:$K$1010,"مصاريف موقع",'قيود اليومية'!$I$11:$I$1010,"مرحل ✔"))</f>
        <v/>
      </c>
      <c r="M17" s="63" t="str">
        <f aca="false">IF($B17="","",SUM(H17:L17))</f>
        <v/>
      </c>
      <c r="N17" s="34" t="str">
        <f aca="false">IF($B17="","",SUMIFS('قيود اليومية'!$G$11:$G$1010,'قيود اليومية'!$E$11:$E$1010,$B17,'قيود اليومية'!$C$11:$C$1010,1108,'قيود اليومية'!$I$11:$I$1010,"مرحل ✔")-SUMIFS('قيود اليومية'!$H$11:$H$1010,'قيود اليومية'!$E$11:$E$1010,$B17,'قيود اليومية'!$C$11:$C$1010,1108,'قيود اليومية'!$I$11:$I$1010,"مرحل ✔"))</f>
        <v/>
      </c>
      <c r="O17" s="63" t="str">
        <f aca="false">IF($B17="","",SUMIFS('قيود اليومية'!$H$11:$H$1010,'قيود اليومية'!$E$11:$E$1010,$B17,'قيود اليومية'!$J$11:$J$1010,"الإيرادات",'قيود اليومية'!$C$11:$C$1010,"&lt;4200",'قيود اليومية'!$I$11:$I$1010,"مرحل ✔")-SUMIFS('قيود اليومية'!$G$11:$G$1010,'قيود اليومية'!$E$11:$E$1010,$B17,'قيود اليومية'!$J$11:$J$1010,"الإيرادات",'قيود اليومية'!$C$11:$C$1010,"&lt;4200",'قيود اليومية'!$I$11:$I$1010,"مرحل ✔"))</f>
        <v/>
      </c>
      <c r="P17" s="63" t="str">
        <f aca="false">IF($B17="","",O17-M17)</f>
        <v/>
      </c>
      <c r="Q17" s="64" t="str">
        <f aca="false">IF($B17="","",IFERROR(P17/O17,0))</f>
        <v/>
      </c>
      <c r="R17" s="64" t="str">
        <f aca="false">IF($B17="","",IFERROR((M17+N17)/E17,0))</f>
        <v/>
      </c>
      <c r="S17" s="64" t="str">
        <f aca="false">IF($B17="","",IFERROR(O17/D17,0))</f>
        <v/>
      </c>
      <c r="T17" s="34" t="str">
        <f aca="false">IF($B17="","",SUMIFS('قيود اليومية'!$G$11:$G$1010,'قيود اليومية'!$E$11:$E$1010,$B17,'قيود اليومية'!$C$11:$C$1010,1104,'قيود اليومية'!$I$11:$I$1010,"مرحل ✔")-SUMIFS('قيود اليومية'!$H$11:$H$1010,'قيود اليومية'!$E$11:$E$1010,$B17,'قيود اليومية'!$C$11:$C$1010,1104,'قيود اليومية'!$I$11:$I$1010,"مرحل ✔"))</f>
        <v/>
      </c>
      <c r="U17" s="34" t="str">
        <f aca="false">IF($B17="","",SUMIFS('قيود اليومية'!$H$11:$H$1010,'قيود اليومية'!$E$11:$E$1010,$B17,'قيود اليومية'!$C$11:$C$1010,2104,'قيود اليومية'!$I$11:$I$1010,"مرحل ✔")-SUMIFS('قيود اليومية'!$G$11:$G$1010,'قيود اليومية'!$E$11:$E$1010,$B17,'قيود اليومية'!$C$11:$C$1010,2104,'قيود اليومية'!$I$11:$I$1010,"مرحل ✔"))</f>
        <v/>
      </c>
    </row>
    <row r="18" customFormat="false" ht="15" hidden="false" customHeight="false" outlineLevel="0" collapsed="false">
      <c r="A18" s="32"/>
      <c r="B18" s="33"/>
      <c r="C18" s="33"/>
      <c r="D18" s="61"/>
      <c r="E18" s="61"/>
      <c r="F18" s="62"/>
      <c r="G18" s="32"/>
      <c r="H18" s="34" t="str">
        <f aca="false">IF($B18="","",SUMIFS('قيود اليومية'!$G$11:$G$1010,'قيود اليومية'!$E$11:$E$1010,$B18,'قيود اليومية'!$K$11:$K$1010,"مواد",'قيود اليومية'!$I$11:$I$1010,"مرحل ✔")-SUMIFS('قيود اليومية'!$H$11:$H$1010,'قيود اليومية'!$E$11:$E$1010,$B18,'قيود اليومية'!$K$11:$K$1010,"مواد",'قيود اليومية'!$I$11:$I$1010,"مرحل ✔"))</f>
        <v/>
      </c>
      <c r="I18" s="34" t="str">
        <f aca="false">IF($B18="","",SUMIFS('قيود اليومية'!$G$11:$G$1010,'قيود اليومية'!$E$11:$E$1010,$B18,'قيود اليومية'!$K$11:$K$1010,"أجور عمال",'قيود اليومية'!$I$11:$I$1010,"مرحل ✔")-SUMIFS('قيود اليومية'!$H$11:$H$1010,'قيود اليومية'!$E$11:$E$1010,$B18,'قيود اليومية'!$K$11:$K$1010,"أجور عمال",'قيود اليومية'!$I$11:$I$1010,"مرحل ✔"))</f>
        <v/>
      </c>
      <c r="J18" s="34" t="str">
        <f aca="false">IF($B18="","",SUMIFS('قيود اليومية'!$G$11:$G$1010,'قيود اليومية'!$E$11:$E$1010,$B18,'قيود اليومية'!$K$11:$K$1010,"مقاولو باطن",'قيود اليومية'!$I$11:$I$1010,"مرحل ✔")-SUMIFS('قيود اليومية'!$H$11:$H$1010,'قيود اليومية'!$E$11:$E$1010,$B18,'قيود اليومية'!$K$11:$K$1010,"مقاولو باطن",'قيود اليومية'!$I$11:$I$1010,"مرحل ✔"))</f>
        <v/>
      </c>
      <c r="K18" s="34" t="str">
        <f aca="false">IF($B18="","",SUMIFS('قيود اليومية'!$G$11:$G$1010,'قيود اليومية'!$E$11:$E$1010,$B18,'قيود اليومية'!$K$11:$K$1010,"معدات",'قيود اليومية'!$I$11:$I$1010,"مرحل ✔")-SUMIFS('قيود اليومية'!$H$11:$H$1010,'قيود اليومية'!$E$11:$E$1010,$B18,'قيود اليومية'!$K$11:$K$1010,"معدات",'قيود اليومية'!$I$11:$I$1010,"مرحل ✔"))</f>
        <v/>
      </c>
      <c r="L18" s="34" t="str">
        <f aca="false">IF($B18="","",SUMIFS('قيود اليومية'!$G$11:$G$1010,'قيود اليومية'!$E$11:$E$1010,$B18,'قيود اليومية'!$K$11:$K$1010,"مصاريف موقع",'قيود اليومية'!$I$11:$I$1010,"مرحل ✔")-SUMIFS('قيود اليومية'!$H$11:$H$1010,'قيود اليومية'!$E$11:$E$1010,$B18,'قيود اليومية'!$K$11:$K$1010,"مصاريف موقع",'قيود اليومية'!$I$11:$I$1010,"مرحل ✔"))</f>
        <v/>
      </c>
      <c r="M18" s="63" t="str">
        <f aca="false">IF($B18="","",SUM(H18:L18))</f>
        <v/>
      </c>
      <c r="N18" s="34" t="str">
        <f aca="false">IF($B18="","",SUMIFS('قيود اليومية'!$G$11:$G$1010,'قيود اليومية'!$E$11:$E$1010,$B18,'قيود اليومية'!$C$11:$C$1010,1108,'قيود اليومية'!$I$11:$I$1010,"مرحل ✔")-SUMIFS('قيود اليومية'!$H$11:$H$1010,'قيود اليومية'!$E$11:$E$1010,$B18,'قيود اليومية'!$C$11:$C$1010,1108,'قيود اليومية'!$I$11:$I$1010,"مرحل ✔"))</f>
        <v/>
      </c>
      <c r="O18" s="63" t="str">
        <f aca="false">IF($B18="","",SUMIFS('قيود اليومية'!$H$11:$H$1010,'قيود اليومية'!$E$11:$E$1010,$B18,'قيود اليومية'!$J$11:$J$1010,"الإيرادات",'قيود اليومية'!$C$11:$C$1010,"&lt;4200",'قيود اليومية'!$I$11:$I$1010,"مرحل ✔")-SUMIFS('قيود اليومية'!$G$11:$G$1010,'قيود اليومية'!$E$11:$E$1010,$B18,'قيود اليومية'!$J$11:$J$1010,"الإيرادات",'قيود اليومية'!$C$11:$C$1010,"&lt;4200",'قيود اليومية'!$I$11:$I$1010,"مرحل ✔"))</f>
        <v/>
      </c>
      <c r="P18" s="63" t="str">
        <f aca="false">IF($B18="","",O18-M18)</f>
        <v/>
      </c>
      <c r="Q18" s="64" t="str">
        <f aca="false">IF($B18="","",IFERROR(P18/O18,0))</f>
        <v/>
      </c>
      <c r="R18" s="64" t="str">
        <f aca="false">IF($B18="","",IFERROR((M18+N18)/E18,0))</f>
        <v/>
      </c>
      <c r="S18" s="64" t="str">
        <f aca="false">IF($B18="","",IFERROR(O18/D18,0))</f>
        <v/>
      </c>
      <c r="T18" s="34" t="str">
        <f aca="false">IF($B18="","",SUMIFS('قيود اليومية'!$G$11:$G$1010,'قيود اليومية'!$E$11:$E$1010,$B18,'قيود اليومية'!$C$11:$C$1010,1104,'قيود اليومية'!$I$11:$I$1010,"مرحل ✔")-SUMIFS('قيود اليومية'!$H$11:$H$1010,'قيود اليومية'!$E$11:$E$1010,$B18,'قيود اليومية'!$C$11:$C$1010,1104,'قيود اليومية'!$I$11:$I$1010,"مرحل ✔"))</f>
        <v/>
      </c>
      <c r="U18" s="34" t="str">
        <f aca="false">IF($B18="","",SUMIFS('قيود اليومية'!$H$11:$H$1010,'قيود اليومية'!$E$11:$E$1010,$B18,'قيود اليومية'!$C$11:$C$1010,2104,'قيود اليومية'!$I$11:$I$1010,"مرحل ✔")-SUMIFS('قيود اليومية'!$G$11:$G$1010,'قيود اليومية'!$E$11:$E$1010,$B18,'قيود اليومية'!$C$11:$C$1010,2104,'قيود اليومية'!$I$11:$I$1010,"مرحل ✔"))</f>
        <v/>
      </c>
    </row>
    <row r="19" customFormat="false" ht="15" hidden="false" customHeight="false" outlineLevel="0" collapsed="false">
      <c r="A19" s="32"/>
      <c r="B19" s="33"/>
      <c r="C19" s="33"/>
      <c r="D19" s="61"/>
      <c r="E19" s="61"/>
      <c r="F19" s="62"/>
      <c r="G19" s="32"/>
      <c r="H19" s="34" t="str">
        <f aca="false">IF($B19="","",SUMIFS('قيود اليومية'!$G$11:$G$1010,'قيود اليومية'!$E$11:$E$1010,$B19,'قيود اليومية'!$K$11:$K$1010,"مواد",'قيود اليومية'!$I$11:$I$1010,"مرحل ✔")-SUMIFS('قيود اليومية'!$H$11:$H$1010,'قيود اليومية'!$E$11:$E$1010,$B19,'قيود اليومية'!$K$11:$K$1010,"مواد",'قيود اليومية'!$I$11:$I$1010,"مرحل ✔"))</f>
        <v/>
      </c>
      <c r="I19" s="34" t="str">
        <f aca="false">IF($B19="","",SUMIFS('قيود اليومية'!$G$11:$G$1010,'قيود اليومية'!$E$11:$E$1010,$B19,'قيود اليومية'!$K$11:$K$1010,"أجور عمال",'قيود اليومية'!$I$11:$I$1010,"مرحل ✔")-SUMIFS('قيود اليومية'!$H$11:$H$1010,'قيود اليومية'!$E$11:$E$1010,$B19,'قيود اليومية'!$K$11:$K$1010,"أجور عمال",'قيود اليومية'!$I$11:$I$1010,"مرحل ✔"))</f>
        <v/>
      </c>
      <c r="J19" s="34" t="str">
        <f aca="false">IF($B19="","",SUMIFS('قيود اليومية'!$G$11:$G$1010,'قيود اليومية'!$E$11:$E$1010,$B19,'قيود اليومية'!$K$11:$K$1010,"مقاولو باطن",'قيود اليومية'!$I$11:$I$1010,"مرحل ✔")-SUMIFS('قيود اليومية'!$H$11:$H$1010,'قيود اليومية'!$E$11:$E$1010,$B19,'قيود اليومية'!$K$11:$K$1010,"مقاولو باطن",'قيود اليومية'!$I$11:$I$1010,"مرحل ✔"))</f>
        <v/>
      </c>
      <c r="K19" s="34" t="str">
        <f aca="false">IF($B19="","",SUMIFS('قيود اليومية'!$G$11:$G$1010,'قيود اليومية'!$E$11:$E$1010,$B19,'قيود اليومية'!$K$11:$K$1010,"معدات",'قيود اليومية'!$I$11:$I$1010,"مرحل ✔")-SUMIFS('قيود اليومية'!$H$11:$H$1010,'قيود اليومية'!$E$11:$E$1010,$B19,'قيود اليومية'!$K$11:$K$1010,"معدات",'قيود اليومية'!$I$11:$I$1010,"مرحل ✔"))</f>
        <v/>
      </c>
      <c r="L19" s="34" t="str">
        <f aca="false">IF($B19="","",SUMIFS('قيود اليومية'!$G$11:$G$1010,'قيود اليومية'!$E$11:$E$1010,$B19,'قيود اليومية'!$K$11:$K$1010,"مصاريف موقع",'قيود اليومية'!$I$11:$I$1010,"مرحل ✔")-SUMIFS('قيود اليومية'!$H$11:$H$1010,'قيود اليومية'!$E$11:$E$1010,$B19,'قيود اليومية'!$K$11:$K$1010,"مصاريف موقع",'قيود اليومية'!$I$11:$I$1010,"مرحل ✔"))</f>
        <v/>
      </c>
      <c r="M19" s="63" t="str">
        <f aca="false">IF($B19="","",SUM(H19:L19))</f>
        <v/>
      </c>
      <c r="N19" s="34" t="str">
        <f aca="false">IF($B19="","",SUMIFS('قيود اليومية'!$G$11:$G$1010,'قيود اليومية'!$E$11:$E$1010,$B19,'قيود اليومية'!$C$11:$C$1010,1108,'قيود اليومية'!$I$11:$I$1010,"مرحل ✔")-SUMIFS('قيود اليومية'!$H$11:$H$1010,'قيود اليومية'!$E$11:$E$1010,$B19,'قيود اليومية'!$C$11:$C$1010,1108,'قيود اليومية'!$I$11:$I$1010,"مرحل ✔"))</f>
        <v/>
      </c>
      <c r="O19" s="63" t="str">
        <f aca="false">IF($B19="","",SUMIFS('قيود اليومية'!$H$11:$H$1010,'قيود اليومية'!$E$11:$E$1010,$B19,'قيود اليومية'!$J$11:$J$1010,"الإيرادات",'قيود اليومية'!$C$11:$C$1010,"&lt;4200",'قيود اليومية'!$I$11:$I$1010,"مرحل ✔")-SUMIFS('قيود اليومية'!$G$11:$G$1010,'قيود اليومية'!$E$11:$E$1010,$B19,'قيود اليومية'!$J$11:$J$1010,"الإيرادات",'قيود اليومية'!$C$11:$C$1010,"&lt;4200",'قيود اليومية'!$I$11:$I$1010,"مرحل ✔"))</f>
        <v/>
      </c>
      <c r="P19" s="63" t="str">
        <f aca="false">IF($B19="","",O19-M19)</f>
        <v/>
      </c>
      <c r="Q19" s="64" t="str">
        <f aca="false">IF($B19="","",IFERROR(P19/O19,0))</f>
        <v/>
      </c>
      <c r="R19" s="64" t="str">
        <f aca="false">IF($B19="","",IFERROR((M19+N19)/E19,0))</f>
        <v/>
      </c>
      <c r="S19" s="64" t="str">
        <f aca="false">IF($B19="","",IFERROR(O19/D19,0))</f>
        <v/>
      </c>
      <c r="T19" s="34" t="str">
        <f aca="false">IF($B19="","",SUMIFS('قيود اليومية'!$G$11:$G$1010,'قيود اليومية'!$E$11:$E$1010,$B19,'قيود اليومية'!$C$11:$C$1010,1104,'قيود اليومية'!$I$11:$I$1010,"مرحل ✔")-SUMIFS('قيود اليومية'!$H$11:$H$1010,'قيود اليومية'!$E$11:$E$1010,$B19,'قيود اليومية'!$C$11:$C$1010,1104,'قيود اليومية'!$I$11:$I$1010,"مرحل ✔"))</f>
        <v/>
      </c>
      <c r="U19" s="34" t="str">
        <f aca="false">IF($B19="","",SUMIFS('قيود اليومية'!$H$11:$H$1010,'قيود اليومية'!$E$11:$E$1010,$B19,'قيود اليومية'!$C$11:$C$1010,2104,'قيود اليومية'!$I$11:$I$1010,"مرحل ✔")-SUMIFS('قيود اليومية'!$G$11:$G$1010,'قيود اليومية'!$E$11:$E$1010,$B19,'قيود اليومية'!$C$11:$C$1010,2104,'قيود اليومية'!$I$11:$I$1010,"مرحل ✔"))</f>
        <v/>
      </c>
    </row>
    <row r="20" customFormat="false" ht="15" hidden="false" customHeight="false" outlineLevel="0" collapsed="false">
      <c r="A20" s="32"/>
      <c r="B20" s="33"/>
      <c r="C20" s="33"/>
      <c r="D20" s="61"/>
      <c r="E20" s="61"/>
      <c r="F20" s="62"/>
      <c r="G20" s="32"/>
      <c r="H20" s="34" t="str">
        <f aca="false">IF($B20="","",SUMIFS('قيود اليومية'!$G$11:$G$1010,'قيود اليومية'!$E$11:$E$1010,$B20,'قيود اليومية'!$K$11:$K$1010,"مواد",'قيود اليومية'!$I$11:$I$1010,"مرحل ✔")-SUMIFS('قيود اليومية'!$H$11:$H$1010,'قيود اليومية'!$E$11:$E$1010,$B20,'قيود اليومية'!$K$11:$K$1010,"مواد",'قيود اليومية'!$I$11:$I$1010,"مرحل ✔"))</f>
        <v/>
      </c>
      <c r="I20" s="34" t="str">
        <f aca="false">IF($B20="","",SUMIFS('قيود اليومية'!$G$11:$G$1010,'قيود اليومية'!$E$11:$E$1010,$B20,'قيود اليومية'!$K$11:$K$1010,"أجور عمال",'قيود اليومية'!$I$11:$I$1010,"مرحل ✔")-SUMIFS('قيود اليومية'!$H$11:$H$1010,'قيود اليومية'!$E$11:$E$1010,$B20,'قيود اليومية'!$K$11:$K$1010,"أجور عمال",'قيود اليومية'!$I$11:$I$1010,"مرحل ✔"))</f>
        <v/>
      </c>
      <c r="J20" s="34" t="str">
        <f aca="false">IF($B20="","",SUMIFS('قيود اليومية'!$G$11:$G$1010,'قيود اليومية'!$E$11:$E$1010,$B20,'قيود اليومية'!$K$11:$K$1010,"مقاولو باطن",'قيود اليومية'!$I$11:$I$1010,"مرحل ✔")-SUMIFS('قيود اليومية'!$H$11:$H$1010,'قيود اليومية'!$E$11:$E$1010,$B20,'قيود اليومية'!$K$11:$K$1010,"مقاولو باطن",'قيود اليومية'!$I$11:$I$1010,"مرحل ✔"))</f>
        <v/>
      </c>
      <c r="K20" s="34" t="str">
        <f aca="false">IF($B20="","",SUMIFS('قيود اليومية'!$G$11:$G$1010,'قيود اليومية'!$E$11:$E$1010,$B20,'قيود اليومية'!$K$11:$K$1010,"معدات",'قيود اليومية'!$I$11:$I$1010,"مرحل ✔")-SUMIFS('قيود اليومية'!$H$11:$H$1010,'قيود اليومية'!$E$11:$E$1010,$B20,'قيود اليومية'!$K$11:$K$1010,"معدات",'قيود اليومية'!$I$11:$I$1010,"مرحل ✔"))</f>
        <v/>
      </c>
      <c r="L20" s="34" t="str">
        <f aca="false">IF($B20="","",SUMIFS('قيود اليومية'!$G$11:$G$1010,'قيود اليومية'!$E$11:$E$1010,$B20,'قيود اليومية'!$K$11:$K$1010,"مصاريف موقع",'قيود اليومية'!$I$11:$I$1010,"مرحل ✔")-SUMIFS('قيود اليومية'!$H$11:$H$1010,'قيود اليومية'!$E$11:$E$1010,$B20,'قيود اليومية'!$K$11:$K$1010,"مصاريف موقع",'قيود اليومية'!$I$11:$I$1010,"مرحل ✔"))</f>
        <v/>
      </c>
      <c r="M20" s="63" t="str">
        <f aca="false">IF($B20="","",SUM(H20:L20))</f>
        <v/>
      </c>
      <c r="N20" s="34" t="str">
        <f aca="false">IF($B20="","",SUMIFS('قيود اليومية'!$G$11:$G$1010,'قيود اليومية'!$E$11:$E$1010,$B20,'قيود اليومية'!$C$11:$C$1010,1108,'قيود اليومية'!$I$11:$I$1010,"مرحل ✔")-SUMIFS('قيود اليومية'!$H$11:$H$1010,'قيود اليومية'!$E$11:$E$1010,$B20,'قيود اليومية'!$C$11:$C$1010,1108,'قيود اليومية'!$I$11:$I$1010,"مرحل ✔"))</f>
        <v/>
      </c>
      <c r="O20" s="63" t="str">
        <f aca="false">IF($B20="","",SUMIFS('قيود اليومية'!$H$11:$H$1010,'قيود اليومية'!$E$11:$E$1010,$B20,'قيود اليومية'!$J$11:$J$1010,"الإيرادات",'قيود اليومية'!$C$11:$C$1010,"&lt;4200",'قيود اليومية'!$I$11:$I$1010,"مرحل ✔")-SUMIFS('قيود اليومية'!$G$11:$G$1010,'قيود اليومية'!$E$11:$E$1010,$B20,'قيود اليومية'!$J$11:$J$1010,"الإيرادات",'قيود اليومية'!$C$11:$C$1010,"&lt;4200",'قيود اليومية'!$I$11:$I$1010,"مرحل ✔"))</f>
        <v/>
      </c>
      <c r="P20" s="63" t="str">
        <f aca="false">IF($B20="","",O20-M20)</f>
        <v/>
      </c>
      <c r="Q20" s="64" t="str">
        <f aca="false">IF($B20="","",IFERROR(P20/O20,0))</f>
        <v/>
      </c>
      <c r="R20" s="64" t="str">
        <f aca="false">IF($B20="","",IFERROR((M20+N20)/E20,0))</f>
        <v/>
      </c>
      <c r="S20" s="64" t="str">
        <f aca="false">IF($B20="","",IFERROR(O20/D20,0))</f>
        <v/>
      </c>
      <c r="T20" s="34" t="str">
        <f aca="false">IF($B20="","",SUMIFS('قيود اليومية'!$G$11:$G$1010,'قيود اليومية'!$E$11:$E$1010,$B20,'قيود اليومية'!$C$11:$C$1010,1104,'قيود اليومية'!$I$11:$I$1010,"مرحل ✔")-SUMIFS('قيود اليومية'!$H$11:$H$1010,'قيود اليومية'!$E$11:$E$1010,$B20,'قيود اليومية'!$C$11:$C$1010,1104,'قيود اليومية'!$I$11:$I$1010,"مرحل ✔"))</f>
        <v/>
      </c>
      <c r="U20" s="34" t="str">
        <f aca="false">IF($B20="","",SUMIFS('قيود اليومية'!$H$11:$H$1010,'قيود اليومية'!$E$11:$E$1010,$B20,'قيود اليومية'!$C$11:$C$1010,2104,'قيود اليومية'!$I$11:$I$1010,"مرحل ✔")-SUMIFS('قيود اليومية'!$G$11:$G$1010,'قيود اليومية'!$E$11:$E$1010,$B20,'قيود اليومية'!$C$11:$C$1010,2104,'قيود اليومية'!$I$11:$I$1010,"مرحل ✔"))</f>
        <v/>
      </c>
    </row>
    <row r="21" customFormat="false" ht="15" hidden="false" customHeight="false" outlineLevel="0" collapsed="false">
      <c r="A21" s="32"/>
      <c r="B21" s="33"/>
      <c r="C21" s="33"/>
      <c r="D21" s="61"/>
      <c r="E21" s="61"/>
      <c r="F21" s="62"/>
      <c r="G21" s="32"/>
      <c r="H21" s="34" t="str">
        <f aca="false">IF($B21="","",SUMIFS('قيود اليومية'!$G$11:$G$1010,'قيود اليومية'!$E$11:$E$1010,$B21,'قيود اليومية'!$K$11:$K$1010,"مواد",'قيود اليومية'!$I$11:$I$1010,"مرحل ✔")-SUMIFS('قيود اليومية'!$H$11:$H$1010,'قيود اليومية'!$E$11:$E$1010,$B21,'قيود اليومية'!$K$11:$K$1010,"مواد",'قيود اليومية'!$I$11:$I$1010,"مرحل ✔"))</f>
        <v/>
      </c>
      <c r="I21" s="34" t="str">
        <f aca="false">IF($B21="","",SUMIFS('قيود اليومية'!$G$11:$G$1010,'قيود اليومية'!$E$11:$E$1010,$B21,'قيود اليومية'!$K$11:$K$1010,"أجور عمال",'قيود اليومية'!$I$11:$I$1010,"مرحل ✔")-SUMIFS('قيود اليومية'!$H$11:$H$1010,'قيود اليومية'!$E$11:$E$1010,$B21,'قيود اليومية'!$K$11:$K$1010,"أجور عمال",'قيود اليومية'!$I$11:$I$1010,"مرحل ✔"))</f>
        <v/>
      </c>
      <c r="J21" s="34" t="str">
        <f aca="false">IF($B21="","",SUMIFS('قيود اليومية'!$G$11:$G$1010,'قيود اليومية'!$E$11:$E$1010,$B21,'قيود اليومية'!$K$11:$K$1010,"مقاولو باطن",'قيود اليومية'!$I$11:$I$1010,"مرحل ✔")-SUMIFS('قيود اليومية'!$H$11:$H$1010,'قيود اليومية'!$E$11:$E$1010,$B21,'قيود اليومية'!$K$11:$K$1010,"مقاولو باطن",'قيود اليومية'!$I$11:$I$1010,"مرحل ✔"))</f>
        <v/>
      </c>
      <c r="K21" s="34" t="str">
        <f aca="false">IF($B21="","",SUMIFS('قيود اليومية'!$G$11:$G$1010,'قيود اليومية'!$E$11:$E$1010,$B21,'قيود اليومية'!$K$11:$K$1010,"معدات",'قيود اليومية'!$I$11:$I$1010,"مرحل ✔")-SUMIFS('قيود اليومية'!$H$11:$H$1010,'قيود اليومية'!$E$11:$E$1010,$B21,'قيود اليومية'!$K$11:$K$1010,"معدات",'قيود اليومية'!$I$11:$I$1010,"مرحل ✔"))</f>
        <v/>
      </c>
      <c r="L21" s="34" t="str">
        <f aca="false">IF($B21="","",SUMIFS('قيود اليومية'!$G$11:$G$1010,'قيود اليومية'!$E$11:$E$1010,$B21,'قيود اليومية'!$K$11:$K$1010,"مصاريف موقع",'قيود اليومية'!$I$11:$I$1010,"مرحل ✔")-SUMIFS('قيود اليومية'!$H$11:$H$1010,'قيود اليومية'!$E$11:$E$1010,$B21,'قيود اليومية'!$K$11:$K$1010,"مصاريف موقع",'قيود اليومية'!$I$11:$I$1010,"مرحل ✔"))</f>
        <v/>
      </c>
      <c r="M21" s="63" t="str">
        <f aca="false">IF($B21="","",SUM(H21:L21))</f>
        <v/>
      </c>
      <c r="N21" s="34" t="str">
        <f aca="false">IF($B21="","",SUMIFS('قيود اليومية'!$G$11:$G$1010,'قيود اليومية'!$E$11:$E$1010,$B21,'قيود اليومية'!$C$11:$C$1010,1108,'قيود اليومية'!$I$11:$I$1010,"مرحل ✔")-SUMIFS('قيود اليومية'!$H$11:$H$1010,'قيود اليومية'!$E$11:$E$1010,$B21,'قيود اليومية'!$C$11:$C$1010,1108,'قيود اليومية'!$I$11:$I$1010,"مرحل ✔"))</f>
        <v/>
      </c>
      <c r="O21" s="63" t="str">
        <f aca="false">IF($B21="","",SUMIFS('قيود اليومية'!$H$11:$H$1010,'قيود اليومية'!$E$11:$E$1010,$B21,'قيود اليومية'!$J$11:$J$1010,"الإيرادات",'قيود اليومية'!$C$11:$C$1010,"&lt;4200",'قيود اليومية'!$I$11:$I$1010,"مرحل ✔")-SUMIFS('قيود اليومية'!$G$11:$G$1010,'قيود اليومية'!$E$11:$E$1010,$B21,'قيود اليومية'!$J$11:$J$1010,"الإيرادات",'قيود اليومية'!$C$11:$C$1010,"&lt;4200",'قيود اليومية'!$I$11:$I$1010,"مرحل ✔"))</f>
        <v/>
      </c>
      <c r="P21" s="63" t="str">
        <f aca="false">IF($B21="","",O21-M21)</f>
        <v/>
      </c>
      <c r="Q21" s="64" t="str">
        <f aca="false">IF($B21="","",IFERROR(P21/O21,0))</f>
        <v/>
      </c>
      <c r="R21" s="64" t="str">
        <f aca="false">IF($B21="","",IFERROR((M21+N21)/E21,0))</f>
        <v/>
      </c>
      <c r="S21" s="64" t="str">
        <f aca="false">IF($B21="","",IFERROR(O21/D21,0))</f>
        <v/>
      </c>
      <c r="T21" s="34" t="str">
        <f aca="false">IF($B21="","",SUMIFS('قيود اليومية'!$G$11:$G$1010,'قيود اليومية'!$E$11:$E$1010,$B21,'قيود اليومية'!$C$11:$C$1010,1104,'قيود اليومية'!$I$11:$I$1010,"مرحل ✔")-SUMIFS('قيود اليومية'!$H$11:$H$1010,'قيود اليومية'!$E$11:$E$1010,$B21,'قيود اليومية'!$C$11:$C$1010,1104,'قيود اليومية'!$I$11:$I$1010,"مرحل ✔"))</f>
        <v/>
      </c>
      <c r="U21" s="34" t="str">
        <f aca="false">IF($B21="","",SUMIFS('قيود اليومية'!$H$11:$H$1010,'قيود اليومية'!$E$11:$E$1010,$B21,'قيود اليومية'!$C$11:$C$1010,2104,'قيود اليومية'!$I$11:$I$1010,"مرحل ✔")-SUMIFS('قيود اليومية'!$G$11:$G$1010,'قيود اليومية'!$E$11:$E$1010,$B21,'قيود اليومية'!$C$11:$C$1010,2104,'قيود اليومية'!$I$11:$I$1010,"مرحل ✔"))</f>
        <v/>
      </c>
    </row>
    <row r="22" customFormat="false" ht="15" hidden="false" customHeight="false" outlineLevel="0" collapsed="false">
      <c r="A22" s="32"/>
      <c r="B22" s="33"/>
      <c r="C22" s="33"/>
      <c r="D22" s="61"/>
      <c r="E22" s="61"/>
      <c r="F22" s="62"/>
      <c r="G22" s="32"/>
      <c r="H22" s="34" t="str">
        <f aca="false">IF($B22="","",SUMIFS('قيود اليومية'!$G$11:$G$1010,'قيود اليومية'!$E$11:$E$1010,$B22,'قيود اليومية'!$K$11:$K$1010,"مواد",'قيود اليومية'!$I$11:$I$1010,"مرحل ✔")-SUMIFS('قيود اليومية'!$H$11:$H$1010,'قيود اليومية'!$E$11:$E$1010,$B22,'قيود اليومية'!$K$11:$K$1010,"مواد",'قيود اليومية'!$I$11:$I$1010,"مرحل ✔"))</f>
        <v/>
      </c>
      <c r="I22" s="34" t="str">
        <f aca="false">IF($B22="","",SUMIFS('قيود اليومية'!$G$11:$G$1010,'قيود اليومية'!$E$11:$E$1010,$B22,'قيود اليومية'!$K$11:$K$1010,"أجور عمال",'قيود اليومية'!$I$11:$I$1010,"مرحل ✔")-SUMIFS('قيود اليومية'!$H$11:$H$1010,'قيود اليومية'!$E$11:$E$1010,$B22,'قيود اليومية'!$K$11:$K$1010,"أجور عمال",'قيود اليومية'!$I$11:$I$1010,"مرحل ✔"))</f>
        <v/>
      </c>
      <c r="J22" s="34" t="str">
        <f aca="false">IF($B22="","",SUMIFS('قيود اليومية'!$G$11:$G$1010,'قيود اليومية'!$E$11:$E$1010,$B22,'قيود اليومية'!$K$11:$K$1010,"مقاولو باطن",'قيود اليومية'!$I$11:$I$1010,"مرحل ✔")-SUMIFS('قيود اليومية'!$H$11:$H$1010,'قيود اليومية'!$E$11:$E$1010,$B22,'قيود اليومية'!$K$11:$K$1010,"مقاولو باطن",'قيود اليومية'!$I$11:$I$1010,"مرحل ✔"))</f>
        <v/>
      </c>
      <c r="K22" s="34" t="str">
        <f aca="false">IF($B22="","",SUMIFS('قيود اليومية'!$G$11:$G$1010,'قيود اليومية'!$E$11:$E$1010,$B22,'قيود اليومية'!$K$11:$K$1010,"معدات",'قيود اليومية'!$I$11:$I$1010,"مرحل ✔")-SUMIFS('قيود اليومية'!$H$11:$H$1010,'قيود اليومية'!$E$11:$E$1010,$B22,'قيود اليومية'!$K$11:$K$1010,"معدات",'قيود اليومية'!$I$11:$I$1010,"مرحل ✔"))</f>
        <v/>
      </c>
      <c r="L22" s="34" t="str">
        <f aca="false">IF($B22="","",SUMIFS('قيود اليومية'!$G$11:$G$1010,'قيود اليومية'!$E$11:$E$1010,$B22,'قيود اليومية'!$K$11:$K$1010,"مصاريف موقع",'قيود اليومية'!$I$11:$I$1010,"مرحل ✔")-SUMIFS('قيود اليومية'!$H$11:$H$1010,'قيود اليومية'!$E$11:$E$1010,$B22,'قيود اليومية'!$K$11:$K$1010,"مصاريف موقع",'قيود اليومية'!$I$11:$I$1010,"مرحل ✔"))</f>
        <v/>
      </c>
      <c r="M22" s="63" t="str">
        <f aca="false">IF($B22="","",SUM(H22:L22))</f>
        <v/>
      </c>
      <c r="N22" s="34" t="str">
        <f aca="false">IF($B22="","",SUMIFS('قيود اليومية'!$G$11:$G$1010,'قيود اليومية'!$E$11:$E$1010,$B22,'قيود اليومية'!$C$11:$C$1010,1108,'قيود اليومية'!$I$11:$I$1010,"مرحل ✔")-SUMIFS('قيود اليومية'!$H$11:$H$1010,'قيود اليومية'!$E$11:$E$1010,$B22,'قيود اليومية'!$C$11:$C$1010,1108,'قيود اليومية'!$I$11:$I$1010,"مرحل ✔"))</f>
        <v/>
      </c>
      <c r="O22" s="63" t="str">
        <f aca="false">IF($B22="","",SUMIFS('قيود اليومية'!$H$11:$H$1010,'قيود اليومية'!$E$11:$E$1010,$B22,'قيود اليومية'!$J$11:$J$1010,"الإيرادات",'قيود اليومية'!$C$11:$C$1010,"&lt;4200",'قيود اليومية'!$I$11:$I$1010,"مرحل ✔")-SUMIFS('قيود اليومية'!$G$11:$G$1010,'قيود اليومية'!$E$11:$E$1010,$B22,'قيود اليومية'!$J$11:$J$1010,"الإيرادات",'قيود اليومية'!$C$11:$C$1010,"&lt;4200",'قيود اليومية'!$I$11:$I$1010,"مرحل ✔"))</f>
        <v/>
      </c>
      <c r="P22" s="63" t="str">
        <f aca="false">IF($B22="","",O22-M22)</f>
        <v/>
      </c>
      <c r="Q22" s="64" t="str">
        <f aca="false">IF($B22="","",IFERROR(P22/O22,0))</f>
        <v/>
      </c>
      <c r="R22" s="64" t="str">
        <f aca="false">IF($B22="","",IFERROR((M22+N22)/E22,0))</f>
        <v/>
      </c>
      <c r="S22" s="64" t="str">
        <f aca="false">IF($B22="","",IFERROR(O22/D22,0))</f>
        <v/>
      </c>
      <c r="T22" s="34" t="str">
        <f aca="false">IF($B22="","",SUMIFS('قيود اليومية'!$G$11:$G$1010,'قيود اليومية'!$E$11:$E$1010,$B22,'قيود اليومية'!$C$11:$C$1010,1104,'قيود اليومية'!$I$11:$I$1010,"مرحل ✔")-SUMIFS('قيود اليومية'!$H$11:$H$1010,'قيود اليومية'!$E$11:$E$1010,$B22,'قيود اليومية'!$C$11:$C$1010,1104,'قيود اليومية'!$I$11:$I$1010,"مرحل ✔"))</f>
        <v/>
      </c>
      <c r="U22" s="34" t="str">
        <f aca="false">IF($B22="","",SUMIFS('قيود اليومية'!$H$11:$H$1010,'قيود اليومية'!$E$11:$E$1010,$B22,'قيود اليومية'!$C$11:$C$1010,2104,'قيود اليومية'!$I$11:$I$1010,"مرحل ✔")-SUMIFS('قيود اليومية'!$G$11:$G$1010,'قيود اليومية'!$E$11:$E$1010,$B22,'قيود اليومية'!$C$11:$C$1010,2104,'قيود اليومية'!$I$11:$I$1010,"مرحل ✔"))</f>
        <v/>
      </c>
    </row>
    <row r="23" customFormat="false" ht="15" hidden="false" customHeight="false" outlineLevel="0" collapsed="false">
      <c r="A23" s="32"/>
      <c r="B23" s="33"/>
      <c r="C23" s="33"/>
      <c r="D23" s="61"/>
      <c r="E23" s="61"/>
      <c r="F23" s="62"/>
      <c r="G23" s="32"/>
      <c r="H23" s="34" t="str">
        <f aca="false">IF($B23="","",SUMIFS('قيود اليومية'!$G$11:$G$1010,'قيود اليومية'!$E$11:$E$1010,$B23,'قيود اليومية'!$K$11:$K$1010,"مواد",'قيود اليومية'!$I$11:$I$1010,"مرحل ✔")-SUMIFS('قيود اليومية'!$H$11:$H$1010,'قيود اليومية'!$E$11:$E$1010,$B23,'قيود اليومية'!$K$11:$K$1010,"مواد",'قيود اليومية'!$I$11:$I$1010,"مرحل ✔"))</f>
        <v/>
      </c>
      <c r="I23" s="34" t="str">
        <f aca="false">IF($B23="","",SUMIFS('قيود اليومية'!$G$11:$G$1010,'قيود اليومية'!$E$11:$E$1010,$B23,'قيود اليومية'!$K$11:$K$1010,"أجور عمال",'قيود اليومية'!$I$11:$I$1010,"مرحل ✔")-SUMIFS('قيود اليومية'!$H$11:$H$1010,'قيود اليومية'!$E$11:$E$1010,$B23,'قيود اليومية'!$K$11:$K$1010,"أجور عمال",'قيود اليومية'!$I$11:$I$1010,"مرحل ✔"))</f>
        <v/>
      </c>
      <c r="J23" s="34" t="str">
        <f aca="false">IF($B23="","",SUMIFS('قيود اليومية'!$G$11:$G$1010,'قيود اليومية'!$E$11:$E$1010,$B23,'قيود اليومية'!$K$11:$K$1010,"مقاولو باطن",'قيود اليومية'!$I$11:$I$1010,"مرحل ✔")-SUMIFS('قيود اليومية'!$H$11:$H$1010,'قيود اليومية'!$E$11:$E$1010,$B23,'قيود اليومية'!$K$11:$K$1010,"مقاولو باطن",'قيود اليومية'!$I$11:$I$1010,"مرحل ✔"))</f>
        <v/>
      </c>
      <c r="K23" s="34" t="str">
        <f aca="false">IF($B23="","",SUMIFS('قيود اليومية'!$G$11:$G$1010,'قيود اليومية'!$E$11:$E$1010,$B23,'قيود اليومية'!$K$11:$K$1010,"معدات",'قيود اليومية'!$I$11:$I$1010,"مرحل ✔")-SUMIFS('قيود اليومية'!$H$11:$H$1010,'قيود اليومية'!$E$11:$E$1010,$B23,'قيود اليومية'!$K$11:$K$1010,"معدات",'قيود اليومية'!$I$11:$I$1010,"مرحل ✔"))</f>
        <v/>
      </c>
      <c r="L23" s="34" t="str">
        <f aca="false">IF($B23="","",SUMIFS('قيود اليومية'!$G$11:$G$1010,'قيود اليومية'!$E$11:$E$1010,$B23,'قيود اليومية'!$K$11:$K$1010,"مصاريف موقع",'قيود اليومية'!$I$11:$I$1010,"مرحل ✔")-SUMIFS('قيود اليومية'!$H$11:$H$1010,'قيود اليومية'!$E$11:$E$1010,$B23,'قيود اليومية'!$K$11:$K$1010,"مصاريف موقع",'قيود اليومية'!$I$11:$I$1010,"مرحل ✔"))</f>
        <v/>
      </c>
      <c r="M23" s="63" t="str">
        <f aca="false">IF($B23="","",SUM(H23:L23))</f>
        <v/>
      </c>
      <c r="N23" s="34" t="str">
        <f aca="false">IF($B23="","",SUMIFS('قيود اليومية'!$G$11:$G$1010,'قيود اليومية'!$E$11:$E$1010,$B23,'قيود اليومية'!$C$11:$C$1010,1108,'قيود اليومية'!$I$11:$I$1010,"مرحل ✔")-SUMIFS('قيود اليومية'!$H$11:$H$1010,'قيود اليومية'!$E$11:$E$1010,$B23,'قيود اليومية'!$C$11:$C$1010,1108,'قيود اليومية'!$I$11:$I$1010,"مرحل ✔"))</f>
        <v/>
      </c>
      <c r="O23" s="63" t="str">
        <f aca="false">IF($B23="","",SUMIFS('قيود اليومية'!$H$11:$H$1010,'قيود اليومية'!$E$11:$E$1010,$B23,'قيود اليومية'!$J$11:$J$1010,"الإيرادات",'قيود اليومية'!$C$11:$C$1010,"&lt;4200",'قيود اليومية'!$I$11:$I$1010,"مرحل ✔")-SUMIFS('قيود اليومية'!$G$11:$G$1010,'قيود اليومية'!$E$11:$E$1010,$B23,'قيود اليومية'!$J$11:$J$1010,"الإيرادات",'قيود اليومية'!$C$11:$C$1010,"&lt;4200",'قيود اليومية'!$I$11:$I$1010,"مرحل ✔"))</f>
        <v/>
      </c>
      <c r="P23" s="63" t="str">
        <f aca="false">IF($B23="","",O23-M23)</f>
        <v/>
      </c>
      <c r="Q23" s="64" t="str">
        <f aca="false">IF($B23="","",IFERROR(P23/O23,0))</f>
        <v/>
      </c>
      <c r="R23" s="64" t="str">
        <f aca="false">IF($B23="","",IFERROR((M23+N23)/E23,0))</f>
        <v/>
      </c>
      <c r="S23" s="64" t="str">
        <f aca="false">IF($B23="","",IFERROR(O23/D23,0))</f>
        <v/>
      </c>
      <c r="T23" s="34" t="str">
        <f aca="false">IF($B23="","",SUMIFS('قيود اليومية'!$G$11:$G$1010,'قيود اليومية'!$E$11:$E$1010,$B23,'قيود اليومية'!$C$11:$C$1010,1104,'قيود اليومية'!$I$11:$I$1010,"مرحل ✔")-SUMIFS('قيود اليومية'!$H$11:$H$1010,'قيود اليومية'!$E$11:$E$1010,$B23,'قيود اليومية'!$C$11:$C$1010,1104,'قيود اليومية'!$I$11:$I$1010,"مرحل ✔"))</f>
        <v/>
      </c>
      <c r="U23" s="34" t="str">
        <f aca="false">IF($B23="","",SUMIFS('قيود اليومية'!$H$11:$H$1010,'قيود اليومية'!$E$11:$E$1010,$B23,'قيود اليومية'!$C$11:$C$1010,2104,'قيود اليومية'!$I$11:$I$1010,"مرحل ✔")-SUMIFS('قيود اليومية'!$G$11:$G$1010,'قيود اليومية'!$E$11:$E$1010,$B23,'قيود اليومية'!$C$11:$C$1010,2104,'قيود اليومية'!$I$11:$I$1010,"مرحل ✔"))</f>
        <v/>
      </c>
    </row>
    <row r="24" customFormat="false" ht="15" hidden="false" customHeight="false" outlineLevel="0" collapsed="false">
      <c r="A24" s="32"/>
      <c r="B24" s="33"/>
      <c r="C24" s="33"/>
      <c r="D24" s="61"/>
      <c r="E24" s="61"/>
      <c r="F24" s="62"/>
      <c r="G24" s="32"/>
      <c r="H24" s="34" t="str">
        <f aca="false">IF($B24="","",SUMIFS('قيود اليومية'!$G$11:$G$1010,'قيود اليومية'!$E$11:$E$1010,$B24,'قيود اليومية'!$K$11:$K$1010,"مواد",'قيود اليومية'!$I$11:$I$1010,"مرحل ✔")-SUMIFS('قيود اليومية'!$H$11:$H$1010,'قيود اليومية'!$E$11:$E$1010,$B24,'قيود اليومية'!$K$11:$K$1010,"مواد",'قيود اليومية'!$I$11:$I$1010,"مرحل ✔"))</f>
        <v/>
      </c>
      <c r="I24" s="34" t="str">
        <f aca="false">IF($B24="","",SUMIFS('قيود اليومية'!$G$11:$G$1010,'قيود اليومية'!$E$11:$E$1010,$B24,'قيود اليومية'!$K$11:$K$1010,"أجور عمال",'قيود اليومية'!$I$11:$I$1010,"مرحل ✔")-SUMIFS('قيود اليومية'!$H$11:$H$1010,'قيود اليومية'!$E$11:$E$1010,$B24,'قيود اليومية'!$K$11:$K$1010,"أجور عمال",'قيود اليومية'!$I$11:$I$1010,"مرحل ✔"))</f>
        <v/>
      </c>
      <c r="J24" s="34" t="str">
        <f aca="false">IF($B24="","",SUMIFS('قيود اليومية'!$G$11:$G$1010,'قيود اليومية'!$E$11:$E$1010,$B24,'قيود اليومية'!$K$11:$K$1010,"مقاولو باطن",'قيود اليومية'!$I$11:$I$1010,"مرحل ✔")-SUMIFS('قيود اليومية'!$H$11:$H$1010,'قيود اليومية'!$E$11:$E$1010,$B24,'قيود اليومية'!$K$11:$K$1010,"مقاولو باطن",'قيود اليومية'!$I$11:$I$1010,"مرحل ✔"))</f>
        <v/>
      </c>
      <c r="K24" s="34" t="str">
        <f aca="false">IF($B24="","",SUMIFS('قيود اليومية'!$G$11:$G$1010,'قيود اليومية'!$E$11:$E$1010,$B24,'قيود اليومية'!$K$11:$K$1010,"معدات",'قيود اليومية'!$I$11:$I$1010,"مرحل ✔")-SUMIFS('قيود اليومية'!$H$11:$H$1010,'قيود اليومية'!$E$11:$E$1010,$B24,'قيود اليومية'!$K$11:$K$1010,"معدات",'قيود اليومية'!$I$11:$I$1010,"مرحل ✔"))</f>
        <v/>
      </c>
      <c r="L24" s="34" t="str">
        <f aca="false">IF($B24="","",SUMIFS('قيود اليومية'!$G$11:$G$1010,'قيود اليومية'!$E$11:$E$1010,$B24,'قيود اليومية'!$K$11:$K$1010,"مصاريف موقع",'قيود اليومية'!$I$11:$I$1010,"مرحل ✔")-SUMIFS('قيود اليومية'!$H$11:$H$1010,'قيود اليومية'!$E$11:$E$1010,$B24,'قيود اليومية'!$K$11:$K$1010,"مصاريف موقع",'قيود اليومية'!$I$11:$I$1010,"مرحل ✔"))</f>
        <v/>
      </c>
      <c r="M24" s="63" t="str">
        <f aca="false">IF($B24="","",SUM(H24:L24))</f>
        <v/>
      </c>
      <c r="N24" s="34" t="str">
        <f aca="false">IF($B24="","",SUMIFS('قيود اليومية'!$G$11:$G$1010,'قيود اليومية'!$E$11:$E$1010,$B24,'قيود اليومية'!$C$11:$C$1010,1108,'قيود اليومية'!$I$11:$I$1010,"مرحل ✔")-SUMIFS('قيود اليومية'!$H$11:$H$1010,'قيود اليومية'!$E$11:$E$1010,$B24,'قيود اليومية'!$C$11:$C$1010,1108,'قيود اليومية'!$I$11:$I$1010,"مرحل ✔"))</f>
        <v/>
      </c>
      <c r="O24" s="63" t="str">
        <f aca="false">IF($B24="","",SUMIFS('قيود اليومية'!$H$11:$H$1010,'قيود اليومية'!$E$11:$E$1010,$B24,'قيود اليومية'!$J$11:$J$1010,"الإيرادات",'قيود اليومية'!$C$11:$C$1010,"&lt;4200",'قيود اليومية'!$I$11:$I$1010,"مرحل ✔")-SUMIFS('قيود اليومية'!$G$11:$G$1010,'قيود اليومية'!$E$11:$E$1010,$B24,'قيود اليومية'!$J$11:$J$1010,"الإيرادات",'قيود اليومية'!$C$11:$C$1010,"&lt;4200",'قيود اليومية'!$I$11:$I$1010,"مرحل ✔"))</f>
        <v/>
      </c>
      <c r="P24" s="63" t="str">
        <f aca="false">IF($B24="","",O24-M24)</f>
        <v/>
      </c>
      <c r="Q24" s="64" t="str">
        <f aca="false">IF($B24="","",IFERROR(P24/O24,0))</f>
        <v/>
      </c>
      <c r="R24" s="64" t="str">
        <f aca="false">IF($B24="","",IFERROR((M24+N24)/E24,0))</f>
        <v/>
      </c>
      <c r="S24" s="64" t="str">
        <f aca="false">IF($B24="","",IFERROR(O24/D24,0))</f>
        <v/>
      </c>
      <c r="T24" s="34" t="str">
        <f aca="false">IF($B24="","",SUMIFS('قيود اليومية'!$G$11:$G$1010,'قيود اليومية'!$E$11:$E$1010,$B24,'قيود اليومية'!$C$11:$C$1010,1104,'قيود اليومية'!$I$11:$I$1010,"مرحل ✔")-SUMIFS('قيود اليومية'!$H$11:$H$1010,'قيود اليومية'!$E$11:$E$1010,$B24,'قيود اليومية'!$C$11:$C$1010,1104,'قيود اليومية'!$I$11:$I$1010,"مرحل ✔"))</f>
        <v/>
      </c>
      <c r="U24" s="34" t="str">
        <f aca="false">IF($B24="","",SUMIFS('قيود اليومية'!$H$11:$H$1010,'قيود اليومية'!$E$11:$E$1010,$B24,'قيود اليومية'!$C$11:$C$1010,2104,'قيود اليومية'!$I$11:$I$1010,"مرحل ✔")-SUMIFS('قيود اليومية'!$G$11:$G$1010,'قيود اليومية'!$E$11:$E$1010,$B24,'قيود اليومية'!$C$11:$C$1010,2104,'قيود اليومية'!$I$11:$I$1010,"مرحل ✔"))</f>
        <v/>
      </c>
    </row>
    <row r="25" customFormat="false" ht="15" hidden="false" customHeight="false" outlineLevel="0" collapsed="false">
      <c r="A25" s="32"/>
      <c r="B25" s="33"/>
      <c r="C25" s="33"/>
      <c r="D25" s="61"/>
      <c r="E25" s="61"/>
      <c r="F25" s="62"/>
      <c r="G25" s="32"/>
      <c r="H25" s="34" t="str">
        <f aca="false">IF($B25="","",SUMIFS('قيود اليومية'!$G$11:$G$1010,'قيود اليومية'!$E$11:$E$1010,$B25,'قيود اليومية'!$K$11:$K$1010,"مواد",'قيود اليومية'!$I$11:$I$1010,"مرحل ✔")-SUMIFS('قيود اليومية'!$H$11:$H$1010,'قيود اليومية'!$E$11:$E$1010,$B25,'قيود اليومية'!$K$11:$K$1010,"مواد",'قيود اليومية'!$I$11:$I$1010,"مرحل ✔"))</f>
        <v/>
      </c>
      <c r="I25" s="34" t="str">
        <f aca="false">IF($B25="","",SUMIFS('قيود اليومية'!$G$11:$G$1010,'قيود اليومية'!$E$11:$E$1010,$B25,'قيود اليومية'!$K$11:$K$1010,"أجور عمال",'قيود اليومية'!$I$11:$I$1010,"مرحل ✔")-SUMIFS('قيود اليومية'!$H$11:$H$1010,'قيود اليومية'!$E$11:$E$1010,$B25,'قيود اليومية'!$K$11:$K$1010,"أجور عمال",'قيود اليومية'!$I$11:$I$1010,"مرحل ✔"))</f>
        <v/>
      </c>
      <c r="J25" s="34" t="str">
        <f aca="false">IF($B25="","",SUMIFS('قيود اليومية'!$G$11:$G$1010,'قيود اليومية'!$E$11:$E$1010,$B25,'قيود اليومية'!$K$11:$K$1010,"مقاولو باطن",'قيود اليومية'!$I$11:$I$1010,"مرحل ✔")-SUMIFS('قيود اليومية'!$H$11:$H$1010,'قيود اليومية'!$E$11:$E$1010,$B25,'قيود اليومية'!$K$11:$K$1010,"مقاولو باطن",'قيود اليومية'!$I$11:$I$1010,"مرحل ✔"))</f>
        <v/>
      </c>
      <c r="K25" s="34" t="str">
        <f aca="false">IF($B25="","",SUMIFS('قيود اليومية'!$G$11:$G$1010,'قيود اليومية'!$E$11:$E$1010,$B25,'قيود اليومية'!$K$11:$K$1010,"معدات",'قيود اليومية'!$I$11:$I$1010,"مرحل ✔")-SUMIFS('قيود اليومية'!$H$11:$H$1010,'قيود اليومية'!$E$11:$E$1010,$B25,'قيود اليومية'!$K$11:$K$1010,"معدات",'قيود اليومية'!$I$11:$I$1010,"مرحل ✔"))</f>
        <v/>
      </c>
      <c r="L25" s="34" t="str">
        <f aca="false">IF($B25="","",SUMIFS('قيود اليومية'!$G$11:$G$1010,'قيود اليومية'!$E$11:$E$1010,$B25,'قيود اليومية'!$K$11:$K$1010,"مصاريف موقع",'قيود اليومية'!$I$11:$I$1010,"مرحل ✔")-SUMIFS('قيود اليومية'!$H$11:$H$1010,'قيود اليومية'!$E$11:$E$1010,$B25,'قيود اليومية'!$K$11:$K$1010,"مصاريف موقع",'قيود اليومية'!$I$11:$I$1010,"مرحل ✔"))</f>
        <v/>
      </c>
      <c r="M25" s="63" t="str">
        <f aca="false">IF($B25="","",SUM(H25:L25))</f>
        <v/>
      </c>
      <c r="N25" s="34" t="str">
        <f aca="false">IF($B25="","",SUMIFS('قيود اليومية'!$G$11:$G$1010,'قيود اليومية'!$E$11:$E$1010,$B25,'قيود اليومية'!$C$11:$C$1010,1108,'قيود اليومية'!$I$11:$I$1010,"مرحل ✔")-SUMIFS('قيود اليومية'!$H$11:$H$1010,'قيود اليومية'!$E$11:$E$1010,$B25,'قيود اليومية'!$C$11:$C$1010,1108,'قيود اليومية'!$I$11:$I$1010,"مرحل ✔"))</f>
        <v/>
      </c>
      <c r="O25" s="63" t="str">
        <f aca="false">IF($B25="","",SUMIFS('قيود اليومية'!$H$11:$H$1010,'قيود اليومية'!$E$11:$E$1010,$B25,'قيود اليومية'!$J$11:$J$1010,"الإيرادات",'قيود اليومية'!$C$11:$C$1010,"&lt;4200",'قيود اليومية'!$I$11:$I$1010,"مرحل ✔")-SUMIFS('قيود اليومية'!$G$11:$G$1010,'قيود اليومية'!$E$11:$E$1010,$B25,'قيود اليومية'!$J$11:$J$1010,"الإيرادات",'قيود اليومية'!$C$11:$C$1010,"&lt;4200",'قيود اليومية'!$I$11:$I$1010,"مرحل ✔"))</f>
        <v/>
      </c>
      <c r="P25" s="63" t="str">
        <f aca="false">IF($B25="","",O25-M25)</f>
        <v/>
      </c>
      <c r="Q25" s="64" t="str">
        <f aca="false">IF($B25="","",IFERROR(P25/O25,0))</f>
        <v/>
      </c>
      <c r="R25" s="64" t="str">
        <f aca="false">IF($B25="","",IFERROR((M25+N25)/E25,0))</f>
        <v/>
      </c>
      <c r="S25" s="64" t="str">
        <f aca="false">IF($B25="","",IFERROR(O25/D25,0))</f>
        <v/>
      </c>
      <c r="T25" s="34" t="str">
        <f aca="false">IF($B25="","",SUMIFS('قيود اليومية'!$G$11:$G$1010,'قيود اليومية'!$E$11:$E$1010,$B25,'قيود اليومية'!$C$11:$C$1010,1104,'قيود اليومية'!$I$11:$I$1010,"مرحل ✔")-SUMIFS('قيود اليومية'!$H$11:$H$1010,'قيود اليومية'!$E$11:$E$1010,$B25,'قيود اليومية'!$C$11:$C$1010,1104,'قيود اليومية'!$I$11:$I$1010,"مرحل ✔"))</f>
        <v/>
      </c>
      <c r="U25" s="34" t="str">
        <f aca="false">IF($B25="","",SUMIFS('قيود اليومية'!$H$11:$H$1010,'قيود اليومية'!$E$11:$E$1010,$B25,'قيود اليومية'!$C$11:$C$1010,2104,'قيود اليومية'!$I$11:$I$1010,"مرحل ✔")-SUMIFS('قيود اليومية'!$G$11:$G$1010,'قيود اليومية'!$E$11:$E$1010,$B25,'قيود اليومية'!$C$11:$C$1010,2104,'قيود اليومية'!$I$11:$I$1010,"مرحل ✔"))</f>
        <v/>
      </c>
    </row>
    <row r="26" customFormat="false" ht="15" hidden="false" customHeight="false" outlineLevel="0" collapsed="false">
      <c r="A26" s="32"/>
      <c r="B26" s="33"/>
      <c r="C26" s="33"/>
      <c r="D26" s="61"/>
      <c r="E26" s="61"/>
      <c r="F26" s="62"/>
      <c r="G26" s="32"/>
      <c r="H26" s="34" t="str">
        <f aca="false">IF($B26="","",SUMIFS('قيود اليومية'!$G$11:$G$1010,'قيود اليومية'!$E$11:$E$1010,$B26,'قيود اليومية'!$K$11:$K$1010,"مواد",'قيود اليومية'!$I$11:$I$1010,"مرحل ✔")-SUMIFS('قيود اليومية'!$H$11:$H$1010,'قيود اليومية'!$E$11:$E$1010,$B26,'قيود اليومية'!$K$11:$K$1010,"مواد",'قيود اليومية'!$I$11:$I$1010,"مرحل ✔"))</f>
        <v/>
      </c>
      <c r="I26" s="34" t="str">
        <f aca="false">IF($B26="","",SUMIFS('قيود اليومية'!$G$11:$G$1010,'قيود اليومية'!$E$11:$E$1010,$B26,'قيود اليومية'!$K$11:$K$1010,"أجور عمال",'قيود اليومية'!$I$11:$I$1010,"مرحل ✔")-SUMIFS('قيود اليومية'!$H$11:$H$1010,'قيود اليومية'!$E$11:$E$1010,$B26,'قيود اليومية'!$K$11:$K$1010,"أجور عمال",'قيود اليومية'!$I$11:$I$1010,"مرحل ✔"))</f>
        <v/>
      </c>
      <c r="J26" s="34" t="str">
        <f aca="false">IF($B26="","",SUMIFS('قيود اليومية'!$G$11:$G$1010,'قيود اليومية'!$E$11:$E$1010,$B26,'قيود اليومية'!$K$11:$K$1010,"مقاولو باطن",'قيود اليومية'!$I$11:$I$1010,"مرحل ✔")-SUMIFS('قيود اليومية'!$H$11:$H$1010,'قيود اليومية'!$E$11:$E$1010,$B26,'قيود اليومية'!$K$11:$K$1010,"مقاولو باطن",'قيود اليومية'!$I$11:$I$1010,"مرحل ✔"))</f>
        <v/>
      </c>
      <c r="K26" s="34" t="str">
        <f aca="false">IF($B26="","",SUMIFS('قيود اليومية'!$G$11:$G$1010,'قيود اليومية'!$E$11:$E$1010,$B26,'قيود اليومية'!$K$11:$K$1010,"معدات",'قيود اليومية'!$I$11:$I$1010,"مرحل ✔")-SUMIFS('قيود اليومية'!$H$11:$H$1010,'قيود اليومية'!$E$11:$E$1010,$B26,'قيود اليومية'!$K$11:$K$1010,"معدات",'قيود اليومية'!$I$11:$I$1010,"مرحل ✔"))</f>
        <v/>
      </c>
      <c r="L26" s="34" t="str">
        <f aca="false">IF($B26="","",SUMIFS('قيود اليومية'!$G$11:$G$1010,'قيود اليومية'!$E$11:$E$1010,$B26,'قيود اليومية'!$K$11:$K$1010,"مصاريف موقع",'قيود اليومية'!$I$11:$I$1010,"مرحل ✔")-SUMIFS('قيود اليومية'!$H$11:$H$1010,'قيود اليومية'!$E$11:$E$1010,$B26,'قيود اليومية'!$K$11:$K$1010,"مصاريف موقع",'قيود اليومية'!$I$11:$I$1010,"مرحل ✔"))</f>
        <v/>
      </c>
      <c r="M26" s="63" t="str">
        <f aca="false">IF($B26="","",SUM(H26:L26))</f>
        <v/>
      </c>
      <c r="N26" s="34" t="str">
        <f aca="false">IF($B26="","",SUMIFS('قيود اليومية'!$G$11:$G$1010,'قيود اليومية'!$E$11:$E$1010,$B26,'قيود اليومية'!$C$11:$C$1010,1108,'قيود اليومية'!$I$11:$I$1010,"مرحل ✔")-SUMIFS('قيود اليومية'!$H$11:$H$1010,'قيود اليومية'!$E$11:$E$1010,$B26,'قيود اليومية'!$C$11:$C$1010,1108,'قيود اليومية'!$I$11:$I$1010,"مرحل ✔"))</f>
        <v/>
      </c>
      <c r="O26" s="63" t="str">
        <f aca="false">IF($B26="","",SUMIFS('قيود اليومية'!$H$11:$H$1010,'قيود اليومية'!$E$11:$E$1010,$B26,'قيود اليومية'!$J$11:$J$1010,"الإيرادات",'قيود اليومية'!$C$11:$C$1010,"&lt;4200",'قيود اليومية'!$I$11:$I$1010,"مرحل ✔")-SUMIFS('قيود اليومية'!$G$11:$G$1010,'قيود اليومية'!$E$11:$E$1010,$B26,'قيود اليومية'!$J$11:$J$1010,"الإيرادات",'قيود اليومية'!$C$11:$C$1010,"&lt;4200",'قيود اليومية'!$I$11:$I$1010,"مرحل ✔"))</f>
        <v/>
      </c>
      <c r="P26" s="63" t="str">
        <f aca="false">IF($B26="","",O26-M26)</f>
        <v/>
      </c>
      <c r="Q26" s="64" t="str">
        <f aca="false">IF($B26="","",IFERROR(P26/O26,0))</f>
        <v/>
      </c>
      <c r="R26" s="64" t="str">
        <f aca="false">IF($B26="","",IFERROR((M26+N26)/E26,0))</f>
        <v/>
      </c>
      <c r="S26" s="64" t="str">
        <f aca="false">IF($B26="","",IFERROR(O26/D26,0))</f>
        <v/>
      </c>
      <c r="T26" s="34" t="str">
        <f aca="false">IF($B26="","",SUMIFS('قيود اليومية'!$G$11:$G$1010,'قيود اليومية'!$E$11:$E$1010,$B26,'قيود اليومية'!$C$11:$C$1010,1104,'قيود اليومية'!$I$11:$I$1010,"مرحل ✔")-SUMIFS('قيود اليومية'!$H$11:$H$1010,'قيود اليومية'!$E$11:$E$1010,$B26,'قيود اليومية'!$C$11:$C$1010,1104,'قيود اليومية'!$I$11:$I$1010,"مرحل ✔"))</f>
        <v/>
      </c>
      <c r="U26" s="34" t="str">
        <f aca="false">IF($B26="","",SUMIFS('قيود اليومية'!$H$11:$H$1010,'قيود اليومية'!$E$11:$E$1010,$B26,'قيود اليومية'!$C$11:$C$1010,2104,'قيود اليومية'!$I$11:$I$1010,"مرحل ✔")-SUMIFS('قيود اليومية'!$G$11:$G$1010,'قيود اليومية'!$E$11:$E$1010,$B26,'قيود اليومية'!$C$11:$C$1010,2104,'قيود اليومية'!$I$11:$I$1010,"مرحل ✔"))</f>
        <v/>
      </c>
    </row>
    <row r="27" customFormat="false" ht="15" hidden="false" customHeight="false" outlineLevel="0" collapsed="false">
      <c r="A27" s="32"/>
      <c r="B27" s="33"/>
      <c r="C27" s="33"/>
      <c r="D27" s="61"/>
      <c r="E27" s="61"/>
      <c r="F27" s="62"/>
      <c r="G27" s="32"/>
      <c r="H27" s="34" t="str">
        <f aca="false">IF($B27="","",SUMIFS('قيود اليومية'!$G$11:$G$1010,'قيود اليومية'!$E$11:$E$1010,$B27,'قيود اليومية'!$K$11:$K$1010,"مواد",'قيود اليومية'!$I$11:$I$1010,"مرحل ✔")-SUMIFS('قيود اليومية'!$H$11:$H$1010,'قيود اليومية'!$E$11:$E$1010,$B27,'قيود اليومية'!$K$11:$K$1010,"مواد",'قيود اليومية'!$I$11:$I$1010,"مرحل ✔"))</f>
        <v/>
      </c>
      <c r="I27" s="34" t="str">
        <f aca="false">IF($B27="","",SUMIFS('قيود اليومية'!$G$11:$G$1010,'قيود اليومية'!$E$11:$E$1010,$B27,'قيود اليومية'!$K$11:$K$1010,"أجور عمال",'قيود اليومية'!$I$11:$I$1010,"مرحل ✔")-SUMIFS('قيود اليومية'!$H$11:$H$1010,'قيود اليومية'!$E$11:$E$1010,$B27,'قيود اليومية'!$K$11:$K$1010,"أجور عمال",'قيود اليومية'!$I$11:$I$1010,"مرحل ✔"))</f>
        <v/>
      </c>
      <c r="J27" s="34" t="str">
        <f aca="false">IF($B27="","",SUMIFS('قيود اليومية'!$G$11:$G$1010,'قيود اليومية'!$E$11:$E$1010,$B27,'قيود اليومية'!$K$11:$K$1010,"مقاولو باطن",'قيود اليومية'!$I$11:$I$1010,"مرحل ✔")-SUMIFS('قيود اليومية'!$H$11:$H$1010,'قيود اليومية'!$E$11:$E$1010,$B27,'قيود اليومية'!$K$11:$K$1010,"مقاولو باطن",'قيود اليومية'!$I$11:$I$1010,"مرحل ✔"))</f>
        <v/>
      </c>
      <c r="K27" s="34" t="str">
        <f aca="false">IF($B27="","",SUMIFS('قيود اليومية'!$G$11:$G$1010,'قيود اليومية'!$E$11:$E$1010,$B27,'قيود اليومية'!$K$11:$K$1010,"معدات",'قيود اليومية'!$I$11:$I$1010,"مرحل ✔")-SUMIFS('قيود اليومية'!$H$11:$H$1010,'قيود اليومية'!$E$11:$E$1010,$B27,'قيود اليومية'!$K$11:$K$1010,"معدات",'قيود اليومية'!$I$11:$I$1010,"مرحل ✔"))</f>
        <v/>
      </c>
      <c r="L27" s="34" t="str">
        <f aca="false">IF($B27="","",SUMIFS('قيود اليومية'!$G$11:$G$1010,'قيود اليومية'!$E$11:$E$1010,$B27,'قيود اليومية'!$K$11:$K$1010,"مصاريف موقع",'قيود اليومية'!$I$11:$I$1010,"مرحل ✔")-SUMIFS('قيود اليومية'!$H$11:$H$1010,'قيود اليومية'!$E$11:$E$1010,$B27,'قيود اليومية'!$K$11:$K$1010,"مصاريف موقع",'قيود اليومية'!$I$11:$I$1010,"مرحل ✔"))</f>
        <v/>
      </c>
      <c r="M27" s="63" t="str">
        <f aca="false">IF($B27="","",SUM(H27:L27))</f>
        <v/>
      </c>
      <c r="N27" s="34" t="str">
        <f aca="false">IF($B27="","",SUMIFS('قيود اليومية'!$G$11:$G$1010,'قيود اليومية'!$E$11:$E$1010,$B27,'قيود اليومية'!$C$11:$C$1010,1108,'قيود اليومية'!$I$11:$I$1010,"مرحل ✔")-SUMIFS('قيود اليومية'!$H$11:$H$1010,'قيود اليومية'!$E$11:$E$1010,$B27,'قيود اليومية'!$C$11:$C$1010,1108,'قيود اليومية'!$I$11:$I$1010,"مرحل ✔"))</f>
        <v/>
      </c>
      <c r="O27" s="63" t="str">
        <f aca="false">IF($B27="","",SUMIFS('قيود اليومية'!$H$11:$H$1010,'قيود اليومية'!$E$11:$E$1010,$B27,'قيود اليومية'!$J$11:$J$1010,"الإيرادات",'قيود اليومية'!$C$11:$C$1010,"&lt;4200",'قيود اليومية'!$I$11:$I$1010,"مرحل ✔")-SUMIFS('قيود اليومية'!$G$11:$G$1010,'قيود اليومية'!$E$11:$E$1010,$B27,'قيود اليومية'!$J$11:$J$1010,"الإيرادات",'قيود اليومية'!$C$11:$C$1010,"&lt;4200",'قيود اليومية'!$I$11:$I$1010,"مرحل ✔"))</f>
        <v/>
      </c>
      <c r="P27" s="63" t="str">
        <f aca="false">IF($B27="","",O27-M27)</f>
        <v/>
      </c>
      <c r="Q27" s="64" t="str">
        <f aca="false">IF($B27="","",IFERROR(P27/O27,0))</f>
        <v/>
      </c>
      <c r="R27" s="64" t="str">
        <f aca="false">IF($B27="","",IFERROR((M27+N27)/E27,0))</f>
        <v/>
      </c>
      <c r="S27" s="64" t="str">
        <f aca="false">IF($B27="","",IFERROR(O27/D27,0))</f>
        <v/>
      </c>
      <c r="T27" s="34" t="str">
        <f aca="false">IF($B27="","",SUMIFS('قيود اليومية'!$G$11:$G$1010,'قيود اليومية'!$E$11:$E$1010,$B27,'قيود اليومية'!$C$11:$C$1010,1104,'قيود اليومية'!$I$11:$I$1010,"مرحل ✔")-SUMIFS('قيود اليومية'!$H$11:$H$1010,'قيود اليومية'!$E$11:$E$1010,$B27,'قيود اليومية'!$C$11:$C$1010,1104,'قيود اليومية'!$I$11:$I$1010,"مرحل ✔"))</f>
        <v/>
      </c>
      <c r="U27" s="34" t="str">
        <f aca="false">IF($B27="","",SUMIFS('قيود اليومية'!$H$11:$H$1010,'قيود اليومية'!$E$11:$E$1010,$B27,'قيود اليومية'!$C$11:$C$1010,2104,'قيود اليومية'!$I$11:$I$1010,"مرحل ✔")-SUMIFS('قيود اليومية'!$G$11:$G$1010,'قيود اليومية'!$E$11:$E$1010,$B27,'قيود اليومية'!$C$11:$C$1010,2104,'قيود اليومية'!$I$11:$I$1010,"مرحل ✔"))</f>
        <v/>
      </c>
    </row>
    <row r="28" customFormat="false" ht="15" hidden="false" customHeight="false" outlineLevel="0" collapsed="false">
      <c r="A28" s="32"/>
      <c r="B28" s="33"/>
      <c r="C28" s="33"/>
      <c r="D28" s="61"/>
      <c r="E28" s="61"/>
      <c r="F28" s="62"/>
      <c r="G28" s="32"/>
      <c r="H28" s="34" t="str">
        <f aca="false">IF($B28="","",SUMIFS('قيود اليومية'!$G$11:$G$1010,'قيود اليومية'!$E$11:$E$1010,$B28,'قيود اليومية'!$K$11:$K$1010,"مواد",'قيود اليومية'!$I$11:$I$1010,"مرحل ✔")-SUMIFS('قيود اليومية'!$H$11:$H$1010,'قيود اليومية'!$E$11:$E$1010,$B28,'قيود اليومية'!$K$11:$K$1010,"مواد",'قيود اليومية'!$I$11:$I$1010,"مرحل ✔"))</f>
        <v/>
      </c>
      <c r="I28" s="34" t="str">
        <f aca="false">IF($B28="","",SUMIFS('قيود اليومية'!$G$11:$G$1010,'قيود اليومية'!$E$11:$E$1010,$B28,'قيود اليومية'!$K$11:$K$1010,"أجور عمال",'قيود اليومية'!$I$11:$I$1010,"مرحل ✔")-SUMIFS('قيود اليومية'!$H$11:$H$1010,'قيود اليومية'!$E$11:$E$1010,$B28,'قيود اليومية'!$K$11:$K$1010,"أجور عمال",'قيود اليومية'!$I$11:$I$1010,"مرحل ✔"))</f>
        <v/>
      </c>
      <c r="J28" s="34" t="str">
        <f aca="false">IF($B28="","",SUMIFS('قيود اليومية'!$G$11:$G$1010,'قيود اليومية'!$E$11:$E$1010,$B28,'قيود اليومية'!$K$11:$K$1010,"مقاولو باطن",'قيود اليومية'!$I$11:$I$1010,"مرحل ✔")-SUMIFS('قيود اليومية'!$H$11:$H$1010,'قيود اليومية'!$E$11:$E$1010,$B28,'قيود اليومية'!$K$11:$K$1010,"مقاولو باطن",'قيود اليومية'!$I$11:$I$1010,"مرحل ✔"))</f>
        <v/>
      </c>
      <c r="K28" s="34" t="str">
        <f aca="false">IF($B28="","",SUMIFS('قيود اليومية'!$G$11:$G$1010,'قيود اليومية'!$E$11:$E$1010,$B28,'قيود اليومية'!$K$11:$K$1010,"معدات",'قيود اليومية'!$I$11:$I$1010,"مرحل ✔")-SUMIFS('قيود اليومية'!$H$11:$H$1010,'قيود اليومية'!$E$11:$E$1010,$B28,'قيود اليومية'!$K$11:$K$1010,"معدات",'قيود اليومية'!$I$11:$I$1010,"مرحل ✔"))</f>
        <v/>
      </c>
      <c r="L28" s="34" t="str">
        <f aca="false">IF($B28="","",SUMIFS('قيود اليومية'!$G$11:$G$1010,'قيود اليومية'!$E$11:$E$1010,$B28,'قيود اليومية'!$K$11:$K$1010,"مصاريف موقع",'قيود اليومية'!$I$11:$I$1010,"مرحل ✔")-SUMIFS('قيود اليومية'!$H$11:$H$1010,'قيود اليومية'!$E$11:$E$1010,$B28,'قيود اليومية'!$K$11:$K$1010,"مصاريف موقع",'قيود اليومية'!$I$11:$I$1010,"مرحل ✔"))</f>
        <v/>
      </c>
      <c r="M28" s="63" t="str">
        <f aca="false">IF($B28="","",SUM(H28:L28))</f>
        <v/>
      </c>
      <c r="N28" s="34" t="str">
        <f aca="false">IF($B28="","",SUMIFS('قيود اليومية'!$G$11:$G$1010,'قيود اليومية'!$E$11:$E$1010,$B28,'قيود اليومية'!$C$11:$C$1010,1108,'قيود اليومية'!$I$11:$I$1010,"مرحل ✔")-SUMIFS('قيود اليومية'!$H$11:$H$1010,'قيود اليومية'!$E$11:$E$1010,$B28,'قيود اليومية'!$C$11:$C$1010,1108,'قيود اليومية'!$I$11:$I$1010,"مرحل ✔"))</f>
        <v/>
      </c>
      <c r="O28" s="63" t="str">
        <f aca="false">IF($B28="","",SUMIFS('قيود اليومية'!$H$11:$H$1010,'قيود اليومية'!$E$11:$E$1010,$B28,'قيود اليومية'!$J$11:$J$1010,"الإيرادات",'قيود اليومية'!$C$11:$C$1010,"&lt;4200",'قيود اليومية'!$I$11:$I$1010,"مرحل ✔")-SUMIFS('قيود اليومية'!$G$11:$G$1010,'قيود اليومية'!$E$11:$E$1010,$B28,'قيود اليومية'!$J$11:$J$1010,"الإيرادات",'قيود اليومية'!$C$11:$C$1010,"&lt;4200",'قيود اليومية'!$I$11:$I$1010,"مرحل ✔"))</f>
        <v/>
      </c>
      <c r="P28" s="63" t="str">
        <f aca="false">IF($B28="","",O28-M28)</f>
        <v/>
      </c>
      <c r="Q28" s="64" t="str">
        <f aca="false">IF($B28="","",IFERROR(P28/O28,0))</f>
        <v/>
      </c>
      <c r="R28" s="64" t="str">
        <f aca="false">IF($B28="","",IFERROR((M28+N28)/E28,0))</f>
        <v/>
      </c>
      <c r="S28" s="64" t="str">
        <f aca="false">IF($B28="","",IFERROR(O28/D28,0))</f>
        <v/>
      </c>
      <c r="T28" s="34" t="str">
        <f aca="false">IF($B28="","",SUMIFS('قيود اليومية'!$G$11:$G$1010,'قيود اليومية'!$E$11:$E$1010,$B28,'قيود اليومية'!$C$11:$C$1010,1104,'قيود اليومية'!$I$11:$I$1010,"مرحل ✔")-SUMIFS('قيود اليومية'!$H$11:$H$1010,'قيود اليومية'!$E$11:$E$1010,$B28,'قيود اليومية'!$C$11:$C$1010,1104,'قيود اليومية'!$I$11:$I$1010,"مرحل ✔"))</f>
        <v/>
      </c>
      <c r="U28" s="34" t="str">
        <f aca="false">IF($B28="","",SUMIFS('قيود اليومية'!$H$11:$H$1010,'قيود اليومية'!$E$11:$E$1010,$B28,'قيود اليومية'!$C$11:$C$1010,2104,'قيود اليومية'!$I$11:$I$1010,"مرحل ✔")-SUMIFS('قيود اليومية'!$G$11:$G$1010,'قيود اليومية'!$E$11:$E$1010,$B28,'قيود اليومية'!$C$11:$C$1010,2104,'قيود اليومية'!$I$11:$I$1010,"مرحل ✔"))</f>
        <v/>
      </c>
    </row>
    <row r="29" customFormat="false" ht="15" hidden="false" customHeight="false" outlineLevel="0" collapsed="false">
      <c r="A29" s="65" t="s">
        <v>255</v>
      </c>
      <c r="B29" s="65"/>
      <c r="C29" s="65"/>
      <c r="D29" s="66" t="n">
        <f aca="false">SUM(D9:D28)</f>
        <v>10000000</v>
      </c>
      <c r="E29" s="66" t="n">
        <f aca="false">SUM(E9:E28)</f>
        <v>8250000</v>
      </c>
      <c r="F29" s="67"/>
      <c r="G29" s="67"/>
      <c r="H29" s="66" t="n">
        <f aca="false">SUM(H9:H28)</f>
        <v>680000</v>
      </c>
      <c r="I29" s="66" t="n">
        <f aca="false">SUM(I9:I28)</f>
        <v>340000</v>
      </c>
      <c r="J29" s="66" t="n">
        <f aca="false">SUM(J9:J28)</f>
        <v>850000</v>
      </c>
      <c r="K29" s="66" t="n">
        <f aca="false">SUM(K9:K28)</f>
        <v>155000</v>
      </c>
      <c r="L29" s="66" t="n">
        <f aca="false">SUM(L9:L28)</f>
        <v>50000</v>
      </c>
      <c r="M29" s="66" t="n">
        <f aca="false">SUM(M9:M28)</f>
        <v>2075000</v>
      </c>
      <c r="N29" s="66" t="n">
        <f aca="false">SUM(N9:N28)</f>
        <v>95000</v>
      </c>
      <c r="O29" s="66" t="n">
        <f aca="false">SUM(O9:O28)</f>
        <v>2700000</v>
      </c>
      <c r="P29" s="66" t="n">
        <f aca="false">SUM(P9:P28)</f>
        <v>625000</v>
      </c>
      <c r="Q29" s="68" t="n">
        <f aca="false">IFERROR(P29/O29,0)</f>
        <v>0.231481481481481</v>
      </c>
      <c r="R29" s="68" t="n">
        <f aca="false">IFERROR((M29+N29)/E29,0)</f>
        <v>0.263030303030303</v>
      </c>
      <c r="S29" s="68" t="n">
        <f aca="false">IFERROR(O29/D29,0)</f>
        <v>0.27</v>
      </c>
      <c r="T29" s="66" t="n">
        <f aca="false">SUM(T9:T28)</f>
        <v>195000</v>
      </c>
      <c r="U29" s="66" t="n">
        <f aca="false">SUM(U9:U28)</f>
        <v>755000</v>
      </c>
    </row>
    <row r="30" customFormat="false" ht="27.75" hidden="false" customHeight="true" outlineLevel="0" collapsed="false">
      <c r="A30" s="69" t="s">
        <v>256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</row>
  </sheetData>
  <mergeCells count="16">
    <mergeCell ref="A1:U1"/>
    <mergeCell ref="A2:U2"/>
    <mergeCell ref="A5:B5"/>
    <mergeCell ref="D5:E5"/>
    <mergeCell ref="F5:H5"/>
    <mergeCell ref="I5:K5"/>
    <mergeCell ref="L5:M5"/>
    <mergeCell ref="N5:P5"/>
    <mergeCell ref="A6:B6"/>
    <mergeCell ref="D6:E6"/>
    <mergeCell ref="F6:H6"/>
    <mergeCell ref="I6:K6"/>
    <mergeCell ref="L6:M6"/>
    <mergeCell ref="N6:P6"/>
    <mergeCell ref="A29:C29"/>
    <mergeCell ref="A30:U30"/>
  </mergeCells>
  <conditionalFormatting sqref="P9:P28">
    <cfRule type="expression" priority="2" aboveAverage="0" equalAverage="0" bottom="0" percent="0" rank="0" text="" dxfId="22">
      <formula>AND(ISNUMBER(P9),P9&lt;0)</formula>
    </cfRule>
  </conditionalFormatting>
  <dataValidations count="1">
    <dataValidation allowBlank="true" error="من فضلك اختر قيمة من القائمة المنسدلة." errorStyle="stop" errorTitle="قيمة غير مسموحة" operator="between" prompt="اختر حالة المشروع" promptTitle="حالة المشروع" showDropDown="false" showErrorMessage="true" showInputMessage="true" sqref="G9:G28" type="list">
      <formula1>L_PSTATUS</formula1>
      <formula2>0</formula2>
    </dataValidation>
  </dataValidations>
  <hyperlinks>
    <hyperlink ref="A3" location="'الرئيسية'!A1" display="🏠 الرئيسية"/>
    <hyperlink ref="B3" location="'شجرة الحسابات'!A1" display="🌳 الشجرة"/>
    <hyperlink ref="C3" location="'قيود اليومية'!A1" display="✍ القيود"/>
    <hyperlink ref="D3" location="'كشف حساب مشروع'!A1" display="📄 كشف مشروع"/>
    <hyperlink ref="E3" location="'دفتر الأستاذ'!A1" display="📒 الأستاذ"/>
    <hyperlink ref="F3" location="'ميزان المراجعة'!A1" display="⚖ الميزان"/>
    <hyperlink ref="G3" location="'قائمة الدخل'!A1" display="📈 الدخل"/>
    <hyperlink ref="H3" location="'المركز المالي'!A1" display="🏦 المركز المالي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6C3A"/>
    <pageSetUpPr fitToPage="true"/>
  </sheetPr>
  <dimension ref="A1:I316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46"/>
    <col collapsed="false" customWidth="true" hidden="false" outlineLevel="0" max="9" min="8" style="0" width="17"/>
  </cols>
  <sheetData>
    <row r="1" customFormat="false" ht="37.5" hidden="false" customHeight="true" outlineLevel="0" collapsed="false">
      <c r="A1" s="1" t="s">
        <v>257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tr">
        <f aca="false">الرئيسية!$C$6&amp;"   |   الفترة المنتهية في: "&amp;TEXT(الرئيسية!$C$7,"yyyy/mm/dd")&amp;"   |   المبالغ بـ "&amp;الرئيسية!$G$7</f>
        <v>شركة الإعمار الحديثة للمقاولات العامة   |   الفترة المنتهية في: 2026/03/31   |   المبالغ بـ ريال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26" t="s">
        <v>42</v>
      </c>
      <c r="B3" s="16" t="s">
        <v>149</v>
      </c>
      <c r="C3" s="16" t="s">
        <v>43</v>
      </c>
      <c r="D3" s="16" t="s">
        <v>44</v>
      </c>
      <c r="E3" s="16" t="s">
        <v>46</v>
      </c>
      <c r="F3" s="16" t="s">
        <v>47</v>
      </c>
      <c r="G3" s="16" t="s">
        <v>48</v>
      </c>
      <c r="H3" s="16" t="s">
        <v>49</v>
      </c>
    </row>
    <row r="4" customFormat="false" ht="7.5" hidden="false" customHeight="true" outlineLevel="0" collapsed="false"/>
    <row r="5" customFormat="false" ht="21.75" hidden="false" customHeight="true" outlineLevel="0" collapsed="false">
      <c r="A5" s="37" t="s">
        <v>258</v>
      </c>
      <c r="B5" s="37"/>
      <c r="C5" s="70" t="s">
        <v>259</v>
      </c>
      <c r="D5" s="70"/>
      <c r="E5" s="70"/>
      <c r="F5" s="8" t="s">
        <v>236</v>
      </c>
      <c r="G5" s="7" t="s">
        <v>120</v>
      </c>
      <c r="H5" s="56" t="s">
        <v>260</v>
      </c>
      <c r="I5" s="9" t="s">
        <v>11</v>
      </c>
    </row>
    <row r="6" customFormat="false" ht="30" hidden="false" customHeight="true" outlineLevel="0" collapsed="false">
      <c r="A6" s="39" t="s">
        <v>261</v>
      </c>
      <c r="B6" s="39"/>
      <c r="C6" s="71" t="s">
        <v>176</v>
      </c>
      <c r="D6" s="71"/>
      <c r="E6" s="71"/>
      <c r="F6" s="72" t="n">
        <f aca="false">IFERROR(INDEX('تجميع المشروعات'!$D$9:$D$28,MATCH($C$6,'تجميع المشروعات'!$B$9:$B$28,0)),0)</f>
        <v>5000000</v>
      </c>
      <c r="G6" s="44" t="n">
        <f aca="false">IFERROR(INDEX('تجميع المشروعات'!$O$9:$O$28,MATCH($C$6,'تجميع المشروعات'!$B$9:$B$28,0)),0)</f>
        <v>1620000</v>
      </c>
      <c r="H6" s="73" t="n">
        <f aca="false">IFERROR(INDEX('تجميع المشروعات'!$M$9:$M$28,MATCH($C$6,'تجميع المشروعات'!$B$9:$B$28,0)),0)</f>
        <v>1292000</v>
      </c>
      <c r="I6" s="74" t="n">
        <f aca="false">IFERROR(INDEX('تجميع المشروعات'!$P$9:$P$28,MATCH($C$6,'تجميع المشروعات'!$B$9:$B$28,0)),0)</f>
        <v>328000</v>
      </c>
    </row>
    <row r="7" customFormat="false" ht="15" hidden="false" customHeight="false" outlineLevel="0" collapsed="false">
      <c r="A7" s="39" t="s">
        <v>235</v>
      </c>
      <c r="B7" s="39"/>
      <c r="C7" s="75" t="str">
        <f aca="false">IFERROR(INDEX('تجميع المشروعات'!$C$9:$C$28,MATCH($C$6,'تجميع المشروعات'!$B$9:$B$28,0)),"")</f>
        <v>شركة الريان للاستثمار العقاري</v>
      </c>
      <c r="D7" s="75"/>
      <c r="E7" s="75"/>
    </row>
    <row r="8" customFormat="false" ht="33.75" hidden="false" customHeight="true" outlineLevel="0" collapsed="false">
      <c r="A8" s="60" t="s">
        <v>165</v>
      </c>
      <c r="B8" s="60"/>
      <c r="C8" s="60"/>
      <c r="D8" s="60" t="s">
        <v>262</v>
      </c>
      <c r="E8" s="60" t="s">
        <v>263</v>
      </c>
      <c r="F8" s="9" t="s">
        <v>242</v>
      </c>
      <c r="G8" s="8" t="s">
        <v>243</v>
      </c>
      <c r="H8" s="13" t="s">
        <v>245</v>
      </c>
      <c r="I8" s="7" t="s">
        <v>246</v>
      </c>
    </row>
    <row r="9" customFormat="false" ht="18" hidden="false" customHeight="true" outlineLevel="0" collapsed="false">
      <c r="A9" s="76" t="s">
        <v>129</v>
      </c>
      <c r="B9" s="76"/>
      <c r="C9" s="76"/>
      <c r="D9" s="34" t="n">
        <f aca="false">IFERROR(INDEX('تجميع المشروعات'!$H$9:$H$28,MATCH($C$6,'تجميع المشروعات'!$B$9:$B$28,0)),0)</f>
        <v>420000</v>
      </c>
      <c r="E9" s="64" t="n">
        <f aca="false">IFERROR(D9/SUM($D$9:$D$13),0)</f>
        <v>0.325077399380805</v>
      </c>
      <c r="F9" s="77" t="n">
        <f aca="false">IFERROR(INDEX('تجميع المشروعات'!$Q$9:$Q$28,MATCH($C$6,'تجميع المشروعات'!$B$9:$B$28,0)),0)</f>
        <v>0.202469135802469</v>
      </c>
      <c r="G9" s="78" t="n">
        <f aca="false">IFERROR(INDEX('تجميع المشروعات'!$R$9:$R$28,MATCH($C$6,'تجميع المشروعات'!$B$9:$B$28,0)),0)</f>
        <v>0.315121951219512</v>
      </c>
      <c r="H9" s="79" t="n">
        <f aca="false">IFERROR(INDEX('تجميع المشروعات'!$T$9:$T$28,MATCH($C$6,'تجميع المشروعات'!$B$9:$B$28,0)),0)</f>
        <v>150000</v>
      </c>
      <c r="I9" s="44" t="n">
        <f aca="false">IFERROR(INDEX('تجميع المشروعات'!$U$9:$U$28,MATCH($C$6,'تجميع المشروعات'!$B$9:$B$28,0)),0)</f>
        <v>525000</v>
      </c>
    </row>
    <row r="10" customFormat="false" ht="18" hidden="false" customHeight="true" outlineLevel="0" collapsed="false">
      <c r="A10" s="76" t="s">
        <v>131</v>
      </c>
      <c r="B10" s="76"/>
      <c r="C10" s="76"/>
      <c r="D10" s="34" t="n">
        <f aca="false">IFERROR(INDEX('تجميع المشروعات'!$I$9:$I$28,MATCH($C$6,'تجميع المشروعات'!$B$9:$B$28,0)),0)</f>
        <v>180000</v>
      </c>
      <c r="E10" s="64" t="n">
        <f aca="false">IFERROR(D10/SUM($D$9:$D$13),0)</f>
        <v>0.139318885448916</v>
      </c>
    </row>
    <row r="11" customFormat="false" ht="18" hidden="false" customHeight="true" outlineLevel="0" collapsed="false">
      <c r="A11" s="76" t="s">
        <v>133</v>
      </c>
      <c r="B11" s="76"/>
      <c r="C11" s="76"/>
      <c r="D11" s="34" t="n">
        <f aca="false">IFERROR(INDEX('تجميع المشروعات'!$J$9:$J$28,MATCH($C$6,'تجميع المشروعات'!$B$9:$B$28,0)),0)</f>
        <v>600000</v>
      </c>
      <c r="E11" s="64" t="n">
        <f aca="false">IFERROR(D11/SUM($D$9:$D$13),0)</f>
        <v>0.464396284829721</v>
      </c>
    </row>
    <row r="12" customFormat="false" ht="18" hidden="false" customHeight="true" outlineLevel="0" collapsed="false">
      <c r="A12" s="76" t="s">
        <v>135</v>
      </c>
      <c r="B12" s="76"/>
      <c r="C12" s="76"/>
      <c r="D12" s="34" t="n">
        <f aca="false">IFERROR(INDEX('تجميع المشروعات'!$K$9:$K$28,MATCH($C$6,'تجميع المشروعات'!$B$9:$B$28,0)),0)</f>
        <v>60000</v>
      </c>
      <c r="E12" s="64" t="n">
        <f aca="false">IFERROR(D12/SUM($D$9:$D$13),0)</f>
        <v>0.0464396284829721</v>
      </c>
      <c r="F12" s="80" t="str">
        <f aca="false">"عدد الحركات المرحّلة: "&amp;COUNT('قيود اليومية'!$N$11:$N$1010)</f>
        <v>عدد الحركات المرحّلة: 24</v>
      </c>
      <c r="G12" s="80"/>
      <c r="H12" s="80"/>
      <c r="I12" s="80"/>
    </row>
    <row r="13" customFormat="false" ht="18" hidden="false" customHeight="true" outlineLevel="0" collapsed="false">
      <c r="A13" s="76" t="s">
        <v>137</v>
      </c>
      <c r="B13" s="76"/>
      <c r="C13" s="76"/>
      <c r="D13" s="34" t="n">
        <f aca="false">IFERROR(INDEX('تجميع المشروعات'!$L$9:$L$28,MATCH($C$6,'تجميع المشروعات'!$B$9:$B$28,0)),0)</f>
        <v>32000</v>
      </c>
      <c r="E13" s="64" t="n">
        <f aca="false">IFERROR(D13/SUM($D$9:$D$13),0)</f>
        <v>0.0247678018575851</v>
      </c>
    </row>
    <row r="14" customFormat="false" ht="15" hidden="false" customHeight="false" outlineLevel="0" collapsed="false">
      <c r="A14" s="81" t="s">
        <v>264</v>
      </c>
      <c r="B14" s="81"/>
      <c r="C14" s="81"/>
      <c r="D14" s="66" t="n">
        <f aca="false">SUM(D9:D13)</f>
        <v>1292000</v>
      </c>
      <c r="E14" s="68" t="n">
        <f aca="false">IFERROR(D14/D14,0)</f>
        <v>1</v>
      </c>
    </row>
    <row r="16" customFormat="false" ht="33.75" hidden="false" customHeight="true" outlineLevel="0" collapsed="false">
      <c r="A16" s="31" t="s">
        <v>265</v>
      </c>
      <c r="B16" s="31" t="s">
        <v>161</v>
      </c>
      <c r="C16" s="31" t="s">
        <v>160</v>
      </c>
      <c r="D16" s="31" t="s">
        <v>58</v>
      </c>
      <c r="E16" s="31" t="s">
        <v>59</v>
      </c>
      <c r="F16" s="31" t="s">
        <v>165</v>
      </c>
      <c r="G16" s="31" t="s">
        <v>266</v>
      </c>
      <c r="H16" s="31" t="s">
        <v>71</v>
      </c>
      <c r="I16" s="31" t="s">
        <v>94</v>
      </c>
    </row>
    <row r="17" customFormat="false" ht="15" hidden="false" customHeight="false" outlineLevel="0" collapsed="false">
      <c r="A17" s="82" t="n">
        <f aca="false">IF(ROW()-16&gt;COUNT('قيود اليومية'!$N$11:$N$1010),"",ROW()-16)</f>
        <v>1</v>
      </c>
      <c r="B17" s="83" t="n">
        <f aca="false">IF($A17="","",INDEX('قيود اليومية'!$B$11:$B$1010,MATCH($A17,'قيود اليومية'!$N$11:$N$1010,0)))</f>
        <v>46032</v>
      </c>
      <c r="C17" s="84" t="n">
        <f aca="false">IF($A17="","",INDEX('قيود اليومية'!$A$11:$A$1010,MATCH($A17,'قيود اليومية'!$N$11:$N$1010,0)))</f>
        <v>4</v>
      </c>
      <c r="D17" s="84" t="n">
        <f aca="false">IF($A17="","",INDEX('قيود اليومية'!$C$11:$C$1010,MATCH($A17,'قيود اليومية'!$N$11:$N$1010,0)))</f>
        <v>1102</v>
      </c>
      <c r="E17" s="51" t="str">
        <f aca="false">IF($A17="","",INDEX('قيود اليومية'!$D$11:$D$1010,MATCH($A17,'قيود اليومية'!$N$11:$N$1010,0))&amp;"")</f>
        <v>البنك - الحساب الجاري</v>
      </c>
      <c r="F17" s="51" t="str">
        <f aca="false">IF($A17="","",INDEX('قيود اليومية'!$K$11:$K$1010,MATCH($A17,'قيود اليومية'!$N$11:$N$1010,0))&amp;"")</f>
        <v/>
      </c>
      <c r="G17" s="51" t="str">
        <f aca="false">IF($A17="","",INDEX('قيود اليومية'!$F$11:$F$1010,MATCH($A17,'قيود اليومية'!$N$11:$N$1010,0))&amp;"")</f>
        <v>استلام دفعة مقدمة 15% من العميل</v>
      </c>
      <c r="H17" s="85" t="n">
        <f aca="false">IF($A17="","",INDEX('قيود اليومية'!$G$11:$G$1010,MATCH($A17,'قيود اليومية'!$N$11:$N$1010,0)))</f>
        <v>750000</v>
      </c>
      <c r="I17" s="85" t="n">
        <f aca="false">IF($A17="","",INDEX('قيود اليومية'!$H$11:$H$1010,MATCH($A17,'قيود اليومية'!$N$11:$N$1010,0)))</f>
        <v>0</v>
      </c>
    </row>
    <row r="18" customFormat="false" ht="15" hidden="false" customHeight="false" outlineLevel="0" collapsed="false">
      <c r="A18" s="82" t="n">
        <f aca="false">IF(ROW()-16&gt;COUNT('قيود اليومية'!$N$11:$N$1010),"",ROW()-16)</f>
        <v>2</v>
      </c>
      <c r="B18" s="83" t="n">
        <f aca="false">IF($A18="","",INDEX('قيود اليومية'!$B$11:$B$1010,MATCH($A18,'قيود اليومية'!$N$11:$N$1010,0)))</f>
        <v>46032</v>
      </c>
      <c r="C18" s="84" t="n">
        <f aca="false">IF($A18="","",INDEX('قيود اليومية'!$A$11:$A$1010,MATCH($A18,'قيود اليومية'!$N$11:$N$1010,0)))</f>
        <v>4</v>
      </c>
      <c r="D18" s="84" t="n">
        <f aca="false">IF($A18="","",INDEX('قيود اليومية'!$C$11:$C$1010,MATCH($A18,'قيود اليومية'!$N$11:$N$1010,0)))</f>
        <v>2104</v>
      </c>
      <c r="E18" s="51" t="str">
        <f aca="false">IF($A18="","",INDEX('قيود اليومية'!$D$11:$D$1010,MATCH($A18,'قيود اليومية'!$N$11:$N$1010,0))&amp;"")</f>
        <v>دفعات مقدمة من العملاء</v>
      </c>
      <c r="F18" s="51" t="str">
        <f aca="false">IF($A18="","",INDEX('قيود اليومية'!$K$11:$K$1010,MATCH($A18,'قيود اليومية'!$N$11:$N$1010,0))&amp;"")</f>
        <v/>
      </c>
      <c r="G18" s="51" t="str">
        <f aca="false">IF($A18="","",INDEX('قيود اليومية'!$F$11:$F$1010,MATCH($A18,'قيود اليومية'!$N$11:$N$1010,0))&amp;"")</f>
        <v>استلام دفعة مقدمة 15% من العميل</v>
      </c>
      <c r="H18" s="85" t="n">
        <f aca="false">IF($A18="","",INDEX('قيود اليومية'!$G$11:$G$1010,MATCH($A18,'قيود اليومية'!$N$11:$N$1010,0)))</f>
        <v>0</v>
      </c>
      <c r="I18" s="85" t="n">
        <f aca="false">IF($A18="","",INDEX('قيود اليومية'!$H$11:$H$1010,MATCH($A18,'قيود اليومية'!$N$11:$N$1010,0)))</f>
        <v>750000</v>
      </c>
    </row>
    <row r="19" customFormat="false" ht="15" hidden="false" customHeight="false" outlineLevel="0" collapsed="false">
      <c r="A19" s="82" t="n">
        <f aca="false">IF(ROW()-16&gt;COUNT('قيود اليومية'!$N$11:$N$1010),"",ROW()-16)</f>
        <v>3</v>
      </c>
      <c r="B19" s="83" t="n">
        <f aca="false">IF($A19="","",INDEX('قيود اليومية'!$B$11:$B$1010,MATCH($A19,'قيود اليومية'!$N$11:$N$1010,0)))</f>
        <v>46037</v>
      </c>
      <c r="C19" s="84" t="n">
        <f aca="false">IF($A19="","",INDEX('قيود اليومية'!$A$11:$A$1010,MATCH($A19,'قيود اليومية'!$N$11:$N$1010,0)))</f>
        <v>6</v>
      </c>
      <c r="D19" s="84" t="n">
        <f aca="false">IF($A19="","",INDEX('قيود اليومية'!$C$11:$C$1010,MATCH($A19,'قيود اليومية'!$N$11:$N$1010,0)))</f>
        <v>5101</v>
      </c>
      <c r="E19" s="51" t="str">
        <f aca="false">IF($A19="","",INDEX('قيود اليومية'!$D$11:$D$1010,MATCH($A19,'قيود اليومية'!$N$11:$N$1010,0))&amp;"")</f>
        <v>تكلفة المواد المستخدمة</v>
      </c>
      <c r="F19" s="51" t="str">
        <f aca="false">IF($A19="","",INDEX('قيود اليومية'!$K$11:$K$1010,MATCH($A19,'قيود اليومية'!$N$11:$N$1010,0))&amp;"")</f>
        <v>مواد</v>
      </c>
      <c r="G19" s="51" t="str">
        <f aca="false">IF($A19="","",INDEX('قيود اليومية'!$F$11:$F$1010,MATCH($A19,'قيود اليومية'!$N$11:$N$1010,0))&amp;"")</f>
        <v>توريد حديد تسليح وخرسانة جاهزة</v>
      </c>
      <c r="H19" s="85" t="n">
        <f aca="false">IF($A19="","",INDEX('قيود اليومية'!$G$11:$G$1010,MATCH($A19,'قيود اليومية'!$N$11:$N$1010,0)))</f>
        <v>420000</v>
      </c>
      <c r="I19" s="85" t="n">
        <f aca="false">IF($A19="","",INDEX('قيود اليومية'!$H$11:$H$1010,MATCH($A19,'قيود اليومية'!$N$11:$N$1010,0)))</f>
        <v>0</v>
      </c>
    </row>
    <row r="20" customFormat="false" ht="15" hidden="false" customHeight="false" outlineLevel="0" collapsed="false">
      <c r="A20" s="82" t="n">
        <f aca="false">IF(ROW()-16&gt;COUNT('قيود اليومية'!$N$11:$N$1010),"",ROW()-16)</f>
        <v>4</v>
      </c>
      <c r="B20" s="83" t="n">
        <f aca="false">IF($A20="","",INDEX('قيود اليومية'!$B$11:$B$1010,MATCH($A20,'قيود اليومية'!$N$11:$N$1010,0)))</f>
        <v>46037</v>
      </c>
      <c r="C20" s="84" t="n">
        <f aca="false">IF($A20="","",INDEX('قيود اليومية'!$A$11:$A$1010,MATCH($A20,'قيود اليومية'!$N$11:$N$1010,0)))</f>
        <v>6</v>
      </c>
      <c r="D20" s="84" t="n">
        <f aca="false">IF($A20="","",INDEX('قيود اليومية'!$C$11:$C$1010,MATCH($A20,'قيود اليومية'!$N$11:$N$1010,0)))</f>
        <v>2101</v>
      </c>
      <c r="E20" s="51" t="str">
        <f aca="false">IF($A20="","",INDEX('قيود اليومية'!$D$11:$D$1010,MATCH($A20,'قيود اليومية'!$N$11:$N$1010,0))&amp;"")</f>
        <v>الموردون</v>
      </c>
      <c r="F20" s="51" t="str">
        <f aca="false">IF($A20="","",INDEX('قيود اليومية'!$K$11:$K$1010,MATCH($A20,'قيود اليومية'!$N$11:$N$1010,0))&amp;"")</f>
        <v/>
      </c>
      <c r="G20" s="51" t="str">
        <f aca="false">IF($A20="","",INDEX('قيود اليومية'!$F$11:$F$1010,MATCH($A20,'قيود اليومية'!$N$11:$N$1010,0))&amp;"")</f>
        <v>مستحق للمورد - فاتورة مواد</v>
      </c>
      <c r="H20" s="85" t="n">
        <f aca="false">IF($A20="","",INDEX('قيود اليومية'!$G$11:$G$1010,MATCH($A20,'قيود اليومية'!$N$11:$N$1010,0)))</f>
        <v>0</v>
      </c>
      <c r="I20" s="85" t="n">
        <f aca="false">IF($A20="","",INDEX('قيود اليومية'!$H$11:$H$1010,MATCH($A20,'قيود اليومية'!$N$11:$N$1010,0)))</f>
        <v>420000</v>
      </c>
    </row>
    <row r="21" customFormat="false" ht="15" hidden="false" customHeight="false" outlineLevel="0" collapsed="false">
      <c r="A21" s="82" t="n">
        <f aca="false">IF(ROW()-16&gt;COUNT('قيود اليومية'!$N$11:$N$1010),"",ROW()-16)</f>
        <v>5</v>
      </c>
      <c r="B21" s="83" t="n">
        <f aca="false">IF($A21="","",INDEX('قيود اليومية'!$B$11:$B$1010,MATCH($A21,'قيود اليومية'!$N$11:$N$1010,0)))</f>
        <v>46042</v>
      </c>
      <c r="C21" s="84" t="n">
        <f aca="false">IF($A21="","",INDEX('قيود اليومية'!$A$11:$A$1010,MATCH($A21,'قيود اليومية'!$N$11:$N$1010,0)))</f>
        <v>7</v>
      </c>
      <c r="D21" s="84" t="n">
        <f aca="false">IF($A21="","",INDEX('قيود اليومية'!$C$11:$C$1010,MATCH($A21,'قيود اليومية'!$N$11:$N$1010,0)))</f>
        <v>1106</v>
      </c>
      <c r="E21" s="51" t="str">
        <f aca="false">IF($A21="","",INDEX('قيود اليومية'!$D$11:$D$1010,MATCH($A21,'قيود اليومية'!$N$11:$N$1010,0))&amp;"")</f>
        <v>دفعات مقدمة لمقاولي الباطن</v>
      </c>
      <c r="F21" s="51" t="str">
        <f aca="false">IF($A21="","",INDEX('قيود اليومية'!$K$11:$K$1010,MATCH($A21,'قيود اليومية'!$N$11:$N$1010,0))&amp;"")</f>
        <v/>
      </c>
      <c r="G21" s="51" t="str">
        <f aca="false">IF($A21="","",INDEX('قيود اليومية'!$F$11:$F$1010,MATCH($A21,'قيود اليومية'!$N$11:$N$1010,0))&amp;"")</f>
        <v>دفعة مقدمة لمقاول باطن الأعمال الكهربائية</v>
      </c>
      <c r="H21" s="85" t="n">
        <f aca="false">IF($A21="","",INDEX('قيود اليومية'!$G$11:$G$1010,MATCH($A21,'قيود اليومية'!$N$11:$N$1010,0)))</f>
        <v>150000</v>
      </c>
      <c r="I21" s="85" t="n">
        <f aca="false">IF($A21="","",INDEX('قيود اليومية'!$H$11:$H$1010,MATCH($A21,'قيود اليومية'!$N$11:$N$1010,0)))</f>
        <v>0</v>
      </c>
    </row>
    <row r="22" customFormat="false" ht="15" hidden="false" customHeight="false" outlineLevel="0" collapsed="false">
      <c r="A22" s="82" t="n">
        <f aca="false">IF(ROW()-16&gt;COUNT('قيود اليومية'!$N$11:$N$1010),"",ROW()-16)</f>
        <v>6</v>
      </c>
      <c r="B22" s="83" t="n">
        <f aca="false">IF($A22="","",INDEX('قيود اليومية'!$B$11:$B$1010,MATCH($A22,'قيود اليومية'!$N$11:$N$1010,0)))</f>
        <v>46042</v>
      </c>
      <c r="C22" s="84" t="n">
        <f aca="false">IF($A22="","",INDEX('قيود اليومية'!$A$11:$A$1010,MATCH($A22,'قيود اليومية'!$N$11:$N$1010,0)))</f>
        <v>7</v>
      </c>
      <c r="D22" s="84" t="n">
        <f aca="false">IF($A22="","",INDEX('قيود اليومية'!$C$11:$C$1010,MATCH($A22,'قيود اليومية'!$N$11:$N$1010,0)))</f>
        <v>1102</v>
      </c>
      <c r="E22" s="51" t="str">
        <f aca="false">IF($A22="","",INDEX('قيود اليومية'!$D$11:$D$1010,MATCH($A22,'قيود اليومية'!$N$11:$N$1010,0))&amp;"")</f>
        <v>البنك - الحساب الجاري</v>
      </c>
      <c r="F22" s="51" t="str">
        <f aca="false">IF($A22="","",INDEX('قيود اليومية'!$K$11:$K$1010,MATCH($A22,'قيود اليومية'!$N$11:$N$1010,0))&amp;"")</f>
        <v/>
      </c>
      <c r="G22" s="51" t="str">
        <f aca="false">IF($A22="","",INDEX('قيود اليومية'!$F$11:$F$1010,MATCH($A22,'قيود اليومية'!$N$11:$N$1010,0))&amp;"")</f>
        <v>دفعة مقدمة لمقاول باطن الأعمال الكهربائية</v>
      </c>
      <c r="H22" s="85" t="n">
        <f aca="false">IF($A22="","",INDEX('قيود اليومية'!$G$11:$G$1010,MATCH($A22,'قيود اليومية'!$N$11:$N$1010,0)))</f>
        <v>0</v>
      </c>
      <c r="I22" s="85" t="n">
        <f aca="false">IF($A22="","",INDEX('قيود اليومية'!$H$11:$H$1010,MATCH($A22,'قيود اليومية'!$N$11:$N$1010,0)))</f>
        <v>150000</v>
      </c>
    </row>
    <row r="23" customFormat="false" ht="15" hidden="false" customHeight="false" outlineLevel="0" collapsed="false">
      <c r="A23" s="82" t="n">
        <f aca="false">IF(ROW()-16&gt;COUNT('قيود اليومية'!$N$11:$N$1010),"",ROW()-16)</f>
        <v>7</v>
      </c>
      <c r="B23" s="83" t="n">
        <f aca="false">IF($A23="","",INDEX('قيود اليومية'!$B$11:$B$1010,MATCH($A23,'قيود اليومية'!$N$11:$N$1010,0)))</f>
        <v>46053</v>
      </c>
      <c r="C23" s="84" t="n">
        <f aca="false">IF($A23="","",INDEX('قيود اليومية'!$A$11:$A$1010,MATCH($A23,'قيود اليومية'!$N$11:$N$1010,0)))</f>
        <v>8</v>
      </c>
      <c r="D23" s="84" t="n">
        <f aca="false">IF($A23="","",INDEX('قيود اليومية'!$C$11:$C$1010,MATCH($A23,'قيود اليومية'!$N$11:$N$1010,0)))</f>
        <v>5102</v>
      </c>
      <c r="E23" s="51" t="str">
        <f aca="false">IF($A23="","",INDEX('قيود اليومية'!$D$11:$D$1010,MATCH($A23,'قيود اليومية'!$N$11:$N$1010,0))&amp;"")</f>
        <v>أجور العمالة المباشرة</v>
      </c>
      <c r="F23" s="51" t="str">
        <f aca="false">IF($A23="","",INDEX('قيود اليومية'!$K$11:$K$1010,MATCH($A23,'قيود اليومية'!$N$11:$N$1010,0))&amp;"")</f>
        <v>أجور عمال</v>
      </c>
      <c r="G23" s="51" t="str">
        <f aca="false">IF($A23="","",INDEX('قيود اليومية'!$F$11:$F$1010,MATCH($A23,'قيود اليومية'!$N$11:$N$1010,0))&amp;"")</f>
        <v>أجور عمالة موقع برج الريان - يناير</v>
      </c>
      <c r="H23" s="85" t="n">
        <f aca="false">IF($A23="","",INDEX('قيود اليومية'!$G$11:$G$1010,MATCH($A23,'قيود اليومية'!$N$11:$N$1010,0)))</f>
        <v>180000</v>
      </c>
      <c r="I23" s="85" t="n">
        <f aca="false">IF($A23="","",INDEX('قيود اليومية'!$H$11:$H$1010,MATCH($A23,'قيود اليومية'!$N$11:$N$1010,0)))</f>
        <v>0</v>
      </c>
    </row>
    <row r="24" customFormat="false" ht="15" hidden="false" customHeight="false" outlineLevel="0" collapsed="false">
      <c r="A24" s="82" t="n">
        <f aca="false">IF(ROW()-16&gt;COUNT('قيود اليومية'!$N$11:$N$1010),"",ROW()-16)</f>
        <v>8</v>
      </c>
      <c r="B24" s="83" t="n">
        <f aca="false">IF($A24="","",INDEX('قيود اليومية'!$B$11:$B$1010,MATCH($A24,'قيود اليومية'!$N$11:$N$1010,0)))</f>
        <v>46058</v>
      </c>
      <c r="C24" s="84" t="n">
        <f aca="false">IF($A24="","",INDEX('قيود اليومية'!$A$11:$A$1010,MATCH($A24,'قيود اليومية'!$N$11:$N$1010,0)))</f>
        <v>9</v>
      </c>
      <c r="D24" s="84" t="n">
        <f aca="false">IF($A24="","",INDEX('قيود اليومية'!$C$11:$C$1010,MATCH($A24,'قيود اليومية'!$N$11:$N$1010,0)))</f>
        <v>5104</v>
      </c>
      <c r="E24" s="51" t="str">
        <f aca="false">IF($A24="","",INDEX('قيود اليومية'!$D$11:$D$1010,MATCH($A24,'قيود اليومية'!$N$11:$N$1010,0))&amp;"")</f>
        <v>إيجار وتشغيل المعدات</v>
      </c>
      <c r="F24" s="51" t="str">
        <f aca="false">IF($A24="","",INDEX('قيود اليومية'!$K$11:$K$1010,MATCH($A24,'قيود اليومية'!$N$11:$N$1010,0))&amp;"")</f>
        <v>معدات</v>
      </c>
      <c r="G24" s="51" t="str">
        <f aca="false">IF($A24="","",INDEX('قيود اليومية'!$F$11:$F$1010,MATCH($A24,'قيود اليومية'!$N$11:$N$1010,0))&amp;"")</f>
        <v>وقود وتشغيل الرافعة البرجية</v>
      </c>
      <c r="H24" s="85" t="n">
        <f aca="false">IF($A24="","",INDEX('قيود اليومية'!$G$11:$G$1010,MATCH($A24,'قيود اليومية'!$N$11:$N$1010,0)))</f>
        <v>40000</v>
      </c>
      <c r="I24" s="85" t="n">
        <f aca="false">IF($A24="","",INDEX('قيود اليومية'!$H$11:$H$1010,MATCH($A24,'قيود اليومية'!$N$11:$N$1010,0)))</f>
        <v>0</v>
      </c>
    </row>
    <row r="25" customFormat="false" ht="15" hidden="false" customHeight="false" outlineLevel="0" collapsed="false">
      <c r="A25" s="82" t="n">
        <f aca="false">IF(ROW()-16&gt;COUNT('قيود اليومية'!$N$11:$N$1010),"",ROW()-16)</f>
        <v>9</v>
      </c>
      <c r="B25" s="83" t="n">
        <f aca="false">IF($A25="","",INDEX('قيود اليومية'!$B$11:$B$1010,MATCH($A25,'قيود اليومية'!$N$11:$N$1010,0)))</f>
        <v>46063</v>
      </c>
      <c r="C25" s="84" t="n">
        <f aca="false">IF($A25="","",INDEX('قيود اليومية'!$A$11:$A$1010,MATCH($A25,'قيود اليومية'!$N$11:$N$1010,0)))</f>
        <v>10</v>
      </c>
      <c r="D25" s="84" t="n">
        <f aca="false">IF($A25="","",INDEX('قيود اليومية'!$C$11:$C$1010,MATCH($A25,'قيود اليومية'!$N$11:$N$1010,0)))</f>
        <v>5105</v>
      </c>
      <c r="E25" s="51" t="str">
        <f aca="false">IF($A25="","",INDEX('قيود اليومية'!$D$11:$D$1010,MATCH($A25,'قيود اليومية'!$N$11:$N$1010,0))&amp;"")</f>
        <v>مصاريف الموقع الإدارية</v>
      </c>
      <c r="F25" s="51" t="str">
        <f aca="false">IF($A25="","",INDEX('قيود اليومية'!$K$11:$K$1010,MATCH($A25,'قيود اليومية'!$N$11:$N$1010,0))&amp;"")</f>
        <v>مصاريف موقع</v>
      </c>
      <c r="G25" s="51" t="str">
        <f aca="false">IF($A25="","",INDEX('قيود اليومية'!$F$11:$F$1010,MATCH($A25,'قيود اليومية'!$N$11:$N$1010,0))&amp;"")</f>
        <v>مصاريف موقع: حراسة ومياه وكهرباء مؤقتة</v>
      </c>
      <c r="H25" s="85" t="n">
        <f aca="false">IF($A25="","",INDEX('قيود اليومية'!$G$11:$G$1010,MATCH($A25,'قيود اليومية'!$N$11:$N$1010,0)))</f>
        <v>32000</v>
      </c>
      <c r="I25" s="85" t="n">
        <f aca="false">IF($A25="","",INDEX('قيود اليومية'!$H$11:$H$1010,MATCH($A25,'قيود اليومية'!$N$11:$N$1010,0)))</f>
        <v>0</v>
      </c>
    </row>
    <row r="26" customFormat="false" ht="15" hidden="false" customHeight="false" outlineLevel="0" collapsed="false">
      <c r="A26" s="82" t="n">
        <f aca="false">IF(ROW()-16&gt;COUNT('قيود اليومية'!$N$11:$N$1010),"",ROW()-16)</f>
        <v>10</v>
      </c>
      <c r="B26" s="83" t="n">
        <f aca="false">IF($A26="","",INDEX('قيود اليومية'!$B$11:$B$1010,MATCH($A26,'قيود اليومية'!$N$11:$N$1010,0)))</f>
        <v>46068</v>
      </c>
      <c r="C26" s="84" t="n">
        <f aca="false">IF($A26="","",INDEX('قيود اليومية'!$A$11:$A$1010,MATCH($A26,'قيود اليومية'!$N$11:$N$1010,0)))</f>
        <v>11</v>
      </c>
      <c r="D26" s="84" t="n">
        <f aca="false">IF($A26="","",INDEX('قيود اليومية'!$C$11:$C$1010,MATCH($A26,'قيود اليومية'!$N$11:$N$1010,0)))</f>
        <v>5103</v>
      </c>
      <c r="E26" s="51" t="str">
        <f aca="false">IF($A26="","",INDEX('قيود اليومية'!$D$11:$D$1010,MATCH($A26,'قيود اليومية'!$N$11:$N$1010,0))&amp;"")</f>
        <v>تكلفة مقاولي الباطن</v>
      </c>
      <c r="F26" s="51" t="str">
        <f aca="false">IF($A26="","",INDEX('قيود اليومية'!$K$11:$K$1010,MATCH($A26,'قيود اليومية'!$N$11:$N$1010,0))&amp;"")</f>
        <v>مقاولو باطن</v>
      </c>
      <c r="G26" s="51" t="str">
        <f aca="false">IF($A26="","",INDEX('قيود اليومية'!$F$11:$F$1010,MATCH($A26,'قيود اليومية'!$N$11:$N$1010,0))&amp;"")</f>
        <v>مستخلص مقاول باطن رقم 1 - أعمال كهربائية</v>
      </c>
      <c r="H26" s="85" t="n">
        <f aca="false">IF($A26="","",INDEX('قيود اليومية'!$G$11:$G$1010,MATCH($A26,'قيود اليومية'!$N$11:$N$1010,0)))</f>
        <v>600000</v>
      </c>
      <c r="I26" s="85" t="n">
        <f aca="false">IF($A26="","",INDEX('قيود اليومية'!$H$11:$H$1010,MATCH($A26,'قيود اليومية'!$N$11:$N$1010,0)))</f>
        <v>0</v>
      </c>
    </row>
    <row r="27" customFormat="false" ht="15" hidden="false" customHeight="false" outlineLevel="0" collapsed="false">
      <c r="A27" s="82" t="n">
        <f aca="false">IF(ROW()-16&gt;COUNT('قيود اليومية'!$N$11:$N$1010),"",ROW()-16)</f>
        <v>11</v>
      </c>
      <c r="B27" s="83" t="n">
        <f aca="false">IF($A27="","",INDEX('قيود اليومية'!$B$11:$B$1010,MATCH($A27,'قيود اليومية'!$N$11:$N$1010,0)))</f>
        <v>46068</v>
      </c>
      <c r="C27" s="84" t="n">
        <f aca="false">IF($A27="","",INDEX('قيود اليومية'!$A$11:$A$1010,MATCH($A27,'قيود اليومية'!$N$11:$N$1010,0)))</f>
        <v>11</v>
      </c>
      <c r="D27" s="84" t="n">
        <f aca="false">IF($A27="","",INDEX('قيود اليومية'!$C$11:$C$1010,MATCH($A27,'قيود اليومية'!$N$11:$N$1010,0)))</f>
        <v>1106</v>
      </c>
      <c r="E27" s="51" t="str">
        <f aca="false">IF($A27="","",INDEX('قيود اليومية'!$D$11:$D$1010,MATCH($A27,'قيود اليومية'!$N$11:$N$1010,0))&amp;"")</f>
        <v>دفعات مقدمة لمقاولي الباطن</v>
      </c>
      <c r="F27" s="51" t="str">
        <f aca="false">IF($A27="","",INDEX('قيود اليومية'!$K$11:$K$1010,MATCH($A27,'قيود اليومية'!$N$11:$N$1010,0))&amp;"")</f>
        <v/>
      </c>
      <c r="G27" s="51" t="str">
        <f aca="false">IF($A27="","",INDEX('قيود اليومية'!$F$11:$F$1010,MATCH($A27,'قيود اليومية'!$N$11:$N$1010,0))&amp;"")</f>
        <v>استرداد 10% من الدفعة المقدمة</v>
      </c>
      <c r="H27" s="85" t="n">
        <f aca="false">IF($A27="","",INDEX('قيود اليومية'!$G$11:$G$1010,MATCH($A27,'قيود اليومية'!$N$11:$N$1010,0)))</f>
        <v>0</v>
      </c>
      <c r="I27" s="85" t="n">
        <f aca="false">IF($A27="","",INDEX('قيود اليومية'!$H$11:$H$1010,MATCH($A27,'قيود اليومية'!$N$11:$N$1010,0)))</f>
        <v>60000</v>
      </c>
    </row>
    <row r="28" customFormat="false" ht="15" hidden="false" customHeight="false" outlineLevel="0" collapsed="false">
      <c r="A28" s="82" t="n">
        <f aca="false">IF(ROW()-16&gt;COUNT('قيود اليومية'!$N$11:$N$1010),"",ROW()-16)</f>
        <v>12</v>
      </c>
      <c r="B28" s="83" t="n">
        <f aca="false">IF($A28="","",INDEX('قيود اليومية'!$B$11:$B$1010,MATCH($A28,'قيود اليومية'!$N$11:$N$1010,0)))</f>
        <v>46068</v>
      </c>
      <c r="C28" s="84" t="n">
        <f aca="false">IF($A28="","",INDEX('قيود اليومية'!$A$11:$A$1010,MATCH($A28,'قيود اليومية'!$N$11:$N$1010,0)))</f>
        <v>11</v>
      </c>
      <c r="D28" s="84" t="n">
        <f aca="false">IF($A28="","",INDEX('قيود اليومية'!$C$11:$C$1010,MATCH($A28,'قيود اليومية'!$N$11:$N$1010,0)))</f>
        <v>2103</v>
      </c>
      <c r="E28" s="51" t="str">
        <f aca="false">IF($A28="","",INDEX('قيود اليومية'!$D$11:$D$1010,MATCH($A28,'قيود اليومية'!$N$11:$N$1010,0))&amp;"")</f>
        <v>محتجزات ضمان مقاولي الباطن</v>
      </c>
      <c r="F28" s="51" t="str">
        <f aca="false">IF($A28="","",INDEX('قيود اليومية'!$K$11:$K$1010,MATCH($A28,'قيود اليومية'!$N$11:$N$1010,0))&amp;"")</f>
        <v/>
      </c>
      <c r="G28" s="51" t="str">
        <f aca="false">IF($A28="","",INDEX('قيود اليومية'!$F$11:$F$1010,MATCH($A28,'قيود اليومية'!$N$11:$N$1010,0))&amp;"")</f>
        <v>احتجاز ضمان 5% على مقاول الباطن</v>
      </c>
      <c r="H28" s="85" t="n">
        <f aca="false">IF($A28="","",INDEX('قيود اليومية'!$G$11:$G$1010,MATCH($A28,'قيود اليومية'!$N$11:$N$1010,0)))</f>
        <v>0</v>
      </c>
      <c r="I28" s="85" t="n">
        <f aca="false">IF($A28="","",INDEX('قيود اليومية'!$H$11:$H$1010,MATCH($A28,'قيود اليومية'!$N$11:$N$1010,0)))</f>
        <v>30000</v>
      </c>
    </row>
    <row r="29" customFormat="false" ht="15" hidden="false" customHeight="false" outlineLevel="0" collapsed="false">
      <c r="A29" s="82" t="n">
        <f aca="false">IF(ROW()-16&gt;COUNT('قيود اليومية'!$N$11:$N$1010),"",ROW()-16)</f>
        <v>13</v>
      </c>
      <c r="B29" s="83" t="n">
        <f aca="false">IF($A29="","",INDEX('قيود اليومية'!$B$11:$B$1010,MATCH($A29,'قيود اليومية'!$N$11:$N$1010,0)))</f>
        <v>46068</v>
      </c>
      <c r="C29" s="84" t="n">
        <f aca="false">IF($A29="","",INDEX('قيود اليومية'!$A$11:$A$1010,MATCH($A29,'قيود اليومية'!$N$11:$N$1010,0)))</f>
        <v>11</v>
      </c>
      <c r="D29" s="84" t="n">
        <f aca="false">IF($A29="","",INDEX('قيود اليومية'!$C$11:$C$1010,MATCH($A29,'قيود اليومية'!$N$11:$N$1010,0)))</f>
        <v>2102</v>
      </c>
      <c r="E29" s="51" t="str">
        <f aca="false">IF($A29="","",INDEX('قيود اليومية'!$D$11:$D$1010,MATCH($A29,'قيود اليومية'!$N$11:$N$1010,0))&amp;"")</f>
        <v>مقاولو الباطن</v>
      </c>
      <c r="F29" s="51" t="str">
        <f aca="false">IF($A29="","",INDEX('قيود اليومية'!$K$11:$K$1010,MATCH($A29,'قيود اليومية'!$N$11:$N$1010,0))&amp;"")</f>
        <v/>
      </c>
      <c r="G29" s="51" t="str">
        <f aca="false">IF($A29="","",INDEX('قيود اليومية'!$F$11:$F$1010,MATCH($A29,'قيود اليومية'!$N$11:$N$1010,0))&amp;"")</f>
        <v>صافي مستحق مقاول الباطن</v>
      </c>
      <c r="H29" s="85" t="n">
        <f aca="false">IF($A29="","",INDEX('قيود اليومية'!$G$11:$G$1010,MATCH($A29,'قيود اليومية'!$N$11:$N$1010,0)))</f>
        <v>0</v>
      </c>
      <c r="I29" s="85" t="n">
        <f aca="false">IF($A29="","",INDEX('قيود اليومية'!$H$11:$H$1010,MATCH($A29,'قيود اليومية'!$N$11:$N$1010,0)))</f>
        <v>510000</v>
      </c>
    </row>
    <row r="30" customFormat="false" ht="15" hidden="false" customHeight="false" outlineLevel="0" collapsed="false">
      <c r="A30" s="82" t="n">
        <f aca="false">IF(ROW()-16&gt;COUNT('قيود اليومية'!$N$11:$N$1010),"",ROW()-16)</f>
        <v>14</v>
      </c>
      <c r="B30" s="83" t="n">
        <f aca="false">IF($A30="","",INDEX('قيود اليومية'!$B$11:$B$1010,MATCH($A30,'قيود اليومية'!$N$11:$N$1010,0)))</f>
        <v>46081</v>
      </c>
      <c r="C30" s="84" t="n">
        <f aca="false">IF($A30="","",INDEX('قيود اليومية'!$A$11:$A$1010,MATCH($A30,'قيود اليومية'!$N$11:$N$1010,0)))</f>
        <v>12</v>
      </c>
      <c r="D30" s="84" t="n">
        <f aca="false">IF($A30="","",INDEX('قيود اليومية'!$C$11:$C$1010,MATCH($A30,'قيود اليومية'!$N$11:$N$1010,0)))</f>
        <v>1103</v>
      </c>
      <c r="E30" s="51" t="str">
        <f aca="false">IF($A30="","",INDEX('قيود اليومية'!$D$11:$D$1010,MATCH($A30,'قيود اليومية'!$N$11:$N$1010,0))&amp;"")</f>
        <v>عملاء المقاولات</v>
      </c>
      <c r="F30" s="51" t="str">
        <f aca="false">IF($A30="","",INDEX('قيود اليومية'!$K$11:$K$1010,MATCH($A30,'قيود اليومية'!$N$11:$N$1010,0))&amp;"")</f>
        <v/>
      </c>
      <c r="G30" s="51" t="str">
        <f aca="false">IF($A30="","",INDEX('قيود اليومية'!$F$11:$F$1010,MATCH($A30,'قيود اليومية'!$N$11:$N$1010,0))&amp;"")</f>
        <v>مستخلص رقم 1 - برج الريان (صافي المستحق)</v>
      </c>
      <c r="H30" s="85" t="n">
        <f aca="false">IF($A30="","",INDEX('قيود اليومية'!$G$11:$G$1010,MATCH($A30,'قيود اليومية'!$N$11:$N$1010,0)))</f>
        <v>1125000</v>
      </c>
      <c r="I30" s="85" t="n">
        <f aca="false">IF($A30="","",INDEX('قيود اليومية'!$H$11:$H$1010,MATCH($A30,'قيود اليومية'!$N$11:$N$1010,0)))</f>
        <v>0</v>
      </c>
    </row>
    <row r="31" customFormat="false" ht="15" hidden="false" customHeight="false" outlineLevel="0" collapsed="false">
      <c r="A31" s="82" t="n">
        <f aca="false">IF(ROW()-16&gt;COUNT('قيود اليومية'!$N$11:$N$1010),"",ROW()-16)</f>
        <v>15</v>
      </c>
      <c r="B31" s="83" t="n">
        <f aca="false">IF($A31="","",INDEX('قيود اليومية'!$B$11:$B$1010,MATCH($A31,'قيود اليومية'!$N$11:$N$1010,0)))</f>
        <v>46081</v>
      </c>
      <c r="C31" s="84" t="n">
        <f aca="false">IF($A31="","",INDEX('قيود اليومية'!$A$11:$A$1010,MATCH($A31,'قيود اليومية'!$N$11:$N$1010,0)))</f>
        <v>12</v>
      </c>
      <c r="D31" s="84" t="n">
        <f aca="false">IF($A31="","",INDEX('قيود اليومية'!$C$11:$C$1010,MATCH($A31,'قيود اليومية'!$N$11:$N$1010,0)))</f>
        <v>2104</v>
      </c>
      <c r="E31" s="51" t="str">
        <f aca="false">IF($A31="","",INDEX('قيود اليومية'!$D$11:$D$1010,MATCH($A31,'قيود اليومية'!$N$11:$N$1010,0))&amp;"")</f>
        <v>دفعات مقدمة من العملاء</v>
      </c>
      <c r="F31" s="51" t="str">
        <f aca="false">IF($A31="","",INDEX('قيود اليومية'!$K$11:$K$1010,MATCH($A31,'قيود اليومية'!$N$11:$N$1010,0))&amp;"")</f>
        <v/>
      </c>
      <c r="G31" s="51" t="str">
        <f aca="false">IF($A31="","",INDEX('قيود اليومية'!$F$11:$F$1010,MATCH($A31,'قيود اليومية'!$N$11:$N$1010,0))&amp;"")</f>
        <v>استقطاع 15% استرداد الدفعة المقدمة</v>
      </c>
      <c r="H31" s="85" t="n">
        <f aca="false">IF($A31="","",INDEX('قيود اليومية'!$G$11:$G$1010,MATCH($A31,'قيود اليومية'!$N$11:$N$1010,0)))</f>
        <v>225000</v>
      </c>
      <c r="I31" s="85" t="n">
        <f aca="false">IF($A31="","",INDEX('قيود اليومية'!$H$11:$H$1010,MATCH($A31,'قيود اليومية'!$N$11:$N$1010,0)))</f>
        <v>0</v>
      </c>
    </row>
    <row r="32" customFormat="false" ht="15" hidden="false" customHeight="false" outlineLevel="0" collapsed="false">
      <c r="A32" s="82" t="n">
        <f aca="false">IF(ROW()-16&gt;COUNT('قيود اليومية'!$N$11:$N$1010),"",ROW()-16)</f>
        <v>16</v>
      </c>
      <c r="B32" s="83" t="n">
        <f aca="false">IF($A32="","",INDEX('قيود اليومية'!$B$11:$B$1010,MATCH($A32,'قيود اليومية'!$N$11:$N$1010,0)))</f>
        <v>46081</v>
      </c>
      <c r="C32" s="84" t="n">
        <f aca="false">IF($A32="","",INDEX('قيود اليومية'!$A$11:$A$1010,MATCH($A32,'قيود اليومية'!$N$11:$N$1010,0)))</f>
        <v>12</v>
      </c>
      <c r="D32" s="84" t="n">
        <f aca="false">IF($A32="","",INDEX('قيود اليومية'!$C$11:$C$1010,MATCH($A32,'قيود اليومية'!$N$11:$N$1010,0)))</f>
        <v>1104</v>
      </c>
      <c r="E32" s="51" t="str">
        <f aca="false">IF($A32="","",INDEX('قيود اليومية'!$D$11:$D$1010,MATCH($A32,'قيود اليومية'!$N$11:$N$1010,0))&amp;"")</f>
        <v>محتجزات ضمان لدى العملاء</v>
      </c>
      <c r="F32" s="51" t="str">
        <f aca="false">IF($A32="","",INDEX('قيود اليومية'!$K$11:$K$1010,MATCH($A32,'قيود اليومية'!$N$11:$N$1010,0))&amp;"")</f>
        <v/>
      </c>
      <c r="G32" s="51" t="str">
        <f aca="false">IF($A32="","",INDEX('قيود اليومية'!$F$11:$F$1010,MATCH($A32,'قيود اليومية'!$N$11:$N$1010,0))&amp;"")</f>
        <v>احتجاز ضمان 10% لدى العميل</v>
      </c>
      <c r="H32" s="85" t="n">
        <f aca="false">IF($A32="","",INDEX('قيود اليومية'!$G$11:$G$1010,MATCH($A32,'قيود اليومية'!$N$11:$N$1010,0)))</f>
        <v>150000</v>
      </c>
      <c r="I32" s="85" t="n">
        <f aca="false">IF($A32="","",INDEX('قيود اليومية'!$H$11:$H$1010,MATCH($A32,'قيود اليومية'!$N$11:$N$1010,0)))</f>
        <v>0</v>
      </c>
    </row>
    <row r="33" customFormat="false" ht="15" hidden="false" customHeight="false" outlineLevel="0" collapsed="false">
      <c r="A33" s="82" t="n">
        <f aca="false">IF(ROW()-16&gt;COUNT('قيود اليومية'!$N$11:$N$1010),"",ROW()-16)</f>
        <v>17</v>
      </c>
      <c r="B33" s="83" t="n">
        <f aca="false">IF($A33="","",INDEX('قيود اليومية'!$B$11:$B$1010,MATCH($A33,'قيود اليومية'!$N$11:$N$1010,0)))</f>
        <v>46081</v>
      </c>
      <c r="C33" s="84" t="n">
        <f aca="false">IF($A33="","",INDEX('قيود اليومية'!$A$11:$A$1010,MATCH($A33,'قيود اليومية'!$N$11:$N$1010,0)))</f>
        <v>12</v>
      </c>
      <c r="D33" s="84" t="n">
        <f aca="false">IF($A33="","",INDEX('قيود اليومية'!$C$11:$C$1010,MATCH($A33,'قيود اليومية'!$N$11:$N$1010,0)))</f>
        <v>4101</v>
      </c>
      <c r="E33" s="51" t="str">
        <f aca="false">IF($A33="","",INDEX('قيود اليومية'!$D$11:$D$1010,MATCH($A33,'قيود اليومية'!$N$11:$N$1010,0))&amp;"")</f>
        <v>إيرادات المستخلصات</v>
      </c>
      <c r="F33" s="51" t="str">
        <f aca="false">IF($A33="","",INDEX('قيود اليومية'!$K$11:$K$1010,MATCH($A33,'قيود اليومية'!$N$11:$N$1010,0))&amp;"")</f>
        <v/>
      </c>
      <c r="G33" s="51" t="str">
        <f aca="false">IF($A33="","",INDEX('قيود اليومية'!$F$11:$F$1010,MATCH($A33,'قيود اليومية'!$N$11:$N$1010,0))&amp;"")</f>
        <v>إجمالي مستخلص رقم 1 - برج الريان</v>
      </c>
      <c r="H33" s="85" t="n">
        <f aca="false">IF($A33="","",INDEX('قيود اليومية'!$G$11:$G$1010,MATCH($A33,'قيود اليومية'!$N$11:$N$1010,0)))</f>
        <v>0</v>
      </c>
      <c r="I33" s="85" t="n">
        <f aca="false">IF($A33="","",INDEX('قيود اليومية'!$H$11:$H$1010,MATCH($A33,'قيود اليومية'!$N$11:$N$1010,0)))</f>
        <v>1500000</v>
      </c>
    </row>
    <row r="34" customFormat="false" ht="15" hidden="false" customHeight="false" outlineLevel="0" collapsed="false">
      <c r="A34" s="82" t="n">
        <f aca="false">IF(ROW()-16&gt;COUNT('قيود اليومية'!$N$11:$N$1010),"",ROW()-16)</f>
        <v>18</v>
      </c>
      <c r="B34" s="83" t="n">
        <f aca="false">IF($A34="","",INDEX('قيود اليومية'!$B$11:$B$1010,MATCH($A34,'قيود اليومية'!$N$11:$N$1010,0)))</f>
        <v>46086</v>
      </c>
      <c r="C34" s="84" t="n">
        <f aca="false">IF($A34="","",INDEX('قيود اليومية'!$A$11:$A$1010,MATCH($A34,'قيود اليومية'!$N$11:$N$1010,0)))</f>
        <v>13</v>
      </c>
      <c r="D34" s="84" t="n">
        <f aca="false">IF($A34="","",INDEX('قيود اليومية'!$C$11:$C$1010,MATCH($A34,'قيود اليومية'!$N$11:$N$1010,0)))</f>
        <v>1102</v>
      </c>
      <c r="E34" s="51" t="str">
        <f aca="false">IF($A34="","",INDEX('قيود اليومية'!$D$11:$D$1010,MATCH($A34,'قيود اليومية'!$N$11:$N$1010,0))&amp;"")</f>
        <v>البنك - الحساب الجاري</v>
      </c>
      <c r="F34" s="51" t="str">
        <f aca="false">IF($A34="","",INDEX('قيود اليومية'!$K$11:$K$1010,MATCH($A34,'قيود اليومية'!$N$11:$N$1010,0))&amp;"")</f>
        <v/>
      </c>
      <c r="G34" s="51" t="str">
        <f aca="false">IF($A34="","",INDEX('قيود اليومية'!$F$11:$F$1010,MATCH($A34,'قيود اليومية'!$N$11:$N$1010,0))&amp;"")</f>
        <v>تحصيل صافي المستخلص رقم 1</v>
      </c>
      <c r="H34" s="85" t="n">
        <f aca="false">IF($A34="","",INDEX('قيود اليومية'!$G$11:$G$1010,MATCH($A34,'قيود اليومية'!$N$11:$N$1010,0)))</f>
        <v>1125000</v>
      </c>
      <c r="I34" s="85" t="n">
        <f aca="false">IF($A34="","",INDEX('قيود اليومية'!$H$11:$H$1010,MATCH($A34,'قيود اليومية'!$N$11:$N$1010,0)))</f>
        <v>0</v>
      </c>
    </row>
    <row r="35" customFormat="false" ht="15" hidden="false" customHeight="false" outlineLevel="0" collapsed="false">
      <c r="A35" s="82" t="n">
        <f aca="false">IF(ROW()-16&gt;COUNT('قيود اليومية'!$N$11:$N$1010),"",ROW()-16)</f>
        <v>19</v>
      </c>
      <c r="B35" s="83" t="n">
        <f aca="false">IF($A35="","",INDEX('قيود اليومية'!$B$11:$B$1010,MATCH($A35,'قيود اليومية'!$N$11:$N$1010,0)))</f>
        <v>46086</v>
      </c>
      <c r="C35" s="84" t="n">
        <f aca="false">IF($A35="","",INDEX('قيود اليومية'!$A$11:$A$1010,MATCH($A35,'قيود اليومية'!$N$11:$N$1010,0)))</f>
        <v>13</v>
      </c>
      <c r="D35" s="84" t="n">
        <f aca="false">IF($A35="","",INDEX('قيود اليومية'!$C$11:$C$1010,MATCH($A35,'قيود اليومية'!$N$11:$N$1010,0)))</f>
        <v>1103</v>
      </c>
      <c r="E35" s="51" t="str">
        <f aca="false">IF($A35="","",INDEX('قيود اليومية'!$D$11:$D$1010,MATCH($A35,'قيود اليومية'!$N$11:$N$1010,0))&amp;"")</f>
        <v>عملاء المقاولات</v>
      </c>
      <c r="F35" s="51" t="str">
        <f aca="false">IF($A35="","",INDEX('قيود اليومية'!$K$11:$K$1010,MATCH($A35,'قيود اليومية'!$N$11:$N$1010,0))&amp;"")</f>
        <v/>
      </c>
      <c r="G35" s="51" t="str">
        <f aca="false">IF($A35="","",INDEX('قيود اليومية'!$F$11:$F$1010,MATCH($A35,'قيود اليومية'!$N$11:$N$1010,0))&amp;"")</f>
        <v>تحصيل صافي المستخلص رقم 1</v>
      </c>
      <c r="H35" s="85" t="n">
        <f aca="false">IF($A35="","",INDEX('قيود اليومية'!$G$11:$G$1010,MATCH($A35,'قيود اليومية'!$N$11:$N$1010,0)))</f>
        <v>0</v>
      </c>
      <c r="I35" s="85" t="n">
        <f aca="false">IF($A35="","",INDEX('قيود اليومية'!$H$11:$H$1010,MATCH($A35,'قيود اليومية'!$N$11:$N$1010,0)))</f>
        <v>1125000</v>
      </c>
    </row>
    <row r="36" customFormat="false" ht="15" hidden="false" customHeight="false" outlineLevel="0" collapsed="false">
      <c r="A36" s="82" t="n">
        <f aca="false">IF(ROW()-16&gt;COUNT('قيود اليومية'!$N$11:$N$1010),"",ROW()-16)</f>
        <v>20</v>
      </c>
      <c r="B36" s="83" t="n">
        <f aca="false">IF($A36="","",INDEX('قيود اليومية'!$B$11:$B$1010,MATCH($A36,'قيود اليومية'!$N$11:$N$1010,0)))</f>
        <v>46106</v>
      </c>
      <c r="C36" s="84" t="n">
        <f aca="false">IF($A36="","",INDEX('قيود اليومية'!$A$11:$A$1010,MATCH($A36,'قيود اليومية'!$N$11:$N$1010,0)))</f>
        <v>19</v>
      </c>
      <c r="D36" s="84" t="n">
        <f aca="false">IF($A36="","",INDEX('قيود اليومية'!$C$11:$C$1010,MATCH($A36,'قيود اليومية'!$N$11:$N$1010,0)))</f>
        <v>1103</v>
      </c>
      <c r="E36" s="51" t="str">
        <f aca="false">IF($A36="","",INDEX('قيود اليومية'!$D$11:$D$1010,MATCH($A36,'قيود اليومية'!$N$11:$N$1010,0))&amp;"")</f>
        <v>عملاء المقاولات</v>
      </c>
      <c r="F36" s="51" t="str">
        <f aca="false">IF($A36="","",INDEX('قيود اليومية'!$K$11:$K$1010,MATCH($A36,'قيود اليومية'!$N$11:$N$1010,0))&amp;"")</f>
        <v/>
      </c>
      <c r="G36" s="51" t="str">
        <f aca="false">IF($A36="","",INDEX('قيود اليومية'!$F$11:$F$1010,MATCH($A36,'قيود اليومية'!$N$11:$N$1010,0))&amp;"")</f>
        <v>أمر تغيير رقم 1 - أعمال إضافية بالواجهات</v>
      </c>
      <c r="H36" s="85" t="n">
        <f aca="false">IF($A36="","",INDEX('قيود اليومية'!$G$11:$G$1010,MATCH($A36,'قيود اليومية'!$N$11:$N$1010,0)))</f>
        <v>120000</v>
      </c>
      <c r="I36" s="85" t="n">
        <f aca="false">IF($A36="","",INDEX('قيود اليومية'!$H$11:$H$1010,MATCH($A36,'قيود اليومية'!$N$11:$N$1010,0)))</f>
        <v>0</v>
      </c>
    </row>
    <row r="37" customFormat="false" ht="15" hidden="false" customHeight="false" outlineLevel="0" collapsed="false">
      <c r="A37" s="82" t="n">
        <f aca="false">IF(ROW()-16&gt;COUNT('قيود اليومية'!$N$11:$N$1010),"",ROW()-16)</f>
        <v>21</v>
      </c>
      <c r="B37" s="83" t="n">
        <f aca="false">IF($A37="","",INDEX('قيود اليومية'!$B$11:$B$1010,MATCH($A37,'قيود اليومية'!$N$11:$N$1010,0)))</f>
        <v>46106</v>
      </c>
      <c r="C37" s="84" t="n">
        <f aca="false">IF($A37="","",INDEX('قيود اليومية'!$A$11:$A$1010,MATCH($A37,'قيود اليومية'!$N$11:$N$1010,0)))</f>
        <v>19</v>
      </c>
      <c r="D37" s="84" t="n">
        <f aca="false">IF($A37="","",INDEX('قيود اليومية'!$C$11:$C$1010,MATCH($A37,'قيود اليومية'!$N$11:$N$1010,0)))</f>
        <v>4102</v>
      </c>
      <c r="E37" s="51" t="str">
        <f aca="false">IF($A37="","",INDEX('قيود اليومية'!$D$11:$D$1010,MATCH($A37,'قيود اليومية'!$N$11:$N$1010,0))&amp;"")</f>
        <v>إيرادات أعمال إضافية وأوامر تغيير</v>
      </c>
      <c r="F37" s="51" t="str">
        <f aca="false">IF($A37="","",INDEX('قيود اليومية'!$K$11:$K$1010,MATCH($A37,'قيود اليومية'!$N$11:$N$1010,0))&amp;"")</f>
        <v/>
      </c>
      <c r="G37" s="51" t="str">
        <f aca="false">IF($A37="","",INDEX('قيود اليومية'!$F$11:$F$1010,MATCH($A37,'قيود اليومية'!$N$11:$N$1010,0))&amp;"")</f>
        <v>أمر تغيير رقم 1 - أعمال إضافية بالواجهات</v>
      </c>
      <c r="H37" s="85" t="n">
        <f aca="false">IF($A37="","",INDEX('قيود اليومية'!$G$11:$G$1010,MATCH($A37,'قيود اليومية'!$N$11:$N$1010,0)))</f>
        <v>0</v>
      </c>
      <c r="I37" s="85" t="n">
        <f aca="false">IF($A37="","",INDEX('قيود اليومية'!$H$11:$H$1010,MATCH($A37,'قيود اليومية'!$N$11:$N$1010,0)))</f>
        <v>120000</v>
      </c>
    </row>
    <row r="38" customFormat="false" ht="15" hidden="false" customHeight="false" outlineLevel="0" collapsed="false">
      <c r="A38" s="82" t="n">
        <f aca="false">IF(ROW()-16&gt;COUNT('قيود اليومية'!$N$11:$N$1010),"",ROW()-16)</f>
        <v>22</v>
      </c>
      <c r="B38" s="83" t="n">
        <f aca="false">IF($A38="","",INDEX('قيود اليومية'!$B$11:$B$1010,MATCH($A38,'قيود اليومية'!$N$11:$N$1010,0)))</f>
        <v>46110</v>
      </c>
      <c r="C38" s="84" t="n">
        <f aca="false">IF($A38="","",INDEX('قيود اليومية'!$A$11:$A$1010,MATCH($A38,'قيود اليومية'!$N$11:$N$1010,0)))</f>
        <v>22</v>
      </c>
      <c r="D38" s="84" t="n">
        <f aca="false">IF($A38="","",INDEX('قيود اليومية'!$C$11:$C$1010,MATCH($A38,'قيود اليومية'!$N$11:$N$1010,0)))</f>
        <v>1101</v>
      </c>
      <c r="E38" s="51" t="str">
        <f aca="false">IF($A38="","",INDEX('قيود اليومية'!$D$11:$D$1010,MATCH($A38,'قيود اليومية'!$N$11:$N$1010,0))&amp;"")</f>
        <v>الصندوق (النقدية بالخزينة)</v>
      </c>
      <c r="F38" s="51" t="str">
        <f aca="false">IF($A38="","",INDEX('قيود اليومية'!$K$11:$K$1010,MATCH($A38,'قيود اليومية'!$N$11:$N$1010,0))&amp;"")</f>
        <v/>
      </c>
      <c r="G38" s="51" t="str">
        <f aca="false">IF($A38="","",INDEX('قيود اليومية'!$F$11:$F$1010,MATCH($A38,'قيود اليومية'!$N$11:$N$1010,0))&amp;"")</f>
        <v>بيع خردة حديد من الموقع</v>
      </c>
      <c r="H38" s="85" t="n">
        <f aca="false">IF($A38="","",INDEX('قيود اليومية'!$G$11:$G$1010,MATCH($A38,'قيود اليومية'!$N$11:$N$1010,0)))</f>
        <v>8000</v>
      </c>
      <c r="I38" s="85" t="n">
        <f aca="false">IF($A38="","",INDEX('قيود اليومية'!$H$11:$H$1010,MATCH($A38,'قيود اليومية'!$N$11:$N$1010,0)))</f>
        <v>0</v>
      </c>
    </row>
    <row r="39" customFormat="false" ht="15" hidden="false" customHeight="false" outlineLevel="0" collapsed="false">
      <c r="A39" s="82" t="n">
        <f aca="false">IF(ROW()-16&gt;COUNT('قيود اليومية'!$N$11:$N$1010),"",ROW()-16)</f>
        <v>23</v>
      </c>
      <c r="B39" s="83" t="n">
        <f aca="false">IF($A39="","",INDEX('قيود اليومية'!$B$11:$B$1010,MATCH($A39,'قيود اليومية'!$N$11:$N$1010,0)))</f>
        <v>46110</v>
      </c>
      <c r="C39" s="84" t="n">
        <f aca="false">IF($A39="","",INDEX('قيود اليومية'!$A$11:$A$1010,MATCH($A39,'قيود اليومية'!$N$11:$N$1010,0)))</f>
        <v>22</v>
      </c>
      <c r="D39" s="84" t="n">
        <f aca="false">IF($A39="","",INDEX('قيود اليومية'!$C$11:$C$1010,MATCH($A39,'قيود اليومية'!$N$11:$N$1010,0)))</f>
        <v>4201</v>
      </c>
      <c r="E39" s="51" t="str">
        <f aca="false">IF($A39="","",INDEX('قيود اليومية'!$D$11:$D$1010,MATCH($A39,'قيود اليومية'!$N$11:$N$1010,0))&amp;"")</f>
        <v>إيرادات متنوعة (بيع خردة ومخلفات)</v>
      </c>
      <c r="F39" s="51" t="str">
        <f aca="false">IF($A39="","",INDEX('قيود اليومية'!$K$11:$K$1010,MATCH($A39,'قيود اليومية'!$N$11:$N$1010,0))&amp;"")</f>
        <v/>
      </c>
      <c r="G39" s="51" t="str">
        <f aca="false">IF($A39="","",INDEX('قيود اليومية'!$F$11:$F$1010,MATCH($A39,'قيود اليومية'!$N$11:$N$1010,0))&amp;"")</f>
        <v>بيع خردة حديد من الموقع</v>
      </c>
      <c r="H39" s="85" t="n">
        <f aca="false">IF($A39="","",INDEX('قيود اليومية'!$G$11:$G$1010,MATCH($A39,'قيود اليومية'!$N$11:$N$1010,0)))</f>
        <v>0</v>
      </c>
      <c r="I39" s="85" t="n">
        <f aca="false">IF($A39="","",INDEX('قيود اليومية'!$H$11:$H$1010,MATCH($A39,'قيود اليومية'!$N$11:$N$1010,0)))</f>
        <v>8000</v>
      </c>
    </row>
    <row r="40" customFormat="false" ht="15" hidden="false" customHeight="false" outlineLevel="0" collapsed="false">
      <c r="A40" s="82" t="n">
        <f aca="false">IF(ROW()-16&gt;COUNT('قيود اليومية'!$N$11:$N$1010),"",ROW()-16)</f>
        <v>24</v>
      </c>
      <c r="B40" s="83" t="n">
        <f aca="false">IF($A40="","",INDEX('قيود اليومية'!$B$11:$B$1010,MATCH($A40,'قيود اليومية'!$N$11:$N$1010,0)))</f>
        <v>46112</v>
      </c>
      <c r="C40" s="84" t="n">
        <f aca="false">IF($A40="","",INDEX('قيود اليومية'!$A$11:$A$1010,MATCH($A40,'قيود اليومية'!$N$11:$N$1010,0)))</f>
        <v>24</v>
      </c>
      <c r="D40" s="84" t="n">
        <f aca="false">IF($A40="","",INDEX('قيود اليومية'!$C$11:$C$1010,MATCH($A40,'قيود اليومية'!$N$11:$N$1010,0)))</f>
        <v>5106</v>
      </c>
      <c r="E40" s="51" t="str">
        <f aca="false">IF($A40="","",INDEX('قيود اليومية'!$D$11:$D$1010,MATCH($A40,'قيود اليومية'!$N$11:$N$1010,0))&amp;"")</f>
        <v>إهلاك معدات المشروعات</v>
      </c>
      <c r="F40" s="51" t="str">
        <f aca="false">IF($A40="","",INDEX('قيود اليومية'!$K$11:$K$1010,MATCH($A40,'قيود اليومية'!$N$11:$N$1010,0))&amp;"")</f>
        <v>معدات</v>
      </c>
      <c r="G40" s="51" t="str">
        <f aca="false">IF($A40="","",INDEX('قيود اليومية'!$F$11:$F$1010,MATCH($A40,'قيود اليومية'!$N$11:$N$1010,0))&amp;"")</f>
        <v>إهلاك معدات مخصصة للمشروع</v>
      </c>
      <c r="H40" s="85" t="n">
        <f aca="false">IF($A40="","",INDEX('قيود اليومية'!$G$11:$G$1010,MATCH($A40,'قيود اليومية'!$N$11:$N$1010,0)))</f>
        <v>20000</v>
      </c>
      <c r="I40" s="85" t="n">
        <f aca="false">IF($A40="","",INDEX('قيود اليومية'!$H$11:$H$1010,MATCH($A40,'قيود اليومية'!$N$11:$N$1010,0)))</f>
        <v>0</v>
      </c>
    </row>
    <row r="41" customFormat="false" ht="15" hidden="false" customHeight="false" outlineLevel="0" collapsed="false">
      <c r="A41" s="82" t="str">
        <f aca="false">IF(ROW()-16&gt;COUNT('قيود اليومية'!$N$11:$N$1010),"",ROW()-16)</f>
        <v/>
      </c>
      <c r="B41" s="83" t="str">
        <f aca="false">IF($A41="","",INDEX('قيود اليومية'!$B$11:$B$1010,MATCH($A41,'قيود اليومية'!$N$11:$N$1010,0)))</f>
        <v/>
      </c>
      <c r="C41" s="84" t="str">
        <f aca="false">IF($A41="","",INDEX('قيود اليومية'!$A$11:$A$1010,MATCH($A41,'قيود اليومية'!$N$11:$N$1010,0)))</f>
        <v/>
      </c>
      <c r="D41" s="84" t="str">
        <f aca="false">IF($A41="","",INDEX('قيود اليومية'!$C$11:$C$1010,MATCH($A41,'قيود اليومية'!$N$11:$N$1010,0)))</f>
        <v/>
      </c>
      <c r="E41" s="51" t="str">
        <f aca="false">IF($A41="","",INDEX('قيود اليومية'!$D$11:$D$1010,MATCH($A41,'قيود اليومية'!$N$11:$N$1010,0))&amp;"")</f>
        <v/>
      </c>
      <c r="F41" s="51" t="str">
        <f aca="false">IF($A41="","",INDEX('قيود اليومية'!$K$11:$K$1010,MATCH($A41,'قيود اليومية'!$N$11:$N$1010,0))&amp;"")</f>
        <v/>
      </c>
      <c r="G41" s="51" t="str">
        <f aca="false">IF($A41="","",INDEX('قيود اليومية'!$F$11:$F$1010,MATCH($A41,'قيود اليومية'!$N$11:$N$1010,0))&amp;"")</f>
        <v/>
      </c>
      <c r="H41" s="85" t="str">
        <f aca="false">IF($A41="","",INDEX('قيود اليومية'!$G$11:$G$1010,MATCH($A41,'قيود اليومية'!$N$11:$N$1010,0)))</f>
        <v/>
      </c>
      <c r="I41" s="85" t="str">
        <f aca="false">IF($A41="","",INDEX('قيود اليومية'!$H$11:$H$1010,MATCH($A41,'قيود اليومية'!$N$11:$N$1010,0)))</f>
        <v/>
      </c>
    </row>
    <row r="42" customFormat="false" ht="15" hidden="false" customHeight="false" outlineLevel="0" collapsed="false">
      <c r="A42" s="82" t="str">
        <f aca="false">IF(ROW()-16&gt;COUNT('قيود اليومية'!$N$11:$N$1010),"",ROW()-16)</f>
        <v/>
      </c>
      <c r="B42" s="83" t="str">
        <f aca="false">IF($A42="","",INDEX('قيود اليومية'!$B$11:$B$1010,MATCH($A42,'قيود اليومية'!$N$11:$N$1010,0)))</f>
        <v/>
      </c>
      <c r="C42" s="84" t="str">
        <f aca="false">IF($A42="","",INDEX('قيود اليومية'!$A$11:$A$1010,MATCH($A42,'قيود اليومية'!$N$11:$N$1010,0)))</f>
        <v/>
      </c>
      <c r="D42" s="84" t="str">
        <f aca="false">IF($A42="","",INDEX('قيود اليومية'!$C$11:$C$1010,MATCH($A42,'قيود اليومية'!$N$11:$N$1010,0)))</f>
        <v/>
      </c>
      <c r="E42" s="51" t="str">
        <f aca="false">IF($A42="","",INDEX('قيود اليومية'!$D$11:$D$1010,MATCH($A42,'قيود اليومية'!$N$11:$N$1010,0))&amp;"")</f>
        <v/>
      </c>
      <c r="F42" s="51" t="str">
        <f aca="false">IF($A42="","",INDEX('قيود اليومية'!$K$11:$K$1010,MATCH($A42,'قيود اليومية'!$N$11:$N$1010,0))&amp;"")</f>
        <v/>
      </c>
      <c r="G42" s="51" t="str">
        <f aca="false">IF($A42="","",INDEX('قيود اليومية'!$F$11:$F$1010,MATCH($A42,'قيود اليومية'!$N$11:$N$1010,0))&amp;"")</f>
        <v/>
      </c>
      <c r="H42" s="85" t="str">
        <f aca="false">IF($A42="","",INDEX('قيود اليومية'!$G$11:$G$1010,MATCH($A42,'قيود اليومية'!$N$11:$N$1010,0)))</f>
        <v/>
      </c>
      <c r="I42" s="85" t="str">
        <f aca="false">IF($A42="","",INDEX('قيود اليومية'!$H$11:$H$1010,MATCH($A42,'قيود اليومية'!$N$11:$N$1010,0)))</f>
        <v/>
      </c>
    </row>
    <row r="43" customFormat="false" ht="15" hidden="false" customHeight="false" outlineLevel="0" collapsed="false">
      <c r="A43" s="82" t="str">
        <f aca="false">IF(ROW()-16&gt;COUNT('قيود اليومية'!$N$11:$N$1010),"",ROW()-16)</f>
        <v/>
      </c>
      <c r="B43" s="83" t="str">
        <f aca="false">IF($A43="","",INDEX('قيود اليومية'!$B$11:$B$1010,MATCH($A43,'قيود اليومية'!$N$11:$N$1010,0)))</f>
        <v/>
      </c>
      <c r="C43" s="84" t="str">
        <f aca="false">IF($A43="","",INDEX('قيود اليومية'!$A$11:$A$1010,MATCH($A43,'قيود اليومية'!$N$11:$N$1010,0)))</f>
        <v/>
      </c>
      <c r="D43" s="84" t="str">
        <f aca="false">IF($A43="","",INDEX('قيود اليومية'!$C$11:$C$1010,MATCH($A43,'قيود اليومية'!$N$11:$N$1010,0)))</f>
        <v/>
      </c>
      <c r="E43" s="51" t="str">
        <f aca="false">IF($A43="","",INDEX('قيود اليومية'!$D$11:$D$1010,MATCH($A43,'قيود اليومية'!$N$11:$N$1010,0))&amp;"")</f>
        <v/>
      </c>
      <c r="F43" s="51" t="str">
        <f aca="false">IF($A43="","",INDEX('قيود اليومية'!$K$11:$K$1010,MATCH($A43,'قيود اليومية'!$N$11:$N$1010,0))&amp;"")</f>
        <v/>
      </c>
      <c r="G43" s="51" t="str">
        <f aca="false">IF($A43="","",INDEX('قيود اليومية'!$F$11:$F$1010,MATCH($A43,'قيود اليومية'!$N$11:$N$1010,0))&amp;"")</f>
        <v/>
      </c>
      <c r="H43" s="85" t="str">
        <f aca="false">IF($A43="","",INDEX('قيود اليومية'!$G$11:$G$1010,MATCH($A43,'قيود اليومية'!$N$11:$N$1010,0)))</f>
        <v/>
      </c>
      <c r="I43" s="85" t="str">
        <f aca="false">IF($A43="","",INDEX('قيود اليومية'!$H$11:$H$1010,MATCH($A43,'قيود اليومية'!$N$11:$N$1010,0)))</f>
        <v/>
      </c>
    </row>
    <row r="44" customFormat="false" ht="15" hidden="false" customHeight="false" outlineLevel="0" collapsed="false">
      <c r="A44" s="82" t="str">
        <f aca="false">IF(ROW()-16&gt;COUNT('قيود اليومية'!$N$11:$N$1010),"",ROW()-16)</f>
        <v/>
      </c>
      <c r="B44" s="83" t="str">
        <f aca="false">IF($A44="","",INDEX('قيود اليومية'!$B$11:$B$1010,MATCH($A44,'قيود اليومية'!$N$11:$N$1010,0)))</f>
        <v/>
      </c>
      <c r="C44" s="84" t="str">
        <f aca="false">IF($A44="","",INDEX('قيود اليومية'!$A$11:$A$1010,MATCH($A44,'قيود اليومية'!$N$11:$N$1010,0)))</f>
        <v/>
      </c>
      <c r="D44" s="84" t="str">
        <f aca="false">IF($A44="","",INDEX('قيود اليومية'!$C$11:$C$1010,MATCH($A44,'قيود اليومية'!$N$11:$N$1010,0)))</f>
        <v/>
      </c>
      <c r="E44" s="51" t="str">
        <f aca="false">IF($A44="","",INDEX('قيود اليومية'!$D$11:$D$1010,MATCH($A44,'قيود اليومية'!$N$11:$N$1010,0))&amp;"")</f>
        <v/>
      </c>
      <c r="F44" s="51" t="str">
        <f aca="false">IF($A44="","",INDEX('قيود اليومية'!$K$11:$K$1010,MATCH($A44,'قيود اليومية'!$N$11:$N$1010,0))&amp;"")</f>
        <v/>
      </c>
      <c r="G44" s="51" t="str">
        <f aca="false">IF($A44="","",INDEX('قيود اليومية'!$F$11:$F$1010,MATCH($A44,'قيود اليومية'!$N$11:$N$1010,0))&amp;"")</f>
        <v/>
      </c>
      <c r="H44" s="85" t="str">
        <f aca="false">IF($A44="","",INDEX('قيود اليومية'!$G$11:$G$1010,MATCH($A44,'قيود اليومية'!$N$11:$N$1010,0)))</f>
        <v/>
      </c>
      <c r="I44" s="85" t="str">
        <f aca="false">IF($A44="","",INDEX('قيود اليومية'!$H$11:$H$1010,MATCH($A44,'قيود اليومية'!$N$11:$N$1010,0)))</f>
        <v/>
      </c>
    </row>
    <row r="45" customFormat="false" ht="15" hidden="false" customHeight="false" outlineLevel="0" collapsed="false">
      <c r="A45" s="82" t="str">
        <f aca="false">IF(ROW()-16&gt;COUNT('قيود اليومية'!$N$11:$N$1010),"",ROW()-16)</f>
        <v/>
      </c>
      <c r="B45" s="83" t="str">
        <f aca="false">IF($A45="","",INDEX('قيود اليومية'!$B$11:$B$1010,MATCH($A45,'قيود اليومية'!$N$11:$N$1010,0)))</f>
        <v/>
      </c>
      <c r="C45" s="84" t="str">
        <f aca="false">IF($A45="","",INDEX('قيود اليومية'!$A$11:$A$1010,MATCH($A45,'قيود اليومية'!$N$11:$N$1010,0)))</f>
        <v/>
      </c>
      <c r="D45" s="84" t="str">
        <f aca="false">IF($A45="","",INDEX('قيود اليومية'!$C$11:$C$1010,MATCH($A45,'قيود اليومية'!$N$11:$N$1010,0)))</f>
        <v/>
      </c>
      <c r="E45" s="51" t="str">
        <f aca="false">IF($A45="","",INDEX('قيود اليومية'!$D$11:$D$1010,MATCH($A45,'قيود اليومية'!$N$11:$N$1010,0))&amp;"")</f>
        <v/>
      </c>
      <c r="F45" s="51" t="str">
        <f aca="false">IF($A45="","",INDEX('قيود اليومية'!$K$11:$K$1010,MATCH($A45,'قيود اليومية'!$N$11:$N$1010,0))&amp;"")</f>
        <v/>
      </c>
      <c r="G45" s="51" t="str">
        <f aca="false">IF($A45="","",INDEX('قيود اليومية'!$F$11:$F$1010,MATCH($A45,'قيود اليومية'!$N$11:$N$1010,0))&amp;"")</f>
        <v/>
      </c>
      <c r="H45" s="85" t="str">
        <f aca="false">IF($A45="","",INDEX('قيود اليومية'!$G$11:$G$1010,MATCH($A45,'قيود اليومية'!$N$11:$N$1010,0)))</f>
        <v/>
      </c>
      <c r="I45" s="85" t="str">
        <f aca="false">IF($A45="","",INDEX('قيود اليومية'!$H$11:$H$1010,MATCH($A45,'قيود اليومية'!$N$11:$N$1010,0)))</f>
        <v/>
      </c>
    </row>
    <row r="46" customFormat="false" ht="15" hidden="false" customHeight="false" outlineLevel="0" collapsed="false">
      <c r="A46" s="82" t="str">
        <f aca="false">IF(ROW()-16&gt;COUNT('قيود اليومية'!$N$11:$N$1010),"",ROW()-16)</f>
        <v/>
      </c>
      <c r="B46" s="83" t="str">
        <f aca="false">IF($A46="","",INDEX('قيود اليومية'!$B$11:$B$1010,MATCH($A46,'قيود اليومية'!$N$11:$N$1010,0)))</f>
        <v/>
      </c>
      <c r="C46" s="84" t="str">
        <f aca="false">IF($A46="","",INDEX('قيود اليومية'!$A$11:$A$1010,MATCH($A46,'قيود اليومية'!$N$11:$N$1010,0)))</f>
        <v/>
      </c>
      <c r="D46" s="84" t="str">
        <f aca="false">IF($A46="","",INDEX('قيود اليومية'!$C$11:$C$1010,MATCH($A46,'قيود اليومية'!$N$11:$N$1010,0)))</f>
        <v/>
      </c>
      <c r="E46" s="51" t="str">
        <f aca="false">IF($A46="","",INDEX('قيود اليومية'!$D$11:$D$1010,MATCH($A46,'قيود اليومية'!$N$11:$N$1010,0))&amp;"")</f>
        <v/>
      </c>
      <c r="F46" s="51" t="str">
        <f aca="false">IF($A46="","",INDEX('قيود اليومية'!$K$11:$K$1010,MATCH($A46,'قيود اليومية'!$N$11:$N$1010,0))&amp;"")</f>
        <v/>
      </c>
      <c r="G46" s="51" t="str">
        <f aca="false">IF($A46="","",INDEX('قيود اليومية'!$F$11:$F$1010,MATCH($A46,'قيود اليومية'!$N$11:$N$1010,0))&amp;"")</f>
        <v/>
      </c>
      <c r="H46" s="85" t="str">
        <f aca="false">IF($A46="","",INDEX('قيود اليومية'!$G$11:$G$1010,MATCH($A46,'قيود اليومية'!$N$11:$N$1010,0)))</f>
        <v/>
      </c>
      <c r="I46" s="85" t="str">
        <f aca="false">IF($A46="","",INDEX('قيود اليومية'!$H$11:$H$1010,MATCH($A46,'قيود اليومية'!$N$11:$N$1010,0)))</f>
        <v/>
      </c>
    </row>
    <row r="47" customFormat="false" ht="15" hidden="false" customHeight="false" outlineLevel="0" collapsed="false">
      <c r="A47" s="82" t="str">
        <f aca="false">IF(ROW()-16&gt;COUNT('قيود اليومية'!$N$11:$N$1010),"",ROW()-16)</f>
        <v/>
      </c>
      <c r="B47" s="83" t="str">
        <f aca="false">IF($A47="","",INDEX('قيود اليومية'!$B$11:$B$1010,MATCH($A47,'قيود اليومية'!$N$11:$N$1010,0)))</f>
        <v/>
      </c>
      <c r="C47" s="84" t="str">
        <f aca="false">IF($A47="","",INDEX('قيود اليومية'!$A$11:$A$1010,MATCH($A47,'قيود اليومية'!$N$11:$N$1010,0)))</f>
        <v/>
      </c>
      <c r="D47" s="84" t="str">
        <f aca="false">IF($A47="","",INDEX('قيود اليومية'!$C$11:$C$1010,MATCH($A47,'قيود اليومية'!$N$11:$N$1010,0)))</f>
        <v/>
      </c>
      <c r="E47" s="51" t="str">
        <f aca="false">IF($A47="","",INDEX('قيود اليومية'!$D$11:$D$1010,MATCH($A47,'قيود اليومية'!$N$11:$N$1010,0))&amp;"")</f>
        <v/>
      </c>
      <c r="F47" s="51" t="str">
        <f aca="false">IF($A47="","",INDEX('قيود اليومية'!$K$11:$K$1010,MATCH($A47,'قيود اليومية'!$N$11:$N$1010,0))&amp;"")</f>
        <v/>
      </c>
      <c r="G47" s="51" t="str">
        <f aca="false">IF($A47="","",INDEX('قيود اليومية'!$F$11:$F$1010,MATCH($A47,'قيود اليومية'!$N$11:$N$1010,0))&amp;"")</f>
        <v/>
      </c>
      <c r="H47" s="85" t="str">
        <f aca="false">IF($A47="","",INDEX('قيود اليومية'!$G$11:$G$1010,MATCH($A47,'قيود اليومية'!$N$11:$N$1010,0)))</f>
        <v/>
      </c>
      <c r="I47" s="85" t="str">
        <f aca="false">IF($A47="","",INDEX('قيود اليومية'!$H$11:$H$1010,MATCH($A47,'قيود اليومية'!$N$11:$N$1010,0)))</f>
        <v/>
      </c>
    </row>
    <row r="48" customFormat="false" ht="15" hidden="false" customHeight="false" outlineLevel="0" collapsed="false">
      <c r="A48" s="82" t="str">
        <f aca="false">IF(ROW()-16&gt;COUNT('قيود اليومية'!$N$11:$N$1010),"",ROW()-16)</f>
        <v/>
      </c>
      <c r="B48" s="83" t="str">
        <f aca="false">IF($A48="","",INDEX('قيود اليومية'!$B$11:$B$1010,MATCH($A48,'قيود اليومية'!$N$11:$N$1010,0)))</f>
        <v/>
      </c>
      <c r="C48" s="84" t="str">
        <f aca="false">IF($A48="","",INDEX('قيود اليومية'!$A$11:$A$1010,MATCH($A48,'قيود اليومية'!$N$11:$N$1010,0)))</f>
        <v/>
      </c>
      <c r="D48" s="84" t="str">
        <f aca="false">IF($A48="","",INDEX('قيود اليومية'!$C$11:$C$1010,MATCH($A48,'قيود اليومية'!$N$11:$N$1010,0)))</f>
        <v/>
      </c>
      <c r="E48" s="51" t="str">
        <f aca="false">IF($A48="","",INDEX('قيود اليومية'!$D$11:$D$1010,MATCH($A48,'قيود اليومية'!$N$11:$N$1010,0))&amp;"")</f>
        <v/>
      </c>
      <c r="F48" s="51" t="str">
        <f aca="false">IF($A48="","",INDEX('قيود اليومية'!$K$11:$K$1010,MATCH($A48,'قيود اليومية'!$N$11:$N$1010,0))&amp;"")</f>
        <v/>
      </c>
      <c r="G48" s="51" t="str">
        <f aca="false">IF($A48="","",INDEX('قيود اليومية'!$F$11:$F$1010,MATCH($A48,'قيود اليومية'!$N$11:$N$1010,0))&amp;"")</f>
        <v/>
      </c>
      <c r="H48" s="85" t="str">
        <f aca="false">IF($A48="","",INDEX('قيود اليومية'!$G$11:$G$1010,MATCH($A48,'قيود اليومية'!$N$11:$N$1010,0)))</f>
        <v/>
      </c>
      <c r="I48" s="85" t="str">
        <f aca="false">IF($A48="","",INDEX('قيود اليومية'!$H$11:$H$1010,MATCH($A48,'قيود اليومية'!$N$11:$N$1010,0)))</f>
        <v/>
      </c>
    </row>
    <row r="49" customFormat="false" ht="15" hidden="false" customHeight="false" outlineLevel="0" collapsed="false">
      <c r="A49" s="82" t="str">
        <f aca="false">IF(ROW()-16&gt;COUNT('قيود اليومية'!$N$11:$N$1010),"",ROW()-16)</f>
        <v/>
      </c>
      <c r="B49" s="83" t="str">
        <f aca="false">IF($A49="","",INDEX('قيود اليومية'!$B$11:$B$1010,MATCH($A49,'قيود اليومية'!$N$11:$N$1010,0)))</f>
        <v/>
      </c>
      <c r="C49" s="84" t="str">
        <f aca="false">IF($A49="","",INDEX('قيود اليومية'!$A$11:$A$1010,MATCH($A49,'قيود اليومية'!$N$11:$N$1010,0)))</f>
        <v/>
      </c>
      <c r="D49" s="84" t="str">
        <f aca="false">IF($A49="","",INDEX('قيود اليومية'!$C$11:$C$1010,MATCH($A49,'قيود اليومية'!$N$11:$N$1010,0)))</f>
        <v/>
      </c>
      <c r="E49" s="51" t="str">
        <f aca="false">IF($A49="","",INDEX('قيود اليومية'!$D$11:$D$1010,MATCH($A49,'قيود اليومية'!$N$11:$N$1010,0))&amp;"")</f>
        <v/>
      </c>
      <c r="F49" s="51" t="str">
        <f aca="false">IF($A49="","",INDEX('قيود اليومية'!$K$11:$K$1010,MATCH($A49,'قيود اليومية'!$N$11:$N$1010,0))&amp;"")</f>
        <v/>
      </c>
      <c r="G49" s="51" t="str">
        <f aca="false">IF($A49="","",INDEX('قيود اليومية'!$F$11:$F$1010,MATCH($A49,'قيود اليومية'!$N$11:$N$1010,0))&amp;"")</f>
        <v/>
      </c>
      <c r="H49" s="85" t="str">
        <f aca="false">IF($A49="","",INDEX('قيود اليومية'!$G$11:$G$1010,MATCH($A49,'قيود اليومية'!$N$11:$N$1010,0)))</f>
        <v/>
      </c>
      <c r="I49" s="85" t="str">
        <f aca="false">IF($A49="","",INDEX('قيود اليومية'!$H$11:$H$1010,MATCH($A49,'قيود اليومية'!$N$11:$N$1010,0)))</f>
        <v/>
      </c>
    </row>
    <row r="50" customFormat="false" ht="15" hidden="false" customHeight="false" outlineLevel="0" collapsed="false">
      <c r="A50" s="82" t="str">
        <f aca="false">IF(ROW()-16&gt;COUNT('قيود اليومية'!$N$11:$N$1010),"",ROW()-16)</f>
        <v/>
      </c>
      <c r="B50" s="83" t="str">
        <f aca="false">IF($A50="","",INDEX('قيود اليومية'!$B$11:$B$1010,MATCH($A50,'قيود اليومية'!$N$11:$N$1010,0)))</f>
        <v/>
      </c>
      <c r="C50" s="84" t="str">
        <f aca="false">IF($A50="","",INDEX('قيود اليومية'!$A$11:$A$1010,MATCH($A50,'قيود اليومية'!$N$11:$N$1010,0)))</f>
        <v/>
      </c>
      <c r="D50" s="84" t="str">
        <f aca="false">IF($A50="","",INDEX('قيود اليومية'!$C$11:$C$1010,MATCH($A50,'قيود اليومية'!$N$11:$N$1010,0)))</f>
        <v/>
      </c>
      <c r="E50" s="51" t="str">
        <f aca="false">IF($A50="","",INDEX('قيود اليومية'!$D$11:$D$1010,MATCH($A50,'قيود اليومية'!$N$11:$N$1010,0))&amp;"")</f>
        <v/>
      </c>
      <c r="F50" s="51" t="str">
        <f aca="false">IF($A50="","",INDEX('قيود اليومية'!$K$11:$K$1010,MATCH($A50,'قيود اليومية'!$N$11:$N$1010,0))&amp;"")</f>
        <v/>
      </c>
      <c r="G50" s="51" t="str">
        <f aca="false">IF($A50="","",INDEX('قيود اليومية'!$F$11:$F$1010,MATCH($A50,'قيود اليومية'!$N$11:$N$1010,0))&amp;"")</f>
        <v/>
      </c>
      <c r="H50" s="85" t="str">
        <f aca="false">IF($A50="","",INDEX('قيود اليومية'!$G$11:$G$1010,MATCH($A50,'قيود اليومية'!$N$11:$N$1010,0)))</f>
        <v/>
      </c>
      <c r="I50" s="85" t="str">
        <f aca="false">IF($A50="","",INDEX('قيود اليومية'!$H$11:$H$1010,MATCH($A50,'قيود اليومية'!$N$11:$N$1010,0)))</f>
        <v/>
      </c>
    </row>
    <row r="51" customFormat="false" ht="15" hidden="false" customHeight="false" outlineLevel="0" collapsed="false">
      <c r="A51" s="82" t="str">
        <f aca="false">IF(ROW()-16&gt;COUNT('قيود اليومية'!$N$11:$N$1010),"",ROW()-16)</f>
        <v/>
      </c>
      <c r="B51" s="83" t="str">
        <f aca="false">IF($A51="","",INDEX('قيود اليومية'!$B$11:$B$1010,MATCH($A51,'قيود اليومية'!$N$11:$N$1010,0)))</f>
        <v/>
      </c>
      <c r="C51" s="84" t="str">
        <f aca="false">IF($A51="","",INDEX('قيود اليومية'!$A$11:$A$1010,MATCH($A51,'قيود اليومية'!$N$11:$N$1010,0)))</f>
        <v/>
      </c>
      <c r="D51" s="84" t="str">
        <f aca="false">IF($A51="","",INDEX('قيود اليومية'!$C$11:$C$1010,MATCH($A51,'قيود اليومية'!$N$11:$N$1010,0)))</f>
        <v/>
      </c>
      <c r="E51" s="51" t="str">
        <f aca="false">IF($A51="","",INDEX('قيود اليومية'!$D$11:$D$1010,MATCH($A51,'قيود اليومية'!$N$11:$N$1010,0))&amp;"")</f>
        <v/>
      </c>
      <c r="F51" s="51" t="str">
        <f aca="false">IF($A51="","",INDEX('قيود اليومية'!$K$11:$K$1010,MATCH($A51,'قيود اليومية'!$N$11:$N$1010,0))&amp;"")</f>
        <v/>
      </c>
      <c r="G51" s="51" t="str">
        <f aca="false">IF($A51="","",INDEX('قيود اليومية'!$F$11:$F$1010,MATCH($A51,'قيود اليومية'!$N$11:$N$1010,0))&amp;"")</f>
        <v/>
      </c>
      <c r="H51" s="85" t="str">
        <f aca="false">IF($A51="","",INDEX('قيود اليومية'!$G$11:$G$1010,MATCH($A51,'قيود اليومية'!$N$11:$N$1010,0)))</f>
        <v/>
      </c>
      <c r="I51" s="85" t="str">
        <f aca="false">IF($A51="","",INDEX('قيود اليومية'!$H$11:$H$1010,MATCH($A51,'قيود اليومية'!$N$11:$N$1010,0)))</f>
        <v/>
      </c>
    </row>
    <row r="52" customFormat="false" ht="15" hidden="false" customHeight="false" outlineLevel="0" collapsed="false">
      <c r="A52" s="82" t="str">
        <f aca="false">IF(ROW()-16&gt;COUNT('قيود اليومية'!$N$11:$N$1010),"",ROW()-16)</f>
        <v/>
      </c>
      <c r="B52" s="83" t="str">
        <f aca="false">IF($A52="","",INDEX('قيود اليومية'!$B$11:$B$1010,MATCH($A52,'قيود اليومية'!$N$11:$N$1010,0)))</f>
        <v/>
      </c>
      <c r="C52" s="84" t="str">
        <f aca="false">IF($A52="","",INDEX('قيود اليومية'!$A$11:$A$1010,MATCH($A52,'قيود اليومية'!$N$11:$N$1010,0)))</f>
        <v/>
      </c>
      <c r="D52" s="84" t="str">
        <f aca="false">IF($A52="","",INDEX('قيود اليومية'!$C$11:$C$1010,MATCH($A52,'قيود اليومية'!$N$11:$N$1010,0)))</f>
        <v/>
      </c>
      <c r="E52" s="51" t="str">
        <f aca="false">IF($A52="","",INDEX('قيود اليومية'!$D$11:$D$1010,MATCH($A52,'قيود اليومية'!$N$11:$N$1010,0))&amp;"")</f>
        <v/>
      </c>
      <c r="F52" s="51" t="str">
        <f aca="false">IF($A52="","",INDEX('قيود اليومية'!$K$11:$K$1010,MATCH($A52,'قيود اليومية'!$N$11:$N$1010,0))&amp;"")</f>
        <v/>
      </c>
      <c r="G52" s="51" t="str">
        <f aca="false">IF($A52="","",INDEX('قيود اليومية'!$F$11:$F$1010,MATCH($A52,'قيود اليومية'!$N$11:$N$1010,0))&amp;"")</f>
        <v/>
      </c>
      <c r="H52" s="85" t="str">
        <f aca="false">IF($A52="","",INDEX('قيود اليومية'!$G$11:$G$1010,MATCH($A52,'قيود اليومية'!$N$11:$N$1010,0)))</f>
        <v/>
      </c>
      <c r="I52" s="85" t="str">
        <f aca="false">IF($A52="","",INDEX('قيود اليومية'!$H$11:$H$1010,MATCH($A52,'قيود اليومية'!$N$11:$N$1010,0)))</f>
        <v/>
      </c>
    </row>
    <row r="53" customFormat="false" ht="15" hidden="false" customHeight="false" outlineLevel="0" collapsed="false">
      <c r="A53" s="82" t="str">
        <f aca="false">IF(ROW()-16&gt;COUNT('قيود اليومية'!$N$11:$N$1010),"",ROW()-16)</f>
        <v/>
      </c>
      <c r="B53" s="83" t="str">
        <f aca="false">IF($A53="","",INDEX('قيود اليومية'!$B$11:$B$1010,MATCH($A53,'قيود اليومية'!$N$11:$N$1010,0)))</f>
        <v/>
      </c>
      <c r="C53" s="84" t="str">
        <f aca="false">IF($A53="","",INDEX('قيود اليومية'!$A$11:$A$1010,MATCH($A53,'قيود اليومية'!$N$11:$N$1010,0)))</f>
        <v/>
      </c>
      <c r="D53" s="84" t="str">
        <f aca="false">IF($A53="","",INDEX('قيود اليومية'!$C$11:$C$1010,MATCH($A53,'قيود اليومية'!$N$11:$N$1010,0)))</f>
        <v/>
      </c>
      <c r="E53" s="51" t="str">
        <f aca="false">IF($A53="","",INDEX('قيود اليومية'!$D$11:$D$1010,MATCH($A53,'قيود اليومية'!$N$11:$N$1010,0))&amp;"")</f>
        <v/>
      </c>
      <c r="F53" s="51" t="str">
        <f aca="false">IF($A53="","",INDEX('قيود اليومية'!$K$11:$K$1010,MATCH($A53,'قيود اليومية'!$N$11:$N$1010,0))&amp;"")</f>
        <v/>
      </c>
      <c r="G53" s="51" t="str">
        <f aca="false">IF($A53="","",INDEX('قيود اليومية'!$F$11:$F$1010,MATCH($A53,'قيود اليومية'!$N$11:$N$1010,0))&amp;"")</f>
        <v/>
      </c>
      <c r="H53" s="85" t="str">
        <f aca="false">IF($A53="","",INDEX('قيود اليومية'!$G$11:$G$1010,MATCH($A53,'قيود اليومية'!$N$11:$N$1010,0)))</f>
        <v/>
      </c>
      <c r="I53" s="85" t="str">
        <f aca="false">IF($A53="","",INDEX('قيود اليومية'!$H$11:$H$1010,MATCH($A53,'قيود اليومية'!$N$11:$N$1010,0)))</f>
        <v/>
      </c>
    </row>
    <row r="54" customFormat="false" ht="15" hidden="false" customHeight="false" outlineLevel="0" collapsed="false">
      <c r="A54" s="82" t="str">
        <f aca="false">IF(ROW()-16&gt;COUNT('قيود اليومية'!$N$11:$N$1010),"",ROW()-16)</f>
        <v/>
      </c>
      <c r="B54" s="83" t="str">
        <f aca="false">IF($A54="","",INDEX('قيود اليومية'!$B$11:$B$1010,MATCH($A54,'قيود اليومية'!$N$11:$N$1010,0)))</f>
        <v/>
      </c>
      <c r="C54" s="84" t="str">
        <f aca="false">IF($A54="","",INDEX('قيود اليومية'!$A$11:$A$1010,MATCH($A54,'قيود اليومية'!$N$11:$N$1010,0)))</f>
        <v/>
      </c>
      <c r="D54" s="84" t="str">
        <f aca="false">IF($A54="","",INDEX('قيود اليومية'!$C$11:$C$1010,MATCH($A54,'قيود اليومية'!$N$11:$N$1010,0)))</f>
        <v/>
      </c>
      <c r="E54" s="51" t="str">
        <f aca="false">IF($A54="","",INDEX('قيود اليومية'!$D$11:$D$1010,MATCH($A54,'قيود اليومية'!$N$11:$N$1010,0))&amp;"")</f>
        <v/>
      </c>
      <c r="F54" s="51" t="str">
        <f aca="false">IF($A54="","",INDEX('قيود اليومية'!$K$11:$K$1010,MATCH($A54,'قيود اليومية'!$N$11:$N$1010,0))&amp;"")</f>
        <v/>
      </c>
      <c r="G54" s="51" t="str">
        <f aca="false">IF($A54="","",INDEX('قيود اليومية'!$F$11:$F$1010,MATCH($A54,'قيود اليومية'!$N$11:$N$1010,0))&amp;"")</f>
        <v/>
      </c>
      <c r="H54" s="85" t="str">
        <f aca="false">IF($A54="","",INDEX('قيود اليومية'!$G$11:$G$1010,MATCH($A54,'قيود اليومية'!$N$11:$N$1010,0)))</f>
        <v/>
      </c>
      <c r="I54" s="85" t="str">
        <f aca="false">IF($A54="","",INDEX('قيود اليومية'!$H$11:$H$1010,MATCH($A54,'قيود اليومية'!$N$11:$N$1010,0)))</f>
        <v/>
      </c>
    </row>
    <row r="55" customFormat="false" ht="15" hidden="false" customHeight="false" outlineLevel="0" collapsed="false">
      <c r="A55" s="82" t="str">
        <f aca="false">IF(ROW()-16&gt;COUNT('قيود اليومية'!$N$11:$N$1010),"",ROW()-16)</f>
        <v/>
      </c>
      <c r="B55" s="83" t="str">
        <f aca="false">IF($A55="","",INDEX('قيود اليومية'!$B$11:$B$1010,MATCH($A55,'قيود اليومية'!$N$11:$N$1010,0)))</f>
        <v/>
      </c>
      <c r="C55" s="84" t="str">
        <f aca="false">IF($A55="","",INDEX('قيود اليومية'!$A$11:$A$1010,MATCH($A55,'قيود اليومية'!$N$11:$N$1010,0)))</f>
        <v/>
      </c>
      <c r="D55" s="84" t="str">
        <f aca="false">IF($A55="","",INDEX('قيود اليومية'!$C$11:$C$1010,MATCH($A55,'قيود اليومية'!$N$11:$N$1010,0)))</f>
        <v/>
      </c>
      <c r="E55" s="51" t="str">
        <f aca="false">IF($A55="","",INDEX('قيود اليومية'!$D$11:$D$1010,MATCH($A55,'قيود اليومية'!$N$11:$N$1010,0))&amp;"")</f>
        <v/>
      </c>
      <c r="F55" s="51" t="str">
        <f aca="false">IF($A55="","",INDEX('قيود اليومية'!$K$11:$K$1010,MATCH($A55,'قيود اليومية'!$N$11:$N$1010,0))&amp;"")</f>
        <v/>
      </c>
      <c r="G55" s="51" t="str">
        <f aca="false">IF($A55="","",INDEX('قيود اليومية'!$F$11:$F$1010,MATCH($A55,'قيود اليومية'!$N$11:$N$1010,0))&amp;"")</f>
        <v/>
      </c>
      <c r="H55" s="85" t="str">
        <f aca="false">IF($A55="","",INDEX('قيود اليومية'!$G$11:$G$1010,MATCH($A55,'قيود اليومية'!$N$11:$N$1010,0)))</f>
        <v/>
      </c>
      <c r="I55" s="85" t="str">
        <f aca="false">IF($A55="","",INDEX('قيود اليومية'!$H$11:$H$1010,MATCH($A55,'قيود اليومية'!$N$11:$N$1010,0)))</f>
        <v/>
      </c>
    </row>
    <row r="56" customFormat="false" ht="15" hidden="false" customHeight="false" outlineLevel="0" collapsed="false">
      <c r="A56" s="82" t="str">
        <f aca="false">IF(ROW()-16&gt;COUNT('قيود اليومية'!$N$11:$N$1010),"",ROW()-16)</f>
        <v/>
      </c>
      <c r="B56" s="83" t="str">
        <f aca="false">IF($A56="","",INDEX('قيود اليومية'!$B$11:$B$1010,MATCH($A56,'قيود اليومية'!$N$11:$N$1010,0)))</f>
        <v/>
      </c>
      <c r="C56" s="84" t="str">
        <f aca="false">IF($A56="","",INDEX('قيود اليومية'!$A$11:$A$1010,MATCH($A56,'قيود اليومية'!$N$11:$N$1010,0)))</f>
        <v/>
      </c>
      <c r="D56" s="84" t="str">
        <f aca="false">IF($A56="","",INDEX('قيود اليومية'!$C$11:$C$1010,MATCH($A56,'قيود اليومية'!$N$11:$N$1010,0)))</f>
        <v/>
      </c>
      <c r="E56" s="51" t="str">
        <f aca="false">IF($A56="","",INDEX('قيود اليومية'!$D$11:$D$1010,MATCH($A56,'قيود اليومية'!$N$11:$N$1010,0))&amp;"")</f>
        <v/>
      </c>
      <c r="F56" s="51" t="str">
        <f aca="false">IF($A56="","",INDEX('قيود اليومية'!$K$11:$K$1010,MATCH($A56,'قيود اليومية'!$N$11:$N$1010,0))&amp;"")</f>
        <v/>
      </c>
      <c r="G56" s="51" t="str">
        <f aca="false">IF($A56="","",INDEX('قيود اليومية'!$F$11:$F$1010,MATCH($A56,'قيود اليومية'!$N$11:$N$1010,0))&amp;"")</f>
        <v/>
      </c>
      <c r="H56" s="85" t="str">
        <f aca="false">IF($A56="","",INDEX('قيود اليومية'!$G$11:$G$1010,MATCH($A56,'قيود اليومية'!$N$11:$N$1010,0)))</f>
        <v/>
      </c>
      <c r="I56" s="85" t="str">
        <f aca="false">IF($A56="","",INDEX('قيود اليومية'!$H$11:$H$1010,MATCH($A56,'قيود اليومية'!$N$11:$N$1010,0)))</f>
        <v/>
      </c>
    </row>
    <row r="57" customFormat="false" ht="15" hidden="false" customHeight="false" outlineLevel="0" collapsed="false">
      <c r="A57" s="82" t="str">
        <f aca="false">IF(ROW()-16&gt;COUNT('قيود اليومية'!$N$11:$N$1010),"",ROW()-16)</f>
        <v/>
      </c>
      <c r="B57" s="83" t="str">
        <f aca="false">IF($A57="","",INDEX('قيود اليومية'!$B$11:$B$1010,MATCH($A57,'قيود اليومية'!$N$11:$N$1010,0)))</f>
        <v/>
      </c>
      <c r="C57" s="84" t="str">
        <f aca="false">IF($A57="","",INDEX('قيود اليومية'!$A$11:$A$1010,MATCH($A57,'قيود اليومية'!$N$11:$N$1010,0)))</f>
        <v/>
      </c>
      <c r="D57" s="84" t="str">
        <f aca="false">IF($A57="","",INDEX('قيود اليومية'!$C$11:$C$1010,MATCH($A57,'قيود اليومية'!$N$11:$N$1010,0)))</f>
        <v/>
      </c>
      <c r="E57" s="51" t="str">
        <f aca="false">IF($A57="","",INDEX('قيود اليومية'!$D$11:$D$1010,MATCH($A57,'قيود اليومية'!$N$11:$N$1010,0))&amp;"")</f>
        <v/>
      </c>
      <c r="F57" s="51" t="str">
        <f aca="false">IF($A57="","",INDEX('قيود اليومية'!$K$11:$K$1010,MATCH($A57,'قيود اليومية'!$N$11:$N$1010,0))&amp;"")</f>
        <v/>
      </c>
      <c r="G57" s="51" t="str">
        <f aca="false">IF($A57="","",INDEX('قيود اليومية'!$F$11:$F$1010,MATCH($A57,'قيود اليومية'!$N$11:$N$1010,0))&amp;"")</f>
        <v/>
      </c>
      <c r="H57" s="85" t="str">
        <f aca="false">IF($A57="","",INDEX('قيود اليومية'!$G$11:$G$1010,MATCH($A57,'قيود اليومية'!$N$11:$N$1010,0)))</f>
        <v/>
      </c>
      <c r="I57" s="85" t="str">
        <f aca="false">IF($A57="","",INDEX('قيود اليومية'!$H$11:$H$1010,MATCH($A57,'قيود اليومية'!$N$11:$N$1010,0)))</f>
        <v/>
      </c>
    </row>
    <row r="58" customFormat="false" ht="15" hidden="false" customHeight="false" outlineLevel="0" collapsed="false">
      <c r="A58" s="82" t="str">
        <f aca="false">IF(ROW()-16&gt;COUNT('قيود اليومية'!$N$11:$N$1010),"",ROW()-16)</f>
        <v/>
      </c>
      <c r="B58" s="83" t="str">
        <f aca="false">IF($A58="","",INDEX('قيود اليومية'!$B$11:$B$1010,MATCH($A58,'قيود اليومية'!$N$11:$N$1010,0)))</f>
        <v/>
      </c>
      <c r="C58" s="84" t="str">
        <f aca="false">IF($A58="","",INDEX('قيود اليومية'!$A$11:$A$1010,MATCH($A58,'قيود اليومية'!$N$11:$N$1010,0)))</f>
        <v/>
      </c>
      <c r="D58" s="84" t="str">
        <f aca="false">IF($A58="","",INDEX('قيود اليومية'!$C$11:$C$1010,MATCH($A58,'قيود اليومية'!$N$11:$N$1010,0)))</f>
        <v/>
      </c>
      <c r="E58" s="51" t="str">
        <f aca="false">IF($A58="","",INDEX('قيود اليومية'!$D$11:$D$1010,MATCH($A58,'قيود اليومية'!$N$11:$N$1010,0))&amp;"")</f>
        <v/>
      </c>
      <c r="F58" s="51" t="str">
        <f aca="false">IF($A58="","",INDEX('قيود اليومية'!$K$11:$K$1010,MATCH($A58,'قيود اليومية'!$N$11:$N$1010,0))&amp;"")</f>
        <v/>
      </c>
      <c r="G58" s="51" t="str">
        <f aca="false">IF($A58="","",INDEX('قيود اليومية'!$F$11:$F$1010,MATCH($A58,'قيود اليومية'!$N$11:$N$1010,0))&amp;"")</f>
        <v/>
      </c>
      <c r="H58" s="85" t="str">
        <f aca="false">IF($A58="","",INDEX('قيود اليومية'!$G$11:$G$1010,MATCH($A58,'قيود اليومية'!$N$11:$N$1010,0)))</f>
        <v/>
      </c>
      <c r="I58" s="85" t="str">
        <f aca="false">IF($A58="","",INDEX('قيود اليومية'!$H$11:$H$1010,MATCH($A58,'قيود اليومية'!$N$11:$N$1010,0)))</f>
        <v/>
      </c>
    </row>
    <row r="59" customFormat="false" ht="15" hidden="false" customHeight="false" outlineLevel="0" collapsed="false">
      <c r="A59" s="82" t="str">
        <f aca="false">IF(ROW()-16&gt;COUNT('قيود اليومية'!$N$11:$N$1010),"",ROW()-16)</f>
        <v/>
      </c>
      <c r="B59" s="83" t="str">
        <f aca="false">IF($A59="","",INDEX('قيود اليومية'!$B$11:$B$1010,MATCH($A59,'قيود اليومية'!$N$11:$N$1010,0)))</f>
        <v/>
      </c>
      <c r="C59" s="84" t="str">
        <f aca="false">IF($A59="","",INDEX('قيود اليومية'!$A$11:$A$1010,MATCH($A59,'قيود اليومية'!$N$11:$N$1010,0)))</f>
        <v/>
      </c>
      <c r="D59" s="84" t="str">
        <f aca="false">IF($A59="","",INDEX('قيود اليومية'!$C$11:$C$1010,MATCH($A59,'قيود اليومية'!$N$11:$N$1010,0)))</f>
        <v/>
      </c>
      <c r="E59" s="51" t="str">
        <f aca="false">IF($A59="","",INDEX('قيود اليومية'!$D$11:$D$1010,MATCH($A59,'قيود اليومية'!$N$11:$N$1010,0))&amp;"")</f>
        <v/>
      </c>
      <c r="F59" s="51" t="str">
        <f aca="false">IF($A59="","",INDEX('قيود اليومية'!$K$11:$K$1010,MATCH($A59,'قيود اليومية'!$N$11:$N$1010,0))&amp;"")</f>
        <v/>
      </c>
      <c r="G59" s="51" t="str">
        <f aca="false">IF($A59="","",INDEX('قيود اليومية'!$F$11:$F$1010,MATCH($A59,'قيود اليومية'!$N$11:$N$1010,0))&amp;"")</f>
        <v/>
      </c>
      <c r="H59" s="85" t="str">
        <f aca="false">IF($A59="","",INDEX('قيود اليومية'!$G$11:$G$1010,MATCH($A59,'قيود اليومية'!$N$11:$N$1010,0)))</f>
        <v/>
      </c>
      <c r="I59" s="85" t="str">
        <f aca="false">IF($A59="","",INDEX('قيود اليومية'!$H$11:$H$1010,MATCH($A59,'قيود اليومية'!$N$11:$N$1010,0)))</f>
        <v/>
      </c>
    </row>
    <row r="60" customFormat="false" ht="15" hidden="false" customHeight="false" outlineLevel="0" collapsed="false">
      <c r="A60" s="82" t="str">
        <f aca="false">IF(ROW()-16&gt;COUNT('قيود اليومية'!$N$11:$N$1010),"",ROW()-16)</f>
        <v/>
      </c>
      <c r="B60" s="83" t="str">
        <f aca="false">IF($A60="","",INDEX('قيود اليومية'!$B$11:$B$1010,MATCH($A60,'قيود اليومية'!$N$11:$N$1010,0)))</f>
        <v/>
      </c>
      <c r="C60" s="84" t="str">
        <f aca="false">IF($A60="","",INDEX('قيود اليومية'!$A$11:$A$1010,MATCH($A60,'قيود اليومية'!$N$11:$N$1010,0)))</f>
        <v/>
      </c>
      <c r="D60" s="84" t="str">
        <f aca="false">IF($A60="","",INDEX('قيود اليومية'!$C$11:$C$1010,MATCH($A60,'قيود اليومية'!$N$11:$N$1010,0)))</f>
        <v/>
      </c>
      <c r="E60" s="51" t="str">
        <f aca="false">IF($A60="","",INDEX('قيود اليومية'!$D$11:$D$1010,MATCH($A60,'قيود اليومية'!$N$11:$N$1010,0))&amp;"")</f>
        <v/>
      </c>
      <c r="F60" s="51" t="str">
        <f aca="false">IF($A60="","",INDEX('قيود اليومية'!$K$11:$K$1010,MATCH($A60,'قيود اليومية'!$N$11:$N$1010,0))&amp;"")</f>
        <v/>
      </c>
      <c r="G60" s="51" t="str">
        <f aca="false">IF($A60="","",INDEX('قيود اليومية'!$F$11:$F$1010,MATCH($A60,'قيود اليومية'!$N$11:$N$1010,0))&amp;"")</f>
        <v/>
      </c>
      <c r="H60" s="85" t="str">
        <f aca="false">IF($A60="","",INDEX('قيود اليومية'!$G$11:$G$1010,MATCH($A60,'قيود اليومية'!$N$11:$N$1010,0)))</f>
        <v/>
      </c>
      <c r="I60" s="85" t="str">
        <f aca="false">IF($A60="","",INDEX('قيود اليومية'!$H$11:$H$1010,MATCH($A60,'قيود اليومية'!$N$11:$N$1010,0)))</f>
        <v/>
      </c>
    </row>
    <row r="61" customFormat="false" ht="15" hidden="false" customHeight="false" outlineLevel="0" collapsed="false">
      <c r="A61" s="82" t="str">
        <f aca="false">IF(ROW()-16&gt;COUNT('قيود اليومية'!$N$11:$N$1010),"",ROW()-16)</f>
        <v/>
      </c>
      <c r="B61" s="83" t="str">
        <f aca="false">IF($A61="","",INDEX('قيود اليومية'!$B$11:$B$1010,MATCH($A61,'قيود اليومية'!$N$11:$N$1010,0)))</f>
        <v/>
      </c>
      <c r="C61" s="84" t="str">
        <f aca="false">IF($A61="","",INDEX('قيود اليومية'!$A$11:$A$1010,MATCH($A61,'قيود اليومية'!$N$11:$N$1010,0)))</f>
        <v/>
      </c>
      <c r="D61" s="84" t="str">
        <f aca="false">IF($A61="","",INDEX('قيود اليومية'!$C$11:$C$1010,MATCH($A61,'قيود اليومية'!$N$11:$N$1010,0)))</f>
        <v/>
      </c>
      <c r="E61" s="51" t="str">
        <f aca="false">IF($A61="","",INDEX('قيود اليومية'!$D$11:$D$1010,MATCH($A61,'قيود اليومية'!$N$11:$N$1010,0))&amp;"")</f>
        <v/>
      </c>
      <c r="F61" s="51" t="str">
        <f aca="false">IF($A61="","",INDEX('قيود اليومية'!$K$11:$K$1010,MATCH($A61,'قيود اليومية'!$N$11:$N$1010,0))&amp;"")</f>
        <v/>
      </c>
      <c r="G61" s="51" t="str">
        <f aca="false">IF($A61="","",INDEX('قيود اليومية'!$F$11:$F$1010,MATCH($A61,'قيود اليومية'!$N$11:$N$1010,0))&amp;"")</f>
        <v/>
      </c>
      <c r="H61" s="85" t="str">
        <f aca="false">IF($A61="","",INDEX('قيود اليومية'!$G$11:$G$1010,MATCH($A61,'قيود اليومية'!$N$11:$N$1010,0)))</f>
        <v/>
      </c>
      <c r="I61" s="85" t="str">
        <f aca="false">IF($A61="","",INDEX('قيود اليومية'!$H$11:$H$1010,MATCH($A61,'قيود اليومية'!$N$11:$N$1010,0)))</f>
        <v/>
      </c>
    </row>
    <row r="62" customFormat="false" ht="15" hidden="false" customHeight="false" outlineLevel="0" collapsed="false">
      <c r="A62" s="82" t="str">
        <f aca="false">IF(ROW()-16&gt;COUNT('قيود اليومية'!$N$11:$N$1010),"",ROW()-16)</f>
        <v/>
      </c>
      <c r="B62" s="83" t="str">
        <f aca="false">IF($A62="","",INDEX('قيود اليومية'!$B$11:$B$1010,MATCH($A62,'قيود اليومية'!$N$11:$N$1010,0)))</f>
        <v/>
      </c>
      <c r="C62" s="84" t="str">
        <f aca="false">IF($A62="","",INDEX('قيود اليومية'!$A$11:$A$1010,MATCH($A62,'قيود اليومية'!$N$11:$N$1010,0)))</f>
        <v/>
      </c>
      <c r="D62" s="84" t="str">
        <f aca="false">IF($A62="","",INDEX('قيود اليومية'!$C$11:$C$1010,MATCH($A62,'قيود اليومية'!$N$11:$N$1010,0)))</f>
        <v/>
      </c>
      <c r="E62" s="51" t="str">
        <f aca="false">IF($A62="","",INDEX('قيود اليومية'!$D$11:$D$1010,MATCH($A62,'قيود اليومية'!$N$11:$N$1010,0))&amp;"")</f>
        <v/>
      </c>
      <c r="F62" s="51" t="str">
        <f aca="false">IF($A62="","",INDEX('قيود اليومية'!$K$11:$K$1010,MATCH($A62,'قيود اليومية'!$N$11:$N$1010,0))&amp;"")</f>
        <v/>
      </c>
      <c r="G62" s="51" t="str">
        <f aca="false">IF($A62="","",INDEX('قيود اليومية'!$F$11:$F$1010,MATCH($A62,'قيود اليومية'!$N$11:$N$1010,0))&amp;"")</f>
        <v/>
      </c>
      <c r="H62" s="85" t="str">
        <f aca="false">IF($A62="","",INDEX('قيود اليومية'!$G$11:$G$1010,MATCH($A62,'قيود اليومية'!$N$11:$N$1010,0)))</f>
        <v/>
      </c>
      <c r="I62" s="85" t="str">
        <f aca="false">IF($A62="","",INDEX('قيود اليومية'!$H$11:$H$1010,MATCH($A62,'قيود اليومية'!$N$11:$N$1010,0)))</f>
        <v/>
      </c>
    </row>
    <row r="63" customFormat="false" ht="15" hidden="false" customHeight="false" outlineLevel="0" collapsed="false">
      <c r="A63" s="82" t="str">
        <f aca="false">IF(ROW()-16&gt;COUNT('قيود اليومية'!$N$11:$N$1010),"",ROW()-16)</f>
        <v/>
      </c>
      <c r="B63" s="83" t="str">
        <f aca="false">IF($A63="","",INDEX('قيود اليومية'!$B$11:$B$1010,MATCH($A63,'قيود اليومية'!$N$11:$N$1010,0)))</f>
        <v/>
      </c>
      <c r="C63" s="84" t="str">
        <f aca="false">IF($A63="","",INDEX('قيود اليومية'!$A$11:$A$1010,MATCH($A63,'قيود اليومية'!$N$11:$N$1010,0)))</f>
        <v/>
      </c>
      <c r="D63" s="84" t="str">
        <f aca="false">IF($A63="","",INDEX('قيود اليومية'!$C$11:$C$1010,MATCH($A63,'قيود اليومية'!$N$11:$N$1010,0)))</f>
        <v/>
      </c>
      <c r="E63" s="51" t="str">
        <f aca="false">IF($A63="","",INDEX('قيود اليومية'!$D$11:$D$1010,MATCH($A63,'قيود اليومية'!$N$11:$N$1010,0))&amp;"")</f>
        <v/>
      </c>
      <c r="F63" s="51" t="str">
        <f aca="false">IF($A63="","",INDEX('قيود اليومية'!$K$11:$K$1010,MATCH($A63,'قيود اليومية'!$N$11:$N$1010,0))&amp;"")</f>
        <v/>
      </c>
      <c r="G63" s="51" t="str">
        <f aca="false">IF($A63="","",INDEX('قيود اليومية'!$F$11:$F$1010,MATCH($A63,'قيود اليومية'!$N$11:$N$1010,0))&amp;"")</f>
        <v/>
      </c>
      <c r="H63" s="85" t="str">
        <f aca="false">IF($A63="","",INDEX('قيود اليومية'!$G$11:$G$1010,MATCH($A63,'قيود اليومية'!$N$11:$N$1010,0)))</f>
        <v/>
      </c>
      <c r="I63" s="85" t="str">
        <f aca="false">IF($A63="","",INDEX('قيود اليومية'!$H$11:$H$1010,MATCH($A63,'قيود اليومية'!$N$11:$N$1010,0)))</f>
        <v/>
      </c>
    </row>
    <row r="64" customFormat="false" ht="15" hidden="false" customHeight="false" outlineLevel="0" collapsed="false">
      <c r="A64" s="82" t="str">
        <f aca="false">IF(ROW()-16&gt;COUNT('قيود اليومية'!$N$11:$N$1010),"",ROW()-16)</f>
        <v/>
      </c>
      <c r="B64" s="83" t="str">
        <f aca="false">IF($A64="","",INDEX('قيود اليومية'!$B$11:$B$1010,MATCH($A64,'قيود اليومية'!$N$11:$N$1010,0)))</f>
        <v/>
      </c>
      <c r="C64" s="84" t="str">
        <f aca="false">IF($A64="","",INDEX('قيود اليومية'!$A$11:$A$1010,MATCH($A64,'قيود اليومية'!$N$11:$N$1010,0)))</f>
        <v/>
      </c>
      <c r="D64" s="84" t="str">
        <f aca="false">IF($A64="","",INDEX('قيود اليومية'!$C$11:$C$1010,MATCH($A64,'قيود اليومية'!$N$11:$N$1010,0)))</f>
        <v/>
      </c>
      <c r="E64" s="51" t="str">
        <f aca="false">IF($A64="","",INDEX('قيود اليومية'!$D$11:$D$1010,MATCH($A64,'قيود اليومية'!$N$11:$N$1010,0))&amp;"")</f>
        <v/>
      </c>
      <c r="F64" s="51" t="str">
        <f aca="false">IF($A64="","",INDEX('قيود اليومية'!$K$11:$K$1010,MATCH($A64,'قيود اليومية'!$N$11:$N$1010,0))&amp;"")</f>
        <v/>
      </c>
      <c r="G64" s="51" t="str">
        <f aca="false">IF($A64="","",INDEX('قيود اليومية'!$F$11:$F$1010,MATCH($A64,'قيود اليومية'!$N$11:$N$1010,0))&amp;"")</f>
        <v/>
      </c>
      <c r="H64" s="85" t="str">
        <f aca="false">IF($A64="","",INDEX('قيود اليومية'!$G$11:$G$1010,MATCH($A64,'قيود اليومية'!$N$11:$N$1010,0)))</f>
        <v/>
      </c>
      <c r="I64" s="85" t="str">
        <f aca="false">IF($A64="","",INDEX('قيود اليومية'!$H$11:$H$1010,MATCH($A64,'قيود اليومية'!$N$11:$N$1010,0)))</f>
        <v/>
      </c>
    </row>
    <row r="65" customFormat="false" ht="15" hidden="false" customHeight="false" outlineLevel="0" collapsed="false">
      <c r="A65" s="82" t="str">
        <f aca="false">IF(ROW()-16&gt;COUNT('قيود اليومية'!$N$11:$N$1010),"",ROW()-16)</f>
        <v/>
      </c>
      <c r="B65" s="83" t="str">
        <f aca="false">IF($A65="","",INDEX('قيود اليومية'!$B$11:$B$1010,MATCH($A65,'قيود اليومية'!$N$11:$N$1010,0)))</f>
        <v/>
      </c>
      <c r="C65" s="84" t="str">
        <f aca="false">IF($A65="","",INDEX('قيود اليومية'!$A$11:$A$1010,MATCH($A65,'قيود اليومية'!$N$11:$N$1010,0)))</f>
        <v/>
      </c>
      <c r="D65" s="84" t="str">
        <f aca="false">IF($A65="","",INDEX('قيود اليومية'!$C$11:$C$1010,MATCH($A65,'قيود اليومية'!$N$11:$N$1010,0)))</f>
        <v/>
      </c>
      <c r="E65" s="51" t="str">
        <f aca="false">IF($A65="","",INDEX('قيود اليومية'!$D$11:$D$1010,MATCH($A65,'قيود اليومية'!$N$11:$N$1010,0))&amp;"")</f>
        <v/>
      </c>
      <c r="F65" s="51" t="str">
        <f aca="false">IF($A65="","",INDEX('قيود اليومية'!$K$11:$K$1010,MATCH($A65,'قيود اليومية'!$N$11:$N$1010,0))&amp;"")</f>
        <v/>
      </c>
      <c r="G65" s="51" t="str">
        <f aca="false">IF($A65="","",INDEX('قيود اليومية'!$F$11:$F$1010,MATCH($A65,'قيود اليومية'!$N$11:$N$1010,0))&amp;"")</f>
        <v/>
      </c>
      <c r="H65" s="85" t="str">
        <f aca="false">IF($A65="","",INDEX('قيود اليومية'!$G$11:$G$1010,MATCH($A65,'قيود اليومية'!$N$11:$N$1010,0)))</f>
        <v/>
      </c>
      <c r="I65" s="85" t="str">
        <f aca="false">IF($A65="","",INDEX('قيود اليومية'!$H$11:$H$1010,MATCH($A65,'قيود اليومية'!$N$11:$N$1010,0)))</f>
        <v/>
      </c>
    </row>
    <row r="66" customFormat="false" ht="15" hidden="false" customHeight="false" outlineLevel="0" collapsed="false">
      <c r="A66" s="82" t="str">
        <f aca="false">IF(ROW()-16&gt;COUNT('قيود اليومية'!$N$11:$N$1010),"",ROW()-16)</f>
        <v/>
      </c>
      <c r="B66" s="83" t="str">
        <f aca="false">IF($A66="","",INDEX('قيود اليومية'!$B$11:$B$1010,MATCH($A66,'قيود اليومية'!$N$11:$N$1010,0)))</f>
        <v/>
      </c>
      <c r="C66" s="84" t="str">
        <f aca="false">IF($A66="","",INDEX('قيود اليومية'!$A$11:$A$1010,MATCH($A66,'قيود اليومية'!$N$11:$N$1010,0)))</f>
        <v/>
      </c>
      <c r="D66" s="84" t="str">
        <f aca="false">IF($A66="","",INDEX('قيود اليومية'!$C$11:$C$1010,MATCH($A66,'قيود اليومية'!$N$11:$N$1010,0)))</f>
        <v/>
      </c>
      <c r="E66" s="51" t="str">
        <f aca="false">IF($A66="","",INDEX('قيود اليومية'!$D$11:$D$1010,MATCH($A66,'قيود اليومية'!$N$11:$N$1010,0))&amp;"")</f>
        <v/>
      </c>
      <c r="F66" s="51" t="str">
        <f aca="false">IF($A66="","",INDEX('قيود اليومية'!$K$11:$K$1010,MATCH($A66,'قيود اليومية'!$N$11:$N$1010,0))&amp;"")</f>
        <v/>
      </c>
      <c r="G66" s="51" t="str">
        <f aca="false">IF($A66="","",INDEX('قيود اليومية'!$F$11:$F$1010,MATCH($A66,'قيود اليومية'!$N$11:$N$1010,0))&amp;"")</f>
        <v/>
      </c>
      <c r="H66" s="85" t="str">
        <f aca="false">IF($A66="","",INDEX('قيود اليومية'!$G$11:$G$1010,MATCH($A66,'قيود اليومية'!$N$11:$N$1010,0)))</f>
        <v/>
      </c>
      <c r="I66" s="85" t="str">
        <f aca="false">IF($A66="","",INDEX('قيود اليومية'!$H$11:$H$1010,MATCH($A66,'قيود اليومية'!$N$11:$N$1010,0)))</f>
        <v/>
      </c>
    </row>
    <row r="67" customFormat="false" ht="15" hidden="false" customHeight="false" outlineLevel="0" collapsed="false">
      <c r="A67" s="82" t="str">
        <f aca="false">IF(ROW()-16&gt;COUNT('قيود اليومية'!$N$11:$N$1010),"",ROW()-16)</f>
        <v/>
      </c>
      <c r="B67" s="83" t="str">
        <f aca="false">IF($A67="","",INDEX('قيود اليومية'!$B$11:$B$1010,MATCH($A67,'قيود اليومية'!$N$11:$N$1010,0)))</f>
        <v/>
      </c>
      <c r="C67" s="84" t="str">
        <f aca="false">IF($A67="","",INDEX('قيود اليومية'!$A$11:$A$1010,MATCH($A67,'قيود اليومية'!$N$11:$N$1010,0)))</f>
        <v/>
      </c>
      <c r="D67" s="84" t="str">
        <f aca="false">IF($A67="","",INDEX('قيود اليومية'!$C$11:$C$1010,MATCH($A67,'قيود اليومية'!$N$11:$N$1010,0)))</f>
        <v/>
      </c>
      <c r="E67" s="51" t="str">
        <f aca="false">IF($A67="","",INDEX('قيود اليومية'!$D$11:$D$1010,MATCH($A67,'قيود اليومية'!$N$11:$N$1010,0))&amp;"")</f>
        <v/>
      </c>
      <c r="F67" s="51" t="str">
        <f aca="false">IF($A67="","",INDEX('قيود اليومية'!$K$11:$K$1010,MATCH($A67,'قيود اليومية'!$N$11:$N$1010,0))&amp;"")</f>
        <v/>
      </c>
      <c r="G67" s="51" t="str">
        <f aca="false">IF($A67="","",INDEX('قيود اليومية'!$F$11:$F$1010,MATCH($A67,'قيود اليومية'!$N$11:$N$1010,0))&amp;"")</f>
        <v/>
      </c>
      <c r="H67" s="85" t="str">
        <f aca="false">IF($A67="","",INDEX('قيود اليومية'!$G$11:$G$1010,MATCH($A67,'قيود اليومية'!$N$11:$N$1010,0)))</f>
        <v/>
      </c>
      <c r="I67" s="85" t="str">
        <f aca="false">IF($A67="","",INDEX('قيود اليومية'!$H$11:$H$1010,MATCH($A67,'قيود اليومية'!$N$11:$N$1010,0)))</f>
        <v/>
      </c>
    </row>
    <row r="68" customFormat="false" ht="15" hidden="false" customHeight="false" outlineLevel="0" collapsed="false">
      <c r="A68" s="82" t="str">
        <f aca="false">IF(ROW()-16&gt;COUNT('قيود اليومية'!$N$11:$N$1010),"",ROW()-16)</f>
        <v/>
      </c>
      <c r="B68" s="83" t="str">
        <f aca="false">IF($A68="","",INDEX('قيود اليومية'!$B$11:$B$1010,MATCH($A68,'قيود اليومية'!$N$11:$N$1010,0)))</f>
        <v/>
      </c>
      <c r="C68" s="84" t="str">
        <f aca="false">IF($A68="","",INDEX('قيود اليومية'!$A$11:$A$1010,MATCH($A68,'قيود اليومية'!$N$11:$N$1010,0)))</f>
        <v/>
      </c>
      <c r="D68" s="84" t="str">
        <f aca="false">IF($A68="","",INDEX('قيود اليومية'!$C$11:$C$1010,MATCH($A68,'قيود اليومية'!$N$11:$N$1010,0)))</f>
        <v/>
      </c>
      <c r="E68" s="51" t="str">
        <f aca="false">IF($A68="","",INDEX('قيود اليومية'!$D$11:$D$1010,MATCH($A68,'قيود اليومية'!$N$11:$N$1010,0))&amp;"")</f>
        <v/>
      </c>
      <c r="F68" s="51" t="str">
        <f aca="false">IF($A68="","",INDEX('قيود اليومية'!$K$11:$K$1010,MATCH($A68,'قيود اليومية'!$N$11:$N$1010,0))&amp;"")</f>
        <v/>
      </c>
      <c r="G68" s="51" t="str">
        <f aca="false">IF($A68="","",INDEX('قيود اليومية'!$F$11:$F$1010,MATCH($A68,'قيود اليومية'!$N$11:$N$1010,0))&amp;"")</f>
        <v/>
      </c>
      <c r="H68" s="85" t="str">
        <f aca="false">IF($A68="","",INDEX('قيود اليومية'!$G$11:$G$1010,MATCH($A68,'قيود اليومية'!$N$11:$N$1010,0)))</f>
        <v/>
      </c>
      <c r="I68" s="85" t="str">
        <f aca="false">IF($A68="","",INDEX('قيود اليومية'!$H$11:$H$1010,MATCH($A68,'قيود اليومية'!$N$11:$N$1010,0)))</f>
        <v/>
      </c>
    </row>
    <row r="69" customFormat="false" ht="15" hidden="false" customHeight="false" outlineLevel="0" collapsed="false">
      <c r="A69" s="82" t="str">
        <f aca="false">IF(ROW()-16&gt;COUNT('قيود اليومية'!$N$11:$N$1010),"",ROW()-16)</f>
        <v/>
      </c>
      <c r="B69" s="83" t="str">
        <f aca="false">IF($A69="","",INDEX('قيود اليومية'!$B$11:$B$1010,MATCH($A69,'قيود اليومية'!$N$11:$N$1010,0)))</f>
        <v/>
      </c>
      <c r="C69" s="84" t="str">
        <f aca="false">IF($A69="","",INDEX('قيود اليومية'!$A$11:$A$1010,MATCH($A69,'قيود اليومية'!$N$11:$N$1010,0)))</f>
        <v/>
      </c>
      <c r="D69" s="84" t="str">
        <f aca="false">IF($A69="","",INDEX('قيود اليومية'!$C$11:$C$1010,MATCH($A69,'قيود اليومية'!$N$11:$N$1010,0)))</f>
        <v/>
      </c>
      <c r="E69" s="51" t="str">
        <f aca="false">IF($A69="","",INDEX('قيود اليومية'!$D$11:$D$1010,MATCH($A69,'قيود اليومية'!$N$11:$N$1010,0))&amp;"")</f>
        <v/>
      </c>
      <c r="F69" s="51" t="str">
        <f aca="false">IF($A69="","",INDEX('قيود اليومية'!$K$11:$K$1010,MATCH($A69,'قيود اليومية'!$N$11:$N$1010,0))&amp;"")</f>
        <v/>
      </c>
      <c r="G69" s="51" t="str">
        <f aca="false">IF($A69="","",INDEX('قيود اليومية'!$F$11:$F$1010,MATCH($A69,'قيود اليومية'!$N$11:$N$1010,0))&amp;"")</f>
        <v/>
      </c>
      <c r="H69" s="85" t="str">
        <f aca="false">IF($A69="","",INDEX('قيود اليومية'!$G$11:$G$1010,MATCH($A69,'قيود اليومية'!$N$11:$N$1010,0)))</f>
        <v/>
      </c>
      <c r="I69" s="85" t="str">
        <f aca="false">IF($A69="","",INDEX('قيود اليومية'!$H$11:$H$1010,MATCH($A69,'قيود اليومية'!$N$11:$N$1010,0)))</f>
        <v/>
      </c>
    </row>
    <row r="70" customFormat="false" ht="15" hidden="false" customHeight="false" outlineLevel="0" collapsed="false">
      <c r="A70" s="82" t="str">
        <f aca="false">IF(ROW()-16&gt;COUNT('قيود اليومية'!$N$11:$N$1010),"",ROW()-16)</f>
        <v/>
      </c>
      <c r="B70" s="83" t="str">
        <f aca="false">IF($A70="","",INDEX('قيود اليومية'!$B$11:$B$1010,MATCH($A70,'قيود اليومية'!$N$11:$N$1010,0)))</f>
        <v/>
      </c>
      <c r="C70" s="84" t="str">
        <f aca="false">IF($A70="","",INDEX('قيود اليومية'!$A$11:$A$1010,MATCH($A70,'قيود اليومية'!$N$11:$N$1010,0)))</f>
        <v/>
      </c>
      <c r="D70" s="84" t="str">
        <f aca="false">IF($A70="","",INDEX('قيود اليومية'!$C$11:$C$1010,MATCH($A70,'قيود اليومية'!$N$11:$N$1010,0)))</f>
        <v/>
      </c>
      <c r="E70" s="51" t="str">
        <f aca="false">IF($A70="","",INDEX('قيود اليومية'!$D$11:$D$1010,MATCH($A70,'قيود اليومية'!$N$11:$N$1010,0))&amp;"")</f>
        <v/>
      </c>
      <c r="F70" s="51" t="str">
        <f aca="false">IF($A70="","",INDEX('قيود اليومية'!$K$11:$K$1010,MATCH($A70,'قيود اليومية'!$N$11:$N$1010,0))&amp;"")</f>
        <v/>
      </c>
      <c r="G70" s="51" t="str">
        <f aca="false">IF($A70="","",INDEX('قيود اليومية'!$F$11:$F$1010,MATCH($A70,'قيود اليومية'!$N$11:$N$1010,0))&amp;"")</f>
        <v/>
      </c>
      <c r="H70" s="85" t="str">
        <f aca="false">IF($A70="","",INDEX('قيود اليومية'!$G$11:$G$1010,MATCH($A70,'قيود اليومية'!$N$11:$N$1010,0)))</f>
        <v/>
      </c>
      <c r="I70" s="85" t="str">
        <f aca="false">IF($A70="","",INDEX('قيود اليومية'!$H$11:$H$1010,MATCH($A70,'قيود اليومية'!$N$11:$N$1010,0)))</f>
        <v/>
      </c>
    </row>
    <row r="71" customFormat="false" ht="15" hidden="false" customHeight="false" outlineLevel="0" collapsed="false">
      <c r="A71" s="82" t="str">
        <f aca="false">IF(ROW()-16&gt;COUNT('قيود اليومية'!$N$11:$N$1010),"",ROW()-16)</f>
        <v/>
      </c>
      <c r="B71" s="83" t="str">
        <f aca="false">IF($A71="","",INDEX('قيود اليومية'!$B$11:$B$1010,MATCH($A71,'قيود اليومية'!$N$11:$N$1010,0)))</f>
        <v/>
      </c>
      <c r="C71" s="84" t="str">
        <f aca="false">IF($A71="","",INDEX('قيود اليومية'!$A$11:$A$1010,MATCH($A71,'قيود اليومية'!$N$11:$N$1010,0)))</f>
        <v/>
      </c>
      <c r="D71" s="84" t="str">
        <f aca="false">IF($A71="","",INDEX('قيود اليومية'!$C$11:$C$1010,MATCH($A71,'قيود اليومية'!$N$11:$N$1010,0)))</f>
        <v/>
      </c>
      <c r="E71" s="51" t="str">
        <f aca="false">IF($A71="","",INDEX('قيود اليومية'!$D$11:$D$1010,MATCH($A71,'قيود اليومية'!$N$11:$N$1010,0))&amp;"")</f>
        <v/>
      </c>
      <c r="F71" s="51" t="str">
        <f aca="false">IF($A71="","",INDEX('قيود اليومية'!$K$11:$K$1010,MATCH($A71,'قيود اليومية'!$N$11:$N$1010,0))&amp;"")</f>
        <v/>
      </c>
      <c r="G71" s="51" t="str">
        <f aca="false">IF($A71="","",INDEX('قيود اليومية'!$F$11:$F$1010,MATCH($A71,'قيود اليومية'!$N$11:$N$1010,0))&amp;"")</f>
        <v/>
      </c>
      <c r="H71" s="85" t="str">
        <f aca="false">IF($A71="","",INDEX('قيود اليومية'!$G$11:$G$1010,MATCH($A71,'قيود اليومية'!$N$11:$N$1010,0)))</f>
        <v/>
      </c>
      <c r="I71" s="85" t="str">
        <f aca="false">IF($A71="","",INDEX('قيود اليومية'!$H$11:$H$1010,MATCH($A71,'قيود اليومية'!$N$11:$N$1010,0)))</f>
        <v/>
      </c>
    </row>
    <row r="72" customFormat="false" ht="15" hidden="false" customHeight="false" outlineLevel="0" collapsed="false">
      <c r="A72" s="82" t="str">
        <f aca="false">IF(ROW()-16&gt;COUNT('قيود اليومية'!$N$11:$N$1010),"",ROW()-16)</f>
        <v/>
      </c>
      <c r="B72" s="83" t="str">
        <f aca="false">IF($A72="","",INDEX('قيود اليومية'!$B$11:$B$1010,MATCH($A72,'قيود اليومية'!$N$11:$N$1010,0)))</f>
        <v/>
      </c>
      <c r="C72" s="84" t="str">
        <f aca="false">IF($A72="","",INDEX('قيود اليومية'!$A$11:$A$1010,MATCH($A72,'قيود اليومية'!$N$11:$N$1010,0)))</f>
        <v/>
      </c>
      <c r="D72" s="84" t="str">
        <f aca="false">IF($A72="","",INDEX('قيود اليومية'!$C$11:$C$1010,MATCH($A72,'قيود اليومية'!$N$11:$N$1010,0)))</f>
        <v/>
      </c>
      <c r="E72" s="51" t="str">
        <f aca="false">IF($A72="","",INDEX('قيود اليومية'!$D$11:$D$1010,MATCH($A72,'قيود اليومية'!$N$11:$N$1010,0))&amp;"")</f>
        <v/>
      </c>
      <c r="F72" s="51" t="str">
        <f aca="false">IF($A72="","",INDEX('قيود اليومية'!$K$11:$K$1010,MATCH($A72,'قيود اليومية'!$N$11:$N$1010,0))&amp;"")</f>
        <v/>
      </c>
      <c r="G72" s="51" t="str">
        <f aca="false">IF($A72="","",INDEX('قيود اليومية'!$F$11:$F$1010,MATCH($A72,'قيود اليومية'!$N$11:$N$1010,0))&amp;"")</f>
        <v/>
      </c>
      <c r="H72" s="85" t="str">
        <f aca="false">IF($A72="","",INDEX('قيود اليومية'!$G$11:$G$1010,MATCH($A72,'قيود اليومية'!$N$11:$N$1010,0)))</f>
        <v/>
      </c>
      <c r="I72" s="85" t="str">
        <f aca="false">IF($A72="","",INDEX('قيود اليومية'!$H$11:$H$1010,MATCH($A72,'قيود اليومية'!$N$11:$N$1010,0)))</f>
        <v/>
      </c>
    </row>
    <row r="73" customFormat="false" ht="15" hidden="false" customHeight="false" outlineLevel="0" collapsed="false">
      <c r="A73" s="82" t="str">
        <f aca="false">IF(ROW()-16&gt;COUNT('قيود اليومية'!$N$11:$N$1010),"",ROW()-16)</f>
        <v/>
      </c>
      <c r="B73" s="83" t="str">
        <f aca="false">IF($A73="","",INDEX('قيود اليومية'!$B$11:$B$1010,MATCH($A73,'قيود اليومية'!$N$11:$N$1010,0)))</f>
        <v/>
      </c>
      <c r="C73" s="84" t="str">
        <f aca="false">IF($A73="","",INDEX('قيود اليومية'!$A$11:$A$1010,MATCH($A73,'قيود اليومية'!$N$11:$N$1010,0)))</f>
        <v/>
      </c>
      <c r="D73" s="84" t="str">
        <f aca="false">IF($A73="","",INDEX('قيود اليومية'!$C$11:$C$1010,MATCH($A73,'قيود اليومية'!$N$11:$N$1010,0)))</f>
        <v/>
      </c>
      <c r="E73" s="51" t="str">
        <f aca="false">IF($A73="","",INDEX('قيود اليومية'!$D$11:$D$1010,MATCH($A73,'قيود اليومية'!$N$11:$N$1010,0))&amp;"")</f>
        <v/>
      </c>
      <c r="F73" s="51" t="str">
        <f aca="false">IF($A73="","",INDEX('قيود اليومية'!$K$11:$K$1010,MATCH($A73,'قيود اليومية'!$N$11:$N$1010,0))&amp;"")</f>
        <v/>
      </c>
      <c r="G73" s="51" t="str">
        <f aca="false">IF($A73="","",INDEX('قيود اليومية'!$F$11:$F$1010,MATCH($A73,'قيود اليومية'!$N$11:$N$1010,0))&amp;"")</f>
        <v/>
      </c>
      <c r="H73" s="85" t="str">
        <f aca="false">IF($A73="","",INDEX('قيود اليومية'!$G$11:$G$1010,MATCH($A73,'قيود اليومية'!$N$11:$N$1010,0)))</f>
        <v/>
      </c>
      <c r="I73" s="85" t="str">
        <f aca="false">IF($A73="","",INDEX('قيود اليومية'!$H$11:$H$1010,MATCH($A73,'قيود اليومية'!$N$11:$N$1010,0)))</f>
        <v/>
      </c>
    </row>
    <row r="74" customFormat="false" ht="15" hidden="false" customHeight="false" outlineLevel="0" collapsed="false">
      <c r="A74" s="82" t="str">
        <f aca="false">IF(ROW()-16&gt;COUNT('قيود اليومية'!$N$11:$N$1010),"",ROW()-16)</f>
        <v/>
      </c>
      <c r="B74" s="83" t="str">
        <f aca="false">IF($A74="","",INDEX('قيود اليومية'!$B$11:$B$1010,MATCH($A74,'قيود اليومية'!$N$11:$N$1010,0)))</f>
        <v/>
      </c>
      <c r="C74" s="84" t="str">
        <f aca="false">IF($A74="","",INDEX('قيود اليومية'!$A$11:$A$1010,MATCH($A74,'قيود اليومية'!$N$11:$N$1010,0)))</f>
        <v/>
      </c>
      <c r="D74" s="84" t="str">
        <f aca="false">IF($A74="","",INDEX('قيود اليومية'!$C$11:$C$1010,MATCH($A74,'قيود اليومية'!$N$11:$N$1010,0)))</f>
        <v/>
      </c>
      <c r="E74" s="51" t="str">
        <f aca="false">IF($A74="","",INDEX('قيود اليومية'!$D$11:$D$1010,MATCH($A74,'قيود اليومية'!$N$11:$N$1010,0))&amp;"")</f>
        <v/>
      </c>
      <c r="F74" s="51" t="str">
        <f aca="false">IF($A74="","",INDEX('قيود اليومية'!$K$11:$K$1010,MATCH($A74,'قيود اليومية'!$N$11:$N$1010,0))&amp;"")</f>
        <v/>
      </c>
      <c r="G74" s="51" t="str">
        <f aca="false">IF($A74="","",INDEX('قيود اليومية'!$F$11:$F$1010,MATCH($A74,'قيود اليومية'!$N$11:$N$1010,0))&amp;"")</f>
        <v/>
      </c>
      <c r="H74" s="85" t="str">
        <f aca="false">IF($A74="","",INDEX('قيود اليومية'!$G$11:$G$1010,MATCH($A74,'قيود اليومية'!$N$11:$N$1010,0)))</f>
        <v/>
      </c>
      <c r="I74" s="85" t="str">
        <f aca="false">IF($A74="","",INDEX('قيود اليومية'!$H$11:$H$1010,MATCH($A74,'قيود اليومية'!$N$11:$N$1010,0)))</f>
        <v/>
      </c>
    </row>
    <row r="75" customFormat="false" ht="15" hidden="false" customHeight="false" outlineLevel="0" collapsed="false">
      <c r="A75" s="82" t="str">
        <f aca="false">IF(ROW()-16&gt;COUNT('قيود اليومية'!$N$11:$N$1010),"",ROW()-16)</f>
        <v/>
      </c>
      <c r="B75" s="83" t="str">
        <f aca="false">IF($A75="","",INDEX('قيود اليومية'!$B$11:$B$1010,MATCH($A75,'قيود اليومية'!$N$11:$N$1010,0)))</f>
        <v/>
      </c>
      <c r="C75" s="84" t="str">
        <f aca="false">IF($A75="","",INDEX('قيود اليومية'!$A$11:$A$1010,MATCH($A75,'قيود اليومية'!$N$11:$N$1010,0)))</f>
        <v/>
      </c>
      <c r="D75" s="84" t="str">
        <f aca="false">IF($A75="","",INDEX('قيود اليومية'!$C$11:$C$1010,MATCH($A75,'قيود اليومية'!$N$11:$N$1010,0)))</f>
        <v/>
      </c>
      <c r="E75" s="51" t="str">
        <f aca="false">IF($A75="","",INDEX('قيود اليومية'!$D$11:$D$1010,MATCH($A75,'قيود اليومية'!$N$11:$N$1010,0))&amp;"")</f>
        <v/>
      </c>
      <c r="F75" s="51" t="str">
        <f aca="false">IF($A75="","",INDEX('قيود اليومية'!$K$11:$K$1010,MATCH($A75,'قيود اليومية'!$N$11:$N$1010,0))&amp;"")</f>
        <v/>
      </c>
      <c r="G75" s="51" t="str">
        <f aca="false">IF($A75="","",INDEX('قيود اليومية'!$F$11:$F$1010,MATCH($A75,'قيود اليومية'!$N$11:$N$1010,0))&amp;"")</f>
        <v/>
      </c>
      <c r="H75" s="85" t="str">
        <f aca="false">IF($A75="","",INDEX('قيود اليومية'!$G$11:$G$1010,MATCH($A75,'قيود اليومية'!$N$11:$N$1010,0)))</f>
        <v/>
      </c>
      <c r="I75" s="85" t="str">
        <f aca="false">IF($A75="","",INDEX('قيود اليومية'!$H$11:$H$1010,MATCH($A75,'قيود اليومية'!$N$11:$N$1010,0)))</f>
        <v/>
      </c>
    </row>
    <row r="76" customFormat="false" ht="15" hidden="false" customHeight="false" outlineLevel="0" collapsed="false">
      <c r="A76" s="82" t="str">
        <f aca="false">IF(ROW()-16&gt;COUNT('قيود اليومية'!$N$11:$N$1010),"",ROW()-16)</f>
        <v/>
      </c>
      <c r="B76" s="83" t="str">
        <f aca="false">IF($A76="","",INDEX('قيود اليومية'!$B$11:$B$1010,MATCH($A76,'قيود اليومية'!$N$11:$N$1010,0)))</f>
        <v/>
      </c>
      <c r="C76" s="84" t="str">
        <f aca="false">IF($A76="","",INDEX('قيود اليومية'!$A$11:$A$1010,MATCH($A76,'قيود اليومية'!$N$11:$N$1010,0)))</f>
        <v/>
      </c>
      <c r="D76" s="84" t="str">
        <f aca="false">IF($A76="","",INDEX('قيود اليومية'!$C$11:$C$1010,MATCH($A76,'قيود اليومية'!$N$11:$N$1010,0)))</f>
        <v/>
      </c>
      <c r="E76" s="51" t="str">
        <f aca="false">IF($A76="","",INDEX('قيود اليومية'!$D$11:$D$1010,MATCH($A76,'قيود اليومية'!$N$11:$N$1010,0))&amp;"")</f>
        <v/>
      </c>
      <c r="F76" s="51" t="str">
        <f aca="false">IF($A76="","",INDEX('قيود اليومية'!$K$11:$K$1010,MATCH($A76,'قيود اليومية'!$N$11:$N$1010,0))&amp;"")</f>
        <v/>
      </c>
      <c r="G76" s="51" t="str">
        <f aca="false">IF($A76="","",INDEX('قيود اليومية'!$F$11:$F$1010,MATCH($A76,'قيود اليومية'!$N$11:$N$1010,0))&amp;"")</f>
        <v/>
      </c>
      <c r="H76" s="85" t="str">
        <f aca="false">IF($A76="","",INDEX('قيود اليومية'!$G$11:$G$1010,MATCH($A76,'قيود اليومية'!$N$11:$N$1010,0)))</f>
        <v/>
      </c>
      <c r="I76" s="85" t="str">
        <f aca="false">IF($A76="","",INDEX('قيود اليومية'!$H$11:$H$1010,MATCH($A76,'قيود اليومية'!$N$11:$N$1010,0)))</f>
        <v/>
      </c>
    </row>
    <row r="77" customFormat="false" ht="15" hidden="false" customHeight="false" outlineLevel="0" collapsed="false">
      <c r="A77" s="82" t="str">
        <f aca="false">IF(ROW()-16&gt;COUNT('قيود اليومية'!$N$11:$N$1010),"",ROW()-16)</f>
        <v/>
      </c>
      <c r="B77" s="83" t="str">
        <f aca="false">IF($A77="","",INDEX('قيود اليومية'!$B$11:$B$1010,MATCH($A77,'قيود اليومية'!$N$11:$N$1010,0)))</f>
        <v/>
      </c>
      <c r="C77" s="84" t="str">
        <f aca="false">IF($A77="","",INDEX('قيود اليومية'!$A$11:$A$1010,MATCH($A77,'قيود اليومية'!$N$11:$N$1010,0)))</f>
        <v/>
      </c>
      <c r="D77" s="84" t="str">
        <f aca="false">IF($A77="","",INDEX('قيود اليومية'!$C$11:$C$1010,MATCH($A77,'قيود اليومية'!$N$11:$N$1010,0)))</f>
        <v/>
      </c>
      <c r="E77" s="51" t="str">
        <f aca="false">IF($A77="","",INDEX('قيود اليومية'!$D$11:$D$1010,MATCH($A77,'قيود اليومية'!$N$11:$N$1010,0))&amp;"")</f>
        <v/>
      </c>
      <c r="F77" s="51" t="str">
        <f aca="false">IF($A77="","",INDEX('قيود اليومية'!$K$11:$K$1010,MATCH($A77,'قيود اليومية'!$N$11:$N$1010,0))&amp;"")</f>
        <v/>
      </c>
      <c r="G77" s="51" t="str">
        <f aca="false">IF($A77="","",INDEX('قيود اليومية'!$F$11:$F$1010,MATCH($A77,'قيود اليومية'!$N$11:$N$1010,0))&amp;"")</f>
        <v/>
      </c>
      <c r="H77" s="85" t="str">
        <f aca="false">IF($A77="","",INDEX('قيود اليومية'!$G$11:$G$1010,MATCH($A77,'قيود اليومية'!$N$11:$N$1010,0)))</f>
        <v/>
      </c>
      <c r="I77" s="85" t="str">
        <f aca="false">IF($A77="","",INDEX('قيود اليومية'!$H$11:$H$1010,MATCH($A77,'قيود اليومية'!$N$11:$N$1010,0)))</f>
        <v/>
      </c>
    </row>
    <row r="78" customFormat="false" ht="15" hidden="false" customHeight="false" outlineLevel="0" collapsed="false">
      <c r="A78" s="82" t="str">
        <f aca="false">IF(ROW()-16&gt;COUNT('قيود اليومية'!$N$11:$N$1010),"",ROW()-16)</f>
        <v/>
      </c>
      <c r="B78" s="83" t="str">
        <f aca="false">IF($A78="","",INDEX('قيود اليومية'!$B$11:$B$1010,MATCH($A78,'قيود اليومية'!$N$11:$N$1010,0)))</f>
        <v/>
      </c>
      <c r="C78" s="84" t="str">
        <f aca="false">IF($A78="","",INDEX('قيود اليومية'!$A$11:$A$1010,MATCH($A78,'قيود اليومية'!$N$11:$N$1010,0)))</f>
        <v/>
      </c>
      <c r="D78" s="84" t="str">
        <f aca="false">IF($A78="","",INDEX('قيود اليومية'!$C$11:$C$1010,MATCH($A78,'قيود اليومية'!$N$11:$N$1010,0)))</f>
        <v/>
      </c>
      <c r="E78" s="51" t="str">
        <f aca="false">IF($A78="","",INDEX('قيود اليومية'!$D$11:$D$1010,MATCH($A78,'قيود اليومية'!$N$11:$N$1010,0))&amp;"")</f>
        <v/>
      </c>
      <c r="F78" s="51" t="str">
        <f aca="false">IF($A78="","",INDEX('قيود اليومية'!$K$11:$K$1010,MATCH($A78,'قيود اليومية'!$N$11:$N$1010,0))&amp;"")</f>
        <v/>
      </c>
      <c r="G78" s="51" t="str">
        <f aca="false">IF($A78="","",INDEX('قيود اليومية'!$F$11:$F$1010,MATCH($A78,'قيود اليومية'!$N$11:$N$1010,0))&amp;"")</f>
        <v/>
      </c>
      <c r="H78" s="85" t="str">
        <f aca="false">IF($A78="","",INDEX('قيود اليومية'!$G$11:$G$1010,MATCH($A78,'قيود اليومية'!$N$11:$N$1010,0)))</f>
        <v/>
      </c>
      <c r="I78" s="85" t="str">
        <f aca="false">IF($A78="","",INDEX('قيود اليومية'!$H$11:$H$1010,MATCH($A78,'قيود اليومية'!$N$11:$N$1010,0)))</f>
        <v/>
      </c>
    </row>
    <row r="79" customFormat="false" ht="15" hidden="false" customHeight="false" outlineLevel="0" collapsed="false">
      <c r="A79" s="82" t="str">
        <f aca="false">IF(ROW()-16&gt;COUNT('قيود اليومية'!$N$11:$N$1010),"",ROW()-16)</f>
        <v/>
      </c>
      <c r="B79" s="83" t="str">
        <f aca="false">IF($A79="","",INDEX('قيود اليومية'!$B$11:$B$1010,MATCH($A79,'قيود اليومية'!$N$11:$N$1010,0)))</f>
        <v/>
      </c>
      <c r="C79" s="84" t="str">
        <f aca="false">IF($A79="","",INDEX('قيود اليومية'!$A$11:$A$1010,MATCH($A79,'قيود اليومية'!$N$11:$N$1010,0)))</f>
        <v/>
      </c>
      <c r="D79" s="84" t="str">
        <f aca="false">IF($A79="","",INDEX('قيود اليومية'!$C$11:$C$1010,MATCH($A79,'قيود اليومية'!$N$11:$N$1010,0)))</f>
        <v/>
      </c>
      <c r="E79" s="51" t="str">
        <f aca="false">IF($A79="","",INDEX('قيود اليومية'!$D$11:$D$1010,MATCH($A79,'قيود اليومية'!$N$11:$N$1010,0))&amp;"")</f>
        <v/>
      </c>
      <c r="F79" s="51" t="str">
        <f aca="false">IF($A79="","",INDEX('قيود اليومية'!$K$11:$K$1010,MATCH($A79,'قيود اليومية'!$N$11:$N$1010,0))&amp;"")</f>
        <v/>
      </c>
      <c r="G79" s="51" t="str">
        <f aca="false">IF($A79="","",INDEX('قيود اليومية'!$F$11:$F$1010,MATCH($A79,'قيود اليومية'!$N$11:$N$1010,0))&amp;"")</f>
        <v/>
      </c>
      <c r="H79" s="85" t="str">
        <f aca="false">IF($A79="","",INDEX('قيود اليومية'!$G$11:$G$1010,MATCH($A79,'قيود اليومية'!$N$11:$N$1010,0)))</f>
        <v/>
      </c>
      <c r="I79" s="85" t="str">
        <f aca="false">IF($A79="","",INDEX('قيود اليومية'!$H$11:$H$1010,MATCH($A79,'قيود اليومية'!$N$11:$N$1010,0)))</f>
        <v/>
      </c>
    </row>
    <row r="80" customFormat="false" ht="15" hidden="false" customHeight="false" outlineLevel="0" collapsed="false">
      <c r="A80" s="82" t="str">
        <f aca="false">IF(ROW()-16&gt;COUNT('قيود اليومية'!$N$11:$N$1010),"",ROW()-16)</f>
        <v/>
      </c>
      <c r="B80" s="83" t="str">
        <f aca="false">IF($A80="","",INDEX('قيود اليومية'!$B$11:$B$1010,MATCH($A80,'قيود اليومية'!$N$11:$N$1010,0)))</f>
        <v/>
      </c>
      <c r="C80" s="84" t="str">
        <f aca="false">IF($A80="","",INDEX('قيود اليومية'!$A$11:$A$1010,MATCH($A80,'قيود اليومية'!$N$11:$N$1010,0)))</f>
        <v/>
      </c>
      <c r="D80" s="84" t="str">
        <f aca="false">IF($A80="","",INDEX('قيود اليومية'!$C$11:$C$1010,MATCH($A80,'قيود اليومية'!$N$11:$N$1010,0)))</f>
        <v/>
      </c>
      <c r="E80" s="51" t="str">
        <f aca="false">IF($A80="","",INDEX('قيود اليومية'!$D$11:$D$1010,MATCH($A80,'قيود اليومية'!$N$11:$N$1010,0))&amp;"")</f>
        <v/>
      </c>
      <c r="F80" s="51" t="str">
        <f aca="false">IF($A80="","",INDEX('قيود اليومية'!$K$11:$K$1010,MATCH($A80,'قيود اليومية'!$N$11:$N$1010,0))&amp;"")</f>
        <v/>
      </c>
      <c r="G80" s="51" t="str">
        <f aca="false">IF($A80="","",INDEX('قيود اليومية'!$F$11:$F$1010,MATCH($A80,'قيود اليومية'!$N$11:$N$1010,0))&amp;"")</f>
        <v/>
      </c>
      <c r="H80" s="85" t="str">
        <f aca="false">IF($A80="","",INDEX('قيود اليومية'!$G$11:$G$1010,MATCH($A80,'قيود اليومية'!$N$11:$N$1010,0)))</f>
        <v/>
      </c>
      <c r="I80" s="85" t="str">
        <f aca="false">IF($A80="","",INDEX('قيود اليومية'!$H$11:$H$1010,MATCH($A80,'قيود اليومية'!$N$11:$N$1010,0)))</f>
        <v/>
      </c>
    </row>
    <row r="81" customFormat="false" ht="15" hidden="false" customHeight="false" outlineLevel="0" collapsed="false">
      <c r="A81" s="82" t="str">
        <f aca="false">IF(ROW()-16&gt;COUNT('قيود اليومية'!$N$11:$N$1010),"",ROW()-16)</f>
        <v/>
      </c>
      <c r="B81" s="83" t="str">
        <f aca="false">IF($A81="","",INDEX('قيود اليومية'!$B$11:$B$1010,MATCH($A81,'قيود اليومية'!$N$11:$N$1010,0)))</f>
        <v/>
      </c>
      <c r="C81" s="84" t="str">
        <f aca="false">IF($A81="","",INDEX('قيود اليومية'!$A$11:$A$1010,MATCH($A81,'قيود اليومية'!$N$11:$N$1010,0)))</f>
        <v/>
      </c>
      <c r="D81" s="84" t="str">
        <f aca="false">IF($A81="","",INDEX('قيود اليومية'!$C$11:$C$1010,MATCH($A81,'قيود اليومية'!$N$11:$N$1010,0)))</f>
        <v/>
      </c>
      <c r="E81" s="51" t="str">
        <f aca="false">IF($A81="","",INDEX('قيود اليومية'!$D$11:$D$1010,MATCH($A81,'قيود اليومية'!$N$11:$N$1010,0))&amp;"")</f>
        <v/>
      </c>
      <c r="F81" s="51" t="str">
        <f aca="false">IF($A81="","",INDEX('قيود اليومية'!$K$11:$K$1010,MATCH($A81,'قيود اليومية'!$N$11:$N$1010,0))&amp;"")</f>
        <v/>
      </c>
      <c r="G81" s="51" t="str">
        <f aca="false">IF($A81="","",INDEX('قيود اليومية'!$F$11:$F$1010,MATCH($A81,'قيود اليومية'!$N$11:$N$1010,0))&amp;"")</f>
        <v/>
      </c>
      <c r="H81" s="85" t="str">
        <f aca="false">IF($A81="","",INDEX('قيود اليومية'!$G$11:$G$1010,MATCH($A81,'قيود اليومية'!$N$11:$N$1010,0)))</f>
        <v/>
      </c>
      <c r="I81" s="85" t="str">
        <f aca="false">IF($A81="","",INDEX('قيود اليومية'!$H$11:$H$1010,MATCH($A81,'قيود اليومية'!$N$11:$N$1010,0)))</f>
        <v/>
      </c>
    </row>
    <row r="82" customFormat="false" ht="15" hidden="false" customHeight="false" outlineLevel="0" collapsed="false">
      <c r="A82" s="82" t="str">
        <f aca="false">IF(ROW()-16&gt;COUNT('قيود اليومية'!$N$11:$N$1010),"",ROW()-16)</f>
        <v/>
      </c>
      <c r="B82" s="83" t="str">
        <f aca="false">IF($A82="","",INDEX('قيود اليومية'!$B$11:$B$1010,MATCH($A82,'قيود اليومية'!$N$11:$N$1010,0)))</f>
        <v/>
      </c>
      <c r="C82" s="84" t="str">
        <f aca="false">IF($A82="","",INDEX('قيود اليومية'!$A$11:$A$1010,MATCH($A82,'قيود اليومية'!$N$11:$N$1010,0)))</f>
        <v/>
      </c>
      <c r="D82" s="84" t="str">
        <f aca="false">IF($A82="","",INDEX('قيود اليومية'!$C$11:$C$1010,MATCH($A82,'قيود اليومية'!$N$11:$N$1010,0)))</f>
        <v/>
      </c>
      <c r="E82" s="51" t="str">
        <f aca="false">IF($A82="","",INDEX('قيود اليومية'!$D$11:$D$1010,MATCH($A82,'قيود اليومية'!$N$11:$N$1010,0))&amp;"")</f>
        <v/>
      </c>
      <c r="F82" s="51" t="str">
        <f aca="false">IF($A82="","",INDEX('قيود اليومية'!$K$11:$K$1010,MATCH($A82,'قيود اليومية'!$N$11:$N$1010,0))&amp;"")</f>
        <v/>
      </c>
      <c r="G82" s="51" t="str">
        <f aca="false">IF($A82="","",INDEX('قيود اليومية'!$F$11:$F$1010,MATCH($A82,'قيود اليومية'!$N$11:$N$1010,0))&amp;"")</f>
        <v/>
      </c>
      <c r="H82" s="85" t="str">
        <f aca="false">IF($A82="","",INDEX('قيود اليومية'!$G$11:$G$1010,MATCH($A82,'قيود اليومية'!$N$11:$N$1010,0)))</f>
        <v/>
      </c>
      <c r="I82" s="85" t="str">
        <f aca="false">IF($A82="","",INDEX('قيود اليومية'!$H$11:$H$1010,MATCH($A82,'قيود اليومية'!$N$11:$N$1010,0)))</f>
        <v/>
      </c>
    </row>
    <row r="83" customFormat="false" ht="15" hidden="false" customHeight="false" outlineLevel="0" collapsed="false">
      <c r="A83" s="82" t="str">
        <f aca="false">IF(ROW()-16&gt;COUNT('قيود اليومية'!$N$11:$N$1010),"",ROW()-16)</f>
        <v/>
      </c>
      <c r="B83" s="83" t="str">
        <f aca="false">IF($A83="","",INDEX('قيود اليومية'!$B$11:$B$1010,MATCH($A83,'قيود اليومية'!$N$11:$N$1010,0)))</f>
        <v/>
      </c>
      <c r="C83" s="84" t="str">
        <f aca="false">IF($A83="","",INDEX('قيود اليومية'!$A$11:$A$1010,MATCH($A83,'قيود اليومية'!$N$11:$N$1010,0)))</f>
        <v/>
      </c>
      <c r="D83" s="84" t="str">
        <f aca="false">IF($A83="","",INDEX('قيود اليومية'!$C$11:$C$1010,MATCH($A83,'قيود اليومية'!$N$11:$N$1010,0)))</f>
        <v/>
      </c>
      <c r="E83" s="51" t="str">
        <f aca="false">IF($A83="","",INDEX('قيود اليومية'!$D$11:$D$1010,MATCH($A83,'قيود اليومية'!$N$11:$N$1010,0))&amp;"")</f>
        <v/>
      </c>
      <c r="F83" s="51" t="str">
        <f aca="false">IF($A83="","",INDEX('قيود اليومية'!$K$11:$K$1010,MATCH($A83,'قيود اليومية'!$N$11:$N$1010,0))&amp;"")</f>
        <v/>
      </c>
      <c r="G83" s="51" t="str">
        <f aca="false">IF($A83="","",INDEX('قيود اليومية'!$F$11:$F$1010,MATCH($A83,'قيود اليومية'!$N$11:$N$1010,0))&amp;"")</f>
        <v/>
      </c>
      <c r="H83" s="85" t="str">
        <f aca="false">IF($A83="","",INDEX('قيود اليومية'!$G$11:$G$1010,MATCH($A83,'قيود اليومية'!$N$11:$N$1010,0)))</f>
        <v/>
      </c>
      <c r="I83" s="85" t="str">
        <f aca="false">IF($A83="","",INDEX('قيود اليومية'!$H$11:$H$1010,MATCH($A83,'قيود اليومية'!$N$11:$N$1010,0)))</f>
        <v/>
      </c>
    </row>
    <row r="84" customFormat="false" ht="15" hidden="false" customHeight="false" outlineLevel="0" collapsed="false">
      <c r="A84" s="82" t="str">
        <f aca="false">IF(ROW()-16&gt;COUNT('قيود اليومية'!$N$11:$N$1010),"",ROW()-16)</f>
        <v/>
      </c>
      <c r="B84" s="83" t="str">
        <f aca="false">IF($A84="","",INDEX('قيود اليومية'!$B$11:$B$1010,MATCH($A84,'قيود اليومية'!$N$11:$N$1010,0)))</f>
        <v/>
      </c>
      <c r="C84" s="84" t="str">
        <f aca="false">IF($A84="","",INDEX('قيود اليومية'!$A$11:$A$1010,MATCH($A84,'قيود اليومية'!$N$11:$N$1010,0)))</f>
        <v/>
      </c>
      <c r="D84" s="84" t="str">
        <f aca="false">IF($A84="","",INDEX('قيود اليومية'!$C$11:$C$1010,MATCH($A84,'قيود اليومية'!$N$11:$N$1010,0)))</f>
        <v/>
      </c>
      <c r="E84" s="51" t="str">
        <f aca="false">IF($A84="","",INDEX('قيود اليومية'!$D$11:$D$1010,MATCH($A84,'قيود اليومية'!$N$11:$N$1010,0))&amp;"")</f>
        <v/>
      </c>
      <c r="F84" s="51" t="str">
        <f aca="false">IF($A84="","",INDEX('قيود اليومية'!$K$11:$K$1010,MATCH($A84,'قيود اليومية'!$N$11:$N$1010,0))&amp;"")</f>
        <v/>
      </c>
      <c r="G84" s="51" t="str">
        <f aca="false">IF($A84="","",INDEX('قيود اليومية'!$F$11:$F$1010,MATCH($A84,'قيود اليومية'!$N$11:$N$1010,0))&amp;"")</f>
        <v/>
      </c>
      <c r="H84" s="85" t="str">
        <f aca="false">IF($A84="","",INDEX('قيود اليومية'!$G$11:$G$1010,MATCH($A84,'قيود اليومية'!$N$11:$N$1010,0)))</f>
        <v/>
      </c>
      <c r="I84" s="85" t="str">
        <f aca="false">IF($A84="","",INDEX('قيود اليومية'!$H$11:$H$1010,MATCH($A84,'قيود اليومية'!$N$11:$N$1010,0)))</f>
        <v/>
      </c>
    </row>
    <row r="85" customFormat="false" ht="15" hidden="false" customHeight="false" outlineLevel="0" collapsed="false">
      <c r="A85" s="82" t="str">
        <f aca="false">IF(ROW()-16&gt;COUNT('قيود اليومية'!$N$11:$N$1010),"",ROW()-16)</f>
        <v/>
      </c>
      <c r="B85" s="83" t="str">
        <f aca="false">IF($A85="","",INDEX('قيود اليومية'!$B$11:$B$1010,MATCH($A85,'قيود اليومية'!$N$11:$N$1010,0)))</f>
        <v/>
      </c>
      <c r="C85" s="84" t="str">
        <f aca="false">IF($A85="","",INDEX('قيود اليومية'!$A$11:$A$1010,MATCH($A85,'قيود اليومية'!$N$11:$N$1010,0)))</f>
        <v/>
      </c>
      <c r="D85" s="84" t="str">
        <f aca="false">IF($A85="","",INDEX('قيود اليومية'!$C$11:$C$1010,MATCH($A85,'قيود اليومية'!$N$11:$N$1010,0)))</f>
        <v/>
      </c>
      <c r="E85" s="51" t="str">
        <f aca="false">IF($A85="","",INDEX('قيود اليومية'!$D$11:$D$1010,MATCH($A85,'قيود اليومية'!$N$11:$N$1010,0))&amp;"")</f>
        <v/>
      </c>
      <c r="F85" s="51" t="str">
        <f aca="false">IF($A85="","",INDEX('قيود اليومية'!$K$11:$K$1010,MATCH($A85,'قيود اليومية'!$N$11:$N$1010,0))&amp;"")</f>
        <v/>
      </c>
      <c r="G85" s="51" t="str">
        <f aca="false">IF($A85="","",INDEX('قيود اليومية'!$F$11:$F$1010,MATCH($A85,'قيود اليومية'!$N$11:$N$1010,0))&amp;"")</f>
        <v/>
      </c>
      <c r="H85" s="85" t="str">
        <f aca="false">IF($A85="","",INDEX('قيود اليومية'!$G$11:$G$1010,MATCH($A85,'قيود اليومية'!$N$11:$N$1010,0)))</f>
        <v/>
      </c>
      <c r="I85" s="85" t="str">
        <f aca="false">IF($A85="","",INDEX('قيود اليومية'!$H$11:$H$1010,MATCH($A85,'قيود اليومية'!$N$11:$N$1010,0)))</f>
        <v/>
      </c>
    </row>
    <row r="86" customFormat="false" ht="15" hidden="false" customHeight="false" outlineLevel="0" collapsed="false">
      <c r="A86" s="82" t="str">
        <f aca="false">IF(ROW()-16&gt;COUNT('قيود اليومية'!$N$11:$N$1010),"",ROW()-16)</f>
        <v/>
      </c>
      <c r="B86" s="83" t="str">
        <f aca="false">IF($A86="","",INDEX('قيود اليومية'!$B$11:$B$1010,MATCH($A86,'قيود اليومية'!$N$11:$N$1010,0)))</f>
        <v/>
      </c>
      <c r="C86" s="84" t="str">
        <f aca="false">IF($A86="","",INDEX('قيود اليومية'!$A$11:$A$1010,MATCH($A86,'قيود اليومية'!$N$11:$N$1010,0)))</f>
        <v/>
      </c>
      <c r="D86" s="84" t="str">
        <f aca="false">IF($A86="","",INDEX('قيود اليومية'!$C$11:$C$1010,MATCH($A86,'قيود اليومية'!$N$11:$N$1010,0)))</f>
        <v/>
      </c>
      <c r="E86" s="51" t="str">
        <f aca="false">IF($A86="","",INDEX('قيود اليومية'!$D$11:$D$1010,MATCH($A86,'قيود اليومية'!$N$11:$N$1010,0))&amp;"")</f>
        <v/>
      </c>
      <c r="F86" s="51" t="str">
        <f aca="false">IF($A86="","",INDEX('قيود اليومية'!$K$11:$K$1010,MATCH($A86,'قيود اليومية'!$N$11:$N$1010,0))&amp;"")</f>
        <v/>
      </c>
      <c r="G86" s="51" t="str">
        <f aca="false">IF($A86="","",INDEX('قيود اليومية'!$F$11:$F$1010,MATCH($A86,'قيود اليومية'!$N$11:$N$1010,0))&amp;"")</f>
        <v/>
      </c>
      <c r="H86" s="85" t="str">
        <f aca="false">IF($A86="","",INDEX('قيود اليومية'!$G$11:$G$1010,MATCH($A86,'قيود اليومية'!$N$11:$N$1010,0)))</f>
        <v/>
      </c>
      <c r="I86" s="85" t="str">
        <f aca="false">IF($A86="","",INDEX('قيود اليومية'!$H$11:$H$1010,MATCH($A86,'قيود اليومية'!$N$11:$N$1010,0)))</f>
        <v/>
      </c>
    </row>
    <row r="87" customFormat="false" ht="15" hidden="false" customHeight="false" outlineLevel="0" collapsed="false">
      <c r="A87" s="82" t="str">
        <f aca="false">IF(ROW()-16&gt;COUNT('قيود اليومية'!$N$11:$N$1010),"",ROW()-16)</f>
        <v/>
      </c>
      <c r="B87" s="83" t="str">
        <f aca="false">IF($A87="","",INDEX('قيود اليومية'!$B$11:$B$1010,MATCH($A87,'قيود اليومية'!$N$11:$N$1010,0)))</f>
        <v/>
      </c>
      <c r="C87" s="84" t="str">
        <f aca="false">IF($A87="","",INDEX('قيود اليومية'!$A$11:$A$1010,MATCH($A87,'قيود اليومية'!$N$11:$N$1010,0)))</f>
        <v/>
      </c>
      <c r="D87" s="84" t="str">
        <f aca="false">IF($A87="","",INDEX('قيود اليومية'!$C$11:$C$1010,MATCH($A87,'قيود اليومية'!$N$11:$N$1010,0)))</f>
        <v/>
      </c>
      <c r="E87" s="51" t="str">
        <f aca="false">IF($A87="","",INDEX('قيود اليومية'!$D$11:$D$1010,MATCH($A87,'قيود اليومية'!$N$11:$N$1010,0))&amp;"")</f>
        <v/>
      </c>
      <c r="F87" s="51" t="str">
        <f aca="false">IF($A87="","",INDEX('قيود اليومية'!$K$11:$K$1010,MATCH($A87,'قيود اليومية'!$N$11:$N$1010,0))&amp;"")</f>
        <v/>
      </c>
      <c r="G87" s="51" t="str">
        <f aca="false">IF($A87="","",INDEX('قيود اليومية'!$F$11:$F$1010,MATCH($A87,'قيود اليومية'!$N$11:$N$1010,0))&amp;"")</f>
        <v/>
      </c>
      <c r="H87" s="85" t="str">
        <f aca="false">IF($A87="","",INDEX('قيود اليومية'!$G$11:$G$1010,MATCH($A87,'قيود اليومية'!$N$11:$N$1010,0)))</f>
        <v/>
      </c>
      <c r="I87" s="85" t="str">
        <f aca="false">IF($A87="","",INDEX('قيود اليومية'!$H$11:$H$1010,MATCH($A87,'قيود اليومية'!$N$11:$N$1010,0)))</f>
        <v/>
      </c>
    </row>
    <row r="88" customFormat="false" ht="15" hidden="false" customHeight="false" outlineLevel="0" collapsed="false">
      <c r="A88" s="82" t="str">
        <f aca="false">IF(ROW()-16&gt;COUNT('قيود اليومية'!$N$11:$N$1010),"",ROW()-16)</f>
        <v/>
      </c>
      <c r="B88" s="83" t="str">
        <f aca="false">IF($A88="","",INDEX('قيود اليومية'!$B$11:$B$1010,MATCH($A88,'قيود اليومية'!$N$11:$N$1010,0)))</f>
        <v/>
      </c>
      <c r="C88" s="84" t="str">
        <f aca="false">IF($A88="","",INDEX('قيود اليومية'!$A$11:$A$1010,MATCH($A88,'قيود اليومية'!$N$11:$N$1010,0)))</f>
        <v/>
      </c>
      <c r="D88" s="84" t="str">
        <f aca="false">IF($A88="","",INDEX('قيود اليومية'!$C$11:$C$1010,MATCH($A88,'قيود اليومية'!$N$11:$N$1010,0)))</f>
        <v/>
      </c>
      <c r="E88" s="51" t="str">
        <f aca="false">IF($A88="","",INDEX('قيود اليومية'!$D$11:$D$1010,MATCH($A88,'قيود اليومية'!$N$11:$N$1010,0))&amp;"")</f>
        <v/>
      </c>
      <c r="F88" s="51" t="str">
        <f aca="false">IF($A88="","",INDEX('قيود اليومية'!$K$11:$K$1010,MATCH($A88,'قيود اليومية'!$N$11:$N$1010,0))&amp;"")</f>
        <v/>
      </c>
      <c r="G88" s="51" t="str">
        <f aca="false">IF($A88="","",INDEX('قيود اليومية'!$F$11:$F$1010,MATCH($A88,'قيود اليومية'!$N$11:$N$1010,0))&amp;"")</f>
        <v/>
      </c>
      <c r="H88" s="85" t="str">
        <f aca="false">IF($A88="","",INDEX('قيود اليومية'!$G$11:$G$1010,MATCH($A88,'قيود اليومية'!$N$11:$N$1010,0)))</f>
        <v/>
      </c>
      <c r="I88" s="85" t="str">
        <f aca="false">IF($A88="","",INDEX('قيود اليومية'!$H$11:$H$1010,MATCH($A88,'قيود اليومية'!$N$11:$N$1010,0)))</f>
        <v/>
      </c>
    </row>
    <row r="89" customFormat="false" ht="15" hidden="false" customHeight="false" outlineLevel="0" collapsed="false">
      <c r="A89" s="82" t="str">
        <f aca="false">IF(ROW()-16&gt;COUNT('قيود اليومية'!$N$11:$N$1010),"",ROW()-16)</f>
        <v/>
      </c>
      <c r="B89" s="83" t="str">
        <f aca="false">IF($A89="","",INDEX('قيود اليومية'!$B$11:$B$1010,MATCH($A89,'قيود اليومية'!$N$11:$N$1010,0)))</f>
        <v/>
      </c>
      <c r="C89" s="84" t="str">
        <f aca="false">IF($A89="","",INDEX('قيود اليومية'!$A$11:$A$1010,MATCH($A89,'قيود اليومية'!$N$11:$N$1010,0)))</f>
        <v/>
      </c>
      <c r="D89" s="84" t="str">
        <f aca="false">IF($A89="","",INDEX('قيود اليومية'!$C$11:$C$1010,MATCH($A89,'قيود اليومية'!$N$11:$N$1010,0)))</f>
        <v/>
      </c>
      <c r="E89" s="51" t="str">
        <f aca="false">IF($A89="","",INDEX('قيود اليومية'!$D$11:$D$1010,MATCH($A89,'قيود اليومية'!$N$11:$N$1010,0))&amp;"")</f>
        <v/>
      </c>
      <c r="F89" s="51" t="str">
        <f aca="false">IF($A89="","",INDEX('قيود اليومية'!$K$11:$K$1010,MATCH($A89,'قيود اليومية'!$N$11:$N$1010,0))&amp;"")</f>
        <v/>
      </c>
      <c r="G89" s="51" t="str">
        <f aca="false">IF($A89="","",INDEX('قيود اليومية'!$F$11:$F$1010,MATCH($A89,'قيود اليومية'!$N$11:$N$1010,0))&amp;"")</f>
        <v/>
      </c>
      <c r="H89" s="85" t="str">
        <f aca="false">IF($A89="","",INDEX('قيود اليومية'!$G$11:$G$1010,MATCH($A89,'قيود اليومية'!$N$11:$N$1010,0)))</f>
        <v/>
      </c>
      <c r="I89" s="85" t="str">
        <f aca="false">IF($A89="","",INDEX('قيود اليومية'!$H$11:$H$1010,MATCH($A89,'قيود اليومية'!$N$11:$N$1010,0)))</f>
        <v/>
      </c>
    </row>
    <row r="90" customFormat="false" ht="15" hidden="false" customHeight="false" outlineLevel="0" collapsed="false">
      <c r="A90" s="82" t="str">
        <f aca="false">IF(ROW()-16&gt;COUNT('قيود اليومية'!$N$11:$N$1010),"",ROW()-16)</f>
        <v/>
      </c>
      <c r="B90" s="83" t="str">
        <f aca="false">IF($A90="","",INDEX('قيود اليومية'!$B$11:$B$1010,MATCH($A90,'قيود اليومية'!$N$11:$N$1010,0)))</f>
        <v/>
      </c>
      <c r="C90" s="84" t="str">
        <f aca="false">IF($A90="","",INDEX('قيود اليومية'!$A$11:$A$1010,MATCH($A90,'قيود اليومية'!$N$11:$N$1010,0)))</f>
        <v/>
      </c>
      <c r="D90" s="84" t="str">
        <f aca="false">IF($A90="","",INDEX('قيود اليومية'!$C$11:$C$1010,MATCH($A90,'قيود اليومية'!$N$11:$N$1010,0)))</f>
        <v/>
      </c>
      <c r="E90" s="51" t="str">
        <f aca="false">IF($A90="","",INDEX('قيود اليومية'!$D$11:$D$1010,MATCH($A90,'قيود اليومية'!$N$11:$N$1010,0))&amp;"")</f>
        <v/>
      </c>
      <c r="F90" s="51" t="str">
        <f aca="false">IF($A90="","",INDEX('قيود اليومية'!$K$11:$K$1010,MATCH($A90,'قيود اليومية'!$N$11:$N$1010,0))&amp;"")</f>
        <v/>
      </c>
      <c r="G90" s="51" t="str">
        <f aca="false">IF($A90="","",INDEX('قيود اليومية'!$F$11:$F$1010,MATCH($A90,'قيود اليومية'!$N$11:$N$1010,0))&amp;"")</f>
        <v/>
      </c>
      <c r="H90" s="85" t="str">
        <f aca="false">IF($A90="","",INDEX('قيود اليومية'!$G$11:$G$1010,MATCH($A90,'قيود اليومية'!$N$11:$N$1010,0)))</f>
        <v/>
      </c>
      <c r="I90" s="85" t="str">
        <f aca="false">IF($A90="","",INDEX('قيود اليومية'!$H$11:$H$1010,MATCH($A90,'قيود اليومية'!$N$11:$N$1010,0)))</f>
        <v/>
      </c>
    </row>
    <row r="91" customFormat="false" ht="15" hidden="false" customHeight="false" outlineLevel="0" collapsed="false">
      <c r="A91" s="82" t="str">
        <f aca="false">IF(ROW()-16&gt;COUNT('قيود اليومية'!$N$11:$N$1010),"",ROW()-16)</f>
        <v/>
      </c>
      <c r="B91" s="83" t="str">
        <f aca="false">IF($A91="","",INDEX('قيود اليومية'!$B$11:$B$1010,MATCH($A91,'قيود اليومية'!$N$11:$N$1010,0)))</f>
        <v/>
      </c>
      <c r="C91" s="84" t="str">
        <f aca="false">IF($A91="","",INDEX('قيود اليومية'!$A$11:$A$1010,MATCH($A91,'قيود اليومية'!$N$11:$N$1010,0)))</f>
        <v/>
      </c>
      <c r="D91" s="84" t="str">
        <f aca="false">IF($A91="","",INDEX('قيود اليومية'!$C$11:$C$1010,MATCH($A91,'قيود اليومية'!$N$11:$N$1010,0)))</f>
        <v/>
      </c>
      <c r="E91" s="51" t="str">
        <f aca="false">IF($A91="","",INDEX('قيود اليومية'!$D$11:$D$1010,MATCH($A91,'قيود اليومية'!$N$11:$N$1010,0))&amp;"")</f>
        <v/>
      </c>
      <c r="F91" s="51" t="str">
        <f aca="false">IF($A91="","",INDEX('قيود اليومية'!$K$11:$K$1010,MATCH($A91,'قيود اليومية'!$N$11:$N$1010,0))&amp;"")</f>
        <v/>
      </c>
      <c r="G91" s="51" t="str">
        <f aca="false">IF($A91="","",INDEX('قيود اليومية'!$F$11:$F$1010,MATCH($A91,'قيود اليومية'!$N$11:$N$1010,0))&amp;"")</f>
        <v/>
      </c>
      <c r="H91" s="85" t="str">
        <f aca="false">IF($A91="","",INDEX('قيود اليومية'!$G$11:$G$1010,MATCH($A91,'قيود اليومية'!$N$11:$N$1010,0)))</f>
        <v/>
      </c>
      <c r="I91" s="85" t="str">
        <f aca="false">IF($A91="","",INDEX('قيود اليومية'!$H$11:$H$1010,MATCH($A91,'قيود اليومية'!$N$11:$N$1010,0)))</f>
        <v/>
      </c>
    </row>
    <row r="92" customFormat="false" ht="15" hidden="false" customHeight="false" outlineLevel="0" collapsed="false">
      <c r="A92" s="82" t="str">
        <f aca="false">IF(ROW()-16&gt;COUNT('قيود اليومية'!$N$11:$N$1010),"",ROW()-16)</f>
        <v/>
      </c>
      <c r="B92" s="83" t="str">
        <f aca="false">IF($A92="","",INDEX('قيود اليومية'!$B$11:$B$1010,MATCH($A92,'قيود اليومية'!$N$11:$N$1010,0)))</f>
        <v/>
      </c>
      <c r="C92" s="84" t="str">
        <f aca="false">IF($A92="","",INDEX('قيود اليومية'!$A$11:$A$1010,MATCH($A92,'قيود اليومية'!$N$11:$N$1010,0)))</f>
        <v/>
      </c>
      <c r="D92" s="84" t="str">
        <f aca="false">IF($A92="","",INDEX('قيود اليومية'!$C$11:$C$1010,MATCH($A92,'قيود اليومية'!$N$11:$N$1010,0)))</f>
        <v/>
      </c>
      <c r="E92" s="51" t="str">
        <f aca="false">IF($A92="","",INDEX('قيود اليومية'!$D$11:$D$1010,MATCH($A92,'قيود اليومية'!$N$11:$N$1010,0))&amp;"")</f>
        <v/>
      </c>
      <c r="F92" s="51" t="str">
        <f aca="false">IF($A92="","",INDEX('قيود اليومية'!$K$11:$K$1010,MATCH($A92,'قيود اليومية'!$N$11:$N$1010,0))&amp;"")</f>
        <v/>
      </c>
      <c r="G92" s="51" t="str">
        <f aca="false">IF($A92="","",INDEX('قيود اليومية'!$F$11:$F$1010,MATCH($A92,'قيود اليومية'!$N$11:$N$1010,0))&amp;"")</f>
        <v/>
      </c>
      <c r="H92" s="85" t="str">
        <f aca="false">IF($A92="","",INDEX('قيود اليومية'!$G$11:$G$1010,MATCH($A92,'قيود اليومية'!$N$11:$N$1010,0)))</f>
        <v/>
      </c>
      <c r="I92" s="85" t="str">
        <f aca="false">IF($A92="","",INDEX('قيود اليومية'!$H$11:$H$1010,MATCH($A92,'قيود اليومية'!$N$11:$N$1010,0)))</f>
        <v/>
      </c>
    </row>
    <row r="93" customFormat="false" ht="15" hidden="false" customHeight="false" outlineLevel="0" collapsed="false">
      <c r="A93" s="82" t="str">
        <f aca="false">IF(ROW()-16&gt;COUNT('قيود اليومية'!$N$11:$N$1010),"",ROW()-16)</f>
        <v/>
      </c>
      <c r="B93" s="83" t="str">
        <f aca="false">IF($A93="","",INDEX('قيود اليومية'!$B$11:$B$1010,MATCH($A93,'قيود اليومية'!$N$11:$N$1010,0)))</f>
        <v/>
      </c>
      <c r="C93" s="84" t="str">
        <f aca="false">IF($A93="","",INDEX('قيود اليومية'!$A$11:$A$1010,MATCH($A93,'قيود اليومية'!$N$11:$N$1010,0)))</f>
        <v/>
      </c>
      <c r="D93" s="84" t="str">
        <f aca="false">IF($A93="","",INDEX('قيود اليومية'!$C$11:$C$1010,MATCH($A93,'قيود اليومية'!$N$11:$N$1010,0)))</f>
        <v/>
      </c>
      <c r="E93" s="51" t="str">
        <f aca="false">IF($A93="","",INDEX('قيود اليومية'!$D$11:$D$1010,MATCH($A93,'قيود اليومية'!$N$11:$N$1010,0))&amp;"")</f>
        <v/>
      </c>
      <c r="F93" s="51" t="str">
        <f aca="false">IF($A93="","",INDEX('قيود اليومية'!$K$11:$K$1010,MATCH($A93,'قيود اليومية'!$N$11:$N$1010,0))&amp;"")</f>
        <v/>
      </c>
      <c r="G93" s="51" t="str">
        <f aca="false">IF($A93="","",INDEX('قيود اليومية'!$F$11:$F$1010,MATCH($A93,'قيود اليومية'!$N$11:$N$1010,0))&amp;"")</f>
        <v/>
      </c>
      <c r="H93" s="85" t="str">
        <f aca="false">IF($A93="","",INDEX('قيود اليومية'!$G$11:$G$1010,MATCH($A93,'قيود اليومية'!$N$11:$N$1010,0)))</f>
        <v/>
      </c>
      <c r="I93" s="85" t="str">
        <f aca="false">IF($A93="","",INDEX('قيود اليومية'!$H$11:$H$1010,MATCH($A93,'قيود اليومية'!$N$11:$N$1010,0)))</f>
        <v/>
      </c>
    </row>
    <row r="94" customFormat="false" ht="15" hidden="false" customHeight="false" outlineLevel="0" collapsed="false">
      <c r="A94" s="82" t="str">
        <f aca="false">IF(ROW()-16&gt;COUNT('قيود اليومية'!$N$11:$N$1010),"",ROW()-16)</f>
        <v/>
      </c>
      <c r="B94" s="83" t="str">
        <f aca="false">IF($A94="","",INDEX('قيود اليومية'!$B$11:$B$1010,MATCH($A94,'قيود اليومية'!$N$11:$N$1010,0)))</f>
        <v/>
      </c>
      <c r="C94" s="84" t="str">
        <f aca="false">IF($A94="","",INDEX('قيود اليومية'!$A$11:$A$1010,MATCH($A94,'قيود اليومية'!$N$11:$N$1010,0)))</f>
        <v/>
      </c>
      <c r="D94" s="84" t="str">
        <f aca="false">IF($A94="","",INDEX('قيود اليومية'!$C$11:$C$1010,MATCH($A94,'قيود اليومية'!$N$11:$N$1010,0)))</f>
        <v/>
      </c>
      <c r="E94" s="51" t="str">
        <f aca="false">IF($A94="","",INDEX('قيود اليومية'!$D$11:$D$1010,MATCH($A94,'قيود اليومية'!$N$11:$N$1010,0))&amp;"")</f>
        <v/>
      </c>
      <c r="F94" s="51" t="str">
        <f aca="false">IF($A94="","",INDEX('قيود اليومية'!$K$11:$K$1010,MATCH($A94,'قيود اليومية'!$N$11:$N$1010,0))&amp;"")</f>
        <v/>
      </c>
      <c r="G94" s="51" t="str">
        <f aca="false">IF($A94="","",INDEX('قيود اليومية'!$F$11:$F$1010,MATCH($A94,'قيود اليومية'!$N$11:$N$1010,0))&amp;"")</f>
        <v/>
      </c>
      <c r="H94" s="85" t="str">
        <f aca="false">IF($A94="","",INDEX('قيود اليومية'!$G$11:$G$1010,MATCH($A94,'قيود اليومية'!$N$11:$N$1010,0)))</f>
        <v/>
      </c>
      <c r="I94" s="85" t="str">
        <f aca="false">IF($A94="","",INDEX('قيود اليومية'!$H$11:$H$1010,MATCH($A94,'قيود اليومية'!$N$11:$N$1010,0)))</f>
        <v/>
      </c>
    </row>
    <row r="95" customFormat="false" ht="15" hidden="false" customHeight="false" outlineLevel="0" collapsed="false">
      <c r="A95" s="82" t="str">
        <f aca="false">IF(ROW()-16&gt;COUNT('قيود اليومية'!$N$11:$N$1010),"",ROW()-16)</f>
        <v/>
      </c>
      <c r="B95" s="83" t="str">
        <f aca="false">IF($A95="","",INDEX('قيود اليومية'!$B$11:$B$1010,MATCH($A95,'قيود اليومية'!$N$11:$N$1010,0)))</f>
        <v/>
      </c>
      <c r="C95" s="84" t="str">
        <f aca="false">IF($A95="","",INDEX('قيود اليومية'!$A$11:$A$1010,MATCH($A95,'قيود اليومية'!$N$11:$N$1010,0)))</f>
        <v/>
      </c>
      <c r="D95" s="84" t="str">
        <f aca="false">IF($A95="","",INDEX('قيود اليومية'!$C$11:$C$1010,MATCH($A95,'قيود اليومية'!$N$11:$N$1010,0)))</f>
        <v/>
      </c>
      <c r="E95" s="51" t="str">
        <f aca="false">IF($A95="","",INDEX('قيود اليومية'!$D$11:$D$1010,MATCH($A95,'قيود اليومية'!$N$11:$N$1010,0))&amp;"")</f>
        <v/>
      </c>
      <c r="F95" s="51" t="str">
        <f aca="false">IF($A95="","",INDEX('قيود اليومية'!$K$11:$K$1010,MATCH($A95,'قيود اليومية'!$N$11:$N$1010,0))&amp;"")</f>
        <v/>
      </c>
      <c r="G95" s="51" t="str">
        <f aca="false">IF($A95="","",INDEX('قيود اليومية'!$F$11:$F$1010,MATCH($A95,'قيود اليومية'!$N$11:$N$1010,0))&amp;"")</f>
        <v/>
      </c>
      <c r="H95" s="85" t="str">
        <f aca="false">IF($A95="","",INDEX('قيود اليومية'!$G$11:$G$1010,MATCH($A95,'قيود اليومية'!$N$11:$N$1010,0)))</f>
        <v/>
      </c>
      <c r="I95" s="85" t="str">
        <f aca="false">IF($A95="","",INDEX('قيود اليومية'!$H$11:$H$1010,MATCH($A95,'قيود اليومية'!$N$11:$N$1010,0)))</f>
        <v/>
      </c>
    </row>
    <row r="96" customFormat="false" ht="15" hidden="false" customHeight="false" outlineLevel="0" collapsed="false">
      <c r="A96" s="82" t="str">
        <f aca="false">IF(ROW()-16&gt;COUNT('قيود اليومية'!$N$11:$N$1010),"",ROW()-16)</f>
        <v/>
      </c>
      <c r="B96" s="83" t="str">
        <f aca="false">IF($A96="","",INDEX('قيود اليومية'!$B$11:$B$1010,MATCH($A96,'قيود اليومية'!$N$11:$N$1010,0)))</f>
        <v/>
      </c>
      <c r="C96" s="84" t="str">
        <f aca="false">IF($A96="","",INDEX('قيود اليومية'!$A$11:$A$1010,MATCH($A96,'قيود اليومية'!$N$11:$N$1010,0)))</f>
        <v/>
      </c>
      <c r="D96" s="84" t="str">
        <f aca="false">IF($A96="","",INDEX('قيود اليومية'!$C$11:$C$1010,MATCH($A96,'قيود اليومية'!$N$11:$N$1010,0)))</f>
        <v/>
      </c>
      <c r="E96" s="51" t="str">
        <f aca="false">IF($A96="","",INDEX('قيود اليومية'!$D$11:$D$1010,MATCH($A96,'قيود اليومية'!$N$11:$N$1010,0))&amp;"")</f>
        <v/>
      </c>
      <c r="F96" s="51" t="str">
        <f aca="false">IF($A96="","",INDEX('قيود اليومية'!$K$11:$K$1010,MATCH($A96,'قيود اليومية'!$N$11:$N$1010,0))&amp;"")</f>
        <v/>
      </c>
      <c r="G96" s="51" t="str">
        <f aca="false">IF($A96="","",INDEX('قيود اليومية'!$F$11:$F$1010,MATCH($A96,'قيود اليومية'!$N$11:$N$1010,0))&amp;"")</f>
        <v/>
      </c>
      <c r="H96" s="85" t="str">
        <f aca="false">IF($A96="","",INDEX('قيود اليومية'!$G$11:$G$1010,MATCH($A96,'قيود اليومية'!$N$11:$N$1010,0)))</f>
        <v/>
      </c>
      <c r="I96" s="85" t="str">
        <f aca="false">IF($A96="","",INDEX('قيود اليومية'!$H$11:$H$1010,MATCH($A96,'قيود اليومية'!$N$11:$N$1010,0)))</f>
        <v/>
      </c>
    </row>
    <row r="97" customFormat="false" ht="15" hidden="false" customHeight="false" outlineLevel="0" collapsed="false">
      <c r="A97" s="82" t="str">
        <f aca="false">IF(ROW()-16&gt;COUNT('قيود اليومية'!$N$11:$N$1010),"",ROW()-16)</f>
        <v/>
      </c>
      <c r="B97" s="83" t="str">
        <f aca="false">IF($A97="","",INDEX('قيود اليومية'!$B$11:$B$1010,MATCH($A97,'قيود اليومية'!$N$11:$N$1010,0)))</f>
        <v/>
      </c>
      <c r="C97" s="84" t="str">
        <f aca="false">IF($A97="","",INDEX('قيود اليومية'!$A$11:$A$1010,MATCH($A97,'قيود اليومية'!$N$11:$N$1010,0)))</f>
        <v/>
      </c>
      <c r="D97" s="84" t="str">
        <f aca="false">IF($A97="","",INDEX('قيود اليومية'!$C$11:$C$1010,MATCH($A97,'قيود اليومية'!$N$11:$N$1010,0)))</f>
        <v/>
      </c>
      <c r="E97" s="51" t="str">
        <f aca="false">IF($A97="","",INDEX('قيود اليومية'!$D$11:$D$1010,MATCH($A97,'قيود اليومية'!$N$11:$N$1010,0))&amp;"")</f>
        <v/>
      </c>
      <c r="F97" s="51" t="str">
        <f aca="false">IF($A97="","",INDEX('قيود اليومية'!$K$11:$K$1010,MATCH($A97,'قيود اليومية'!$N$11:$N$1010,0))&amp;"")</f>
        <v/>
      </c>
      <c r="G97" s="51" t="str">
        <f aca="false">IF($A97="","",INDEX('قيود اليومية'!$F$11:$F$1010,MATCH($A97,'قيود اليومية'!$N$11:$N$1010,0))&amp;"")</f>
        <v/>
      </c>
      <c r="H97" s="85" t="str">
        <f aca="false">IF($A97="","",INDEX('قيود اليومية'!$G$11:$G$1010,MATCH($A97,'قيود اليومية'!$N$11:$N$1010,0)))</f>
        <v/>
      </c>
      <c r="I97" s="85" t="str">
        <f aca="false">IF($A97="","",INDEX('قيود اليومية'!$H$11:$H$1010,MATCH($A97,'قيود اليومية'!$N$11:$N$1010,0)))</f>
        <v/>
      </c>
    </row>
    <row r="98" customFormat="false" ht="15" hidden="false" customHeight="false" outlineLevel="0" collapsed="false">
      <c r="A98" s="82" t="str">
        <f aca="false">IF(ROW()-16&gt;COUNT('قيود اليومية'!$N$11:$N$1010),"",ROW()-16)</f>
        <v/>
      </c>
      <c r="B98" s="83" t="str">
        <f aca="false">IF($A98="","",INDEX('قيود اليومية'!$B$11:$B$1010,MATCH($A98,'قيود اليومية'!$N$11:$N$1010,0)))</f>
        <v/>
      </c>
      <c r="C98" s="84" t="str">
        <f aca="false">IF($A98="","",INDEX('قيود اليومية'!$A$11:$A$1010,MATCH($A98,'قيود اليومية'!$N$11:$N$1010,0)))</f>
        <v/>
      </c>
      <c r="D98" s="84" t="str">
        <f aca="false">IF($A98="","",INDEX('قيود اليومية'!$C$11:$C$1010,MATCH($A98,'قيود اليومية'!$N$11:$N$1010,0)))</f>
        <v/>
      </c>
      <c r="E98" s="51" t="str">
        <f aca="false">IF($A98="","",INDEX('قيود اليومية'!$D$11:$D$1010,MATCH($A98,'قيود اليومية'!$N$11:$N$1010,0))&amp;"")</f>
        <v/>
      </c>
      <c r="F98" s="51" t="str">
        <f aca="false">IF($A98="","",INDEX('قيود اليومية'!$K$11:$K$1010,MATCH($A98,'قيود اليومية'!$N$11:$N$1010,0))&amp;"")</f>
        <v/>
      </c>
      <c r="G98" s="51" t="str">
        <f aca="false">IF($A98="","",INDEX('قيود اليومية'!$F$11:$F$1010,MATCH($A98,'قيود اليومية'!$N$11:$N$1010,0))&amp;"")</f>
        <v/>
      </c>
      <c r="H98" s="85" t="str">
        <f aca="false">IF($A98="","",INDEX('قيود اليومية'!$G$11:$G$1010,MATCH($A98,'قيود اليومية'!$N$11:$N$1010,0)))</f>
        <v/>
      </c>
      <c r="I98" s="85" t="str">
        <f aca="false">IF($A98="","",INDEX('قيود اليومية'!$H$11:$H$1010,MATCH($A98,'قيود اليومية'!$N$11:$N$1010,0)))</f>
        <v/>
      </c>
    </row>
    <row r="99" customFormat="false" ht="15" hidden="false" customHeight="false" outlineLevel="0" collapsed="false">
      <c r="A99" s="82" t="str">
        <f aca="false">IF(ROW()-16&gt;COUNT('قيود اليومية'!$N$11:$N$1010),"",ROW()-16)</f>
        <v/>
      </c>
      <c r="B99" s="83" t="str">
        <f aca="false">IF($A99="","",INDEX('قيود اليومية'!$B$11:$B$1010,MATCH($A99,'قيود اليومية'!$N$11:$N$1010,0)))</f>
        <v/>
      </c>
      <c r="C99" s="84" t="str">
        <f aca="false">IF($A99="","",INDEX('قيود اليومية'!$A$11:$A$1010,MATCH($A99,'قيود اليومية'!$N$11:$N$1010,0)))</f>
        <v/>
      </c>
      <c r="D99" s="84" t="str">
        <f aca="false">IF($A99="","",INDEX('قيود اليومية'!$C$11:$C$1010,MATCH($A99,'قيود اليومية'!$N$11:$N$1010,0)))</f>
        <v/>
      </c>
      <c r="E99" s="51" t="str">
        <f aca="false">IF($A99="","",INDEX('قيود اليومية'!$D$11:$D$1010,MATCH($A99,'قيود اليومية'!$N$11:$N$1010,0))&amp;"")</f>
        <v/>
      </c>
      <c r="F99" s="51" t="str">
        <f aca="false">IF($A99="","",INDEX('قيود اليومية'!$K$11:$K$1010,MATCH($A99,'قيود اليومية'!$N$11:$N$1010,0))&amp;"")</f>
        <v/>
      </c>
      <c r="G99" s="51" t="str">
        <f aca="false">IF($A99="","",INDEX('قيود اليومية'!$F$11:$F$1010,MATCH($A99,'قيود اليومية'!$N$11:$N$1010,0))&amp;"")</f>
        <v/>
      </c>
      <c r="H99" s="85" t="str">
        <f aca="false">IF($A99="","",INDEX('قيود اليومية'!$G$11:$G$1010,MATCH($A99,'قيود اليومية'!$N$11:$N$1010,0)))</f>
        <v/>
      </c>
      <c r="I99" s="85" t="str">
        <f aca="false">IF($A99="","",INDEX('قيود اليومية'!$H$11:$H$1010,MATCH($A99,'قيود اليومية'!$N$11:$N$1010,0)))</f>
        <v/>
      </c>
    </row>
    <row r="100" customFormat="false" ht="15" hidden="false" customHeight="false" outlineLevel="0" collapsed="false">
      <c r="A100" s="82" t="str">
        <f aca="false">IF(ROW()-16&gt;COUNT('قيود اليومية'!$N$11:$N$1010),"",ROW()-16)</f>
        <v/>
      </c>
      <c r="B100" s="83" t="str">
        <f aca="false">IF($A100="","",INDEX('قيود اليومية'!$B$11:$B$1010,MATCH($A100,'قيود اليومية'!$N$11:$N$1010,0)))</f>
        <v/>
      </c>
      <c r="C100" s="84" t="str">
        <f aca="false">IF($A100="","",INDEX('قيود اليومية'!$A$11:$A$1010,MATCH($A100,'قيود اليومية'!$N$11:$N$1010,0)))</f>
        <v/>
      </c>
      <c r="D100" s="84" t="str">
        <f aca="false">IF($A100="","",INDEX('قيود اليومية'!$C$11:$C$1010,MATCH($A100,'قيود اليومية'!$N$11:$N$1010,0)))</f>
        <v/>
      </c>
      <c r="E100" s="51" t="str">
        <f aca="false">IF($A100="","",INDEX('قيود اليومية'!$D$11:$D$1010,MATCH($A100,'قيود اليومية'!$N$11:$N$1010,0))&amp;"")</f>
        <v/>
      </c>
      <c r="F100" s="51" t="str">
        <f aca="false">IF($A100="","",INDEX('قيود اليومية'!$K$11:$K$1010,MATCH($A100,'قيود اليومية'!$N$11:$N$1010,0))&amp;"")</f>
        <v/>
      </c>
      <c r="G100" s="51" t="str">
        <f aca="false">IF($A100="","",INDEX('قيود اليومية'!$F$11:$F$1010,MATCH($A100,'قيود اليومية'!$N$11:$N$1010,0))&amp;"")</f>
        <v/>
      </c>
      <c r="H100" s="85" t="str">
        <f aca="false">IF($A100="","",INDEX('قيود اليومية'!$G$11:$G$1010,MATCH($A100,'قيود اليومية'!$N$11:$N$1010,0)))</f>
        <v/>
      </c>
      <c r="I100" s="85" t="str">
        <f aca="false">IF($A100="","",INDEX('قيود اليومية'!$H$11:$H$1010,MATCH($A100,'قيود اليومية'!$N$11:$N$1010,0)))</f>
        <v/>
      </c>
    </row>
    <row r="101" customFormat="false" ht="15" hidden="false" customHeight="false" outlineLevel="0" collapsed="false">
      <c r="A101" s="82" t="str">
        <f aca="false">IF(ROW()-16&gt;COUNT('قيود اليومية'!$N$11:$N$1010),"",ROW()-16)</f>
        <v/>
      </c>
      <c r="B101" s="83" t="str">
        <f aca="false">IF($A101="","",INDEX('قيود اليومية'!$B$11:$B$1010,MATCH($A101,'قيود اليومية'!$N$11:$N$1010,0)))</f>
        <v/>
      </c>
      <c r="C101" s="84" t="str">
        <f aca="false">IF($A101="","",INDEX('قيود اليومية'!$A$11:$A$1010,MATCH($A101,'قيود اليومية'!$N$11:$N$1010,0)))</f>
        <v/>
      </c>
      <c r="D101" s="84" t="str">
        <f aca="false">IF($A101="","",INDEX('قيود اليومية'!$C$11:$C$1010,MATCH($A101,'قيود اليومية'!$N$11:$N$1010,0)))</f>
        <v/>
      </c>
      <c r="E101" s="51" t="str">
        <f aca="false">IF($A101="","",INDEX('قيود اليومية'!$D$11:$D$1010,MATCH($A101,'قيود اليومية'!$N$11:$N$1010,0))&amp;"")</f>
        <v/>
      </c>
      <c r="F101" s="51" t="str">
        <f aca="false">IF($A101="","",INDEX('قيود اليومية'!$K$11:$K$1010,MATCH($A101,'قيود اليومية'!$N$11:$N$1010,0))&amp;"")</f>
        <v/>
      </c>
      <c r="G101" s="51" t="str">
        <f aca="false">IF($A101="","",INDEX('قيود اليومية'!$F$11:$F$1010,MATCH($A101,'قيود اليومية'!$N$11:$N$1010,0))&amp;"")</f>
        <v/>
      </c>
      <c r="H101" s="85" t="str">
        <f aca="false">IF($A101="","",INDEX('قيود اليومية'!$G$11:$G$1010,MATCH($A101,'قيود اليومية'!$N$11:$N$1010,0)))</f>
        <v/>
      </c>
      <c r="I101" s="85" t="str">
        <f aca="false">IF($A101="","",INDEX('قيود اليومية'!$H$11:$H$1010,MATCH($A101,'قيود اليومية'!$N$11:$N$1010,0)))</f>
        <v/>
      </c>
    </row>
    <row r="102" customFormat="false" ht="15" hidden="false" customHeight="false" outlineLevel="0" collapsed="false">
      <c r="A102" s="82" t="str">
        <f aca="false">IF(ROW()-16&gt;COUNT('قيود اليومية'!$N$11:$N$1010),"",ROW()-16)</f>
        <v/>
      </c>
      <c r="B102" s="83" t="str">
        <f aca="false">IF($A102="","",INDEX('قيود اليومية'!$B$11:$B$1010,MATCH($A102,'قيود اليومية'!$N$11:$N$1010,0)))</f>
        <v/>
      </c>
      <c r="C102" s="84" t="str">
        <f aca="false">IF($A102="","",INDEX('قيود اليومية'!$A$11:$A$1010,MATCH($A102,'قيود اليومية'!$N$11:$N$1010,0)))</f>
        <v/>
      </c>
      <c r="D102" s="84" t="str">
        <f aca="false">IF($A102="","",INDEX('قيود اليومية'!$C$11:$C$1010,MATCH($A102,'قيود اليومية'!$N$11:$N$1010,0)))</f>
        <v/>
      </c>
      <c r="E102" s="51" t="str">
        <f aca="false">IF($A102="","",INDEX('قيود اليومية'!$D$11:$D$1010,MATCH($A102,'قيود اليومية'!$N$11:$N$1010,0))&amp;"")</f>
        <v/>
      </c>
      <c r="F102" s="51" t="str">
        <f aca="false">IF($A102="","",INDEX('قيود اليومية'!$K$11:$K$1010,MATCH($A102,'قيود اليومية'!$N$11:$N$1010,0))&amp;"")</f>
        <v/>
      </c>
      <c r="G102" s="51" t="str">
        <f aca="false">IF($A102="","",INDEX('قيود اليومية'!$F$11:$F$1010,MATCH($A102,'قيود اليومية'!$N$11:$N$1010,0))&amp;"")</f>
        <v/>
      </c>
      <c r="H102" s="85" t="str">
        <f aca="false">IF($A102="","",INDEX('قيود اليومية'!$G$11:$G$1010,MATCH($A102,'قيود اليومية'!$N$11:$N$1010,0)))</f>
        <v/>
      </c>
      <c r="I102" s="85" t="str">
        <f aca="false">IF($A102="","",INDEX('قيود اليومية'!$H$11:$H$1010,MATCH($A102,'قيود اليومية'!$N$11:$N$1010,0)))</f>
        <v/>
      </c>
    </row>
    <row r="103" customFormat="false" ht="15" hidden="false" customHeight="false" outlineLevel="0" collapsed="false">
      <c r="A103" s="82" t="str">
        <f aca="false">IF(ROW()-16&gt;COUNT('قيود اليومية'!$N$11:$N$1010),"",ROW()-16)</f>
        <v/>
      </c>
      <c r="B103" s="83" t="str">
        <f aca="false">IF($A103="","",INDEX('قيود اليومية'!$B$11:$B$1010,MATCH($A103,'قيود اليومية'!$N$11:$N$1010,0)))</f>
        <v/>
      </c>
      <c r="C103" s="84" t="str">
        <f aca="false">IF($A103="","",INDEX('قيود اليومية'!$A$11:$A$1010,MATCH($A103,'قيود اليومية'!$N$11:$N$1010,0)))</f>
        <v/>
      </c>
      <c r="D103" s="84" t="str">
        <f aca="false">IF($A103="","",INDEX('قيود اليومية'!$C$11:$C$1010,MATCH($A103,'قيود اليومية'!$N$11:$N$1010,0)))</f>
        <v/>
      </c>
      <c r="E103" s="51" t="str">
        <f aca="false">IF($A103="","",INDEX('قيود اليومية'!$D$11:$D$1010,MATCH($A103,'قيود اليومية'!$N$11:$N$1010,0))&amp;"")</f>
        <v/>
      </c>
      <c r="F103" s="51" t="str">
        <f aca="false">IF($A103="","",INDEX('قيود اليومية'!$K$11:$K$1010,MATCH($A103,'قيود اليومية'!$N$11:$N$1010,0))&amp;"")</f>
        <v/>
      </c>
      <c r="G103" s="51" t="str">
        <f aca="false">IF($A103="","",INDEX('قيود اليومية'!$F$11:$F$1010,MATCH($A103,'قيود اليومية'!$N$11:$N$1010,0))&amp;"")</f>
        <v/>
      </c>
      <c r="H103" s="85" t="str">
        <f aca="false">IF($A103="","",INDEX('قيود اليومية'!$G$11:$G$1010,MATCH($A103,'قيود اليومية'!$N$11:$N$1010,0)))</f>
        <v/>
      </c>
      <c r="I103" s="85" t="str">
        <f aca="false">IF($A103="","",INDEX('قيود اليومية'!$H$11:$H$1010,MATCH($A103,'قيود اليومية'!$N$11:$N$1010,0)))</f>
        <v/>
      </c>
    </row>
    <row r="104" customFormat="false" ht="15" hidden="false" customHeight="false" outlineLevel="0" collapsed="false">
      <c r="A104" s="82" t="str">
        <f aca="false">IF(ROW()-16&gt;COUNT('قيود اليومية'!$N$11:$N$1010),"",ROW()-16)</f>
        <v/>
      </c>
      <c r="B104" s="83" t="str">
        <f aca="false">IF($A104="","",INDEX('قيود اليومية'!$B$11:$B$1010,MATCH($A104,'قيود اليومية'!$N$11:$N$1010,0)))</f>
        <v/>
      </c>
      <c r="C104" s="84" t="str">
        <f aca="false">IF($A104="","",INDEX('قيود اليومية'!$A$11:$A$1010,MATCH($A104,'قيود اليومية'!$N$11:$N$1010,0)))</f>
        <v/>
      </c>
      <c r="D104" s="84" t="str">
        <f aca="false">IF($A104="","",INDEX('قيود اليومية'!$C$11:$C$1010,MATCH($A104,'قيود اليومية'!$N$11:$N$1010,0)))</f>
        <v/>
      </c>
      <c r="E104" s="51" t="str">
        <f aca="false">IF($A104="","",INDEX('قيود اليومية'!$D$11:$D$1010,MATCH($A104,'قيود اليومية'!$N$11:$N$1010,0))&amp;"")</f>
        <v/>
      </c>
      <c r="F104" s="51" t="str">
        <f aca="false">IF($A104="","",INDEX('قيود اليومية'!$K$11:$K$1010,MATCH($A104,'قيود اليومية'!$N$11:$N$1010,0))&amp;"")</f>
        <v/>
      </c>
      <c r="G104" s="51" t="str">
        <f aca="false">IF($A104="","",INDEX('قيود اليومية'!$F$11:$F$1010,MATCH($A104,'قيود اليومية'!$N$11:$N$1010,0))&amp;"")</f>
        <v/>
      </c>
      <c r="H104" s="85" t="str">
        <f aca="false">IF($A104="","",INDEX('قيود اليومية'!$G$11:$G$1010,MATCH($A104,'قيود اليومية'!$N$11:$N$1010,0)))</f>
        <v/>
      </c>
      <c r="I104" s="85" t="str">
        <f aca="false">IF($A104="","",INDEX('قيود اليومية'!$H$11:$H$1010,MATCH($A104,'قيود اليومية'!$N$11:$N$1010,0)))</f>
        <v/>
      </c>
    </row>
    <row r="105" customFormat="false" ht="15" hidden="false" customHeight="false" outlineLevel="0" collapsed="false">
      <c r="A105" s="82" t="str">
        <f aca="false">IF(ROW()-16&gt;COUNT('قيود اليومية'!$N$11:$N$1010),"",ROW()-16)</f>
        <v/>
      </c>
      <c r="B105" s="83" t="str">
        <f aca="false">IF($A105="","",INDEX('قيود اليومية'!$B$11:$B$1010,MATCH($A105,'قيود اليومية'!$N$11:$N$1010,0)))</f>
        <v/>
      </c>
      <c r="C105" s="84" t="str">
        <f aca="false">IF($A105="","",INDEX('قيود اليومية'!$A$11:$A$1010,MATCH($A105,'قيود اليومية'!$N$11:$N$1010,0)))</f>
        <v/>
      </c>
      <c r="D105" s="84" t="str">
        <f aca="false">IF($A105="","",INDEX('قيود اليومية'!$C$11:$C$1010,MATCH($A105,'قيود اليومية'!$N$11:$N$1010,0)))</f>
        <v/>
      </c>
      <c r="E105" s="51" t="str">
        <f aca="false">IF($A105="","",INDEX('قيود اليومية'!$D$11:$D$1010,MATCH($A105,'قيود اليومية'!$N$11:$N$1010,0))&amp;"")</f>
        <v/>
      </c>
      <c r="F105" s="51" t="str">
        <f aca="false">IF($A105="","",INDEX('قيود اليومية'!$K$11:$K$1010,MATCH($A105,'قيود اليومية'!$N$11:$N$1010,0))&amp;"")</f>
        <v/>
      </c>
      <c r="G105" s="51" t="str">
        <f aca="false">IF($A105="","",INDEX('قيود اليومية'!$F$11:$F$1010,MATCH($A105,'قيود اليومية'!$N$11:$N$1010,0))&amp;"")</f>
        <v/>
      </c>
      <c r="H105" s="85" t="str">
        <f aca="false">IF($A105="","",INDEX('قيود اليومية'!$G$11:$G$1010,MATCH($A105,'قيود اليومية'!$N$11:$N$1010,0)))</f>
        <v/>
      </c>
      <c r="I105" s="85" t="str">
        <f aca="false">IF($A105="","",INDEX('قيود اليومية'!$H$11:$H$1010,MATCH($A105,'قيود اليومية'!$N$11:$N$1010,0)))</f>
        <v/>
      </c>
    </row>
    <row r="106" customFormat="false" ht="15" hidden="false" customHeight="false" outlineLevel="0" collapsed="false">
      <c r="A106" s="82" t="str">
        <f aca="false">IF(ROW()-16&gt;COUNT('قيود اليومية'!$N$11:$N$1010),"",ROW()-16)</f>
        <v/>
      </c>
      <c r="B106" s="83" t="str">
        <f aca="false">IF($A106="","",INDEX('قيود اليومية'!$B$11:$B$1010,MATCH($A106,'قيود اليومية'!$N$11:$N$1010,0)))</f>
        <v/>
      </c>
      <c r="C106" s="84" t="str">
        <f aca="false">IF($A106="","",INDEX('قيود اليومية'!$A$11:$A$1010,MATCH($A106,'قيود اليومية'!$N$11:$N$1010,0)))</f>
        <v/>
      </c>
      <c r="D106" s="84" t="str">
        <f aca="false">IF($A106="","",INDEX('قيود اليومية'!$C$11:$C$1010,MATCH($A106,'قيود اليومية'!$N$11:$N$1010,0)))</f>
        <v/>
      </c>
      <c r="E106" s="51" t="str">
        <f aca="false">IF($A106="","",INDEX('قيود اليومية'!$D$11:$D$1010,MATCH($A106,'قيود اليومية'!$N$11:$N$1010,0))&amp;"")</f>
        <v/>
      </c>
      <c r="F106" s="51" t="str">
        <f aca="false">IF($A106="","",INDEX('قيود اليومية'!$K$11:$K$1010,MATCH($A106,'قيود اليومية'!$N$11:$N$1010,0))&amp;"")</f>
        <v/>
      </c>
      <c r="G106" s="51" t="str">
        <f aca="false">IF($A106="","",INDEX('قيود اليومية'!$F$11:$F$1010,MATCH($A106,'قيود اليومية'!$N$11:$N$1010,0))&amp;"")</f>
        <v/>
      </c>
      <c r="H106" s="85" t="str">
        <f aca="false">IF($A106="","",INDEX('قيود اليومية'!$G$11:$G$1010,MATCH($A106,'قيود اليومية'!$N$11:$N$1010,0)))</f>
        <v/>
      </c>
      <c r="I106" s="85" t="str">
        <f aca="false">IF($A106="","",INDEX('قيود اليومية'!$H$11:$H$1010,MATCH($A106,'قيود اليومية'!$N$11:$N$1010,0)))</f>
        <v/>
      </c>
    </row>
    <row r="107" customFormat="false" ht="15" hidden="false" customHeight="false" outlineLevel="0" collapsed="false">
      <c r="A107" s="82" t="str">
        <f aca="false">IF(ROW()-16&gt;COUNT('قيود اليومية'!$N$11:$N$1010),"",ROW()-16)</f>
        <v/>
      </c>
      <c r="B107" s="83" t="str">
        <f aca="false">IF($A107="","",INDEX('قيود اليومية'!$B$11:$B$1010,MATCH($A107,'قيود اليومية'!$N$11:$N$1010,0)))</f>
        <v/>
      </c>
      <c r="C107" s="84" t="str">
        <f aca="false">IF($A107="","",INDEX('قيود اليومية'!$A$11:$A$1010,MATCH($A107,'قيود اليومية'!$N$11:$N$1010,0)))</f>
        <v/>
      </c>
      <c r="D107" s="84" t="str">
        <f aca="false">IF($A107="","",INDEX('قيود اليومية'!$C$11:$C$1010,MATCH($A107,'قيود اليومية'!$N$11:$N$1010,0)))</f>
        <v/>
      </c>
      <c r="E107" s="51" t="str">
        <f aca="false">IF($A107="","",INDEX('قيود اليومية'!$D$11:$D$1010,MATCH($A107,'قيود اليومية'!$N$11:$N$1010,0))&amp;"")</f>
        <v/>
      </c>
      <c r="F107" s="51" t="str">
        <f aca="false">IF($A107="","",INDEX('قيود اليومية'!$K$11:$K$1010,MATCH($A107,'قيود اليومية'!$N$11:$N$1010,0))&amp;"")</f>
        <v/>
      </c>
      <c r="G107" s="51" t="str">
        <f aca="false">IF($A107="","",INDEX('قيود اليومية'!$F$11:$F$1010,MATCH($A107,'قيود اليومية'!$N$11:$N$1010,0))&amp;"")</f>
        <v/>
      </c>
      <c r="H107" s="85" t="str">
        <f aca="false">IF($A107="","",INDEX('قيود اليومية'!$G$11:$G$1010,MATCH($A107,'قيود اليومية'!$N$11:$N$1010,0)))</f>
        <v/>
      </c>
      <c r="I107" s="85" t="str">
        <f aca="false">IF($A107="","",INDEX('قيود اليومية'!$H$11:$H$1010,MATCH($A107,'قيود اليومية'!$N$11:$N$1010,0)))</f>
        <v/>
      </c>
    </row>
    <row r="108" customFormat="false" ht="15" hidden="false" customHeight="false" outlineLevel="0" collapsed="false">
      <c r="A108" s="82" t="str">
        <f aca="false">IF(ROW()-16&gt;COUNT('قيود اليومية'!$N$11:$N$1010),"",ROW()-16)</f>
        <v/>
      </c>
      <c r="B108" s="83" t="str">
        <f aca="false">IF($A108="","",INDEX('قيود اليومية'!$B$11:$B$1010,MATCH($A108,'قيود اليومية'!$N$11:$N$1010,0)))</f>
        <v/>
      </c>
      <c r="C108" s="84" t="str">
        <f aca="false">IF($A108="","",INDEX('قيود اليومية'!$A$11:$A$1010,MATCH($A108,'قيود اليومية'!$N$11:$N$1010,0)))</f>
        <v/>
      </c>
      <c r="D108" s="84" t="str">
        <f aca="false">IF($A108="","",INDEX('قيود اليومية'!$C$11:$C$1010,MATCH($A108,'قيود اليومية'!$N$11:$N$1010,0)))</f>
        <v/>
      </c>
      <c r="E108" s="51" t="str">
        <f aca="false">IF($A108="","",INDEX('قيود اليومية'!$D$11:$D$1010,MATCH($A108,'قيود اليومية'!$N$11:$N$1010,0))&amp;"")</f>
        <v/>
      </c>
      <c r="F108" s="51" t="str">
        <f aca="false">IF($A108="","",INDEX('قيود اليومية'!$K$11:$K$1010,MATCH($A108,'قيود اليومية'!$N$11:$N$1010,0))&amp;"")</f>
        <v/>
      </c>
      <c r="G108" s="51" t="str">
        <f aca="false">IF($A108="","",INDEX('قيود اليومية'!$F$11:$F$1010,MATCH($A108,'قيود اليومية'!$N$11:$N$1010,0))&amp;"")</f>
        <v/>
      </c>
      <c r="H108" s="85" t="str">
        <f aca="false">IF($A108="","",INDEX('قيود اليومية'!$G$11:$G$1010,MATCH($A108,'قيود اليومية'!$N$11:$N$1010,0)))</f>
        <v/>
      </c>
      <c r="I108" s="85" t="str">
        <f aca="false">IF($A108="","",INDEX('قيود اليومية'!$H$11:$H$1010,MATCH($A108,'قيود اليومية'!$N$11:$N$1010,0)))</f>
        <v/>
      </c>
    </row>
    <row r="109" customFormat="false" ht="15" hidden="false" customHeight="false" outlineLevel="0" collapsed="false">
      <c r="A109" s="82" t="str">
        <f aca="false">IF(ROW()-16&gt;COUNT('قيود اليومية'!$N$11:$N$1010),"",ROW()-16)</f>
        <v/>
      </c>
      <c r="B109" s="83" t="str">
        <f aca="false">IF($A109="","",INDEX('قيود اليومية'!$B$11:$B$1010,MATCH($A109,'قيود اليومية'!$N$11:$N$1010,0)))</f>
        <v/>
      </c>
      <c r="C109" s="84" t="str">
        <f aca="false">IF($A109="","",INDEX('قيود اليومية'!$A$11:$A$1010,MATCH($A109,'قيود اليومية'!$N$11:$N$1010,0)))</f>
        <v/>
      </c>
      <c r="D109" s="84" t="str">
        <f aca="false">IF($A109="","",INDEX('قيود اليومية'!$C$11:$C$1010,MATCH($A109,'قيود اليومية'!$N$11:$N$1010,0)))</f>
        <v/>
      </c>
      <c r="E109" s="51" t="str">
        <f aca="false">IF($A109="","",INDEX('قيود اليومية'!$D$11:$D$1010,MATCH($A109,'قيود اليومية'!$N$11:$N$1010,0))&amp;"")</f>
        <v/>
      </c>
      <c r="F109" s="51" t="str">
        <f aca="false">IF($A109="","",INDEX('قيود اليومية'!$K$11:$K$1010,MATCH($A109,'قيود اليومية'!$N$11:$N$1010,0))&amp;"")</f>
        <v/>
      </c>
      <c r="G109" s="51" t="str">
        <f aca="false">IF($A109="","",INDEX('قيود اليومية'!$F$11:$F$1010,MATCH($A109,'قيود اليومية'!$N$11:$N$1010,0))&amp;"")</f>
        <v/>
      </c>
      <c r="H109" s="85" t="str">
        <f aca="false">IF($A109="","",INDEX('قيود اليومية'!$G$11:$G$1010,MATCH($A109,'قيود اليومية'!$N$11:$N$1010,0)))</f>
        <v/>
      </c>
      <c r="I109" s="85" t="str">
        <f aca="false">IF($A109="","",INDEX('قيود اليومية'!$H$11:$H$1010,MATCH($A109,'قيود اليومية'!$N$11:$N$1010,0)))</f>
        <v/>
      </c>
    </row>
    <row r="110" customFormat="false" ht="15" hidden="false" customHeight="false" outlineLevel="0" collapsed="false">
      <c r="A110" s="82" t="str">
        <f aca="false">IF(ROW()-16&gt;COUNT('قيود اليومية'!$N$11:$N$1010),"",ROW()-16)</f>
        <v/>
      </c>
      <c r="B110" s="83" t="str">
        <f aca="false">IF($A110="","",INDEX('قيود اليومية'!$B$11:$B$1010,MATCH($A110,'قيود اليومية'!$N$11:$N$1010,0)))</f>
        <v/>
      </c>
      <c r="C110" s="84" t="str">
        <f aca="false">IF($A110="","",INDEX('قيود اليومية'!$A$11:$A$1010,MATCH($A110,'قيود اليومية'!$N$11:$N$1010,0)))</f>
        <v/>
      </c>
      <c r="D110" s="84" t="str">
        <f aca="false">IF($A110="","",INDEX('قيود اليومية'!$C$11:$C$1010,MATCH($A110,'قيود اليومية'!$N$11:$N$1010,0)))</f>
        <v/>
      </c>
      <c r="E110" s="51" t="str">
        <f aca="false">IF($A110="","",INDEX('قيود اليومية'!$D$11:$D$1010,MATCH($A110,'قيود اليومية'!$N$11:$N$1010,0))&amp;"")</f>
        <v/>
      </c>
      <c r="F110" s="51" t="str">
        <f aca="false">IF($A110="","",INDEX('قيود اليومية'!$K$11:$K$1010,MATCH($A110,'قيود اليومية'!$N$11:$N$1010,0))&amp;"")</f>
        <v/>
      </c>
      <c r="G110" s="51" t="str">
        <f aca="false">IF($A110="","",INDEX('قيود اليومية'!$F$11:$F$1010,MATCH($A110,'قيود اليومية'!$N$11:$N$1010,0))&amp;"")</f>
        <v/>
      </c>
      <c r="H110" s="85" t="str">
        <f aca="false">IF($A110="","",INDEX('قيود اليومية'!$G$11:$G$1010,MATCH($A110,'قيود اليومية'!$N$11:$N$1010,0)))</f>
        <v/>
      </c>
      <c r="I110" s="85" t="str">
        <f aca="false">IF($A110="","",INDEX('قيود اليومية'!$H$11:$H$1010,MATCH($A110,'قيود اليومية'!$N$11:$N$1010,0)))</f>
        <v/>
      </c>
    </row>
    <row r="111" customFormat="false" ht="15" hidden="false" customHeight="false" outlineLevel="0" collapsed="false">
      <c r="A111" s="82" t="str">
        <f aca="false">IF(ROW()-16&gt;COUNT('قيود اليومية'!$N$11:$N$1010),"",ROW()-16)</f>
        <v/>
      </c>
      <c r="B111" s="83" t="str">
        <f aca="false">IF($A111="","",INDEX('قيود اليومية'!$B$11:$B$1010,MATCH($A111,'قيود اليومية'!$N$11:$N$1010,0)))</f>
        <v/>
      </c>
      <c r="C111" s="84" t="str">
        <f aca="false">IF($A111="","",INDEX('قيود اليومية'!$A$11:$A$1010,MATCH($A111,'قيود اليومية'!$N$11:$N$1010,0)))</f>
        <v/>
      </c>
      <c r="D111" s="84" t="str">
        <f aca="false">IF($A111="","",INDEX('قيود اليومية'!$C$11:$C$1010,MATCH($A111,'قيود اليومية'!$N$11:$N$1010,0)))</f>
        <v/>
      </c>
      <c r="E111" s="51" t="str">
        <f aca="false">IF($A111="","",INDEX('قيود اليومية'!$D$11:$D$1010,MATCH($A111,'قيود اليومية'!$N$11:$N$1010,0))&amp;"")</f>
        <v/>
      </c>
      <c r="F111" s="51" t="str">
        <f aca="false">IF($A111="","",INDEX('قيود اليومية'!$K$11:$K$1010,MATCH($A111,'قيود اليومية'!$N$11:$N$1010,0))&amp;"")</f>
        <v/>
      </c>
      <c r="G111" s="51" t="str">
        <f aca="false">IF($A111="","",INDEX('قيود اليومية'!$F$11:$F$1010,MATCH($A111,'قيود اليومية'!$N$11:$N$1010,0))&amp;"")</f>
        <v/>
      </c>
      <c r="H111" s="85" t="str">
        <f aca="false">IF($A111="","",INDEX('قيود اليومية'!$G$11:$G$1010,MATCH($A111,'قيود اليومية'!$N$11:$N$1010,0)))</f>
        <v/>
      </c>
      <c r="I111" s="85" t="str">
        <f aca="false">IF($A111="","",INDEX('قيود اليومية'!$H$11:$H$1010,MATCH($A111,'قيود اليومية'!$N$11:$N$1010,0)))</f>
        <v/>
      </c>
    </row>
    <row r="112" customFormat="false" ht="15" hidden="false" customHeight="false" outlineLevel="0" collapsed="false">
      <c r="A112" s="82" t="str">
        <f aca="false">IF(ROW()-16&gt;COUNT('قيود اليومية'!$N$11:$N$1010),"",ROW()-16)</f>
        <v/>
      </c>
      <c r="B112" s="83" t="str">
        <f aca="false">IF($A112="","",INDEX('قيود اليومية'!$B$11:$B$1010,MATCH($A112,'قيود اليومية'!$N$11:$N$1010,0)))</f>
        <v/>
      </c>
      <c r="C112" s="84" t="str">
        <f aca="false">IF($A112="","",INDEX('قيود اليومية'!$A$11:$A$1010,MATCH($A112,'قيود اليومية'!$N$11:$N$1010,0)))</f>
        <v/>
      </c>
      <c r="D112" s="84" t="str">
        <f aca="false">IF($A112="","",INDEX('قيود اليومية'!$C$11:$C$1010,MATCH($A112,'قيود اليومية'!$N$11:$N$1010,0)))</f>
        <v/>
      </c>
      <c r="E112" s="51" t="str">
        <f aca="false">IF($A112="","",INDEX('قيود اليومية'!$D$11:$D$1010,MATCH($A112,'قيود اليومية'!$N$11:$N$1010,0))&amp;"")</f>
        <v/>
      </c>
      <c r="F112" s="51" t="str">
        <f aca="false">IF($A112="","",INDEX('قيود اليومية'!$K$11:$K$1010,MATCH($A112,'قيود اليومية'!$N$11:$N$1010,0))&amp;"")</f>
        <v/>
      </c>
      <c r="G112" s="51" t="str">
        <f aca="false">IF($A112="","",INDEX('قيود اليومية'!$F$11:$F$1010,MATCH($A112,'قيود اليومية'!$N$11:$N$1010,0))&amp;"")</f>
        <v/>
      </c>
      <c r="H112" s="85" t="str">
        <f aca="false">IF($A112="","",INDEX('قيود اليومية'!$G$11:$G$1010,MATCH($A112,'قيود اليومية'!$N$11:$N$1010,0)))</f>
        <v/>
      </c>
      <c r="I112" s="85" t="str">
        <f aca="false">IF($A112="","",INDEX('قيود اليومية'!$H$11:$H$1010,MATCH($A112,'قيود اليومية'!$N$11:$N$1010,0)))</f>
        <v/>
      </c>
    </row>
    <row r="113" customFormat="false" ht="15" hidden="false" customHeight="false" outlineLevel="0" collapsed="false">
      <c r="A113" s="82" t="str">
        <f aca="false">IF(ROW()-16&gt;COUNT('قيود اليومية'!$N$11:$N$1010),"",ROW()-16)</f>
        <v/>
      </c>
      <c r="B113" s="83" t="str">
        <f aca="false">IF($A113="","",INDEX('قيود اليومية'!$B$11:$B$1010,MATCH($A113,'قيود اليومية'!$N$11:$N$1010,0)))</f>
        <v/>
      </c>
      <c r="C113" s="84" t="str">
        <f aca="false">IF($A113="","",INDEX('قيود اليومية'!$A$11:$A$1010,MATCH($A113,'قيود اليومية'!$N$11:$N$1010,0)))</f>
        <v/>
      </c>
      <c r="D113" s="84" t="str">
        <f aca="false">IF($A113="","",INDEX('قيود اليومية'!$C$11:$C$1010,MATCH($A113,'قيود اليومية'!$N$11:$N$1010,0)))</f>
        <v/>
      </c>
      <c r="E113" s="51" t="str">
        <f aca="false">IF($A113="","",INDEX('قيود اليومية'!$D$11:$D$1010,MATCH($A113,'قيود اليومية'!$N$11:$N$1010,0))&amp;"")</f>
        <v/>
      </c>
      <c r="F113" s="51" t="str">
        <f aca="false">IF($A113="","",INDEX('قيود اليومية'!$K$11:$K$1010,MATCH($A113,'قيود اليومية'!$N$11:$N$1010,0))&amp;"")</f>
        <v/>
      </c>
      <c r="G113" s="51" t="str">
        <f aca="false">IF($A113="","",INDEX('قيود اليومية'!$F$11:$F$1010,MATCH($A113,'قيود اليومية'!$N$11:$N$1010,0))&amp;"")</f>
        <v/>
      </c>
      <c r="H113" s="85" t="str">
        <f aca="false">IF($A113="","",INDEX('قيود اليومية'!$G$11:$G$1010,MATCH($A113,'قيود اليومية'!$N$11:$N$1010,0)))</f>
        <v/>
      </c>
      <c r="I113" s="85" t="str">
        <f aca="false">IF($A113="","",INDEX('قيود اليومية'!$H$11:$H$1010,MATCH($A113,'قيود اليومية'!$N$11:$N$1010,0)))</f>
        <v/>
      </c>
    </row>
    <row r="114" customFormat="false" ht="15" hidden="false" customHeight="false" outlineLevel="0" collapsed="false">
      <c r="A114" s="82" t="str">
        <f aca="false">IF(ROW()-16&gt;COUNT('قيود اليومية'!$N$11:$N$1010),"",ROW()-16)</f>
        <v/>
      </c>
      <c r="B114" s="83" t="str">
        <f aca="false">IF($A114="","",INDEX('قيود اليومية'!$B$11:$B$1010,MATCH($A114,'قيود اليومية'!$N$11:$N$1010,0)))</f>
        <v/>
      </c>
      <c r="C114" s="84" t="str">
        <f aca="false">IF($A114="","",INDEX('قيود اليومية'!$A$11:$A$1010,MATCH($A114,'قيود اليومية'!$N$11:$N$1010,0)))</f>
        <v/>
      </c>
      <c r="D114" s="84" t="str">
        <f aca="false">IF($A114="","",INDEX('قيود اليومية'!$C$11:$C$1010,MATCH($A114,'قيود اليومية'!$N$11:$N$1010,0)))</f>
        <v/>
      </c>
      <c r="E114" s="51" t="str">
        <f aca="false">IF($A114="","",INDEX('قيود اليومية'!$D$11:$D$1010,MATCH($A114,'قيود اليومية'!$N$11:$N$1010,0))&amp;"")</f>
        <v/>
      </c>
      <c r="F114" s="51" t="str">
        <f aca="false">IF($A114="","",INDEX('قيود اليومية'!$K$11:$K$1010,MATCH($A114,'قيود اليومية'!$N$11:$N$1010,0))&amp;"")</f>
        <v/>
      </c>
      <c r="G114" s="51" t="str">
        <f aca="false">IF($A114="","",INDEX('قيود اليومية'!$F$11:$F$1010,MATCH($A114,'قيود اليومية'!$N$11:$N$1010,0))&amp;"")</f>
        <v/>
      </c>
      <c r="H114" s="85" t="str">
        <f aca="false">IF($A114="","",INDEX('قيود اليومية'!$G$11:$G$1010,MATCH($A114,'قيود اليومية'!$N$11:$N$1010,0)))</f>
        <v/>
      </c>
      <c r="I114" s="85" t="str">
        <f aca="false">IF($A114="","",INDEX('قيود اليومية'!$H$11:$H$1010,MATCH($A114,'قيود اليومية'!$N$11:$N$1010,0)))</f>
        <v/>
      </c>
    </row>
    <row r="115" customFormat="false" ht="15" hidden="false" customHeight="false" outlineLevel="0" collapsed="false">
      <c r="A115" s="82" t="str">
        <f aca="false">IF(ROW()-16&gt;COUNT('قيود اليومية'!$N$11:$N$1010),"",ROW()-16)</f>
        <v/>
      </c>
      <c r="B115" s="83" t="str">
        <f aca="false">IF($A115="","",INDEX('قيود اليومية'!$B$11:$B$1010,MATCH($A115,'قيود اليومية'!$N$11:$N$1010,0)))</f>
        <v/>
      </c>
      <c r="C115" s="84" t="str">
        <f aca="false">IF($A115="","",INDEX('قيود اليومية'!$A$11:$A$1010,MATCH($A115,'قيود اليومية'!$N$11:$N$1010,0)))</f>
        <v/>
      </c>
      <c r="D115" s="84" t="str">
        <f aca="false">IF($A115="","",INDEX('قيود اليومية'!$C$11:$C$1010,MATCH($A115,'قيود اليومية'!$N$11:$N$1010,0)))</f>
        <v/>
      </c>
      <c r="E115" s="51" t="str">
        <f aca="false">IF($A115="","",INDEX('قيود اليومية'!$D$11:$D$1010,MATCH($A115,'قيود اليومية'!$N$11:$N$1010,0))&amp;"")</f>
        <v/>
      </c>
      <c r="F115" s="51" t="str">
        <f aca="false">IF($A115="","",INDEX('قيود اليومية'!$K$11:$K$1010,MATCH($A115,'قيود اليومية'!$N$11:$N$1010,0))&amp;"")</f>
        <v/>
      </c>
      <c r="G115" s="51" t="str">
        <f aca="false">IF($A115="","",INDEX('قيود اليومية'!$F$11:$F$1010,MATCH($A115,'قيود اليومية'!$N$11:$N$1010,0))&amp;"")</f>
        <v/>
      </c>
      <c r="H115" s="85" t="str">
        <f aca="false">IF($A115="","",INDEX('قيود اليومية'!$G$11:$G$1010,MATCH($A115,'قيود اليومية'!$N$11:$N$1010,0)))</f>
        <v/>
      </c>
      <c r="I115" s="85" t="str">
        <f aca="false">IF($A115="","",INDEX('قيود اليومية'!$H$11:$H$1010,MATCH($A115,'قيود اليومية'!$N$11:$N$1010,0)))</f>
        <v/>
      </c>
    </row>
    <row r="116" customFormat="false" ht="15" hidden="false" customHeight="false" outlineLevel="0" collapsed="false">
      <c r="A116" s="82" t="str">
        <f aca="false">IF(ROW()-16&gt;COUNT('قيود اليومية'!$N$11:$N$1010),"",ROW()-16)</f>
        <v/>
      </c>
      <c r="B116" s="83" t="str">
        <f aca="false">IF($A116="","",INDEX('قيود اليومية'!$B$11:$B$1010,MATCH($A116,'قيود اليومية'!$N$11:$N$1010,0)))</f>
        <v/>
      </c>
      <c r="C116" s="84" t="str">
        <f aca="false">IF($A116="","",INDEX('قيود اليومية'!$A$11:$A$1010,MATCH($A116,'قيود اليومية'!$N$11:$N$1010,0)))</f>
        <v/>
      </c>
      <c r="D116" s="84" t="str">
        <f aca="false">IF($A116="","",INDEX('قيود اليومية'!$C$11:$C$1010,MATCH($A116,'قيود اليومية'!$N$11:$N$1010,0)))</f>
        <v/>
      </c>
      <c r="E116" s="51" t="str">
        <f aca="false">IF($A116="","",INDEX('قيود اليومية'!$D$11:$D$1010,MATCH($A116,'قيود اليومية'!$N$11:$N$1010,0))&amp;"")</f>
        <v/>
      </c>
      <c r="F116" s="51" t="str">
        <f aca="false">IF($A116="","",INDEX('قيود اليومية'!$K$11:$K$1010,MATCH($A116,'قيود اليومية'!$N$11:$N$1010,0))&amp;"")</f>
        <v/>
      </c>
      <c r="G116" s="51" t="str">
        <f aca="false">IF($A116="","",INDEX('قيود اليومية'!$F$11:$F$1010,MATCH($A116,'قيود اليومية'!$N$11:$N$1010,0))&amp;"")</f>
        <v/>
      </c>
      <c r="H116" s="85" t="str">
        <f aca="false">IF($A116="","",INDEX('قيود اليومية'!$G$11:$G$1010,MATCH($A116,'قيود اليومية'!$N$11:$N$1010,0)))</f>
        <v/>
      </c>
      <c r="I116" s="85" t="str">
        <f aca="false">IF($A116="","",INDEX('قيود اليومية'!$H$11:$H$1010,MATCH($A116,'قيود اليومية'!$N$11:$N$1010,0)))</f>
        <v/>
      </c>
    </row>
    <row r="117" customFormat="false" ht="15" hidden="false" customHeight="false" outlineLevel="0" collapsed="false">
      <c r="A117" s="82" t="str">
        <f aca="false">IF(ROW()-16&gt;COUNT('قيود اليومية'!$N$11:$N$1010),"",ROW()-16)</f>
        <v/>
      </c>
      <c r="B117" s="83" t="str">
        <f aca="false">IF($A117="","",INDEX('قيود اليومية'!$B$11:$B$1010,MATCH($A117,'قيود اليومية'!$N$11:$N$1010,0)))</f>
        <v/>
      </c>
      <c r="C117" s="84" t="str">
        <f aca="false">IF($A117="","",INDEX('قيود اليومية'!$A$11:$A$1010,MATCH($A117,'قيود اليومية'!$N$11:$N$1010,0)))</f>
        <v/>
      </c>
      <c r="D117" s="84" t="str">
        <f aca="false">IF($A117="","",INDEX('قيود اليومية'!$C$11:$C$1010,MATCH($A117,'قيود اليومية'!$N$11:$N$1010,0)))</f>
        <v/>
      </c>
      <c r="E117" s="51" t="str">
        <f aca="false">IF($A117="","",INDEX('قيود اليومية'!$D$11:$D$1010,MATCH($A117,'قيود اليومية'!$N$11:$N$1010,0))&amp;"")</f>
        <v/>
      </c>
      <c r="F117" s="51" t="str">
        <f aca="false">IF($A117="","",INDEX('قيود اليومية'!$K$11:$K$1010,MATCH($A117,'قيود اليومية'!$N$11:$N$1010,0))&amp;"")</f>
        <v/>
      </c>
      <c r="G117" s="51" t="str">
        <f aca="false">IF($A117="","",INDEX('قيود اليومية'!$F$11:$F$1010,MATCH($A117,'قيود اليومية'!$N$11:$N$1010,0))&amp;"")</f>
        <v/>
      </c>
      <c r="H117" s="85" t="str">
        <f aca="false">IF($A117="","",INDEX('قيود اليومية'!$G$11:$G$1010,MATCH($A117,'قيود اليومية'!$N$11:$N$1010,0)))</f>
        <v/>
      </c>
      <c r="I117" s="85" t="str">
        <f aca="false">IF($A117="","",INDEX('قيود اليومية'!$H$11:$H$1010,MATCH($A117,'قيود اليومية'!$N$11:$N$1010,0)))</f>
        <v/>
      </c>
    </row>
    <row r="118" customFormat="false" ht="15" hidden="false" customHeight="false" outlineLevel="0" collapsed="false">
      <c r="A118" s="82" t="str">
        <f aca="false">IF(ROW()-16&gt;COUNT('قيود اليومية'!$N$11:$N$1010),"",ROW()-16)</f>
        <v/>
      </c>
      <c r="B118" s="83" t="str">
        <f aca="false">IF($A118="","",INDEX('قيود اليومية'!$B$11:$B$1010,MATCH($A118,'قيود اليومية'!$N$11:$N$1010,0)))</f>
        <v/>
      </c>
      <c r="C118" s="84" t="str">
        <f aca="false">IF($A118="","",INDEX('قيود اليومية'!$A$11:$A$1010,MATCH($A118,'قيود اليومية'!$N$11:$N$1010,0)))</f>
        <v/>
      </c>
      <c r="D118" s="84" t="str">
        <f aca="false">IF($A118="","",INDEX('قيود اليومية'!$C$11:$C$1010,MATCH($A118,'قيود اليومية'!$N$11:$N$1010,0)))</f>
        <v/>
      </c>
      <c r="E118" s="51" t="str">
        <f aca="false">IF($A118="","",INDEX('قيود اليومية'!$D$11:$D$1010,MATCH($A118,'قيود اليومية'!$N$11:$N$1010,0))&amp;"")</f>
        <v/>
      </c>
      <c r="F118" s="51" t="str">
        <f aca="false">IF($A118="","",INDEX('قيود اليومية'!$K$11:$K$1010,MATCH($A118,'قيود اليومية'!$N$11:$N$1010,0))&amp;"")</f>
        <v/>
      </c>
      <c r="G118" s="51" t="str">
        <f aca="false">IF($A118="","",INDEX('قيود اليومية'!$F$11:$F$1010,MATCH($A118,'قيود اليومية'!$N$11:$N$1010,0))&amp;"")</f>
        <v/>
      </c>
      <c r="H118" s="85" t="str">
        <f aca="false">IF($A118="","",INDEX('قيود اليومية'!$G$11:$G$1010,MATCH($A118,'قيود اليومية'!$N$11:$N$1010,0)))</f>
        <v/>
      </c>
      <c r="I118" s="85" t="str">
        <f aca="false">IF($A118="","",INDEX('قيود اليومية'!$H$11:$H$1010,MATCH($A118,'قيود اليومية'!$N$11:$N$1010,0)))</f>
        <v/>
      </c>
    </row>
    <row r="119" customFormat="false" ht="15" hidden="false" customHeight="false" outlineLevel="0" collapsed="false">
      <c r="A119" s="82" t="str">
        <f aca="false">IF(ROW()-16&gt;COUNT('قيود اليومية'!$N$11:$N$1010),"",ROW()-16)</f>
        <v/>
      </c>
      <c r="B119" s="83" t="str">
        <f aca="false">IF($A119="","",INDEX('قيود اليومية'!$B$11:$B$1010,MATCH($A119,'قيود اليومية'!$N$11:$N$1010,0)))</f>
        <v/>
      </c>
      <c r="C119" s="84" t="str">
        <f aca="false">IF($A119="","",INDEX('قيود اليومية'!$A$11:$A$1010,MATCH($A119,'قيود اليومية'!$N$11:$N$1010,0)))</f>
        <v/>
      </c>
      <c r="D119" s="84" t="str">
        <f aca="false">IF($A119="","",INDEX('قيود اليومية'!$C$11:$C$1010,MATCH($A119,'قيود اليومية'!$N$11:$N$1010,0)))</f>
        <v/>
      </c>
      <c r="E119" s="51" t="str">
        <f aca="false">IF($A119="","",INDEX('قيود اليومية'!$D$11:$D$1010,MATCH($A119,'قيود اليومية'!$N$11:$N$1010,0))&amp;"")</f>
        <v/>
      </c>
      <c r="F119" s="51" t="str">
        <f aca="false">IF($A119="","",INDEX('قيود اليومية'!$K$11:$K$1010,MATCH($A119,'قيود اليومية'!$N$11:$N$1010,0))&amp;"")</f>
        <v/>
      </c>
      <c r="G119" s="51" t="str">
        <f aca="false">IF($A119="","",INDEX('قيود اليومية'!$F$11:$F$1010,MATCH($A119,'قيود اليومية'!$N$11:$N$1010,0))&amp;"")</f>
        <v/>
      </c>
      <c r="H119" s="85" t="str">
        <f aca="false">IF($A119="","",INDEX('قيود اليومية'!$G$11:$G$1010,MATCH($A119,'قيود اليومية'!$N$11:$N$1010,0)))</f>
        <v/>
      </c>
      <c r="I119" s="85" t="str">
        <f aca="false">IF($A119="","",INDEX('قيود اليومية'!$H$11:$H$1010,MATCH($A119,'قيود اليومية'!$N$11:$N$1010,0)))</f>
        <v/>
      </c>
    </row>
    <row r="120" customFormat="false" ht="15" hidden="false" customHeight="false" outlineLevel="0" collapsed="false">
      <c r="A120" s="82" t="str">
        <f aca="false">IF(ROW()-16&gt;COUNT('قيود اليومية'!$N$11:$N$1010),"",ROW()-16)</f>
        <v/>
      </c>
      <c r="B120" s="83" t="str">
        <f aca="false">IF($A120="","",INDEX('قيود اليومية'!$B$11:$B$1010,MATCH($A120,'قيود اليومية'!$N$11:$N$1010,0)))</f>
        <v/>
      </c>
      <c r="C120" s="84" t="str">
        <f aca="false">IF($A120="","",INDEX('قيود اليومية'!$A$11:$A$1010,MATCH($A120,'قيود اليومية'!$N$11:$N$1010,0)))</f>
        <v/>
      </c>
      <c r="D120" s="84" t="str">
        <f aca="false">IF($A120="","",INDEX('قيود اليومية'!$C$11:$C$1010,MATCH($A120,'قيود اليومية'!$N$11:$N$1010,0)))</f>
        <v/>
      </c>
      <c r="E120" s="51" t="str">
        <f aca="false">IF($A120="","",INDEX('قيود اليومية'!$D$11:$D$1010,MATCH($A120,'قيود اليومية'!$N$11:$N$1010,0))&amp;"")</f>
        <v/>
      </c>
      <c r="F120" s="51" t="str">
        <f aca="false">IF($A120="","",INDEX('قيود اليومية'!$K$11:$K$1010,MATCH($A120,'قيود اليومية'!$N$11:$N$1010,0))&amp;"")</f>
        <v/>
      </c>
      <c r="G120" s="51" t="str">
        <f aca="false">IF($A120="","",INDEX('قيود اليومية'!$F$11:$F$1010,MATCH($A120,'قيود اليومية'!$N$11:$N$1010,0))&amp;"")</f>
        <v/>
      </c>
      <c r="H120" s="85" t="str">
        <f aca="false">IF($A120="","",INDEX('قيود اليومية'!$G$11:$G$1010,MATCH($A120,'قيود اليومية'!$N$11:$N$1010,0)))</f>
        <v/>
      </c>
      <c r="I120" s="85" t="str">
        <f aca="false">IF($A120="","",INDEX('قيود اليومية'!$H$11:$H$1010,MATCH($A120,'قيود اليومية'!$N$11:$N$1010,0)))</f>
        <v/>
      </c>
    </row>
    <row r="121" customFormat="false" ht="15" hidden="false" customHeight="false" outlineLevel="0" collapsed="false">
      <c r="A121" s="82" t="str">
        <f aca="false">IF(ROW()-16&gt;COUNT('قيود اليومية'!$N$11:$N$1010),"",ROW()-16)</f>
        <v/>
      </c>
      <c r="B121" s="83" t="str">
        <f aca="false">IF($A121="","",INDEX('قيود اليومية'!$B$11:$B$1010,MATCH($A121,'قيود اليومية'!$N$11:$N$1010,0)))</f>
        <v/>
      </c>
      <c r="C121" s="84" t="str">
        <f aca="false">IF($A121="","",INDEX('قيود اليومية'!$A$11:$A$1010,MATCH($A121,'قيود اليومية'!$N$11:$N$1010,0)))</f>
        <v/>
      </c>
      <c r="D121" s="84" t="str">
        <f aca="false">IF($A121="","",INDEX('قيود اليومية'!$C$11:$C$1010,MATCH($A121,'قيود اليومية'!$N$11:$N$1010,0)))</f>
        <v/>
      </c>
      <c r="E121" s="51" t="str">
        <f aca="false">IF($A121="","",INDEX('قيود اليومية'!$D$11:$D$1010,MATCH($A121,'قيود اليومية'!$N$11:$N$1010,0))&amp;"")</f>
        <v/>
      </c>
      <c r="F121" s="51" t="str">
        <f aca="false">IF($A121="","",INDEX('قيود اليومية'!$K$11:$K$1010,MATCH($A121,'قيود اليومية'!$N$11:$N$1010,0))&amp;"")</f>
        <v/>
      </c>
      <c r="G121" s="51" t="str">
        <f aca="false">IF($A121="","",INDEX('قيود اليومية'!$F$11:$F$1010,MATCH($A121,'قيود اليومية'!$N$11:$N$1010,0))&amp;"")</f>
        <v/>
      </c>
      <c r="H121" s="85" t="str">
        <f aca="false">IF($A121="","",INDEX('قيود اليومية'!$G$11:$G$1010,MATCH($A121,'قيود اليومية'!$N$11:$N$1010,0)))</f>
        <v/>
      </c>
      <c r="I121" s="85" t="str">
        <f aca="false">IF($A121="","",INDEX('قيود اليومية'!$H$11:$H$1010,MATCH($A121,'قيود اليومية'!$N$11:$N$1010,0)))</f>
        <v/>
      </c>
    </row>
    <row r="122" customFormat="false" ht="15" hidden="false" customHeight="false" outlineLevel="0" collapsed="false">
      <c r="A122" s="82" t="str">
        <f aca="false">IF(ROW()-16&gt;COUNT('قيود اليومية'!$N$11:$N$1010),"",ROW()-16)</f>
        <v/>
      </c>
      <c r="B122" s="83" t="str">
        <f aca="false">IF($A122="","",INDEX('قيود اليومية'!$B$11:$B$1010,MATCH($A122,'قيود اليومية'!$N$11:$N$1010,0)))</f>
        <v/>
      </c>
      <c r="C122" s="84" t="str">
        <f aca="false">IF($A122="","",INDEX('قيود اليومية'!$A$11:$A$1010,MATCH($A122,'قيود اليومية'!$N$11:$N$1010,0)))</f>
        <v/>
      </c>
      <c r="D122" s="84" t="str">
        <f aca="false">IF($A122="","",INDEX('قيود اليومية'!$C$11:$C$1010,MATCH($A122,'قيود اليومية'!$N$11:$N$1010,0)))</f>
        <v/>
      </c>
      <c r="E122" s="51" t="str">
        <f aca="false">IF($A122="","",INDEX('قيود اليومية'!$D$11:$D$1010,MATCH($A122,'قيود اليومية'!$N$11:$N$1010,0))&amp;"")</f>
        <v/>
      </c>
      <c r="F122" s="51" t="str">
        <f aca="false">IF($A122="","",INDEX('قيود اليومية'!$K$11:$K$1010,MATCH($A122,'قيود اليومية'!$N$11:$N$1010,0))&amp;"")</f>
        <v/>
      </c>
      <c r="G122" s="51" t="str">
        <f aca="false">IF($A122="","",INDEX('قيود اليومية'!$F$11:$F$1010,MATCH($A122,'قيود اليومية'!$N$11:$N$1010,0))&amp;"")</f>
        <v/>
      </c>
      <c r="H122" s="85" t="str">
        <f aca="false">IF($A122="","",INDEX('قيود اليومية'!$G$11:$G$1010,MATCH($A122,'قيود اليومية'!$N$11:$N$1010,0)))</f>
        <v/>
      </c>
      <c r="I122" s="85" t="str">
        <f aca="false">IF($A122="","",INDEX('قيود اليومية'!$H$11:$H$1010,MATCH($A122,'قيود اليومية'!$N$11:$N$1010,0)))</f>
        <v/>
      </c>
    </row>
    <row r="123" customFormat="false" ht="15" hidden="false" customHeight="false" outlineLevel="0" collapsed="false">
      <c r="A123" s="82" t="str">
        <f aca="false">IF(ROW()-16&gt;COUNT('قيود اليومية'!$N$11:$N$1010),"",ROW()-16)</f>
        <v/>
      </c>
      <c r="B123" s="83" t="str">
        <f aca="false">IF($A123="","",INDEX('قيود اليومية'!$B$11:$B$1010,MATCH($A123,'قيود اليومية'!$N$11:$N$1010,0)))</f>
        <v/>
      </c>
      <c r="C123" s="84" t="str">
        <f aca="false">IF($A123="","",INDEX('قيود اليومية'!$A$11:$A$1010,MATCH($A123,'قيود اليومية'!$N$11:$N$1010,0)))</f>
        <v/>
      </c>
      <c r="D123" s="84" t="str">
        <f aca="false">IF($A123="","",INDEX('قيود اليومية'!$C$11:$C$1010,MATCH($A123,'قيود اليومية'!$N$11:$N$1010,0)))</f>
        <v/>
      </c>
      <c r="E123" s="51" t="str">
        <f aca="false">IF($A123="","",INDEX('قيود اليومية'!$D$11:$D$1010,MATCH($A123,'قيود اليومية'!$N$11:$N$1010,0))&amp;"")</f>
        <v/>
      </c>
      <c r="F123" s="51" t="str">
        <f aca="false">IF($A123="","",INDEX('قيود اليومية'!$K$11:$K$1010,MATCH($A123,'قيود اليومية'!$N$11:$N$1010,0))&amp;"")</f>
        <v/>
      </c>
      <c r="G123" s="51" t="str">
        <f aca="false">IF($A123="","",INDEX('قيود اليومية'!$F$11:$F$1010,MATCH($A123,'قيود اليومية'!$N$11:$N$1010,0))&amp;"")</f>
        <v/>
      </c>
      <c r="H123" s="85" t="str">
        <f aca="false">IF($A123="","",INDEX('قيود اليومية'!$G$11:$G$1010,MATCH($A123,'قيود اليومية'!$N$11:$N$1010,0)))</f>
        <v/>
      </c>
      <c r="I123" s="85" t="str">
        <f aca="false">IF($A123="","",INDEX('قيود اليومية'!$H$11:$H$1010,MATCH($A123,'قيود اليومية'!$N$11:$N$1010,0)))</f>
        <v/>
      </c>
    </row>
    <row r="124" customFormat="false" ht="15" hidden="false" customHeight="false" outlineLevel="0" collapsed="false">
      <c r="A124" s="82" t="str">
        <f aca="false">IF(ROW()-16&gt;COUNT('قيود اليومية'!$N$11:$N$1010),"",ROW()-16)</f>
        <v/>
      </c>
      <c r="B124" s="83" t="str">
        <f aca="false">IF($A124="","",INDEX('قيود اليومية'!$B$11:$B$1010,MATCH($A124,'قيود اليومية'!$N$11:$N$1010,0)))</f>
        <v/>
      </c>
      <c r="C124" s="84" t="str">
        <f aca="false">IF($A124="","",INDEX('قيود اليومية'!$A$11:$A$1010,MATCH($A124,'قيود اليومية'!$N$11:$N$1010,0)))</f>
        <v/>
      </c>
      <c r="D124" s="84" t="str">
        <f aca="false">IF($A124="","",INDEX('قيود اليومية'!$C$11:$C$1010,MATCH($A124,'قيود اليومية'!$N$11:$N$1010,0)))</f>
        <v/>
      </c>
      <c r="E124" s="51" t="str">
        <f aca="false">IF($A124="","",INDEX('قيود اليومية'!$D$11:$D$1010,MATCH($A124,'قيود اليومية'!$N$11:$N$1010,0))&amp;"")</f>
        <v/>
      </c>
      <c r="F124" s="51" t="str">
        <f aca="false">IF($A124="","",INDEX('قيود اليومية'!$K$11:$K$1010,MATCH($A124,'قيود اليومية'!$N$11:$N$1010,0))&amp;"")</f>
        <v/>
      </c>
      <c r="G124" s="51" t="str">
        <f aca="false">IF($A124="","",INDEX('قيود اليومية'!$F$11:$F$1010,MATCH($A124,'قيود اليومية'!$N$11:$N$1010,0))&amp;"")</f>
        <v/>
      </c>
      <c r="H124" s="85" t="str">
        <f aca="false">IF($A124="","",INDEX('قيود اليومية'!$G$11:$G$1010,MATCH($A124,'قيود اليومية'!$N$11:$N$1010,0)))</f>
        <v/>
      </c>
      <c r="I124" s="85" t="str">
        <f aca="false">IF($A124="","",INDEX('قيود اليومية'!$H$11:$H$1010,MATCH($A124,'قيود اليومية'!$N$11:$N$1010,0)))</f>
        <v/>
      </c>
    </row>
    <row r="125" customFormat="false" ht="15" hidden="false" customHeight="false" outlineLevel="0" collapsed="false">
      <c r="A125" s="82" t="str">
        <f aca="false">IF(ROW()-16&gt;COUNT('قيود اليومية'!$N$11:$N$1010),"",ROW()-16)</f>
        <v/>
      </c>
      <c r="B125" s="83" t="str">
        <f aca="false">IF($A125="","",INDEX('قيود اليومية'!$B$11:$B$1010,MATCH($A125,'قيود اليومية'!$N$11:$N$1010,0)))</f>
        <v/>
      </c>
      <c r="C125" s="84" t="str">
        <f aca="false">IF($A125="","",INDEX('قيود اليومية'!$A$11:$A$1010,MATCH($A125,'قيود اليومية'!$N$11:$N$1010,0)))</f>
        <v/>
      </c>
      <c r="D125" s="84" t="str">
        <f aca="false">IF($A125="","",INDEX('قيود اليومية'!$C$11:$C$1010,MATCH($A125,'قيود اليومية'!$N$11:$N$1010,0)))</f>
        <v/>
      </c>
      <c r="E125" s="51" t="str">
        <f aca="false">IF($A125="","",INDEX('قيود اليومية'!$D$11:$D$1010,MATCH($A125,'قيود اليومية'!$N$11:$N$1010,0))&amp;"")</f>
        <v/>
      </c>
      <c r="F125" s="51" t="str">
        <f aca="false">IF($A125="","",INDEX('قيود اليومية'!$K$11:$K$1010,MATCH($A125,'قيود اليومية'!$N$11:$N$1010,0))&amp;"")</f>
        <v/>
      </c>
      <c r="G125" s="51" t="str">
        <f aca="false">IF($A125="","",INDEX('قيود اليومية'!$F$11:$F$1010,MATCH($A125,'قيود اليومية'!$N$11:$N$1010,0))&amp;"")</f>
        <v/>
      </c>
      <c r="H125" s="85" t="str">
        <f aca="false">IF($A125="","",INDEX('قيود اليومية'!$G$11:$G$1010,MATCH($A125,'قيود اليومية'!$N$11:$N$1010,0)))</f>
        <v/>
      </c>
      <c r="I125" s="85" t="str">
        <f aca="false">IF($A125="","",INDEX('قيود اليومية'!$H$11:$H$1010,MATCH($A125,'قيود اليومية'!$N$11:$N$1010,0)))</f>
        <v/>
      </c>
    </row>
    <row r="126" customFormat="false" ht="15" hidden="false" customHeight="false" outlineLevel="0" collapsed="false">
      <c r="A126" s="82" t="str">
        <f aca="false">IF(ROW()-16&gt;COUNT('قيود اليومية'!$N$11:$N$1010),"",ROW()-16)</f>
        <v/>
      </c>
      <c r="B126" s="83" t="str">
        <f aca="false">IF($A126="","",INDEX('قيود اليومية'!$B$11:$B$1010,MATCH($A126,'قيود اليومية'!$N$11:$N$1010,0)))</f>
        <v/>
      </c>
      <c r="C126" s="84" t="str">
        <f aca="false">IF($A126="","",INDEX('قيود اليومية'!$A$11:$A$1010,MATCH($A126,'قيود اليومية'!$N$11:$N$1010,0)))</f>
        <v/>
      </c>
      <c r="D126" s="84" t="str">
        <f aca="false">IF($A126="","",INDEX('قيود اليومية'!$C$11:$C$1010,MATCH($A126,'قيود اليومية'!$N$11:$N$1010,0)))</f>
        <v/>
      </c>
      <c r="E126" s="51" t="str">
        <f aca="false">IF($A126="","",INDEX('قيود اليومية'!$D$11:$D$1010,MATCH($A126,'قيود اليومية'!$N$11:$N$1010,0))&amp;"")</f>
        <v/>
      </c>
      <c r="F126" s="51" t="str">
        <f aca="false">IF($A126="","",INDEX('قيود اليومية'!$K$11:$K$1010,MATCH($A126,'قيود اليومية'!$N$11:$N$1010,0))&amp;"")</f>
        <v/>
      </c>
      <c r="G126" s="51" t="str">
        <f aca="false">IF($A126="","",INDEX('قيود اليومية'!$F$11:$F$1010,MATCH($A126,'قيود اليومية'!$N$11:$N$1010,0))&amp;"")</f>
        <v/>
      </c>
      <c r="H126" s="85" t="str">
        <f aca="false">IF($A126="","",INDEX('قيود اليومية'!$G$11:$G$1010,MATCH($A126,'قيود اليومية'!$N$11:$N$1010,0)))</f>
        <v/>
      </c>
      <c r="I126" s="85" t="str">
        <f aca="false">IF($A126="","",INDEX('قيود اليومية'!$H$11:$H$1010,MATCH($A126,'قيود اليومية'!$N$11:$N$1010,0)))</f>
        <v/>
      </c>
    </row>
    <row r="127" customFormat="false" ht="15" hidden="false" customHeight="false" outlineLevel="0" collapsed="false">
      <c r="A127" s="82" t="str">
        <f aca="false">IF(ROW()-16&gt;COUNT('قيود اليومية'!$N$11:$N$1010),"",ROW()-16)</f>
        <v/>
      </c>
      <c r="B127" s="83" t="str">
        <f aca="false">IF($A127="","",INDEX('قيود اليومية'!$B$11:$B$1010,MATCH($A127,'قيود اليومية'!$N$11:$N$1010,0)))</f>
        <v/>
      </c>
      <c r="C127" s="84" t="str">
        <f aca="false">IF($A127="","",INDEX('قيود اليومية'!$A$11:$A$1010,MATCH($A127,'قيود اليومية'!$N$11:$N$1010,0)))</f>
        <v/>
      </c>
      <c r="D127" s="84" t="str">
        <f aca="false">IF($A127="","",INDEX('قيود اليومية'!$C$11:$C$1010,MATCH($A127,'قيود اليومية'!$N$11:$N$1010,0)))</f>
        <v/>
      </c>
      <c r="E127" s="51" t="str">
        <f aca="false">IF($A127="","",INDEX('قيود اليومية'!$D$11:$D$1010,MATCH($A127,'قيود اليومية'!$N$11:$N$1010,0))&amp;"")</f>
        <v/>
      </c>
      <c r="F127" s="51" t="str">
        <f aca="false">IF($A127="","",INDEX('قيود اليومية'!$K$11:$K$1010,MATCH($A127,'قيود اليومية'!$N$11:$N$1010,0))&amp;"")</f>
        <v/>
      </c>
      <c r="G127" s="51" t="str">
        <f aca="false">IF($A127="","",INDEX('قيود اليومية'!$F$11:$F$1010,MATCH($A127,'قيود اليومية'!$N$11:$N$1010,0))&amp;"")</f>
        <v/>
      </c>
      <c r="H127" s="85" t="str">
        <f aca="false">IF($A127="","",INDEX('قيود اليومية'!$G$11:$G$1010,MATCH($A127,'قيود اليومية'!$N$11:$N$1010,0)))</f>
        <v/>
      </c>
      <c r="I127" s="85" t="str">
        <f aca="false">IF($A127="","",INDEX('قيود اليومية'!$H$11:$H$1010,MATCH($A127,'قيود اليومية'!$N$11:$N$1010,0)))</f>
        <v/>
      </c>
    </row>
    <row r="128" customFormat="false" ht="15" hidden="false" customHeight="false" outlineLevel="0" collapsed="false">
      <c r="A128" s="82" t="str">
        <f aca="false">IF(ROW()-16&gt;COUNT('قيود اليومية'!$N$11:$N$1010),"",ROW()-16)</f>
        <v/>
      </c>
      <c r="B128" s="83" t="str">
        <f aca="false">IF($A128="","",INDEX('قيود اليومية'!$B$11:$B$1010,MATCH($A128,'قيود اليومية'!$N$11:$N$1010,0)))</f>
        <v/>
      </c>
      <c r="C128" s="84" t="str">
        <f aca="false">IF($A128="","",INDEX('قيود اليومية'!$A$11:$A$1010,MATCH($A128,'قيود اليومية'!$N$11:$N$1010,0)))</f>
        <v/>
      </c>
      <c r="D128" s="84" t="str">
        <f aca="false">IF($A128="","",INDEX('قيود اليومية'!$C$11:$C$1010,MATCH($A128,'قيود اليومية'!$N$11:$N$1010,0)))</f>
        <v/>
      </c>
      <c r="E128" s="51" t="str">
        <f aca="false">IF($A128="","",INDEX('قيود اليومية'!$D$11:$D$1010,MATCH($A128,'قيود اليومية'!$N$11:$N$1010,0))&amp;"")</f>
        <v/>
      </c>
      <c r="F128" s="51" t="str">
        <f aca="false">IF($A128="","",INDEX('قيود اليومية'!$K$11:$K$1010,MATCH($A128,'قيود اليومية'!$N$11:$N$1010,0))&amp;"")</f>
        <v/>
      </c>
      <c r="G128" s="51" t="str">
        <f aca="false">IF($A128="","",INDEX('قيود اليومية'!$F$11:$F$1010,MATCH($A128,'قيود اليومية'!$N$11:$N$1010,0))&amp;"")</f>
        <v/>
      </c>
      <c r="H128" s="85" t="str">
        <f aca="false">IF($A128="","",INDEX('قيود اليومية'!$G$11:$G$1010,MATCH($A128,'قيود اليومية'!$N$11:$N$1010,0)))</f>
        <v/>
      </c>
      <c r="I128" s="85" t="str">
        <f aca="false">IF($A128="","",INDEX('قيود اليومية'!$H$11:$H$1010,MATCH($A128,'قيود اليومية'!$N$11:$N$1010,0)))</f>
        <v/>
      </c>
    </row>
    <row r="129" customFormat="false" ht="15" hidden="false" customHeight="false" outlineLevel="0" collapsed="false">
      <c r="A129" s="82" t="str">
        <f aca="false">IF(ROW()-16&gt;COUNT('قيود اليومية'!$N$11:$N$1010),"",ROW()-16)</f>
        <v/>
      </c>
      <c r="B129" s="83" t="str">
        <f aca="false">IF($A129="","",INDEX('قيود اليومية'!$B$11:$B$1010,MATCH($A129,'قيود اليومية'!$N$11:$N$1010,0)))</f>
        <v/>
      </c>
      <c r="C129" s="84" t="str">
        <f aca="false">IF($A129="","",INDEX('قيود اليومية'!$A$11:$A$1010,MATCH($A129,'قيود اليومية'!$N$11:$N$1010,0)))</f>
        <v/>
      </c>
      <c r="D129" s="84" t="str">
        <f aca="false">IF($A129="","",INDEX('قيود اليومية'!$C$11:$C$1010,MATCH($A129,'قيود اليومية'!$N$11:$N$1010,0)))</f>
        <v/>
      </c>
      <c r="E129" s="51" t="str">
        <f aca="false">IF($A129="","",INDEX('قيود اليومية'!$D$11:$D$1010,MATCH($A129,'قيود اليومية'!$N$11:$N$1010,0))&amp;"")</f>
        <v/>
      </c>
      <c r="F129" s="51" t="str">
        <f aca="false">IF($A129="","",INDEX('قيود اليومية'!$K$11:$K$1010,MATCH($A129,'قيود اليومية'!$N$11:$N$1010,0))&amp;"")</f>
        <v/>
      </c>
      <c r="G129" s="51" t="str">
        <f aca="false">IF($A129="","",INDEX('قيود اليومية'!$F$11:$F$1010,MATCH($A129,'قيود اليومية'!$N$11:$N$1010,0))&amp;"")</f>
        <v/>
      </c>
      <c r="H129" s="85" t="str">
        <f aca="false">IF($A129="","",INDEX('قيود اليومية'!$G$11:$G$1010,MATCH($A129,'قيود اليومية'!$N$11:$N$1010,0)))</f>
        <v/>
      </c>
      <c r="I129" s="85" t="str">
        <f aca="false">IF($A129="","",INDEX('قيود اليومية'!$H$11:$H$1010,MATCH($A129,'قيود اليومية'!$N$11:$N$1010,0)))</f>
        <v/>
      </c>
    </row>
    <row r="130" customFormat="false" ht="15" hidden="false" customHeight="false" outlineLevel="0" collapsed="false">
      <c r="A130" s="82" t="str">
        <f aca="false">IF(ROW()-16&gt;COUNT('قيود اليومية'!$N$11:$N$1010),"",ROW()-16)</f>
        <v/>
      </c>
      <c r="B130" s="83" t="str">
        <f aca="false">IF($A130="","",INDEX('قيود اليومية'!$B$11:$B$1010,MATCH($A130,'قيود اليومية'!$N$11:$N$1010,0)))</f>
        <v/>
      </c>
      <c r="C130" s="84" t="str">
        <f aca="false">IF($A130="","",INDEX('قيود اليومية'!$A$11:$A$1010,MATCH($A130,'قيود اليومية'!$N$11:$N$1010,0)))</f>
        <v/>
      </c>
      <c r="D130" s="84" t="str">
        <f aca="false">IF($A130="","",INDEX('قيود اليومية'!$C$11:$C$1010,MATCH($A130,'قيود اليومية'!$N$11:$N$1010,0)))</f>
        <v/>
      </c>
      <c r="E130" s="51" t="str">
        <f aca="false">IF($A130="","",INDEX('قيود اليومية'!$D$11:$D$1010,MATCH($A130,'قيود اليومية'!$N$11:$N$1010,0))&amp;"")</f>
        <v/>
      </c>
      <c r="F130" s="51" t="str">
        <f aca="false">IF($A130="","",INDEX('قيود اليومية'!$K$11:$K$1010,MATCH($A130,'قيود اليومية'!$N$11:$N$1010,0))&amp;"")</f>
        <v/>
      </c>
      <c r="G130" s="51" t="str">
        <f aca="false">IF($A130="","",INDEX('قيود اليومية'!$F$11:$F$1010,MATCH($A130,'قيود اليومية'!$N$11:$N$1010,0))&amp;"")</f>
        <v/>
      </c>
      <c r="H130" s="85" t="str">
        <f aca="false">IF($A130="","",INDEX('قيود اليومية'!$G$11:$G$1010,MATCH($A130,'قيود اليومية'!$N$11:$N$1010,0)))</f>
        <v/>
      </c>
      <c r="I130" s="85" t="str">
        <f aca="false">IF($A130="","",INDEX('قيود اليومية'!$H$11:$H$1010,MATCH($A130,'قيود اليومية'!$N$11:$N$1010,0)))</f>
        <v/>
      </c>
    </row>
    <row r="131" customFormat="false" ht="15" hidden="false" customHeight="false" outlineLevel="0" collapsed="false">
      <c r="A131" s="82" t="str">
        <f aca="false">IF(ROW()-16&gt;COUNT('قيود اليومية'!$N$11:$N$1010),"",ROW()-16)</f>
        <v/>
      </c>
      <c r="B131" s="83" t="str">
        <f aca="false">IF($A131="","",INDEX('قيود اليومية'!$B$11:$B$1010,MATCH($A131,'قيود اليومية'!$N$11:$N$1010,0)))</f>
        <v/>
      </c>
      <c r="C131" s="84" t="str">
        <f aca="false">IF($A131="","",INDEX('قيود اليومية'!$A$11:$A$1010,MATCH($A131,'قيود اليومية'!$N$11:$N$1010,0)))</f>
        <v/>
      </c>
      <c r="D131" s="84" t="str">
        <f aca="false">IF($A131="","",INDEX('قيود اليومية'!$C$11:$C$1010,MATCH($A131,'قيود اليومية'!$N$11:$N$1010,0)))</f>
        <v/>
      </c>
      <c r="E131" s="51" t="str">
        <f aca="false">IF($A131="","",INDEX('قيود اليومية'!$D$11:$D$1010,MATCH($A131,'قيود اليومية'!$N$11:$N$1010,0))&amp;"")</f>
        <v/>
      </c>
      <c r="F131" s="51" t="str">
        <f aca="false">IF($A131="","",INDEX('قيود اليومية'!$K$11:$K$1010,MATCH($A131,'قيود اليومية'!$N$11:$N$1010,0))&amp;"")</f>
        <v/>
      </c>
      <c r="G131" s="51" t="str">
        <f aca="false">IF($A131="","",INDEX('قيود اليومية'!$F$11:$F$1010,MATCH($A131,'قيود اليومية'!$N$11:$N$1010,0))&amp;"")</f>
        <v/>
      </c>
      <c r="H131" s="85" t="str">
        <f aca="false">IF($A131="","",INDEX('قيود اليومية'!$G$11:$G$1010,MATCH($A131,'قيود اليومية'!$N$11:$N$1010,0)))</f>
        <v/>
      </c>
      <c r="I131" s="85" t="str">
        <f aca="false">IF($A131="","",INDEX('قيود اليومية'!$H$11:$H$1010,MATCH($A131,'قيود اليومية'!$N$11:$N$1010,0)))</f>
        <v/>
      </c>
    </row>
    <row r="132" customFormat="false" ht="15" hidden="false" customHeight="false" outlineLevel="0" collapsed="false">
      <c r="A132" s="82" t="str">
        <f aca="false">IF(ROW()-16&gt;COUNT('قيود اليومية'!$N$11:$N$1010),"",ROW()-16)</f>
        <v/>
      </c>
      <c r="B132" s="83" t="str">
        <f aca="false">IF($A132="","",INDEX('قيود اليومية'!$B$11:$B$1010,MATCH($A132,'قيود اليومية'!$N$11:$N$1010,0)))</f>
        <v/>
      </c>
      <c r="C132" s="84" t="str">
        <f aca="false">IF($A132="","",INDEX('قيود اليومية'!$A$11:$A$1010,MATCH($A132,'قيود اليومية'!$N$11:$N$1010,0)))</f>
        <v/>
      </c>
      <c r="D132" s="84" t="str">
        <f aca="false">IF($A132="","",INDEX('قيود اليومية'!$C$11:$C$1010,MATCH($A132,'قيود اليومية'!$N$11:$N$1010,0)))</f>
        <v/>
      </c>
      <c r="E132" s="51" t="str">
        <f aca="false">IF($A132="","",INDEX('قيود اليومية'!$D$11:$D$1010,MATCH($A132,'قيود اليومية'!$N$11:$N$1010,0))&amp;"")</f>
        <v/>
      </c>
      <c r="F132" s="51" t="str">
        <f aca="false">IF($A132="","",INDEX('قيود اليومية'!$K$11:$K$1010,MATCH($A132,'قيود اليومية'!$N$11:$N$1010,0))&amp;"")</f>
        <v/>
      </c>
      <c r="G132" s="51" t="str">
        <f aca="false">IF($A132="","",INDEX('قيود اليومية'!$F$11:$F$1010,MATCH($A132,'قيود اليومية'!$N$11:$N$1010,0))&amp;"")</f>
        <v/>
      </c>
      <c r="H132" s="85" t="str">
        <f aca="false">IF($A132="","",INDEX('قيود اليومية'!$G$11:$G$1010,MATCH($A132,'قيود اليومية'!$N$11:$N$1010,0)))</f>
        <v/>
      </c>
      <c r="I132" s="85" t="str">
        <f aca="false">IF($A132="","",INDEX('قيود اليومية'!$H$11:$H$1010,MATCH($A132,'قيود اليومية'!$N$11:$N$1010,0)))</f>
        <v/>
      </c>
    </row>
    <row r="133" customFormat="false" ht="15" hidden="false" customHeight="false" outlineLevel="0" collapsed="false">
      <c r="A133" s="82" t="str">
        <f aca="false">IF(ROW()-16&gt;COUNT('قيود اليومية'!$N$11:$N$1010),"",ROW()-16)</f>
        <v/>
      </c>
      <c r="B133" s="83" t="str">
        <f aca="false">IF($A133="","",INDEX('قيود اليومية'!$B$11:$B$1010,MATCH($A133,'قيود اليومية'!$N$11:$N$1010,0)))</f>
        <v/>
      </c>
      <c r="C133" s="84" t="str">
        <f aca="false">IF($A133="","",INDEX('قيود اليومية'!$A$11:$A$1010,MATCH($A133,'قيود اليومية'!$N$11:$N$1010,0)))</f>
        <v/>
      </c>
      <c r="D133" s="84" t="str">
        <f aca="false">IF($A133="","",INDEX('قيود اليومية'!$C$11:$C$1010,MATCH($A133,'قيود اليومية'!$N$11:$N$1010,0)))</f>
        <v/>
      </c>
      <c r="E133" s="51" t="str">
        <f aca="false">IF($A133="","",INDEX('قيود اليومية'!$D$11:$D$1010,MATCH($A133,'قيود اليومية'!$N$11:$N$1010,0))&amp;"")</f>
        <v/>
      </c>
      <c r="F133" s="51" t="str">
        <f aca="false">IF($A133="","",INDEX('قيود اليومية'!$K$11:$K$1010,MATCH($A133,'قيود اليومية'!$N$11:$N$1010,0))&amp;"")</f>
        <v/>
      </c>
      <c r="G133" s="51" t="str">
        <f aca="false">IF($A133="","",INDEX('قيود اليومية'!$F$11:$F$1010,MATCH($A133,'قيود اليومية'!$N$11:$N$1010,0))&amp;"")</f>
        <v/>
      </c>
      <c r="H133" s="85" t="str">
        <f aca="false">IF($A133="","",INDEX('قيود اليومية'!$G$11:$G$1010,MATCH($A133,'قيود اليومية'!$N$11:$N$1010,0)))</f>
        <v/>
      </c>
      <c r="I133" s="85" t="str">
        <f aca="false">IF($A133="","",INDEX('قيود اليومية'!$H$11:$H$1010,MATCH($A133,'قيود اليومية'!$N$11:$N$1010,0)))</f>
        <v/>
      </c>
    </row>
    <row r="134" customFormat="false" ht="15" hidden="false" customHeight="false" outlineLevel="0" collapsed="false">
      <c r="A134" s="82" t="str">
        <f aca="false">IF(ROW()-16&gt;COUNT('قيود اليومية'!$N$11:$N$1010),"",ROW()-16)</f>
        <v/>
      </c>
      <c r="B134" s="83" t="str">
        <f aca="false">IF($A134="","",INDEX('قيود اليومية'!$B$11:$B$1010,MATCH($A134,'قيود اليومية'!$N$11:$N$1010,0)))</f>
        <v/>
      </c>
      <c r="C134" s="84" t="str">
        <f aca="false">IF($A134="","",INDEX('قيود اليومية'!$A$11:$A$1010,MATCH($A134,'قيود اليومية'!$N$11:$N$1010,0)))</f>
        <v/>
      </c>
      <c r="D134" s="84" t="str">
        <f aca="false">IF($A134="","",INDEX('قيود اليومية'!$C$11:$C$1010,MATCH($A134,'قيود اليومية'!$N$11:$N$1010,0)))</f>
        <v/>
      </c>
      <c r="E134" s="51" t="str">
        <f aca="false">IF($A134="","",INDEX('قيود اليومية'!$D$11:$D$1010,MATCH($A134,'قيود اليومية'!$N$11:$N$1010,0))&amp;"")</f>
        <v/>
      </c>
      <c r="F134" s="51" t="str">
        <f aca="false">IF($A134="","",INDEX('قيود اليومية'!$K$11:$K$1010,MATCH($A134,'قيود اليومية'!$N$11:$N$1010,0))&amp;"")</f>
        <v/>
      </c>
      <c r="G134" s="51" t="str">
        <f aca="false">IF($A134="","",INDEX('قيود اليومية'!$F$11:$F$1010,MATCH($A134,'قيود اليومية'!$N$11:$N$1010,0))&amp;"")</f>
        <v/>
      </c>
      <c r="H134" s="85" t="str">
        <f aca="false">IF($A134="","",INDEX('قيود اليومية'!$G$11:$G$1010,MATCH($A134,'قيود اليومية'!$N$11:$N$1010,0)))</f>
        <v/>
      </c>
      <c r="I134" s="85" t="str">
        <f aca="false">IF($A134="","",INDEX('قيود اليومية'!$H$11:$H$1010,MATCH($A134,'قيود اليومية'!$N$11:$N$1010,0)))</f>
        <v/>
      </c>
    </row>
    <row r="135" customFormat="false" ht="15" hidden="false" customHeight="false" outlineLevel="0" collapsed="false">
      <c r="A135" s="82" t="str">
        <f aca="false">IF(ROW()-16&gt;COUNT('قيود اليومية'!$N$11:$N$1010),"",ROW()-16)</f>
        <v/>
      </c>
      <c r="B135" s="83" t="str">
        <f aca="false">IF($A135="","",INDEX('قيود اليومية'!$B$11:$B$1010,MATCH($A135,'قيود اليومية'!$N$11:$N$1010,0)))</f>
        <v/>
      </c>
      <c r="C135" s="84" t="str">
        <f aca="false">IF($A135="","",INDEX('قيود اليومية'!$A$11:$A$1010,MATCH($A135,'قيود اليومية'!$N$11:$N$1010,0)))</f>
        <v/>
      </c>
      <c r="D135" s="84" t="str">
        <f aca="false">IF($A135="","",INDEX('قيود اليومية'!$C$11:$C$1010,MATCH($A135,'قيود اليومية'!$N$11:$N$1010,0)))</f>
        <v/>
      </c>
      <c r="E135" s="51" t="str">
        <f aca="false">IF($A135="","",INDEX('قيود اليومية'!$D$11:$D$1010,MATCH($A135,'قيود اليومية'!$N$11:$N$1010,0))&amp;"")</f>
        <v/>
      </c>
      <c r="F135" s="51" t="str">
        <f aca="false">IF($A135="","",INDEX('قيود اليومية'!$K$11:$K$1010,MATCH($A135,'قيود اليومية'!$N$11:$N$1010,0))&amp;"")</f>
        <v/>
      </c>
      <c r="G135" s="51" t="str">
        <f aca="false">IF($A135="","",INDEX('قيود اليومية'!$F$11:$F$1010,MATCH($A135,'قيود اليومية'!$N$11:$N$1010,0))&amp;"")</f>
        <v/>
      </c>
      <c r="H135" s="85" t="str">
        <f aca="false">IF($A135="","",INDEX('قيود اليومية'!$G$11:$G$1010,MATCH($A135,'قيود اليومية'!$N$11:$N$1010,0)))</f>
        <v/>
      </c>
      <c r="I135" s="85" t="str">
        <f aca="false">IF($A135="","",INDEX('قيود اليومية'!$H$11:$H$1010,MATCH($A135,'قيود اليومية'!$N$11:$N$1010,0)))</f>
        <v/>
      </c>
    </row>
    <row r="136" customFormat="false" ht="15" hidden="false" customHeight="false" outlineLevel="0" collapsed="false">
      <c r="A136" s="82" t="str">
        <f aca="false">IF(ROW()-16&gt;COUNT('قيود اليومية'!$N$11:$N$1010),"",ROW()-16)</f>
        <v/>
      </c>
      <c r="B136" s="83" t="str">
        <f aca="false">IF($A136="","",INDEX('قيود اليومية'!$B$11:$B$1010,MATCH($A136,'قيود اليومية'!$N$11:$N$1010,0)))</f>
        <v/>
      </c>
      <c r="C136" s="84" t="str">
        <f aca="false">IF($A136="","",INDEX('قيود اليومية'!$A$11:$A$1010,MATCH($A136,'قيود اليومية'!$N$11:$N$1010,0)))</f>
        <v/>
      </c>
      <c r="D136" s="84" t="str">
        <f aca="false">IF($A136="","",INDEX('قيود اليومية'!$C$11:$C$1010,MATCH($A136,'قيود اليومية'!$N$11:$N$1010,0)))</f>
        <v/>
      </c>
      <c r="E136" s="51" t="str">
        <f aca="false">IF($A136="","",INDEX('قيود اليومية'!$D$11:$D$1010,MATCH($A136,'قيود اليومية'!$N$11:$N$1010,0))&amp;"")</f>
        <v/>
      </c>
      <c r="F136" s="51" t="str">
        <f aca="false">IF($A136="","",INDEX('قيود اليومية'!$K$11:$K$1010,MATCH($A136,'قيود اليومية'!$N$11:$N$1010,0))&amp;"")</f>
        <v/>
      </c>
      <c r="G136" s="51" t="str">
        <f aca="false">IF($A136="","",INDEX('قيود اليومية'!$F$11:$F$1010,MATCH($A136,'قيود اليومية'!$N$11:$N$1010,0))&amp;"")</f>
        <v/>
      </c>
      <c r="H136" s="85" t="str">
        <f aca="false">IF($A136="","",INDEX('قيود اليومية'!$G$11:$G$1010,MATCH($A136,'قيود اليومية'!$N$11:$N$1010,0)))</f>
        <v/>
      </c>
      <c r="I136" s="85" t="str">
        <f aca="false">IF($A136="","",INDEX('قيود اليومية'!$H$11:$H$1010,MATCH($A136,'قيود اليومية'!$N$11:$N$1010,0)))</f>
        <v/>
      </c>
    </row>
    <row r="137" customFormat="false" ht="15" hidden="false" customHeight="false" outlineLevel="0" collapsed="false">
      <c r="A137" s="82" t="str">
        <f aca="false">IF(ROW()-16&gt;COUNT('قيود اليومية'!$N$11:$N$1010),"",ROW()-16)</f>
        <v/>
      </c>
      <c r="B137" s="83" t="str">
        <f aca="false">IF($A137="","",INDEX('قيود اليومية'!$B$11:$B$1010,MATCH($A137,'قيود اليومية'!$N$11:$N$1010,0)))</f>
        <v/>
      </c>
      <c r="C137" s="84" t="str">
        <f aca="false">IF($A137="","",INDEX('قيود اليومية'!$A$11:$A$1010,MATCH($A137,'قيود اليومية'!$N$11:$N$1010,0)))</f>
        <v/>
      </c>
      <c r="D137" s="84" t="str">
        <f aca="false">IF($A137="","",INDEX('قيود اليومية'!$C$11:$C$1010,MATCH($A137,'قيود اليومية'!$N$11:$N$1010,0)))</f>
        <v/>
      </c>
      <c r="E137" s="51" t="str">
        <f aca="false">IF($A137="","",INDEX('قيود اليومية'!$D$11:$D$1010,MATCH($A137,'قيود اليومية'!$N$11:$N$1010,0))&amp;"")</f>
        <v/>
      </c>
      <c r="F137" s="51" t="str">
        <f aca="false">IF($A137="","",INDEX('قيود اليومية'!$K$11:$K$1010,MATCH($A137,'قيود اليومية'!$N$11:$N$1010,0))&amp;"")</f>
        <v/>
      </c>
      <c r="G137" s="51" t="str">
        <f aca="false">IF($A137="","",INDEX('قيود اليومية'!$F$11:$F$1010,MATCH($A137,'قيود اليومية'!$N$11:$N$1010,0))&amp;"")</f>
        <v/>
      </c>
      <c r="H137" s="85" t="str">
        <f aca="false">IF($A137="","",INDEX('قيود اليومية'!$G$11:$G$1010,MATCH($A137,'قيود اليومية'!$N$11:$N$1010,0)))</f>
        <v/>
      </c>
      <c r="I137" s="85" t="str">
        <f aca="false">IF($A137="","",INDEX('قيود اليومية'!$H$11:$H$1010,MATCH($A137,'قيود اليومية'!$N$11:$N$1010,0)))</f>
        <v/>
      </c>
    </row>
    <row r="138" customFormat="false" ht="15" hidden="false" customHeight="false" outlineLevel="0" collapsed="false">
      <c r="A138" s="82" t="str">
        <f aca="false">IF(ROW()-16&gt;COUNT('قيود اليومية'!$N$11:$N$1010),"",ROW()-16)</f>
        <v/>
      </c>
      <c r="B138" s="83" t="str">
        <f aca="false">IF($A138="","",INDEX('قيود اليومية'!$B$11:$B$1010,MATCH($A138,'قيود اليومية'!$N$11:$N$1010,0)))</f>
        <v/>
      </c>
      <c r="C138" s="84" t="str">
        <f aca="false">IF($A138="","",INDEX('قيود اليومية'!$A$11:$A$1010,MATCH($A138,'قيود اليومية'!$N$11:$N$1010,0)))</f>
        <v/>
      </c>
      <c r="D138" s="84" t="str">
        <f aca="false">IF($A138="","",INDEX('قيود اليومية'!$C$11:$C$1010,MATCH($A138,'قيود اليومية'!$N$11:$N$1010,0)))</f>
        <v/>
      </c>
      <c r="E138" s="51" t="str">
        <f aca="false">IF($A138="","",INDEX('قيود اليومية'!$D$11:$D$1010,MATCH($A138,'قيود اليومية'!$N$11:$N$1010,0))&amp;"")</f>
        <v/>
      </c>
      <c r="F138" s="51" t="str">
        <f aca="false">IF($A138="","",INDEX('قيود اليومية'!$K$11:$K$1010,MATCH($A138,'قيود اليومية'!$N$11:$N$1010,0))&amp;"")</f>
        <v/>
      </c>
      <c r="G138" s="51" t="str">
        <f aca="false">IF($A138="","",INDEX('قيود اليومية'!$F$11:$F$1010,MATCH($A138,'قيود اليومية'!$N$11:$N$1010,0))&amp;"")</f>
        <v/>
      </c>
      <c r="H138" s="85" t="str">
        <f aca="false">IF($A138="","",INDEX('قيود اليومية'!$G$11:$G$1010,MATCH($A138,'قيود اليومية'!$N$11:$N$1010,0)))</f>
        <v/>
      </c>
      <c r="I138" s="85" t="str">
        <f aca="false">IF($A138="","",INDEX('قيود اليومية'!$H$11:$H$1010,MATCH($A138,'قيود اليومية'!$N$11:$N$1010,0)))</f>
        <v/>
      </c>
    </row>
    <row r="139" customFormat="false" ht="15" hidden="false" customHeight="false" outlineLevel="0" collapsed="false">
      <c r="A139" s="82" t="str">
        <f aca="false">IF(ROW()-16&gt;COUNT('قيود اليومية'!$N$11:$N$1010),"",ROW()-16)</f>
        <v/>
      </c>
      <c r="B139" s="83" t="str">
        <f aca="false">IF($A139="","",INDEX('قيود اليومية'!$B$11:$B$1010,MATCH($A139,'قيود اليومية'!$N$11:$N$1010,0)))</f>
        <v/>
      </c>
      <c r="C139" s="84" t="str">
        <f aca="false">IF($A139="","",INDEX('قيود اليومية'!$A$11:$A$1010,MATCH($A139,'قيود اليومية'!$N$11:$N$1010,0)))</f>
        <v/>
      </c>
      <c r="D139" s="84" t="str">
        <f aca="false">IF($A139="","",INDEX('قيود اليومية'!$C$11:$C$1010,MATCH($A139,'قيود اليومية'!$N$11:$N$1010,0)))</f>
        <v/>
      </c>
      <c r="E139" s="51" t="str">
        <f aca="false">IF($A139="","",INDEX('قيود اليومية'!$D$11:$D$1010,MATCH($A139,'قيود اليومية'!$N$11:$N$1010,0))&amp;"")</f>
        <v/>
      </c>
      <c r="F139" s="51" t="str">
        <f aca="false">IF($A139="","",INDEX('قيود اليومية'!$K$11:$K$1010,MATCH($A139,'قيود اليومية'!$N$11:$N$1010,0))&amp;"")</f>
        <v/>
      </c>
      <c r="G139" s="51" t="str">
        <f aca="false">IF($A139="","",INDEX('قيود اليومية'!$F$11:$F$1010,MATCH($A139,'قيود اليومية'!$N$11:$N$1010,0))&amp;"")</f>
        <v/>
      </c>
      <c r="H139" s="85" t="str">
        <f aca="false">IF($A139="","",INDEX('قيود اليومية'!$G$11:$G$1010,MATCH($A139,'قيود اليومية'!$N$11:$N$1010,0)))</f>
        <v/>
      </c>
      <c r="I139" s="85" t="str">
        <f aca="false">IF($A139="","",INDEX('قيود اليومية'!$H$11:$H$1010,MATCH($A139,'قيود اليومية'!$N$11:$N$1010,0)))</f>
        <v/>
      </c>
    </row>
    <row r="140" customFormat="false" ht="15" hidden="false" customHeight="false" outlineLevel="0" collapsed="false">
      <c r="A140" s="82" t="str">
        <f aca="false">IF(ROW()-16&gt;COUNT('قيود اليومية'!$N$11:$N$1010),"",ROW()-16)</f>
        <v/>
      </c>
      <c r="B140" s="83" t="str">
        <f aca="false">IF($A140="","",INDEX('قيود اليومية'!$B$11:$B$1010,MATCH($A140,'قيود اليومية'!$N$11:$N$1010,0)))</f>
        <v/>
      </c>
      <c r="C140" s="84" t="str">
        <f aca="false">IF($A140="","",INDEX('قيود اليومية'!$A$11:$A$1010,MATCH($A140,'قيود اليومية'!$N$11:$N$1010,0)))</f>
        <v/>
      </c>
      <c r="D140" s="84" t="str">
        <f aca="false">IF($A140="","",INDEX('قيود اليومية'!$C$11:$C$1010,MATCH($A140,'قيود اليومية'!$N$11:$N$1010,0)))</f>
        <v/>
      </c>
      <c r="E140" s="51" t="str">
        <f aca="false">IF($A140="","",INDEX('قيود اليومية'!$D$11:$D$1010,MATCH($A140,'قيود اليومية'!$N$11:$N$1010,0))&amp;"")</f>
        <v/>
      </c>
      <c r="F140" s="51" t="str">
        <f aca="false">IF($A140="","",INDEX('قيود اليومية'!$K$11:$K$1010,MATCH($A140,'قيود اليومية'!$N$11:$N$1010,0))&amp;"")</f>
        <v/>
      </c>
      <c r="G140" s="51" t="str">
        <f aca="false">IF($A140="","",INDEX('قيود اليومية'!$F$11:$F$1010,MATCH($A140,'قيود اليومية'!$N$11:$N$1010,0))&amp;"")</f>
        <v/>
      </c>
      <c r="H140" s="85" t="str">
        <f aca="false">IF($A140="","",INDEX('قيود اليومية'!$G$11:$G$1010,MATCH($A140,'قيود اليومية'!$N$11:$N$1010,0)))</f>
        <v/>
      </c>
      <c r="I140" s="85" t="str">
        <f aca="false">IF($A140="","",INDEX('قيود اليومية'!$H$11:$H$1010,MATCH($A140,'قيود اليومية'!$N$11:$N$1010,0)))</f>
        <v/>
      </c>
    </row>
    <row r="141" customFormat="false" ht="15" hidden="false" customHeight="false" outlineLevel="0" collapsed="false">
      <c r="A141" s="82" t="str">
        <f aca="false">IF(ROW()-16&gt;COUNT('قيود اليومية'!$N$11:$N$1010),"",ROW()-16)</f>
        <v/>
      </c>
      <c r="B141" s="83" t="str">
        <f aca="false">IF($A141="","",INDEX('قيود اليومية'!$B$11:$B$1010,MATCH($A141,'قيود اليومية'!$N$11:$N$1010,0)))</f>
        <v/>
      </c>
      <c r="C141" s="84" t="str">
        <f aca="false">IF($A141="","",INDEX('قيود اليومية'!$A$11:$A$1010,MATCH($A141,'قيود اليومية'!$N$11:$N$1010,0)))</f>
        <v/>
      </c>
      <c r="D141" s="84" t="str">
        <f aca="false">IF($A141="","",INDEX('قيود اليومية'!$C$11:$C$1010,MATCH($A141,'قيود اليومية'!$N$11:$N$1010,0)))</f>
        <v/>
      </c>
      <c r="E141" s="51" t="str">
        <f aca="false">IF($A141="","",INDEX('قيود اليومية'!$D$11:$D$1010,MATCH($A141,'قيود اليومية'!$N$11:$N$1010,0))&amp;"")</f>
        <v/>
      </c>
      <c r="F141" s="51" t="str">
        <f aca="false">IF($A141="","",INDEX('قيود اليومية'!$K$11:$K$1010,MATCH($A141,'قيود اليومية'!$N$11:$N$1010,0))&amp;"")</f>
        <v/>
      </c>
      <c r="G141" s="51" t="str">
        <f aca="false">IF($A141="","",INDEX('قيود اليومية'!$F$11:$F$1010,MATCH($A141,'قيود اليومية'!$N$11:$N$1010,0))&amp;"")</f>
        <v/>
      </c>
      <c r="H141" s="85" t="str">
        <f aca="false">IF($A141="","",INDEX('قيود اليومية'!$G$11:$G$1010,MATCH($A141,'قيود اليومية'!$N$11:$N$1010,0)))</f>
        <v/>
      </c>
      <c r="I141" s="85" t="str">
        <f aca="false">IF($A141="","",INDEX('قيود اليومية'!$H$11:$H$1010,MATCH($A141,'قيود اليومية'!$N$11:$N$1010,0)))</f>
        <v/>
      </c>
    </row>
    <row r="142" customFormat="false" ht="15" hidden="false" customHeight="false" outlineLevel="0" collapsed="false">
      <c r="A142" s="82" t="str">
        <f aca="false">IF(ROW()-16&gt;COUNT('قيود اليومية'!$N$11:$N$1010),"",ROW()-16)</f>
        <v/>
      </c>
      <c r="B142" s="83" t="str">
        <f aca="false">IF($A142="","",INDEX('قيود اليومية'!$B$11:$B$1010,MATCH($A142,'قيود اليومية'!$N$11:$N$1010,0)))</f>
        <v/>
      </c>
      <c r="C142" s="84" t="str">
        <f aca="false">IF($A142="","",INDEX('قيود اليومية'!$A$11:$A$1010,MATCH($A142,'قيود اليومية'!$N$11:$N$1010,0)))</f>
        <v/>
      </c>
      <c r="D142" s="84" t="str">
        <f aca="false">IF($A142="","",INDEX('قيود اليومية'!$C$11:$C$1010,MATCH($A142,'قيود اليومية'!$N$11:$N$1010,0)))</f>
        <v/>
      </c>
      <c r="E142" s="51" t="str">
        <f aca="false">IF($A142="","",INDEX('قيود اليومية'!$D$11:$D$1010,MATCH($A142,'قيود اليومية'!$N$11:$N$1010,0))&amp;"")</f>
        <v/>
      </c>
      <c r="F142" s="51" t="str">
        <f aca="false">IF($A142="","",INDEX('قيود اليومية'!$K$11:$K$1010,MATCH($A142,'قيود اليومية'!$N$11:$N$1010,0))&amp;"")</f>
        <v/>
      </c>
      <c r="G142" s="51" t="str">
        <f aca="false">IF($A142="","",INDEX('قيود اليومية'!$F$11:$F$1010,MATCH($A142,'قيود اليومية'!$N$11:$N$1010,0))&amp;"")</f>
        <v/>
      </c>
      <c r="H142" s="85" t="str">
        <f aca="false">IF($A142="","",INDEX('قيود اليومية'!$G$11:$G$1010,MATCH($A142,'قيود اليومية'!$N$11:$N$1010,0)))</f>
        <v/>
      </c>
      <c r="I142" s="85" t="str">
        <f aca="false">IF($A142="","",INDEX('قيود اليومية'!$H$11:$H$1010,MATCH($A142,'قيود اليومية'!$N$11:$N$1010,0)))</f>
        <v/>
      </c>
    </row>
    <row r="143" customFormat="false" ht="15" hidden="false" customHeight="false" outlineLevel="0" collapsed="false">
      <c r="A143" s="82" t="str">
        <f aca="false">IF(ROW()-16&gt;COUNT('قيود اليومية'!$N$11:$N$1010),"",ROW()-16)</f>
        <v/>
      </c>
      <c r="B143" s="83" t="str">
        <f aca="false">IF($A143="","",INDEX('قيود اليومية'!$B$11:$B$1010,MATCH($A143,'قيود اليومية'!$N$11:$N$1010,0)))</f>
        <v/>
      </c>
      <c r="C143" s="84" t="str">
        <f aca="false">IF($A143="","",INDEX('قيود اليومية'!$A$11:$A$1010,MATCH($A143,'قيود اليومية'!$N$11:$N$1010,0)))</f>
        <v/>
      </c>
      <c r="D143" s="84" t="str">
        <f aca="false">IF($A143="","",INDEX('قيود اليومية'!$C$11:$C$1010,MATCH($A143,'قيود اليومية'!$N$11:$N$1010,0)))</f>
        <v/>
      </c>
      <c r="E143" s="51" t="str">
        <f aca="false">IF($A143="","",INDEX('قيود اليومية'!$D$11:$D$1010,MATCH($A143,'قيود اليومية'!$N$11:$N$1010,0))&amp;"")</f>
        <v/>
      </c>
      <c r="F143" s="51" t="str">
        <f aca="false">IF($A143="","",INDEX('قيود اليومية'!$K$11:$K$1010,MATCH($A143,'قيود اليومية'!$N$11:$N$1010,0))&amp;"")</f>
        <v/>
      </c>
      <c r="G143" s="51" t="str">
        <f aca="false">IF($A143="","",INDEX('قيود اليومية'!$F$11:$F$1010,MATCH($A143,'قيود اليومية'!$N$11:$N$1010,0))&amp;"")</f>
        <v/>
      </c>
      <c r="H143" s="85" t="str">
        <f aca="false">IF($A143="","",INDEX('قيود اليومية'!$G$11:$G$1010,MATCH($A143,'قيود اليومية'!$N$11:$N$1010,0)))</f>
        <v/>
      </c>
      <c r="I143" s="85" t="str">
        <f aca="false">IF($A143="","",INDEX('قيود اليومية'!$H$11:$H$1010,MATCH($A143,'قيود اليومية'!$N$11:$N$1010,0)))</f>
        <v/>
      </c>
    </row>
    <row r="144" customFormat="false" ht="15" hidden="false" customHeight="false" outlineLevel="0" collapsed="false">
      <c r="A144" s="82" t="str">
        <f aca="false">IF(ROW()-16&gt;COUNT('قيود اليومية'!$N$11:$N$1010),"",ROW()-16)</f>
        <v/>
      </c>
      <c r="B144" s="83" t="str">
        <f aca="false">IF($A144="","",INDEX('قيود اليومية'!$B$11:$B$1010,MATCH($A144,'قيود اليومية'!$N$11:$N$1010,0)))</f>
        <v/>
      </c>
      <c r="C144" s="84" t="str">
        <f aca="false">IF($A144="","",INDEX('قيود اليومية'!$A$11:$A$1010,MATCH($A144,'قيود اليومية'!$N$11:$N$1010,0)))</f>
        <v/>
      </c>
      <c r="D144" s="84" t="str">
        <f aca="false">IF($A144="","",INDEX('قيود اليومية'!$C$11:$C$1010,MATCH($A144,'قيود اليومية'!$N$11:$N$1010,0)))</f>
        <v/>
      </c>
      <c r="E144" s="51" t="str">
        <f aca="false">IF($A144="","",INDEX('قيود اليومية'!$D$11:$D$1010,MATCH($A144,'قيود اليومية'!$N$11:$N$1010,0))&amp;"")</f>
        <v/>
      </c>
      <c r="F144" s="51" t="str">
        <f aca="false">IF($A144="","",INDEX('قيود اليومية'!$K$11:$K$1010,MATCH($A144,'قيود اليومية'!$N$11:$N$1010,0))&amp;"")</f>
        <v/>
      </c>
      <c r="G144" s="51" t="str">
        <f aca="false">IF($A144="","",INDEX('قيود اليومية'!$F$11:$F$1010,MATCH($A144,'قيود اليومية'!$N$11:$N$1010,0))&amp;"")</f>
        <v/>
      </c>
      <c r="H144" s="85" t="str">
        <f aca="false">IF($A144="","",INDEX('قيود اليومية'!$G$11:$G$1010,MATCH($A144,'قيود اليومية'!$N$11:$N$1010,0)))</f>
        <v/>
      </c>
      <c r="I144" s="85" t="str">
        <f aca="false">IF($A144="","",INDEX('قيود اليومية'!$H$11:$H$1010,MATCH($A144,'قيود اليومية'!$N$11:$N$1010,0)))</f>
        <v/>
      </c>
    </row>
    <row r="145" customFormat="false" ht="15" hidden="false" customHeight="false" outlineLevel="0" collapsed="false">
      <c r="A145" s="82" t="str">
        <f aca="false">IF(ROW()-16&gt;COUNT('قيود اليومية'!$N$11:$N$1010),"",ROW()-16)</f>
        <v/>
      </c>
      <c r="B145" s="83" t="str">
        <f aca="false">IF($A145="","",INDEX('قيود اليومية'!$B$11:$B$1010,MATCH($A145,'قيود اليومية'!$N$11:$N$1010,0)))</f>
        <v/>
      </c>
      <c r="C145" s="84" t="str">
        <f aca="false">IF($A145="","",INDEX('قيود اليومية'!$A$11:$A$1010,MATCH($A145,'قيود اليومية'!$N$11:$N$1010,0)))</f>
        <v/>
      </c>
      <c r="D145" s="84" t="str">
        <f aca="false">IF($A145="","",INDEX('قيود اليومية'!$C$11:$C$1010,MATCH($A145,'قيود اليومية'!$N$11:$N$1010,0)))</f>
        <v/>
      </c>
      <c r="E145" s="51" t="str">
        <f aca="false">IF($A145="","",INDEX('قيود اليومية'!$D$11:$D$1010,MATCH($A145,'قيود اليومية'!$N$11:$N$1010,0))&amp;"")</f>
        <v/>
      </c>
      <c r="F145" s="51" t="str">
        <f aca="false">IF($A145="","",INDEX('قيود اليومية'!$K$11:$K$1010,MATCH($A145,'قيود اليومية'!$N$11:$N$1010,0))&amp;"")</f>
        <v/>
      </c>
      <c r="G145" s="51" t="str">
        <f aca="false">IF($A145="","",INDEX('قيود اليومية'!$F$11:$F$1010,MATCH($A145,'قيود اليومية'!$N$11:$N$1010,0))&amp;"")</f>
        <v/>
      </c>
      <c r="H145" s="85" t="str">
        <f aca="false">IF($A145="","",INDEX('قيود اليومية'!$G$11:$G$1010,MATCH($A145,'قيود اليومية'!$N$11:$N$1010,0)))</f>
        <v/>
      </c>
      <c r="I145" s="85" t="str">
        <f aca="false">IF($A145="","",INDEX('قيود اليومية'!$H$11:$H$1010,MATCH($A145,'قيود اليومية'!$N$11:$N$1010,0)))</f>
        <v/>
      </c>
    </row>
    <row r="146" customFormat="false" ht="15" hidden="false" customHeight="false" outlineLevel="0" collapsed="false">
      <c r="A146" s="82" t="str">
        <f aca="false">IF(ROW()-16&gt;COUNT('قيود اليومية'!$N$11:$N$1010),"",ROW()-16)</f>
        <v/>
      </c>
      <c r="B146" s="83" t="str">
        <f aca="false">IF($A146="","",INDEX('قيود اليومية'!$B$11:$B$1010,MATCH($A146,'قيود اليومية'!$N$11:$N$1010,0)))</f>
        <v/>
      </c>
      <c r="C146" s="84" t="str">
        <f aca="false">IF($A146="","",INDEX('قيود اليومية'!$A$11:$A$1010,MATCH($A146,'قيود اليومية'!$N$11:$N$1010,0)))</f>
        <v/>
      </c>
      <c r="D146" s="84" t="str">
        <f aca="false">IF($A146="","",INDEX('قيود اليومية'!$C$11:$C$1010,MATCH($A146,'قيود اليومية'!$N$11:$N$1010,0)))</f>
        <v/>
      </c>
      <c r="E146" s="51" t="str">
        <f aca="false">IF($A146="","",INDEX('قيود اليومية'!$D$11:$D$1010,MATCH($A146,'قيود اليومية'!$N$11:$N$1010,0))&amp;"")</f>
        <v/>
      </c>
      <c r="F146" s="51" t="str">
        <f aca="false">IF($A146="","",INDEX('قيود اليومية'!$K$11:$K$1010,MATCH($A146,'قيود اليومية'!$N$11:$N$1010,0))&amp;"")</f>
        <v/>
      </c>
      <c r="G146" s="51" t="str">
        <f aca="false">IF($A146="","",INDEX('قيود اليومية'!$F$11:$F$1010,MATCH($A146,'قيود اليومية'!$N$11:$N$1010,0))&amp;"")</f>
        <v/>
      </c>
      <c r="H146" s="85" t="str">
        <f aca="false">IF($A146="","",INDEX('قيود اليومية'!$G$11:$G$1010,MATCH($A146,'قيود اليومية'!$N$11:$N$1010,0)))</f>
        <v/>
      </c>
      <c r="I146" s="85" t="str">
        <f aca="false">IF($A146="","",INDEX('قيود اليومية'!$H$11:$H$1010,MATCH($A146,'قيود اليومية'!$N$11:$N$1010,0)))</f>
        <v/>
      </c>
    </row>
    <row r="147" customFormat="false" ht="15" hidden="false" customHeight="false" outlineLevel="0" collapsed="false">
      <c r="A147" s="82" t="str">
        <f aca="false">IF(ROW()-16&gt;COUNT('قيود اليومية'!$N$11:$N$1010),"",ROW()-16)</f>
        <v/>
      </c>
      <c r="B147" s="83" t="str">
        <f aca="false">IF($A147="","",INDEX('قيود اليومية'!$B$11:$B$1010,MATCH($A147,'قيود اليومية'!$N$11:$N$1010,0)))</f>
        <v/>
      </c>
      <c r="C147" s="84" t="str">
        <f aca="false">IF($A147="","",INDEX('قيود اليومية'!$A$11:$A$1010,MATCH($A147,'قيود اليومية'!$N$11:$N$1010,0)))</f>
        <v/>
      </c>
      <c r="D147" s="84" t="str">
        <f aca="false">IF($A147="","",INDEX('قيود اليومية'!$C$11:$C$1010,MATCH($A147,'قيود اليومية'!$N$11:$N$1010,0)))</f>
        <v/>
      </c>
      <c r="E147" s="51" t="str">
        <f aca="false">IF($A147="","",INDEX('قيود اليومية'!$D$11:$D$1010,MATCH($A147,'قيود اليومية'!$N$11:$N$1010,0))&amp;"")</f>
        <v/>
      </c>
      <c r="F147" s="51" t="str">
        <f aca="false">IF($A147="","",INDEX('قيود اليومية'!$K$11:$K$1010,MATCH($A147,'قيود اليومية'!$N$11:$N$1010,0))&amp;"")</f>
        <v/>
      </c>
      <c r="G147" s="51" t="str">
        <f aca="false">IF($A147="","",INDEX('قيود اليومية'!$F$11:$F$1010,MATCH($A147,'قيود اليومية'!$N$11:$N$1010,0))&amp;"")</f>
        <v/>
      </c>
      <c r="H147" s="85" t="str">
        <f aca="false">IF($A147="","",INDEX('قيود اليومية'!$G$11:$G$1010,MATCH($A147,'قيود اليومية'!$N$11:$N$1010,0)))</f>
        <v/>
      </c>
      <c r="I147" s="85" t="str">
        <f aca="false">IF($A147="","",INDEX('قيود اليومية'!$H$11:$H$1010,MATCH($A147,'قيود اليومية'!$N$11:$N$1010,0)))</f>
        <v/>
      </c>
    </row>
    <row r="148" customFormat="false" ht="15" hidden="false" customHeight="false" outlineLevel="0" collapsed="false">
      <c r="A148" s="82" t="str">
        <f aca="false">IF(ROW()-16&gt;COUNT('قيود اليومية'!$N$11:$N$1010),"",ROW()-16)</f>
        <v/>
      </c>
      <c r="B148" s="83" t="str">
        <f aca="false">IF($A148="","",INDEX('قيود اليومية'!$B$11:$B$1010,MATCH($A148,'قيود اليومية'!$N$11:$N$1010,0)))</f>
        <v/>
      </c>
      <c r="C148" s="84" t="str">
        <f aca="false">IF($A148="","",INDEX('قيود اليومية'!$A$11:$A$1010,MATCH($A148,'قيود اليومية'!$N$11:$N$1010,0)))</f>
        <v/>
      </c>
      <c r="D148" s="84" t="str">
        <f aca="false">IF($A148="","",INDEX('قيود اليومية'!$C$11:$C$1010,MATCH($A148,'قيود اليومية'!$N$11:$N$1010,0)))</f>
        <v/>
      </c>
      <c r="E148" s="51" t="str">
        <f aca="false">IF($A148="","",INDEX('قيود اليومية'!$D$11:$D$1010,MATCH($A148,'قيود اليومية'!$N$11:$N$1010,0))&amp;"")</f>
        <v/>
      </c>
      <c r="F148" s="51" t="str">
        <f aca="false">IF($A148="","",INDEX('قيود اليومية'!$K$11:$K$1010,MATCH($A148,'قيود اليومية'!$N$11:$N$1010,0))&amp;"")</f>
        <v/>
      </c>
      <c r="G148" s="51" t="str">
        <f aca="false">IF($A148="","",INDEX('قيود اليومية'!$F$11:$F$1010,MATCH($A148,'قيود اليومية'!$N$11:$N$1010,0))&amp;"")</f>
        <v/>
      </c>
      <c r="H148" s="85" t="str">
        <f aca="false">IF($A148="","",INDEX('قيود اليومية'!$G$11:$G$1010,MATCH($A148,'قيود اليومية'!$N$11:$N$1010,0)))</f>
        <v/>
      </c>
      <c r="I148" s="85" t="str">
        <f aca="false">IF($A148="","",INDEX('قيود اليومية'!$H$11:$H$1010,MATCH($A148,'قيود اليومية'!$N$11:$N$1010,0)))</f>
        <v/>
      </c>
    </row>
    <row r="149" customFormat="false" ht="15" hidden="false" customHeight="false" outlineLevel="0" collapsed="false">
      <c r="A149" s="82" t="str">
        <f aca="false">IF(ROW()-16&gt;COUNT('قيود اليومية'!$N$11:$N$1010),"",ROW()-16)</f>
        <v/>
      </c>
      <c r="B149" s="83" t="str">
        <f aca="false">IF($A149="","",INDEX('قيود اليومية'!$B$11:$B$1010,MATCH($A149,'قيود اليومية'!$N$11:$N$1010,0)))</f>
        <v/>
      </c>
      <c r="C149" s="84" t="str">
        <f aca="false">IF($A149="","",INDEX('قيود اليومية'!$A$11:$A$1010,MATCH($A149,'قيود اليومية'!$N$11:$N$1010,0)))</f>
        <v/>
      </c>
      <c r="D149" s="84" t="str">
        <f aca="false">IF($A149="","",INDEX('قيود اليومية'!$C$11:$C$1010,MATCH($A149,'قيود اليومية'!$N$11:$N$1010,0)))</f>
        <v/>
      </c>
      <c r="E149" s="51" t="str">
        <f aca="false">IF($A149="","",INDEX('قيود اليومية'!$D$11:$D$1010,MATCH($A149,'قيود اليومية'!$N$11:$N$1010,0))&amp;"")</f>
        <v/>
      </c>
      <c r="F149" s="51" t="str">
        <f aca="false">IF($A149="","",INDEX('قيود اليومية'!$K$11:$K$1010,MATCH($A149,'قيود اليومية'!$N$11:$N$1010,0))&amp;"")</f>
        <v/>
      </c>
      <c r="G149" s="51" t="str">
        <f aca="false">IF($A149="","",INDEX('قيود اليومية'!$F$11:$F$1010,MATCH($A149,'قيود اليومية'!$N$11:$N$1010,0))&amp;"")</f>
        <v/>
      </c>
      <c r="H149" s="85" t="str">
        <f aca="false">IF($A149="","",INDEX('قيود اليومية'!$G$11:$G$1010,MATCH($A149,'قيود اليومية'!$N$11:$N$1010,0)))</f>
        <v/>
      </c>
      <c r="I149" s="85" t="str">
        <f aca="false">IF($A149="","",INDEX('قيود اليومية'!$H$11:$H$1010,MATCH($A149,'قيود اليومية'!$N$11:$N$1010,0)))</f>
        <v/>
      </c>
    </row>
    <row r="150" customFormat="false" ht="15" hidden="false" customHeight="false" outlineLevel="0" collapsed="false">
      <c r="A150" s="82" t="str">
        <f aca="false">IF(ROW()-16&gt;COUNT('قيود اليومية'!$N$11:$N$1010),"",ROW()-16)</f>
        <v/>
      </c>
      <c r="B150" s="83" t="str">
        <f aca="false">IF($A150="","",INDEX('قيود اليومية'!$B$11:$B$1010,MATCH($A150,'قيود اليومية'!$N$11:$N$1010,0)))</f>
        <v/>
      </c>
      <c r="C150" s="84" t="str">
        <f aca="false">IF($A150="","",INDEX('قيود اليومية'!$A$11:$A$1010,MATCH($A150,'قيود اليومية'!$N$11:$N$1010,0)))</f>
        <v/>
      </c>
      <c r="D150" s="84" t="str">
        <f aca="false">IF($A150="","",INDEX('قيود اليومية'!$C$11:$C$1010,MATCH($A150,'قيود اليومية'!$N$11:$N$1010,0)))</f>
        <v/>
      </c>
      <c r="E150" s="51" t="str">
        <f aca="false">IF($A150="","",INDEX('قيود اليومية'!$D$11:$D$1010,MATCH($A150,'قيود اليومية'!$N$11:$N$1010,0))&amp;"")</f>
        <v/>
      </c>
      <c r="F150" s="51" t="str">
        <f aca="false">IF($A150="","",INDEX('قيود اليومية'!$K$11:$K$1010,MATCH($A150,'قيود اليومية'!$N$11:$N$1010,0))&amp;"")</f>
        <v/>
      </c>
      <c r="G150" s="51" t="str">
        <f aca="false">IF($A150="","",INDEX('قيود اليومية'!$F$11:$F$1010,MATCH($A150,'قيود اليومية'!$N$11:$N$1010,0))&amp;"")</f>
        <v/>
      </c>
      <c r="H150" s="85" t="str">
        <f aca="false">IF($A150="","",INDEX('قيود اليومية'!$G$11:$G$1010,MATCH($A150,'قيود اليومية'!$N$11:$N$1010,0)))</f>
        <v/>
      </c>
      <c r="I150" s="85" t="str">
        <f aca="false">IF($A150="","",INDEX('قيود اليومية'!$H$11:$H$1010,MATCH($A150,'قيود اليومية'!$N$11:$N$1010,0)))</f>
        <v/>
      </c>
    </row>
    <row r="151" customFormat="false" ht="15" hidden="false" customHeight="false" outlineLevel="0" collapsed="false">
      <c r="A151" s="82" t="str">
        <f aca="false">IF(ROW()-16&gt;COUNT('قيود اليومية'!$N$11:$N$1010),"",ROW()-16)</f>
        <v/>
      </c>
      <c r="B151" s="83" t="str">
        <f aca="false">IF($A151="","",INDEX('قيود اليومية'!$B$11:$B$1010,MATCH($A151,'قيود اليومية'!$N$11:$N$1010,0)))</f>
        <v/>
      </c>
      <c r="C151" s="84" t="str">
        <f aca="false">IF($A151="","",INDEX('قيود اليومية'!$A$11:$A$1010,MATCH($A151,'قيود اليومية'!$N$11:$N$1010,0)))</f>
        <v/>
      </c>
      <c r="D151" s="84" t="str">
        <f aca="false">IF($A151="","",INDEX('قيود اليومية'!$C$11:$C$1010,MATCH($A151,'قيود اليومية'!$N$11:$N$1010,0)))</f>
        <v/>
      </c>
      <c r="E151" s="51" t="str">
        <f aca="false">IF($A151="","",INDEX('قيود اليومية'!$D$11:$D$1010,MATCH($A151,'قيود اليومية'!$N$11:$N$1010,0))&amp;"")</f>
        <v/>
      </c>
      <c r="F151" s="51" t="str">
        <f aca="false">IF($A151="","",INDEX('قيود اليومية'!$K$11:$K$1010,MATCH($A151,'قيود اليومية'!$N$11:$N$1010,0))&amp;"")</f>
        <v/>
      </c>
      <c r="G151" s="51" t="str">
        <f aca="false">IF($A151="","",INDEX('قيود اليومية'!$F$11:$F$1010,MATCH($A151,'قيود اليومية'!$N$11:$N$1010,0))&amp;"")</f>
        <v/>
      </c>
      <c r="H151" s="85" t="str">
        <f aca="false">IF($A151="","",INDEX('قيود اليومية'!$G$11:$G$1010,MATCH($A151,'قيود اليومية'!$N$11:$N$1010,0)))</f>
        <v/>
      </c>
      <c r="I151" s="85" t="str">
        <f aca="false">IF($A151="","",INDEX('قيود اليومية'!$H$11:$H$1010,MATCH($A151,'قيود اليومية'!$N$11:$N$1010,0)))</f>
        <v/>
      </c>
    </row>
    <row r="152" customFormat="false" ht="15" hidden="false" customHeight="false" outlineLevel="0" collapsed="false">
      <c r="A152" s="82" t="str">
        <f aca="false">IF(ROW()-16&gt;COUNT('قيود اليومية'!$N$11:$N$1010),"",ROW()-16)</f>
        <v/>
      </c>
      <c r="B152" s="83" t="str">
        <f aca="false">IF($A152="","",INDEX('قيود اليومية'!$B$11:$B$1010,MATCH($A152,'قيود اليومية'!$N$11:$N$1010,0)))</f>
        <v/>
      </c>
      <c r="C152" s="84" t="str">
        <f aca="false">IF($A152="","",INDEX('قيود اليومية'!$A$11:$A$1010,MATCH($A152,'قيود اليومية'!$N$11:$N$1010,0)))</f>
        <v/>
      </c>
      <c r="D152" s="84" t="str">
        <f aca="false">IF($A152="","",INDEX('قيود اليومية'!$C$11:$C$1010,MATCH($A152,'قيود اليومية'!$N$11:$N$1010,0)))</f>
        <v/>
      </c>
      <c r="E152" s="51" t="str">
        <f aca="false">IF($A152="","",INDEX('قيود اليومية'!$D$11:$D$1010,MATCH($A152,'قيود اليومية'!$N$11:$N$1010,0))&amp;"")</f>
        <v/>
      </c>
      <c r="F152" s="51" t="str">
        <f aca="false">IF($A152="","",INDEX('قيود اليومية'!$K$11:$K$1010,MATCH($A152,'قيود اليومية'!$N$11:$N$1010,0))&amp;"")</f>
        <v/>
      </c>
      <c r="G152" s="51" t="str">
        <f aca="false">IF($A152="","",INDEX('قيود اليومية'!$F$11:$F$1010,MATCH($A152,'قيود اليومية'!$N$11:$N$1010,0))&amp;"")</f>
        <v/>
      </c>
      <c r="H152" s="85" t="str">
        <f aca="false">IF($A152="","",INDEX('قيود اليومية'!$G$11:$G$1010,MATCH($A152,'قيود اليومية'!$N$11:$N$1010,0)))</f>
        <v/>
      </c>
      <c r="I152" s="85" t="str">
        <f aca="false">IF($A152="","",INDEX('قيود اليومية'!$H$11:$H$1010,MATCH($A152,'قيود اليومية'!$N$11:$N$1010,0)))</f>
        <v/>
      </c>
    </row>
    <row r="153" customFormat="false" ht="15" hidden="false" customHeight="false" outlineLevel="0" collapsed="false">
      <c r="A153" s="82" t="str">
        <f aca="false">IF(ROW()-16&gt;COUNT('قيود اليومية'!$N$11:$N$1010),"",ROW()-16)</f>
        <v/>
      </c>
      <c r="B153" s="83" t="str">
        <f aca="false">IF($A153="","",INDEX('قيود اليومية'!$B$11:$B$1010,MATCH($A153,'قيود اليومية'!$N$11:$N$1010,0)))</f>
        <v/>
      </c>
      <c r="C153" s="84" t="str">
        <f aca="false">IF($A153="","",INDEX('قيود اليومية'!$A$11:$A$1010,MATCH($A153,'قيود اليومية'!$N$11:$N$1010,0)))</f>
        <v/>
      </c>
      <c r="D153" s="84" t="str">
        <f aca="false">IF($A153="","",INDEX('قيود اليومية'!$C$11:$C$1010,MATCH($A153,'قيود اليومية'!$N$11:$N$1010,0)))</f>
        <v/>
      </c>
      <c r="E153" s="51" t="str">
        <f aca="false">IF($A153="","",INDEX('قيود اليومية'!$D$11:$D$1010,MATCH($A153,'قيود اليومية'!$N$11:$N$1010,0))&amp;"")</f>
        <v/>
      </c>
      <c r="F153" s="51" t="str">
        <f aca="false">IF($A153="","",INDEX('قيود اليومية'!$K$11:$K$1010,MATCH($A153,'قيود اليومية'!$N$11:$N$1010,0))&amp;"")</f>
        <v/>
      </c>
      <c r="G153" s="51" t="str">
        <f aca="false">IF($A153="","",INDEX('قيود اليومية'!$F$11:$F$1010,MATCH($A153,'قيود اليومية'!$N$11:$N$1010,0))&amp;"")</f>
        <v/>
      </c>
      <c r="H153" s="85" t="str">
        <f aca="false">IF($A153="","",INDEX('قيود اليومية'!$G$11:$G$1010,MATCH($A153,'قيود اليومية'!$N$11:$N$1010,0)))</f>
        <v/>
      </c>
      <c r="I153" s="85" t="str">
        <f aca="false">IF($A153="","",INDEX('قيود اليومية'!$H$11:$H$1010,MATCH($A153,'قيود اليومية'!$N$11:$N$1010,0)))</f>
        <v/>
      </c>
    </row>
    <row r="154" customFormat="false" ht="15" hidden="false" customHeight="false" outlineLevel="0" collapsed="false">
      <c r="A154" s="82" t="str">
        <f aca="false">IF(ROW()-16&gt;COUNT('قيود اليومية'!$N$11:$N$1010),"",ROW()-16)</f>
        <v/>
      </c>
      <c r="B154" s="83" t="str">
        <f aca="false">IF($A154="","",INDEX('قيود اليومية'!$B$11:$B$1010,MATCH($A154,'قيود اليومية'!$N$11:$N$1010,0)))</f>
        <v/>
      </c>
      <c r="C154" s="84" t="str">
        <f aca="false">IF($A154="","",INDEX('قيود اليومية'!$A$11:$A$1010,MATCH($A154,'قيود اليومية'!$N$11:$N$1010,0)))</f>
        <v/>
      </c>
      <c r="D154" s="84" t="str">
        <f aca="false">IF($A154="","",INDEX('قيود اليومية'!$C$11:$C$1010,MATCH($A154,'قيود اليومية'!$N$11:$N$1010,0)))</f>
        <v/>
      </c>
      <c r="E154" s="51" t="str">
        <f aca="false">IF($A154="","",INDEX('قيود اليومية'!$D$11:$D$1010,MATCH($A154,'قيود اليومية'!$N$11:$N$1010,0))&amp;"")</f>
        <v/>
      </c>
      <c r="F154" s="51" t="str">
        <f aca="false">IF($A154="","",INDEX('قيود اليومية'!$K$11:$K$1010,MATCH($A154,'قيود اليومية'!$N$11:$N$1010,0))&amp;"")</f>
        <v/>
      </c>
      <c r="G154" s="51" t="str">
        <f aca="false">IF($A154="","",INDEX('قيود اليومية'!$F$11:$F$1010,MATCH($A154,'قيود اليومية'!$N$11:$N$1010,0))&amp;"")</f>
        <v/>
      </c>
      <c r="H154" s="85" t="str">
        <f aca="false">IF($A154="","",INDEX('قيود اليومية'!$G$11:$G$1010,MATCH($A154,'قيود اليومية'!$N$11:$N$1010,0)))</f>
        <v/>
      </c>
      <c r="I154" s="85" t="str">
        <f aca="false">IF($A154="","",INDEX('قيود اليومية'!$H$11:$H$1010,MATCH($A154,'قيود اليومية'!$N$11:$N$1010,0)))</f>
        <v/>
      </c>
    </row>
    <row r="155" customFormat="false" ht="15" hidden="false" customHeight="false" outlineLevel="0" collapsed="false">
      <c r="A155" s="82" t="str">
        <f aca="false">IF(ROW()-16&gt;COUNT('قيود اليومية'!$N$11:$N$1010),"",ROW()-16)</f>
        <v/>
      </c>
      <c r="B155" s="83" t="str">
        <f aca="false">IF($A155="","",INDEX('قيود اليومية'!$B$11:$B$1010,MATCH($A155,'قيود اليومية'!$N$11:$N$1010,0)))</f>
        <v/>
      </c>
      <c r="C155" s="84" t="str">
        <f aca="false">IF($A155="","",INDEX('قيود اليومية'!$A$11:$A$1010,MATCH($A155,'قيود اليومية'!$N$11:$N$1010,0)))</f>
        <v/>
      </c>
      <c r="D155" s="84" t="str">
        <f aca="false">IF($A155="","",INDEX('قيود اليومية'!$C$11:$C$1010,MATCH($A155,'قيود اليومية'!$N$11:$N$1010,0)))</f>
        <v/>
      </c>
      <c r="E155" s="51" t="str">
        <f aca="false">IF($A155="","",INDEX('قيود اليومية'!$D$11:$D$1010,MATCH($A155,'قيود اليومية'!$N$11:$N$1010,0))&amp;"")</f>
        <v/>
      </c>
      <c r="F155" s="51" t="str">
        <f aca="false">IF($A155="","",INDEX('قيود اليومية'!$K$11:$K$1010,MATCH($A155,'قيود اليومية'!$N$11:$N$1010,0))&amp;"")</f>
        <v/>
      </c>
      <c r="G155" s="51" t="str">
        <f aca="false">IF($A155="","",INDEX('قيود اليومية'!$F$11:$F$1010,MATCH($A155,'قيود اليومية'!$N$11:$N$1010,0))&amp;"")</f>
        <v/>
      </c>
      <c r="H155" s="85" t="str">
        <f aca="false">IF($A155="","",INDEX('قيود اليومية'!$G$11:$G$1010,MATCH($A155,'قيود اليومية'!$N$11:$N$1010,0)))</f>
        <v/>
      </c>
      <c r="I155" s="85" t="str">
        <f aca="false">IF($A155="","",INDEX('قيود اليومية'!$H$11:$H$1010,MATCH($A155,'قيود اليومية'!$N$11:$N$1010,0)))</f>
        <v/>
      </c>
    </row>
    <row r="156" customFormat="false" ht="15" hidden="false" customHeight="false" outlineLevel="0" collapsed="false">
      <c r="A156" s="82" t="str">
        <f aca="false">IF(ROW()-16&gt;COUNT('قيود اليومية'!$N$11:$N$1010),"",ROW()-16)</f>
        <v/>
      </c>
      <c r="B156" s="83" t="str">
        <f aca="false">IF($A156="","",INDEX('قيود اليومية'!$B$11:$B$1010,MATCH($A156,'قيود اليومية'!$N$11:$N$1010,0)))</f>
        <v/>
      </c>
      <c r="C156" s="84" t="str">
        <f aca="false">IF($A156="","",INDEX('قيود اليومية'!$A$11:$A$1010,MATCH($A156,'قيود اليومية'!$N$11:$N$1010,0)))</f>
        <v/>
      </c>
      <c r="D156" s="84" t="str">
        <f aca="false">IF($A156="","",INDEX('قيود اليومية'!$C$11:$C$1010,MATCH($A156,'قيود اليومية'!$N$11:$N$1010,0)))</f>
        <v/>
      </c>
      <c r="E156" s="51" t="str">
        <f aca="false">IF($A156="","",INDEX('قيود اليومية'!$D$11:$D$1010,MATCH($A156,'قيود اليومية'!$N$11:$N$1010,0))&amp;"")</f>
        <v/>
      </c>
      <c r="F156" s="51" t="str">
        <f aca="false">IF($A156="","",INDEX('قيود اليومية'!$K$11:$K$1010,MATCH($A156,'قيود اليومية'!$N$11:$N$1010,0))&amp;"")</f>
        <v/>
      </c>
      <c r="G156" s="51" t="str">
        <f aca="false">IF($A156="","",INDEX('قيود اليومية'!$F$11:$F$1010,MATCH($A156,'قيود اليومية'!$N$11:$N$1010,0))&amp;"")</f>
        <v/>
      </c>
      <c r="H156" s="85" t="str">
        <f aca="false">IF($A156="","",INDEX('قيود اليومية'!$G$11:$G$1010,MATCH($A156,'قيود اليومية'!$N$11:$N$1010,0)))</f>
        <v/>
      </c>
      <c r="I156" s="85" t="str">
        <f aca="false">IF($A156="","",INDEX('قيود اليومية'!$H$11:$H$1010,MATCH($A156,'قيود اليومية'!$N$11:$N$1010,0)))</f>
        <v/>
      </c>
    </row>
    <row r="157" customFormat="false" ht="15" hidden="false" customHeight="false" outlineLevel="0" collapsed="false">
      <c r="A157" s="82" t="str">
        <f aca="false">IF(ROW()-16&gt;COUNT('قيود اليومية'!$N$11:$N$1010),"",ROW()-16)</f>
        <v/>
      </c>
      <c r="B157" s="83" t="str">
        <f aca="false">IF($A157="","",INDEX('قيود اليومية'!$B$11:$B$1010,MATCH($A157,'قيود اليومية'!$N$11:$N$1010,0)))</f>
        <v/>
      </c>
      <c r="C157" s="84" t="str">
        <f aca="false">IF($A157="","",INDEX('قيود اليومية'!$A$11:$A$1010,MATCH($A157,'قيود اليومية'!$N$11:$N$1010,0)))</f>
        <v/>
      </c>
      <c r="D157" s="84" t="str">
        <f aca="false">IF($A157="","",INDEX('قيود اليومية'!$C$11:$C$1010,MATCH($A157,'قيود اليومية'!$N$11:$N$1010,0)))</f>
        <v/>
      </c>
      <c r="E157" s="51" t="str">
        <f aca="false">IF($A157="","",INDEX('قيود اليومية'!$D$11:$D$1010,MATCH($A157,'قيود اليومية'!$N$11:$N$1010,0))&amp;"")</f>
        <v/>
      </c>
      <c r="F157" s="51" t="str">
        <f aca="false">IF($A157="","",INDEX('قيود اليومية'!$K$11:$K$1010,MATCH($A157,'قيود اليومية'!$N$11:$N$1010,0))&amp;"")</f>
        <v/>
      </c>
      <c r="G157" s="51" t="str">
        <f aca="false">IF($A157="","",INDEX('قيود اليومية'!$F$11:$F$1010,MATCH($A157,'قيود اليومية'!$N$11:$N$1010,0))&amp;"")</f>
        <v/>
      </c>
      <c r="H157" s="85" t="str">
        <f aca="false">IF($A157="","",INDEX('قيود اليومية'!$G$11:$G$1010,MATCH($A157,'قيود اليومية'!$N$11:$N$1010,0)))</f>
        <v/>
      </c>
      <c r="I157" s="85" t="str">
        <f aca="false">IF($A157="","",INDEX('قيود اليومية'!$H$11:$H$1010,MATCH($A157,'قيود اليومية'!$N$11:$N$1010,0)))</f>
        <v/>
      </c>
    </row>
    <row r="158" customFormat="false" ht="15" hidden="false" customHeight="false" outlineLevel="0" collapsed="false">
      <c r="A158" s="82" t="str">
        <f aca="false">IF(ROW()-16&gt;COUNT('قيود اليومية'!$N$11:$N$1010),"",ROW()-16)</f>
        <v/>
      </c>
      <c r="B158" s="83" t="str">
        <f aca="false">IF($A158="","",INDEX('قيود اليومية'!$B$11:$B$1010,MATCH($A158,'قيود اليومية'!$N$11:$N$1010,0)))</f>
        <v/>
      </c>
      <c r="C158" s="84" t="str">
        <f aca="false">IF($A158="","",INDEX('قيود اليومية'!$A$11:$A$1010,MATCH($A158,'قيود اليومية'!$N$11:$N$1010,0)))</f>
        <v/>
      </c>
      <c r="D158" s="84" t="str">
        <f aca="false">IF($A158="","",INDEX('قيود اليومية'!$C$11:$C$1010,MATCH($A158,'قيود اليومية'!$N$11:$N$1010,0)))</f>
        <v/>
      </c>
      <c r="E158" s="51" t="str">
        <f aca="false">IF($A158="","",INDEX('قيود اليومية'!$D$11:$D$1010,MATCH($A158,'قيود اليومية'!$N$11:$N$1010,0))&amp;"")</f>
        <v/>
      </c>
      <c r="F158" s="51" t="str">
        <f aca="false">IF($A158="","",INDEX('قيود اليومية'!$K$11:$K$1010,MATCH($A158,'قيود اليومية'!$N$11:$N$1010,0))&amp;"")</f>
        <v/>
      </c>
      <c r="G158" s="51" t="str">
        <f aca="false">IF($A158="","",INDEX('قيود اليومية'!$F$11:$F$1010,MATCH($A158,'قيود اليومية'!$N$11:$N$1010,0))&amp;"")</f>
        <v/>
      </c>
      <c r="H158" s="85" t="str">
        <f aca="false">IF($A158="","",INDEX('قيود اليومية'!$G$11:$G$1010,MATCH($A158,'قيود اليومية'!$N$11:$N$1010,0)))</f>
        <v/>
      </c>
      <c r="I158" s="85" t="str">
        <f aca="false">IF($A158="","",INDEX('قيود اليومية'!$H$11:$H$1010,MATCH($A158,'قيود اليومية'!$N$11:$N$1010,0)))</f>
        <v/>
      </c>
    </row>
    <row r="159" customFormat="false" ht="15" hidden="false" customHeight="false" outlineLevel="0" collapsed="false">
      <c r="A159" s="82" t="str">
        <f aca="false">IF(ROW()-16&gt;COUNT('قيود اليومية'!$N$11:$N$1010),"",ROW()-16)</f>
        <v/>
      </c>
      <c r="B159" s="83" t="str">
        <f aca="false">IF($A159="","",INDEX('قيود اليومية'!$B$11:$B$1010,MATCH($A159,'قيود اليومية'!$N$11:$N$1010,0)))</f>
        <v/>
      </c>
      <c r="C159" s="84" t="str">
        <f aca="false">IF($A159="","",INDEX('قيود اليومية'!$A$11:$A$1010,MATCH($A159,'قيود اليومية'!$N$11:$N$1010,0)))</f>
        <v/>
      </c>
      <c r="D159" s="84" t="str">
        <f aca="false">IF($A159="","",INDEX('قيود اليومية'!$C$11:$C$1010,MATCH($A159,'قيود اليومية'!$N$11:$N$1010,0)))</f>
        <v/>
      </c>
      <c r="E159" s="51" t="str">
        <f aca="false">IF($A159="","",INDEX('قيود اليومية'!$D$11:$D$1010,MATCH($A159,'قيود اليومية'!$N$11:$N$1010,0))&amp;"")</f>
        <v/>
      </c>
      <c r="F159" s="51" t="str">
        <f aca="false">IF($A159="","",INDEX('قيود اليومية'!$K$11:$K$1010,MATCH($A159,'قيود اليومية'!$N$11:$N$1010,0))&amp;"")</f>
        <v/>
      </c>
      <c r="G159" s="51" t="str">
        <f aca="false">IF($A159="","",INDEX('قيود اليومية'!$F$11:$F$1010,MATCH($A159,'قيود اليومية'!$N$11:$N$1010,0))&amp;"")</f>
        <v/>
      </c>
      <c r="H159" s="85" t="str">
        <f aca="false">IF($A159="","",INDEX('قيود اليومية'!$G$11:$G$1010,MATCH($A159,'قيود اليومية'!$N$11:$N$1010,0)))</f>
        <v/>
      </c>
      <c r="I159" s="85" t="str">
        <f aca="false">IF($A159="","",INDEX('قيود اليومية'!$H$11:$H$1010,MATCH($A159,'قيود اليومية'!$N$11:$N$1010,0)))</f>
        <v/>
      </c>
    </row>
    <row r="160" customFormat="false" ht="15" hidden="false" customHeight="false" outlineLevel="0" collapsed="false">
      <c r="A160" s="82" t="str">
        <f aca="false">IF(ROW()-16&gt;COUNT('قيود اليومية'!$N$11:$N$1010),"",ROW()-16)</f>
        <v/>
      </c>
      <c r="B160" s="83" t="str">
        <f aca="false">IF($A160="","",INDEX('قيود اليومية'!$B$11:$B$1010,MATCH($A160,'قيود اليومية'!$N$11:$N$1010,0)))</f>
        <v/>
      </c>
      <c r="C160" s="84" t="str">
        <f aca="false">IF($A160="","",INDEX('قيود اليومية'!$A$11:$A$1010,MATCH($A160,'قيود اليومية'!$N$11:$N$1010,0)))</f>
        <v/>
      </c>
      <c r="D160" s="84" t="str">
        <f aca="false">IF($A160="","",INDEX('قيود اليومية'!$C$11:$C$1010,MATCH($A160,'قيود اليومية'!$N$11:$N$1010,0)))</f>
        <v/>
      </c>
      <c r="E160" s="51" t="str">
        <f aca="false">IF($A160="","",INDEX('قيود اليومية'!$D$11:$D$1010,MATCH($A160,'قيود اليومية'!$N$11:$N$1010,0))&amp;"")</f>
        <v/>
      </c>
      <c r="F160" s="51" t="str">
        <f aca="false">IF($A160="","",INDEX('قيود اليومية'!$K$11:$K$1010,MATCH($A160,'قيود اليومية'!$N$11:$N$1010,0))&amp;"")</f>
        <v/>
      </c>
      <c r="G160" s="51" t="str">
        <f aca="false">IF($A160="","",INDEX('قيود اليومية'!$F$11:$F$1010,MATCH($A160,'قيود اليومية'!$N$11:$N$1010,0))&amp;"")</f>
        <v/>
      </c>
      <c r="H160" s="85" t="str">
        <f aca="false">IF($A160="","",INDEX('قيود اليومية'!$G$11:$G$1010,MATCH($A160,'قيود اليومية'!$N$11:$N$1010,0)))</f>
        <v/>
      </c>
      <c r="I160" s="85" t="str">
        <f aca="false">IF($A160="","",INDEX('قيود اليومية'!$H$11:$H$1010,MATCH($A160,'قيود اليومية'!$N$11:$N$1010,0)))</f>
        <v/>
      </c>
    </row>
    <row r="161" customFormat="false" ht="15" hidden="false" customHeight="false" outlineLevel="0" collapsed="false">
      <c r="A161" s="82" t="str">
        <f aca="false">IF(ROW()-16&gt;COUNT('قيود اليومية'!$N$11:$N$1010),"",ROW()-16)</f>
        <v/>
      </c>
      <c r="B161" s="83" t="str">
        <f aca="false">IF($A161="","",INDEX('قيود اليومية'!$B$11:$B$1010,MATCH($A161,'قيود اليومية'!$N$11:$N$1010,0)))</f>
        <v/>
      </c>
      <c r="C161" s="84" t="str">
        <f aca="false">IF($A161="","",INDEX('قيود اليومية'!$A$11:$A$1010,MATCH($A161,'قيود اليومية'!$N$11:$N$1010,0)))</f>
        <v/>
      </c>
      <c r="D161" s="84" t="str">
        <f aca="false">IF($A161="","",INDEX('قيود اليومية'!$C$11:$C$1010,MATCH($A161,'قيود اليومية'!$N$11:$N$1010,0)))</f>
        <v/>
      </c>
      <c r="E161" s="51" t="str">
        <f aca="false">IF($A161="","",INDEX('قيود اليومية'!$D$11:$D$1010,MATCH($A161,'قيود اليومية'!$N$11:$N$1010,0))&amp;"")</f>
        <v/>
      </c>
      <c r="F161" s="51" t="str">
        <f aca="false">IF($A161="","",INDEX('قيود اليومية'!$K$11:$K$1010,MATCH($A161,'قيود اليومية'!$N$11:$N$1010,0))&amp;"")</f>
        <v/>
      </c>
      <c r="G161" s="51" t="str">
        <f aca="false">IF($A161="","",INDEX('قيود اليومية'!$F$11:$F$1010,MATCH($A161,'قيود اليومية'!$N$11:$N$1010,0))&amp;"")</f>
        <v/>
      </c>
      <c r="H161" s="85" t="str">
        <f aca="false">IF($A161="","",INDEX('قيود اليومية'!$G$11:$G$1010,MATCH($A161,'قيود اليومية'!$N$11:$N$1010,0)))</f>
        <v/>
      </c>
      <c r="I161" s="85" t="str">
        <f aca="false">IF($A161="","",INDEX('قيود اليومية'!$H$11:$H$1010,MATCH($A161,'قيود اليومية'!$N$11:$N$1010,0)))</f>
        <v/>
      </c>
    </row>
    <row r="162" customFormat="false" ht="15" hidden="false" customHeight="false" outlineLevel="0" collapsed="false">
      <c r="A162" s="82" t="str">
        <f aca="false">IF(ROW()-16&gt;COUNT('قيود اليومية'!$N$11:$N$1010),"",ROW()-16)</f>
        <v/>
      </c>
      <c r="B162" s="83" t="str">
        <f aca="false">IF($A162="","",INDEX('قيود اليومية'!$B$11:$B$1010,MATCH($A162,'قيود اليومية'!$N$11:$N$1010,0)))</f>
        <v/>
      </c>
      <c r="C162" s="84" t="str">
        <f aca="false">IF($A162="","",INDEX('قيود اليومية'!$A$11:$A$1010,MATCH($A162,'قيود اليومية'!$N$11:$N$1010,0)))</f>
        <v/>
      </c>
      <c r="D162" s="84" t="str">
        <f aca="false">IF($A162="","",INDEX('قيود اليومية'!$C$11:$C$1010,MATCH($A162,'قيود اليومية'!$N$11:$N$1010,0)))</f>
        <v/>
      </c>
      <c r="E162" s="51" t="str">
        <f aca="false">IF($A162="","",INDEX('قيود اليومية'!$D$11:$D$1010,MATCH($A162,'قيود اليومية'!$N$11:$N$1010,0))&amp;"")</f>
        <v/>
      </c>
      <c r="F162" s="51" t="str">
        <f aca="false">IF($A162="","",INDEX('قيود اليومية'!$K$11:$K$1010,MATCH($A162,'قيود اليومية'!$N$11:$N$1010,0))&amp;"")</f>
        <v/>
      </c>
      <c r="G162" s="51" t="str">
        <f aca="false">IF($A162="","",INDEX('قيود اليومية'!$F$11:$F$1010,MATCH($A162,'قيود اليومية'!$N$11:$N$1010,0))&amp;"")</f>
        <v/>
      </c>
      <c r="H162" s="85" t="str">
        <f aca="false">IF($A162="","",INDEX('قيود اليومية'!$G$11:$G$1010,MATCH($A162,'قيود اليومية'!$N$11:$N$1010,0)))</f>
        <v/>
      </c>
      <c r="I162" s="85" t="str">
        <f aca="false">IF($A162="","",INDEX('قيود اليومية'!$H$11:$H$1010,MATCH($A162,'قيود اليومية'!$N$11:$N$1010,0)))</f>
        <v/>
      </c>
    </row>
    <row r="163" customFormat="false" ht="15" hidden="false" customHeight="false" outlineLevel="0" collapsed="false">
      <c r="A163" s="82" t="str">
        <f aca="false">IF(ROW()-16&gt;COUNT('قيود اليومية'!$N$11:$N$1010),"",ROW()-16)</f>
        <v/>
      </c>
      <c r="B163" s="83" t="str">
        <f aca="false">IF($A163="","",INDEX('قيود اليومية'!$B$11:$B$1010,MATCH($A163,'قيود اليومية'!$N$11:$N$1010,0)))</f>
        <v/>
      </c>
      <c r="C163" s="84" t="str">
        <f aca="false">IF($A163="","",INDEX('قيود اليومية'!$A$11:$A$1010,MATCH($A163,'قيود اليومية'!$N$11:$N$1010,0)))</f>
        <v/>
      </c>
      <c r="D163" s="84" t="str">
        <f aca="false">IF($A163="","",INDEX('قيود اليومية'!$C$11:$C$1010,MATCH($A163,'قيود اليومية'!$N$11:$N$1010,0)))</f>
        <v/>
      </c>
      <c r="E163" s="51" t="str">
        <f aca="false">IF($A163="","",INDEX('قيود اليومية'!$D$11:$D$1010,MATCH($A163,'قيود اليومية'!$N$11:$N$1010,0))&amp;"")</f>
        <v/>
      </c>
      <c r="F163" s="51" t="str">
        <f aca="false">IF($A163="","",INDEX('قيود اليومية'!$K$11:$K$1010,MATCH($A163,'قيود اليومية'!$N$11:$N$1010,0))&amp;"")</f>
        <v/>
      </c>
      <c r="G163" s="51" t="str">
        <f aca="false">IF($A163="","",INDEX('قيود اليومية'!$F$11:$F$1010,MATCH($A163,'قيود اليومية'!$N$11:$N$1010,0))&amp;"")</f>
        <v/>
      </c>
      <c r="H163" s="85" t="str">
        <f aca="false">IF($A163="","",INDEX('قيود اليومية'!$G$11:$G$1010,MATCH($A163,'قيود اليومية'!$N$11:$N$1010,0)))</f>
        <v/>
      </c>
      <c r="I163" s="85" t="str">
        <f aca="false">IF($A163="","",INDEX('قيود اليومية'!$H$11:$H$1010,MATCH($A163,'قيود اليومية'!$N$11:$N$1010,0)))</f>
        <v/>
      </c>
    </row>
    <row r="164" customFormat="false" ht="15" hidden="false" customHeight="false" outlineLevel="0" collapsed="false">
      <c r="A164" s="82" t="str">
        <f aca="false">IF(ROW()-16&gt;COUNT('قيود اليومية'!$N$11:$N$1010),"",ROW()-16)</f>
        <v/>
      </c>
      <c r="B164" s="83" t="str">
        <f aca="false">IF($A164="","",INDEX('قيود اليومية'!$B$11:$B$1010,MATCH($A164,'قيود اليومية'!$N$11:$N$1010,0)))</f>
        <v/>
      </c>
      <c r="C164" s="84" t="str">
        <f aca="false">IF($A164="","",INDEX('قيود اليومية'!$A$11:$A$1010,MATCH($A164,'قيود اليومية'!$N$11:$N$1010,0)))</f>
        <v/>
      </c>
      <c r="D164" s="84" t="str">
        <f aca="false">IF($A164="","",INDEX('قيود اليومية'!$C$11:$C$1010,MATCH($A164,'قيود اليومية'!$N$11:$N$1010,0)))</f>
        <v/>
      </c>
      <c r="E164" s="51" t="str">
        <f aca="false">IF($A164="","",INDEX('قيود اليومية'!$D$11:$D$1010,MATCH($A164,'قيود اليومية'!$N$11:$N$1010,0))&amp;"")</f>
        <v/>
      </c>
      <c r="F164" s="51" t="str">
        <f aca="false">IF($A164="","",INDEX('قيود اليومية'!$K$11:$K$1010,MATCH($A164,'قيود اليومية'!$N$11:$N$1010,0))&amp;"")</f>
        <v/>
      </c>
      <c r="G164" s="51" t="str">
        <f aca="false">IF($A164="","",INDEX('قيود اليومية'!$F$11:$F$1010,MATCH($A164,'قيود اليومية'!$N$11:$N$1010,0))&amp;"")</f>
        <v/>
      </c>
      <c r="H164" s="85" t="str">
        <f aca="false">IF($A164="","",INDEX('قيود اليومية'!$G$11:$G$1010,MATCH($A164,'قيود اليومية'!$N$11:$N$1010,0)))</f>
        <v/>
      </c>
      <c r="I164" s="85" t="str">
        <f aca="false">IF($A164="","",INDEX('قيود اليومية'!$H$11:$H$1010,MATCH($A164,'قيود اليومية'!$N$11:$N$1010,0)))</f>
        <v/>
      </c>
    </row>
    <row r="165" customFormat="false" ht="15" hidden="false" customHeight="false" outlineLevel="0" collapsed="false">
      <c r="A165" s="82" t="str">
        <f aca="false">IF(ROW()-16&gt;COUNT('قيود اليومية'!$N$11:$N$1010),"",ROW()-16)</f>
        <v/>
      </c>
      <c r="B165" s="83" t="str">
        <f aca="false">IF($A165="","",INDEX('قيود اليومية'!$B$11:$B$1010,MATCH($A165,'قيود اليومية'!$N$11:$N$1010,0)))</f>
        <v/>
      </c>
      <c r="C165" s="84" t="str">
        <f aca="false">IF($A165="","",INDEX('قيود اليومية'!$A$11:$A$1010,MATCH($A165,'قيود اليومية'!$N$11:$N$1010,0)))</f>
        <v/>
      </c>
      <c r="D165" s="84" t="str">
        <f aca="false">IF($A165="","",INDEX('قيود اليومية'!$C$11:$C$1010,MATCH($A165,'قيود اليومية'!$N$11:$N$1010,0)))</f>
        <v/>
      </c>
      <c r="E165" s="51" t="str">
        <f aca="false">IF($A165="","",INDEX('قيود اليومية'!$D$11:$D$1010,MATCH($A165,'قيود اليومية'!$N$11:$N$1010,0))&amp;"")</f>
        <v/>
      </c>
      <c r="F165" s="51" t="str">
        <f aca="false">IF($A165="","",INDEX('قيود اليومية'!$K$11:$K$1010,MATCH($A165,'قيود اليومية'!$N$11:$N$1010,0))&amp;"")</f>
        <v/>
      </c>
      <c r="G165" s="51" t="str">
        <f aca="false">IF($A165="","",INDEX('قيود اليومية'!$F$11:$F$1010,MATCH($A165,'قيود اليومية'!$N$11:$N$1010,0))&amp;"")</f>
        <v/>
      </c>
      <c r="H165" s="85" t="str">
        <f aca="false">IF($A165="","",INDEX('قيود اليومية'!$G$11:$G$1010,MATCH($A165,'قيود اليومية'!$N$11:$N$1010,0)))</f>
        <v/>
      </c>
      <c r="I165" s="85" t="str">
        <f aca="false">IF($A165="","",INDEX('قيود اليومية'!$H$11:$H$1010,MATCH($A165,'قيود اليومية'!$N$11:$N$1010,0)))</f>
        <v/>
      </c>
    </row>
    <row r="166" customFormat="false" ht="15" hidden="false" customHeight="false" outlineLevel="0" collapsed="false">
      <c r="A166" s="82" t="str">
        <f aca="false">IF(ROW()-16&gt;COUNT('قيود اليومية'!$N$11:$N$1010),"",ROW()-16)</f>
        <v/>
      </c>
      <c r="B166" s="83" t="str">
        <f aca="false">IF($A166="","",INDEX('قيود اليومية'!$B$11:$B$1010,MATCH($A166,'قيود اليومية'!$N$11:$N$1010,0)))</f>
        <v/>
      </c>
      <c r="C166" s="84" t="str">
        <f aca="false">IF($A166="","",INDEX('قيود اليومية'!$A$11:$A$1010,MATCH($A166,'قيود اليومية'!$N$11:$N$1010,0)))</f>
        <v/>
      </c>
      <c r="D166" s="84" t="str">
        <f aca="false">IF($A166="","",INDEX('قيود اليومية'!$C$11:$C$1010,MATCH($A166,'قيود اليومية'!$N$11:$N$1010,0)))</f>
        <v/>
      </c>
      <c r="E166" s="51" t="str">
        <f aca="false">IF($A166="","",INDEX('قيود اليومية'!$D$11:$D$1010,MATCH($A166,'قيود اليومية'!$N$11:$N$1010,0))&amp;"")</f>
        <v/>
      </c>
      <c r="F166" s="51" t="str">
        <f aca="false">IF($A166="","",INDEX('قيود اليومية'!$K$11:$K$1010,MATCH($A166,'قيود اليومية'!$N$11:$N$1010,0))&amp;"")</f>
        <v/>
      </c>
      <c r="G166" s="51" t="str">
        <f aca="false">IF($A166="","",INDEX('قيود اليومية'!$F$11:$F$1010,MATCH($A166,'قيود اليومية'!$N$11:$N$1010,0))&amp;"")</f>
        <v/>
      </c>
      <c r="H166" s="85" t="str">
        <f aca="false">IF($A166="","",INDEX('قيود اليومية'!$G$11:$G$1010,MATCH($A166,'قيود اليومية'!$N$11:$N$1010,0)))</f>
        <v/>
      </c>
      <c r="I166" s="85" t="str">
        <f aca="false">IF($A166="","",INDEX('قيود اليومية'!$H$11:$H$1010,MATCH($A166,'قيود اليومية'!$N$11:$N$1010,0)))</f>
        <v/>
      </c>
    </row>
    <row r="167" customFormat="false" ht="15" hidden="false" customHeight="false" outlineLevel="0" collapsed="false">
      <c r="A167" s="82" t="str">
        <f aca="false">IF(ROW()-16&gt;COUNT('قيود اليومية'!$N$11:$N$1010),"",ROW()-16)</f>
        <v/>
      </c>
      <c r="B167" s="83" t="str">
        <f aca="false">IF($A167="","",INDEX('قيود اليومية'!$B$11:$B$1010,MATCH($A167,'قيود اليومية'!$N$11:$N$1010,0)))</f>
        <v/>
      </c>
      <c r="C167" s="84" t="str">
        <f aca="false">IF($A167="","",INDEX('قيود اليومية'!$A$11:$A$1010,MATCH($A167,'قيود اليومية'!$N$11:$N$1010,0)))</f>
        <v/>
      </c>
      <c r="D167" s="84" t="str">
        <f aca="false">IF($A167="","",INDEX('قيود اليومية'!$C$11:$C$1010,MATCH($A167,'قيود اليومية'!$N$11:$N$1010,0)))</f>
        <v/>
      </c>
      <c r="E167" s="51" t="str">
        <f aca="false">IF($A167="","",INDEX('قيود اليومية'!$D$11:$D$1010,MATCH($A167,'قيود اليومية'!$N$11:$N$1010,0))&amp;"")</f>
        <v/>
      </c>
      <c r="F167" s="51" t="str">
        <f aca="false">IF($A167="","",INDEX('قيود اليومية'!$K$11:$K$1010,MATCH($A167,'قيود اليومية'!$N$11:$N$1010,0))&amp;"")</f>
        <v/>
      </c>
      <c r="G167" s="51" t="str">
        <f aca="false">IF($A167="","",INDEX('قيود اليومية'!$F$11:$F$1010,MATCH($A167,'قيود اليومية'!$N$11:$N$1010,0))&amp;"")</f>
        <v/>
      </c>
      <c r="H167" s="85" t="str">
        <f aca="false">IF($A167="","",INDEX('قيود اليومية'!$G$11:$G$1010,MATCH($A167,'قيود اليومية'!$N$11:$N$1010,0)))</f>
        <v/>
      </c>
      <c r="I167" s="85" t="str">
        <f aca="false">IF($A167="","",INDEX('قيود اليومية'!$H$11:$H$1010,MATCH($A167,'قيود اليومية'!$N$11:$N$1010,0)))</f>
        <v/>
      </c>
    </row>
    <row r="168" customFormat="false" ht="15" hidden="false" customHeight="false" outlineLevel="0" collapsed="false">
      <c r="A168" s="82" t="str">
        <f aca="false">IF(ROW()-16&gt;COUNT('قيود اليومية'!$N$11:$N$1010),"",ROW()-16)</f>
        <v/>
      </c>
      <c r="B168" s="83" t="str">
        <f aca="false">IF($A168="","",INDEX('قيود اليومية'!$B$11:$B$1010,MATCH($A168,'قيود اليومية'!$N$11:$N$1010,0)))</f>
        <v/>
      </c>
      <c r="C168" s="84" t="str">
        <f aca="false">IF($A168="","",INDEX('قيود اليومية'!$A$11:$A$1010,MATCH($A168,'قيود اليومية'!$N$11:$N$1010,0)))</f>
        <v/>
      </c>
      <c r="D168" s="84" t="str">
        <f aca="false">IF($A168="","",INDEX('قيود اليومية'!$C$11:$C$1010,MATCH($A168,'قيود اليومية'!$N$11:$N$1010,0)))</f>
        <v/>
      </c>
      <c r="E168" s="51" t="str">
        <f aca="false">IF($A168="","",INDEX('قيود اليومية'!$D$11:$D$1010,MATCH($A168,'قيود اليومية'!$N$11:$N$1010,0))&amp;"")</f>
        <v/>
      </c>
      <c r="F168" s="51" t="str">
        <f aca="false">IF($A168="","",INDEX('قيود اليومية'!$K$11:$K$1010,MATCH($A168,'قيود اليومية'!$N$11:$N$1010,0))&amp;"")</f>
        <v/>
      </c>
      <c r="G168" s="51" t="str">
        <f aca="false">IF($A168="","",INDEX('قيود اليومية'!$F$11:$F$1010,MATCH($A168,'قيود اليومية'!$N$11:$N$1010,0))&amp;"")</f>
        <v/>
      </c>
      <c r="H168" s="85" t="str">
        <f aca="false">IF($A168="","",INDEX('قيود اليومية'!$G$11:$G$1010,MATCH($A168,'قيود اليومية'!$N$11:$N$1010,0)))</f>
        <v/>
      </c>
      <c r="I168" s="85" t="str">
        <f aca="false">IF($A168="","",INDEX('قيود اليومية'!$H$11:$H$1010,MATCH($A168,'قيود اليومية'!$N$11:$N$1010,0)))</f>
        <v/>
      </c>
    </row>
    <row r="169" customFormat="false" ht="15" hidden="false" customHeight="false" outlineLevel="0" collapsed="false">
      <c r="A169" s="82" t="str">
        <f aca="false">IF(ROW()-16&gt;COUNT('قيود اليومية'!$N$11:$N$1010),"",ROW()-16)</f>
        <v/>
      </c>
      <c r="B169" s="83" t="str">
        <f aca="false">IF($A169="","",INDEX('قيود اليومية'!$B$11:$B$1010,MATCH($A169,'قيود اليومية'!$N$11:$N$1010,0)))</f>
        <v/>
      </c>
      <c r="C169" s="84" t="str">
        <f aca="false">IF($A169="","",INDEX('قيود اليومية'!$A$11:$A$1010,MATCH($A169,'قيود اليومية'!$N$11:$N$1010,0)))</f>
        <v/>
      </c>
      <c r="D169" s="84" t="str">
        <f aca="false">IF($A169="","",INDEX('قيود اليومية'!$C$11:$C$1010,MATCH($A169,'قيود اليومية'!$N$11:$N$1010,0)))</f>
        <v/>
      </c>
      <c r="E169" s="51" t="str">
        <f aca="false">IF($A169="","",INDEX('قيود اليومية'!$D$11:$D$1010,MATCH($A169,'قيود اليومية'!$N$11:$N$1010,0))&amp;"")</f>
        <v/>
      </c>
      <c r="F169" s="51" t="str">
        <f aca="false">IF($A169="","",INDEX('قيود اليومية'!$K$11:$K$1010,MATCH($A169,'قيود اليومية'!$N$11:$N$1010,0))&amp;"")</f>
        <v/>
      </c>
      <c r="G169" s="51" t="str">
        <f aca="false">IF($A169="","",INDEX('قيود اليومية'!$F$11:$F$1010,MATCH($A169,'قيود اليومية'!$N$11:$N$1010,0))&amp;"")</f>
        <v/>
      </c>
      <c r="H169" s="85" t="str">
        <f aca="false">IF($A169="","",INDEX('قيود اليومية'!$G$11:$G$1010,MATCH($A169,'قيود اليومية'!$N$11:$N$1010,0)))</f>
        <v/>
      </c>
      <c r="I169" s="85" t="str">
        <f aca="false">IF($A169="","",INDEX('قيود اليومية'!$H$11:$H$1010,MATCH($A169,'قيود اليومية'!$N$11:$N$1010,0)))</f>
        <v/>
      </c>
    </row>
    <row r="170" customFormat="false" ht="15" hidden="false" customHeight="false" outlineLevel="0" collapsed="false">
      <c r="A170" s="82" t="str">
        <f aca="false">IF(ROW()-16&gt;COUNT('قيود اليومية'!$N$11:$N$1010),"",ROW()-16)</f>
        <v/>
      </c>
      <c r="B170" s="83" t="str">
        <f aca="false">IF($A170="","",INDEX('قيود اليومية'!$B$11:$B$1010,MATCH($A170,'قيود اليومية'!$N$11:$N$1010,0)))</f>
        <v/>
      </c>
      <c r="C170" s="84" t="str">
        <f aca="false">IF($A170="","",INDEX('قيود اليومية'!$A$11:$A$1010,MATCH($A170,'قيود اليومية'!$N$11:$N$1010,0)))</f>
        <v/>
      </c>
      <c r="D170" s="84" t="str">
        <f aca="false">IF($A170="","",INDEX('قيود اليومية'!$C$11:$C$1010,MATCH($A170,'قيود اليومية'!$N$11:$N$1010,0)))</f>
        <v/>
      </c>
      <c r="E170" s="51" t="str">
        <f aca="false">IF($A170="","",INDEX('قيود اليومية'!$D$11:$D$1010,MATCH($A170,'قيود اليومية'!$N$11:$N$1010,0))&amp;"")</f>
        <v/>
      </c>
      <c r="F170" s="51" t="str">
        <f aca="false">IF($A170="","",INDEX('قيود اليومية'!$K$11:$K$1010,MATCH($A170,'قيود اليومية'!$N$11:$N$1010,0))&amp;"")</f>
        <v/>
      </c>
      <c r="G170" s="51" t="str">
        <f aca="false">IF($A170="","",INDEX('قيود اليومية'!$F$11:$F$1010,MATCH($A170,'قيود اليومية'!$N$11:$N$1010,0))&amp;"")</f>
        <v/>
      </c>
      <c r="H170" s="85" t="str">
        <f aca="false">IF($A170="","",INDEX('قيود اليومية'!$G$11:$G$1010,MATCH($A170,'قيود اليومية'!$N$11:$N$1010,0)))</f>
        <v/>
      </c>
      <c r="I170" s="85" t="str">
        <f aca="false">IF($A170="","",INDEX('قيود اليومية'!$H$11:$H$1010,MATCH($A170,'قيود اليومية'!$N$11:$N$1010,0)))</f>
        <v/>
      </c>
    </row>
    <row r="171" customFormat="false" ht="15" hidden="false" customHeight="false" outlineLevel="0" collapsed="false">
      <c r="A171" s="82" t="str">
        <f aca="false">IF(ROW()-16&gt;COUNT('قيود اليومية'!$N$11:$N$1010),"",ROW()-16)</f>
        <v/>
      </c>
      <c r="B171" s="83" t="str">
        <f aca="false">IF($A171="","",INDEX('قيود اليومية'!$B$11:$B$1010,MATCH($A171,'قيود اليومية'!$N$11:$N$1010,0)))</f>
        <v/>
      </c>
      <c r="C171" s="84" t="str">
        <f aca="false">IF($A171="","",INDEX('قيود اليومية'!$A$11:$A$1010,MATCH($A171,'قيود اليومية'!$N$11:$N$1010,0)))</f>
        <v/>
      </c>
      <c r="D171" s="84" t="str">
        <f aca="false">IF($A171="","",INDEX('قيود اليومية'!$C$11:$C$1010,MATCH($A171,'قيود اليومية'!$N$11:$N$1010,0)))</f>
        <v/>
      </c>
      <c r="E171" s="51" t="str">
        <f aca="false">IF($A171="","",INDEX('قيود اليومية'!$D$11:$D$1010,MATCH($A171,'قيود اليومية'!$N$11:$N$1010,0))&amp;"")</f>
        <v/>
      </c>
      <c r="F171" s="51" t="str">
        <f aca="false">IF($A171="","",INDEX('قيود اليومية'!$K$11:$K$1010,MATCH($A171,'قيود اليومية'!$N$11:$N$1010,0))&amp;"")</f>
        <v/>
      </c>
      <c r="G171" s="51" t="str">
        <f aca="false">IF($A171="","",INDEX('قيود اليومية'!$F$11:$F$1010,MATCH($A171,'قيود اليومية'!$N$11:$N$1010,0))&amp;"")</f>
        <v/>
      </c>
      <c r="H171" s="85" t="str">
        <f aca="false">IF($A171="","",INDEX('قيود اليومية'!$G$11:$G$1010,MATCH($A171,'قيود اليومية'!$N$11:$N$1010,0)))</f>
        <v/>
      </c>
      <c r="I171" s="85" t="str">
        <f aca="false">IF($A171="","",INDEX('قيود اليومية'!$H$11:$H$1010,MATCH($A171,'قيود اليومية'!$N$11:$N$1010,0)))</f>
        <v/>
      </c>
    </row>
    <row r="172" customFormat="false" ht="15" hidden="false" customHeight="false" outlineLevel="0" collapsed="false">
      <c r="A172" s="82" t="str">
        <f aca="false">IF(ROW()-16&gt;COUNT('قيود اليومية'!$N$11:$N$1010),"",ROW()-16)</f>
        <v/>
      </c>
      <c r="B172" s="83" t="str">
        <f aca="false">IF($A172="","",INDEX('قيود اليومية'!$B$11:$B$1010,MATCH($A172,'قيود اليومية'!$N$11:$N$1010,0)))</f>
        <v/>
      </c>
      <c r="C172" s="84" t="str">
        <f aca="false">IF($A172="","",INDEX('قيود اليومية'!$A$11:$A$1010,MATCH($A172,'قيود اليومية'!$N$11:$N$1010,0)))</f>
        <v/>
      </c>
      <c r="D172" s="84" t="str">
        <f aca="false">IF($A172="","",INDEX('قيود اليومية'!$C$11:$C$1010,MATCH($A172,'قيود اليومية'!$N$11:$N$1010,0)))</f>
        <v/>
      </c>
      <c r="E172" s="51" t="str">
        <f aca="false">IF($A172="","",INDEX('قيود اليومية'!$D$11:$D$1010,MATCH($A172,'قيود اليومية'!$N$11:$N$1010,0))&amp;"")</f>
        <v/>
      </c>
      <c r="F172" s="51" t="str">
        <f aca="false">IF($A172="","",INDEX('قيود اليومية'!$K$11:$K$1010,MATCH($A172,'قيود اليومية'!$N$11:$N$1010,0))&amp;"")</f>
        <v/>
      </c>
      <c r="G172" s="51" t="str">
        <f aca="false">IF($A172="","",INDEX('قيود اليومية'!$F$11:$F$1010,MATCH($A172,'قيود اليومية'!$N$11:$N$1010,0))&amp;"")</f>
        <v/>
      </c>
      <c r="H172" s="85" t="str">
        <f aca="false">IF($A172="","",INDEX('قيود اليومية'!$G$11:$G$1010,MATCH($A172,'قيود اليومية'!$N$11:$N$1010,0)))</f>
        <v/>
      </c>
      <c r="I172" s="85" t="str">
        <f aca="false">IF($A172="","",INDEX('قيود اليومية'!$H$11:$H$1010,MATCH($A172,'قيود اليومية'!$N$11:$N$1010,0)))</f>
        <v/>
      </c>
    </row>
    <row r="173" customFormat="false" ht="15" hidden="false" customHeight="false" outlineLevel="0" collapsed="false">
      <c r="A173" s="82" t="str">
        <f aca="false">IF(ROW()-16&gt;COUNT('قيود اليومية'!$N$11:$N$1010),"",ROW()-16)</f>
        <v/>
      </c>
      <c r="B173" s="83" t="str">
        <f aca="false">IF($A173="","",INDEX('قيود اليومية'!$B$11:$B$1010,MATCH($A173,'قيود اليومية'!$N$11:$N$1010,0)))</f>
        <v/>
      </c>
      <c r="C173" s="84" t="str">
        <f aca="false">IF($A173="","",INDEX('قيود اليومية'!$A$11:$A$1010,MATCH($A173,'قيود اليومية'!$N$11:$N$1010,0)))</f>
        <v/>
      </c>
      <c r="D173" s="84" t="str">
        <f aca="false">IF($A173="","",INDEX('قيود اليومية'!$C$11:$C$1010,MATCH($A173,'قيود اليومية'!$N$11:$N$1010,0)))</f>
        <v/>
      </c>
      <c r="E173" s="51" t="str">
        <f aca="false">IF($A173="","",INDEX('قيود اليومية'!$D$11:$D$1010,MATCH($A173,'قيود اليومية'!$N$11:$N$1010,0))&amp;"")</f>
        <v/>
      </c>
      <c r="F173" s="51" t="str">
        <f aca="false">IF($A173="","",INDEX('قيود اليومية'!$K$11:$K$1010,MATCH($A173,'قيود اليومية'!$N$11:$N$1010,0))&amp;"")</f>
        <v/>
      </c>
      <c r="G173" s="51" t="str">
        <f aca="false">IF($A173="","",INDEX('قيود اليومية'!$F$11:$F$1010,MATCH($A173,'قيود اليومية'!$N$11:$N$1010,0))&amp;"")</f>
        <v/>
      </c>
      <c r="H173" s="85" t="str">
        <f aca="false">IF($A173="","",INDEX('قيود اليومية'!$G$11:$G$1010,MATCH($A173,'قيود اليومية'!$N$11:$N$1010,0)))</f>
        <v/>
      </c>
      <c r="I173" s="85" t="str">
        <f aca="false">IF($A173="","",INDEX('قيود اليومية'!$H$11:$H$1010,MATCH($A173,'قيود اليومية'!$N$11:$N$1010,0)))</f>
        <v/>
      </c>
    </row>
    <row r="174" customFormat="false" ht="15" hidden="false" customHeight="false" outlineLevel="0" collapsed="false">
      <c r="A174" s="82" t="str">
        <f aca="false">IF(ROW()-16&gt;COUNT('قيود اليومية'!$N$11:$N$1010),"",ROW()-16)</f>
        <v/>
      </c>
      <c r="B174" s="83" t="str">
        <f aca="false">IF($A174="","",INDEX('قيود اليومية'!$B$11:$B$1010,MATCH($A174,'قيود اليومية'!$N$11:$N$1010,0)))</f>
        <v/>
      </c>
      <c r="C174" s="84" t="str">
        <f aca="false">IF($A174="","",INDEX('قيود اليومية'!$A$11:$A$1010,MATCH($A174,'قيود اليومية'!$N$11:$N$1010,0)))</f>
        <v/>
      </c>
      <c r="D174" s="84" t="str">
        <f aca="false">IF($A174="","",INDEX('قيود اليومية'!$C$11:$C$1010,MATCH($A174,'قيود اليومية'!$N$11:$N$1010,0)))</f>
        <v/>
      </c>
      <c r="E174" s="51" t="str">
        <f aca="false">IF($A174="","",INDEX('قيود اليومية'!$D$11:$D$1010,MATCH($A174,'قيود اليومية'!$N$11:$N$1010,0))&amp;"")</f>
        <v/>
      </c>
      <c r="F174" s="51" t="str">
        <f aca="false">IF($A174="","",INDEX('قيود اليومية'!$K$11:$K$1010,MATCH($A174,'قيود اليومية'!$N$11:$N$1010,0))&amp;"")</f>
        <v/>
      </c>
      <c r="G174" s="51" t="str">
        <f aca="false">IF($A174="","",INDEX('قيود اليومية'!$F$11:$F$1010,MATCH($A174,'قيود اليومية'!$N$11:$N$1010,0))&amp;"")</f>
        <v/>
      </c>
      <c r="H174" s="85" t="str">
        <f aca="false">IF($A174="","",INDEX('قيود اليومية'!$G$11:$G$1010,MATCH($A174,'قيود اليومية'!$N$11:$N$1010,0)))</f>
        <v/>
      </c>
      <c r="I174" s="85" t="str">
        <f aca="false">IF($A174="","",INDEX('قيود اليومية'!$H$11:$H$1010,MATCH($A174,'قيود اليومية'!$N$11:$N$1010,0)))</f>
        <v/>
      </c>
    </row>
    <row r="175" customFormat="false" ht="15" hidden="false" customHeight="false" outlineLevel="0" collapsed="false">
      <c r="A175" s="82" t="str">
        <f aca="false">IF(ROW()-16&gt;COUNT('قيود اليومية'!$N$11:$N$1010),"",ROW()-16)</f>
        <v/>
      </c>
      <c r="B175" s="83" t="str">
        <f aca="false">IF($A175="","",INDEX('قيود اليومية'!$B$11:$B$1010,MATCH($A175,'قيود اليومية'!$N$11:$N$1010,0)))</f>
        <v/>
      </c>
      <c r="C175" s="84" t="str">
        <f aca="false">IF($A175="","",INDEX('قيود اليومية'!$A$11:$A$1010,MATCH($A175,'قيود اليومية'!$N$11:$N$1010,0)))</f>
        <v/>
      </c>
      <c r="D175" s="84" t="str">
        <f aca="false">IF($A175="","",INDEX('قيود اليومية'!$C$11:$C$1010,MATCH($A175,'قيود اليومية'!$N$11:$N$1010,0)))</f>
        <v/>
      </c>
      <c r="E175" s="51" t="str">
        <f aca="false">IF($A175="","",INDEX('قيود اليومية'!$D$11:$D$1010,MATCH($A175,'قيود اليومية'!$N$11:$N$1010,0))&amp;"")</f>
        <v/>
      </c>
      <c r="F175" s="51" t="str">
        <f aca="false">IF($A175="","",INDEX('قيود اليومية'!$K$11:$K$1010,MATCH($A175,'قيود اليومية'!$N$11:$N$1010,0))&amp;"")</f>
        <v/>
      </c>
      <c r="G175" s="51" t="str">
        <f aca="false">IF($A175="","",INDEX('قيود اليومية'!$F$11:$F$1010,MATCH($A175,'قيود اليومية'!$N$11:$N$1010,0))&amp;"")</f>
        <v/>
      </c>
      <c r="H175" s="85" t="str">
        <f aca="false">IF($A175="","",INDEX('قيود اليومية'!$G$11:$G$1010,MATCH($A175,'قيود اليومية'!$N$11:$N$1010,0)))</f>
        <v/>
      </c>
      <c r="I175" s="85" t="str">
        <f aca="false">IF($A175="","",INDEX('قيود اليومية'!$H$11:$H$1010,MATCH($A175,'قيود اليومية'!$N$11:$N$1010,0)))</f>
        <v/>
      </c>
    </row>
    <row r="176" customFormat="false" ht="15" hidden="false" customHeight="false" outlineLevel="0" collapsed="false">
      <c r="A176" s="82" t="str">
        <f aca="false">IF(ROW()-16&gt;COUNT('قيود اليومية'!$N$11:$N$1010),"",ROW()-16)</f>
        <v/>
      </c>
      <c r="B176" s="83" t="str">
        <f aca="false">IF($A176="","",INDEX('قيود اليومية'!$B$11:$B$1010,MATCH($A176,'قيود اليومية'!$N$11:$N$1010,0)))</f>
        <v/>
      </c>
      <c r="C176" s="84" t="str">
        <f aca="false">IF($A176="","",INDEX('قيود اليومية'!$A$11:$A$1010,MATCH($A176,'قيود اليومية'!$N$11:$N$1010,0)))</f>
        <v/>
      </c>
      <c r="D176" s="84" t="str">
        <f aca="false">IF($A176="","",INDEX('قيود اليومية'!$C$11:$C$1010,MATCH($A176,'قيود اليومية'!$N$11:$N$1010,0)))</f>
        <v/>
      </c>
      <c r="E176" s="51" t="str">
        <f aca="false">IF($A176="","",INDEX('قيود اليومية'!$D$11:$D$1010,MATCH($A176,'قيود اليومية'!$N$11:$N$1010,0))&amp;"")</f>
        <v/>
      </c>
      <c r="F176" s="51" t="str">
        <f aca="false">IF($A176="","",INDEX('قيود اليومية'!$K$11:$K$1010,MATCH($A176,'قيود اليومية'!$N$11:$N$1010,0))&amp;"")</f>
        <v/>
      </c>
      <c r="G176" s="51" t="str">
        <f aca="false">IF($A176="","",INDEX('قيود اليومية'!$F$11:$F$1010,MATCH($A176,'قيود اليومية'!$N$11:$N$1010,0))&amp;"")</f>
        <v/>
      </c>
      <c r="H176" s="85" t="str">
        <f aca="false">IF($A176="","",INDEX('قيود اليومية'!$G$11:$G$1010,MATCH($A176,'قيود اليومية'!$N$11:$N$1010,0)))</f>
        <v/>
      </c>
      <c r="I176" s="85" t="str">
        <f aca="false">IF($A176="","",INDEX('قيود اليومية'!$H$11:$H$1010,MATCH($A176,'قيود اليومية'!$N$11:$N$1010,0)))</f>
        <v/>
      </c>
    </row>
    <row r="177" customFormat="false" ht="15" hidden="false" customHeight="false" outlineLevel="0" collapsed="false">
      <c r="A177" s="82" t="str">
        <f aca="false">IF(ROW()-16&gt;COUNT('قيود اليومية'!$N$11:$N$1010),"",ROW()-16)</f>
        <v/>
      </c>
      <c r="B177" s="83" t="str">
        <f aca="false">IF($A177="","",INDEX('قيود اليومية'!$B$11:$B$1010,MATCH($A177,'قيود اليومية'!$N$11:$N$1010,0)))</f>
        <v/>
      </c>
      <c r="C177" s="84" t="str">
        <f aca="false">IF($A177="","",INDEX('قيود اليومية'!$A$11:$A$1010,MATCH($A177,'قيود اليومية'!$N$11:$N$1010,0)))</f>
        <v/>
      </c>
      <c r="D177" s="84" t="str">
        <f aca="false">IF($A177="","",INDEX('قيود اليومية'!$C$11:$C$1010,MATCH($A177,'قيود اليومية'!$N$11:$N$1010,0)))</f>
        <v/>
      </c>
      <c r="E177" s="51" t="str">
        <f aca="false">IF($A177="","",INDEX('قيود اليومية'!$D$11:$D$1010,MATCH($A177,'قيود اليومية'!$N$11:$N$1010,0))&amp;"")</f>
        <v/>
      </c>
      <c r="F177" s="51" t="str">
        <f aca="false">IF($A177="","",INDEX('قيود اليومية'!$K$11:$K$1010,MATCH($A177,'قيود اليومية'!$N$11:$N$1010,0))&amp;"")</f>
        <v/>
      </c>
      <c r="G177" s="51" t="str">
        <f aca="false">IF($A177="","",INDEX('قيود اليومية'!$F$11:$F$1010,MATCH($A177,'قيود اليومية'!$N$11:$N$1010,0))&amp;"")</f>
        <v/>
      </c>
      <c r="H177" s="85" t="str">
        <f aca="false">IF($A177="","",INDEX('قيود اليومية'!$G$11:$G$1010,MATCH($A177,'قيود اليومية'!$N$11:$N$1010,0)))</f>
        <v/>
      </c>
      <c r="I177" s="85" t="str">
        <f aca="false">IF($A177="","",INDEX('قيود اليومية'!$H$11:$H$1010,MATCH($A177,'قيود اليومية'!$N$11:$N$1010,0)))</f>
        <v/>
      </c>
    </row>
    <row r="178" customFormat="false" ht="15" hidden="false" customHeight="false" outlineLevel="0" collapsed="false">
      <c r="A178" s="82" t="str">
        <f aca="false">IF(ROW()-16&gt;COUNT('قيود اليومية'!$N$11:$N$1010),"",ROW()-16)</f>
        <v/>
      </c>
      <c r="B178" s="83" t="str">
        <f aca="false">IF($A178="","",INDEX('قيود اليومية'!$B$11:$B$1010,MATCH($A178,'قيود اليومية'!$N$11:$N$1010,0)))</f>
        <v/>
      </c>
      <c r="C178" s="84" t="str">
        <f aca="false">IF($A178="","",INDEX('قيود اليومية'!$A$11:$A$1010,MATCH($A178,'قيود اليومية'!$N$11:$N$1010,0)))</f>
        <v/>
      </c>
      <c r="D178" s="84" t="str">
        <f aca="false">IF($A178="","",INDEX('قيود اليومية'!$C$11:$C$1010,MATCH($A178,'قيود اليومية'!$N$11:$N$1010,0)))</f>
        <v/>
      </c>
      <c r="E178" s="51" t="str">
        <f aca="false">IF($A178="","",INDEX('قيود اليومية'!$D$11:$D$1010,MATCH($A178,'قيود اليومية'!$N$11:$N$1010,0))&amp;"")</f>
        <v/>
      </c>
      <c r="F178" s="51" t="str">
        <f aca="false">IF($A178="","",INDEX('قيود اليومية'!$K$11:$K$1010,MATCH($A178,'قيود اليومية'!$N$11:$N$1010,0))&amp;"")</f>
        <v/>
      </c>
      <c r="G178" s="51" t="str">
        <f aca="false">IF($A178="","",INDEX('قيود اليومية'!$F$11:$F$1010,MATCH($A178,'قيود اليومية'!$N$11:$N$1010,0))&amp;"")</f>
        <v/>
      </c>
      <c r="H178" s="85" t="str">
        <f aca="false">IF($A178="","",INDEX('قيود اليومية'!$G$11:$G$1010,MATCH($A178,'قيود اليومية'!$N$11:$N$1010,0)))</f>
        <v/>
      </c>
      <c r="I178" s="85" t="str">
        <f aca="false">IF($A178="","",INDEX('قيود اليومية'!$H$11:$H$1010,MATCH($A178,'قيود اليومية'!$N$11:$N$1010,0)))</f>
        <v/>
      </c>
    </row>
    <row r="179" customFormat="false" ht="15" hidden="false" customHeight="false" outlineLevel="0" collapsed="false">
      <c r="A179" s="82" t="str">
        <f aca="false">IF(ROW()-16&gt;COUNT('قيود اليومية'!$N$11:$N$1010),"",ROW()-16)</f>
        <v/>
      </c>
      <c r="B179" s="83" t="str">
        <f aca="false">IF($A179="","",INDEX('قيود اليومية'!$B$11:$B$1010,MATCH($A179,'قيود اليومية'!$N$11:$N$1010,0)))</f>
        <v/>
      </c>
      <c r="C179" s="84" t="str">
        <f aca="false">IF($A179="","",INDEX('قيود اليومية'!$A$11:$A$1010,MATCH($A179,'قيود اليومية'!$N$11:$N$1010,0)))</f>
        <v/>
      </c>
      <c r="D179" s="84" t="str">
        <f aca="false">IF($A179="","",INDEX('قيود اليومية'!$C$11:$C$1010,MATCH($A179,'قيود اليومية'!$N$11:$N$1010,0)))</f>
        <v/>
      </c>
      <c r="E179" s="51" t="str">
        <f aca="false">IF($A179="","",INDEX('قيود اليومية'!$D$11:$D$1010,MATCH($A179,'قيود اليومية'!$N$11:$N$1010,0))&amp;"")</f>
        <v/>
      </c>
      <c r="F179" s="51" t="str">
        <f aca="false">IF($A179="","",INDEX('قيود اليومية'!$K$11:$K$1010,MATCH($A179,'قيود اليومية'!$N$11:$N$1010,0))&amp;"")</f>
        <v/>
      </c>
      <c r="G179" s="51" t="str">
        <f aca="false">IF($A179="","",INDEX('قيود اليومية'!$F$11:$F$1010,MATCH($A179,'قيود اليومية'!$N$11:$N$1010,0))&amp;"")</f>
        <v/>
      </c>
      <c r="H179" s="85" t="str">
        <f aca="false">IF($A179="","",INDEX('قيود اليومية'!$G$11:$G$1010,MATCH($A179,'قيود اليومية'!$N$11:$N$1010,0)))</f>
        <v/>
      </c>
      <c r="I179" s="85" t="str">
        <f aca="false">IF($A179="","",INDEX('قيود اليومية'!$H$11:$H$1010,MATCH($A179,'قيود اليومية'!$N$11:$N$1010,0)))</f>
        <v/>
      </c>
    </row>
    <row r="180" customFormat="false" ht="15" hidden="false" customHeight="false" outlineLevel="0" collapsed="false">
      <c r="A180" s="82" t="str">
        <f aca="false">IF(ROW()-16&gt;COUNT('قيود اليومية'!$N$11:$N$1010),"",ROW()-16)</f>
        <v/>
      </c>
      <c r="B180" s="83" t="str">
        <f aca="false">IF($A180="","",INDEX('قيود اليومية'!$B$11:$B$1010,MATCH($A180,'قيود اليومية'!$N$11:$N$1010,0)))</f>
        <v/>
      </c>
      <c r="C180" s="84" t="str">
        <f aca="false">IF($A180="","",INDEX('قيود اليومية'!$A$11:$A$1010,MATCH($A180,'قيود اليومية'!$N$11:$N$1010,0)))</f>
        <v/>
      </c>
      <c r="D180" s="84" t="str">
        <f aca="false">IF($A180="","",INDEX('قيود اليومية'!$C$11:$C$1010,MATCH($A180,'قيود اليومية'!$N$11:$N$1010,0)))</f>
        <v/>
      </c>
      <c r="E180" s="51" t="str">
        <f aca="false">IF($A180="","",INDEX('قيود اليومية'!$D$11:$D$1010,MATCH($A180,'قيود اليومية'!$N$11:$N$1010,0))&amp;"")</f>
        <v/>
      </c>
      <c r="F180" s="51" t="str">
        <f aca="false">IF($A180="","",INDEX('قيود اليومية'!$K$11:$K$1010,MATCH($A180,'قيود اليومية'!$N$11:$N$1010,0))&amp;"")</f>
        <v/>
      </c>
      <c r="G180" s="51" t="str">
        <f aca="false">IF($A180="","",INDEX('قيود اليومية'!$F$11:$F$1010,MATCH($A180,'قيود اليومية'!$N$11:$N$1010,0))&amp;"")</f>
        <v/>
      </c>
      <c r="H180" s="85" t="str">
        <f aca="false">IF($A180="","",INDEX('قيود اليومية'!$G$11:$G$1010,MATCH($A180,'قيود اليومية'!$N$11:$N$1010,0)))</f>
        <v/>
      </c>
      <c r="I180" s="85" t="str">
        <f aca="false">IF($A180="","",INDEX('قيود اليومية'!$H$11:$H$1010,MATCH($A180,'قيود اليومية'!$N$11:$N$1010,0)))</f>
        <v/>
      </c>
    </row>
    <row r="181" customFormat="false" ht="15" hidden="false" customHeight="false" outlineLevel="0" collapsed="false">
      <c r="A181" s="82" t="str">
        <f aca="false">IF(ROW()-16&gt;COUNT('قيود اليومية'!$N$11:$N$1010),"",ROW()-16)</f>
        <v/>
      </c>
      <c r="B181" s="83" t="str">
        <f aca="false">IF($A181="","",INDEX('قيود اليومية'!$B$11:$B$1010,MATCH($A181,'قيود اليومية'!$N$11:$N$1010,0)))</f>
        <v/>
      </c>
      <c r="C181" s="84" t="str">
        <f aca="false">IF($A181="","",INDEX('قيود اليومية'!$A$11:$A$1010,MATCH($A181,'قيود اليومية'!$N$11:$N$1010,0)))</f>
        <v/>
      </c>
      <c r="D181" s="84" t="str">
        <f aca="false">IF($A181="","",INDEX('قيود اليومية'!$C$11:$C$1010,MATCH($A181,'قيود اليومية'!$N$11:$N$1010,0)))</f>
        <v/>
      </c>
      <c r="E181" s="51" t="str">
        <f aca="false">IF($A181="","",INDEX('قيود اليومية'!$D$11:$D$1010,MATCH($A181,'قيود اليومية'!$N$11:$N$1010,0))&amp;"")</f>
        <v/>
      </c>
      <c r="F181" s="51" t="str">
        <f aca="false">IF($A181="","",INDEX('قيود اليومية'!$K$11:$K$1010,MATCH($A181,'قيود اليومية'!$N$11:$N$1010,0))&amp;"")</f>
        <v/>
      </c>
      <c r="G181" s="51" t="str">
        <f aca="false">IF($A181="","",INDEX('قيود اليومية'!$F$11:$F$1010,MATCH($A181,'قيود اليومية'!$N$11:$N$1010,0))&amp;"")</f>
        <v/>
      </c>
      <c r="H181" s="85" t="str">
        <f aca="false">IF($A181="","",INDEX('قيود اليومية'!$G$11:$G$1010,MATCH($A181,'قيود اليومية'!$N$11:$N$1010,0)))</f>
        <v/>
      </c>
      <c r="I181" s="85" t="str">
        <f aca="false">IF($A181="","",INDEX('قيود اليومية'!$H$11:$H$1010,MATCH($A181,'قيود اليومية'!$N$11:$N$1010,0)))</f>
        <v/>
      </c>
    </row>
    <row r="182" customFormat="false" ht="15" hidden="false" customHeight="false" outlineLevel="0" collapsed="false">
      <c r="A182" s="82" t="str">
        <f aca="false">IF(ROW()-16&gt;COUNT('قيود اليومية'!$N$11:$N$1010),"",ROW()-16)</f>
        <v/>
      </c>
      <c r="B182" s="83" t="str">
        <f aca="false">IF($A182="","",INDEX('قيود اليومية'!$B$11:$B$1010,MATCH($A182,'قيود اليومية'!$N$11:$N$1010,0)))</f>
        <v/>
      </c>
      <c r="C182" s="84" t="str">
        <f aca="false">IF($A182="","",INDEX('قيود اليومية'!$A$11:$A$1010,MATCH($A182,'قيود اليومية'!$N$11:$N$1010,0)))</f>
        <v/>
      </c>
      <c r="D182" s="84" t="str">
        <f aca="false">IF($A182="","",INDEX('قيود اليومية'!$C$11:$C$1010,MATCH($A182,'قيود اليومية'!$N$11:$N$1010,0)))</f>
        <v/>
      </c>
      <c r="E182" s="51" t="str">
        <f aca="false">IF($A182="","",INDEX('قيود اليومية'!$D$11:$D$1010,MATCH($A182,'قيود اليومية'!$N$11:$N$1010,0))&amp;"")</f>
        <v/>
      </c>
      <c r="F182" s="51" t="str">
        <f aca="false">IF($A182="","",INDEX('قيود اليومية'!$K$11:$K$1010,MATCH($A182,'قيود اليومية'!$N$11:$N$1010,0))&amp;"")</f>
        <v/>
      </c>
      <c r="G182" s="51" t="str">
        <f aca="false">IF($A182="","",INDEX('قيود اليومية'!$F$11:$F$1010,MATCH($A182,'قيود اليومية'!$N$11:$N$1010,0))&amp;"")</f>
        <v/>
      </c>
      <c r="H182" s="85" t="str">
        <f aca="false">IF($A182="","",INDEX('قيود اليومية'!$G$11:$G$1010,MATCH($A182,'قيود اليومية'!$N$11:$N$1010,0)))</f>
        <v/>
      </c>
      <c r="I182" s="85" t="str">
        <f aca="false">IF($A182="","",INDEX('قيود اليومية'!$H$11:$H$1010,MATCH($A182,'قيود اليومية'!$N$11:$N$1010,0)))</f>
        <v/>
      </c>
    </row>
    <row r="183" customFormat="false" ht="15" hidden="false" customHeight="false" outlineLevel="0" collapsed="false">
      <c r="A183" s="82" t="str">
        <f aca="false">IF(ROW()-16&gt;COUNT('قيود اليومية'!$N$11:$N$1010),"",ROW()-16)</f>
        <v/>
      </c>
      <c r="B183" s="83" t="str">
        <f aca="false">IF($A183="","",INDEX('قيود اليومية'!$B$11:$B$1010,MATCH($A183,'قيود اليومية'!$N$11:$N$1010,0)))</f>
        <v/>
      </c>
      <c r="C183" s="84" t="str">
        <f aca="false">IF($A183="","",INDEX('قيود اليومية'!$A$11:$A$1010,MATCH($A183,'قيود اليومية'!$N$11:$N$1010,0)))</f>
        <v/>
      </c>
      <c r="D183" s="84" t="str">
        <f aca="false">IF($A183="","",INDEX('قيود اليومية'!$C$11:$C$1010,MATCH($A183,'قيود اليومية'!$N$11:$N$1010,0)))</f>
        <v/>
      </c>
      <c r="E183" s="51" t="str">
        <f aca="false">IF($A183="","",INDEX('قيود اليومية'!$D$11:$D$1010,MATCH($A183,'قيود اليومية'!$N$11:$N$1010,0))&amp;"")</f>
        <v/>
      </c>
      <c r="F183" s="51" t="str">
        <f aca="false">IF($A183="","",INDEX('قيود اليومية'!$K$11:$K$1010,MATCH($A183,'قيود اليومية'!$N$11:$N$1010,0))&amp;"")</f>
        <v/>
      </c>
      <c r="G183" s="51" t="str">
        <f aca="false">IF($A183="","",INDEX('قيود اليومية'!$F$11:$F$1010,MATCH($A183,'قيود اليومية'!$N$11:$N$1010,0))&amp;"")</f>
        <v/>
      </c>
      <c r="H183" s="85" t="str">
        <f aca="false">IF($A183="","",INDEX('قيود اليومية'!$G$11:$G$1010,MATCH($A183,'قيود اليومية'!$N$11:$N$1010,0)))</f>
        <v/>
      </c>
      <c r="I183" s="85" t="str">
        <f aca="false">IF($A183="","",INDEX('قيود اليومية'!$H$11:$H$1010,MATCH($A183,'قيود اليومية'!$N$11:$N$1010,0)))</f>
        <v/>
      </c>
    </row>
    <row r="184" customFormat="false" ht="15" hidden="false" customHeight="false" outlineLevel="0" collapsed="false">
      <c r="A184" s="82" t="str">
        <f aca="false">IF(ROW()-16&gt;COUNT('قيود اليومية'!$N$11:$N$1010),"",ROW()-16)</f>
        <v/>
      </c>
      <c r="B184" s="83" t="str">
        <f aca="false">IF($A184="","",INDEX('قيود اليومية'!$B$11:$B$1010,MATCH($A184,'قيود اليومية'!$N$11:$N$1010,0)))</f>
        <v/>
      </c>
      <c r="C184" s="84" t="str">
        <f aca="false">IF($A184="","",INDEX('قيود اليومية'!$A$11:$A$1010,MATCH($A184,'قيود اليومية'!$N$11:$N$1010,0)))</f>
        <v/>
      </c>
      <c r="D184" s="84" t="str">
        <f aca="false">IF($A184="","",INDEX('قيود اليومية'!$C$11:$C$1010,MATCH($A184,'قيود اليومية'!$N$11:$N$1010,0)))</f>
        <v/>
      </c>
      <c r="E184" s="51" t="str">
        <f aca="false">IF($A184="","",INDEX('قيود اليومية'!$D$11:$D$1010,MATCH($A184,'قيود اليومية'!$N$11:$N$1010,0))&amp;"")</f>
        <v/>
      </c>
      <c r="F184" s="51" t="str">
        <f aca="false">IF($A184="","",INDEX('قيود اليومية'!$K$11:$K$1010,MATCH($A184,'قيود اليومية'!$N$11:$N$1010,0))&amp;"")</f>
        <v/>
      </c>
      <c r="G184" s="51" t="str">
        <f aca="false">IF($A184="","",INDEX('قيود اليومية'!$F$11:$F$1010,MATCH($A184,'قيود اليومية'!$N$11:$N$1010,0))&amp;"")</f>
        <v/>
      </c>
      <c r="H184" s="85" t="str">
        <f aca="false">IF($A184="","",INDEX('قيود اليومية'!$G$11:$G$1010,MATCH($A184,'قيود اليومية'!$N$11:$N$1010,0)))</f>
        <v/>
      </c>
      <c r="I184" s="85" t="str">
        <f aca="false">IF($A184="","",INDEX('قيود اليومية'!$H$11:$H$1010,MATCH($A184,'قيود اليومية'!$N$11:$N$1010,0)))</f>
        <v/>
      </c>
    </row>
    <row r="185" customFormat="false" ht="15" hidden="false" customHeight="false" outlineLevel="0" collapsed="false">
      <c r="A185" s="82" t="str">
        <f aca="false">IF(ROW()-16&gt;COUNT('قيود اليومية'!$N$11:$N$1010),"",ROW()-16)</f>
        <v/>
      </c>
      <c r="B185" s="83" t="str">
        <f aca="false">IF($A185="","",INDEX('قيود اليومية'!$B$11:$B$1010,MATCH($A185,'قيود اليومية'!$N$11:$N$1010,0)))</f>
        <v/>
      </c>
      <c r="C185" s="84" t="str">
        <f aca="false">IF($A185="","",INDEX('قيود اليومية'!$A$11:$A$1010,MATCH($A185,'قيود اليومية'!$N$11:$N$1010,0)))</f>
        <v/>
      </c>
      <c r="D185" s="84" t="str">
        <f aca="false">IF($A185="","",INDEX('قيود اليومية'!$C$11:$C$1010,MATCH($A185,'قيود اليومية'!$N$11:$N$1010,0)))</f>
        <v/>
      </c>
      <c r="E185" s="51" t="str">
        <f aca="false">IF($A185="","",INDEX('قيود اليومية'!$D$11:$D$1010,MATCH($A185,'قيود اليومية'!$N$11:$N$1010,0))&amp;"")</f>
        <v/>
      </c>
      <c r="F185" s="51" t="str">
        <f aca="false">IF($A185="","",INDEX('قيود اليومية'!$K$11:$K$1010,MATCH($A185,'قيود اليومية'!$N$11:$N$1010,0))&amp;"")</f>
        <v/>
      </c>
      <c r="G185" s="51" t="str">
        <f aca="false">IF($A185="","",INDEX('قيود اليومية'!$F$11:$F$1010,MATCH($A185,'قيود اليومية'!$N$11:$N$1010,0))&amp;"")</f>
        <v/>
      </c>
      <c r="H185" s="85" t="str">
        <f aca="false">IF($A185="","",INDEX('قيود اليومية'!$G$11:$G$1010,MATCH($A185,'قيود اليومية'!$N$11:$N$1010,0)))</f>
        <v/>
      </c>
      <c r="I185" s="85" t="str">
        <f aca="false">IF($A185="","",INDEX('قيود اليومية'!$H$11:$H$1010,MATCH($A185,'قيود اليومية'!$N$11:$N$1010,0)))</f>
        <v/>
      </c>
    </row>
    <row r="186" customFormat="false" ht="15" hidden="false" customHeight="false" outlineLevel="0" collapsed="false">
      <c r="A186" s="82" t="str">
        <f aca="false">IF(ROW()-16&gt;COUNT('قيود اليومية'!$N$11:$N$1010),"",ROW()-16)</f>
        <v/>
      </c>
      <c r="B186" s="83" t="str">
        <f aca="false">IF($A186="","",INDEX('قيود اليومية'!$B$11:$B$1010,MATCH($A186,'قيود اليومية'!$N$11:$N$1010,0)))</f>
        <v/>
      </c>
      <c r="C186" s="84" t="str">
        <f aca="false">IF($A186="","",INDEX('قيود اليومية'!$A$11:$A$1010,MATCH($A186,'قيود اليومية'!$N$11:$N$1010,0)))</f>
        <v/>
      </c>
      <c r="D186" s="84" t="str">
        <f aca="false">IF($A186="","",INDEX('قيود اليومية'!$C$11:$C$1010,MATCH($A186,'قيود اليومية'!$N$11:$N$1010,0)))</f>
        <v/>
      </c>
      <c r="E186" s="51" t="str">
        <f aca="false">IF($A186="","",INDEX('قيود اليومية'!$D$11:$D$1010,MATCH($A186,'قيود اليومية'!$N$11:$N$1010,0))&amp;"")</f>
        <v/>
      </c>
      <c r="F186" s="51" t="str">
        <f aca="false">IF($A186="","",INDEX('قيود اليومية'!$K$11:$K$1010,MATCH($A186,'قيود اليومية'!$N$11:$N$1010,0))&amp;"")</f>
        <v/>
      </c>
      <c r="G186" s="51" t="str">
        <f aca="false">IF($A186="","",INDEX('قيود اليومية'!$F$11:$F$1010,MATCH($A186,'قيود اليومية'!$N$11:$N$1010,0))&amp;"")</f>
        <v/>
      </c>
      <c r="H186" s="85" t="str">
        <f aca="false">IF($A186="","",INDEX('قيود اليومية'!$G$11:$G$1010,MATCH($A186,'قيود اليومية'!$N$11:$N$1010,0)))</f>
        <v/>
      </c>
      <c r="I186" s="85" t="str">
        <f aca="false">IF($A186="","",INDEX('قيود اليومية'!$H$11:$H$1010,MATCH($A186,'قيود اليومية'!$N$11:$N$1010,0)))</f>
        <v/>
      </c>
    </row>
    <row r="187" customFormat="false" ht="15" hidden="false" customHeight="false" outlineLevel="0" collapsed="false">
      <c r="A187" s="82" t="str">
        <f aca="false">IF(ROW()-16&gt;COUNT('قيود اليومية'!$N$11:$N$1010),"",ROW()-16)</f>
        <v/>
      </c>
      <c r="B187" s="83" t="str">
        <f aca="false">IF($A187="","",INDEX('قيود اليومية'!$B$11:$B$1010,MATCH($A187,'قيود اليومية'!$N$11:$N$1010,0)))</f>
        <v/>
      </c>
      <c r="C187" s="84" t="str">
        <f aca="false">IF($A187="","",INDEX('قيود اليومية'!$A$11:$A$1010,MATCH($A187,'قيود اليومية'!$N$11:$N$1010,0)))</f>
        <v/>
      </c>
      <c r="D187" s="84" t="str">
        <f aca="false">IF($A187="","",INDEX('قيود اليومية'!$C$11:$C$1010,MATCH($A187,'قيود اليومية'!$N$11:$N$1010,0)))</f>
        <v/>
      </c>
      <c r="E187" s="51" t="str">
        <f aca="false">IF($A187="","",INDEX('قيود اليومية'!$D$11:$D$1010,MATCH($A187,'قيود اليومية'!$N$11:$N$1010,0))&amp;"")</f>
        <v/>
      </c>
      <c r="F187" s="51" t="str">
        <f aca="false">IF($A187="","",INDEX('قيود اليومية'!$K$11:$K$1010,MATCH($A187,'قيود اليومية'!$N$11:$N$1010,0))&amp;"")</f>
        <v/>
      </c>
      <c r="G187" s="51" t="str">
        <f aca="false">IF($A187="","",INDEX('قيود اليومية'!$F$11:$F$1010,MATCH($A187,'قيود اليومية'!$N$11:$N$1010,0))&amp;"")</f>
        <v/>
      </c>
      <c r="H187" s="85" t="str">
        <f aca="false">IF($A187="","",INDEX('قيود اليومية'!$G$11:$G$1010,MATCH($A187,'قيود اليومية'!$N$11:$N$1010,0)))</f>
        <v/>
      </c>
      <c r="I187" s="85" t="str">
        <f aca="false">IF($A187="","",INDEX('قيود اليومية'!$H$11:$H$1010,MATCH($A187,'قيود اليومية'!$N$11:$N$1010,0)))</f>
        <v/>
      </c>
    </row>
    <row r="188" customFormat="false" ht="15" hidden="false" customHeight="false" outlineLevel="0" collapsed="false">
      <c r="A188" s="82" t="str">
        <f aca="false">IF(ROW()-16&gt;COUNT('قيود اليومية'!$N$11:$N$1010),"",ROW()-16)</f>
        <v/>
      </c>
      <c r="B188" s="83" t="str">
        <f aca="false">IF($A188="","",INDEX('قيود اليومية'!$B$11:$B$1010,MATCH($A188,'قيود اليومية'!$N$11:$N$1010,0)))</f>
        <v/>
      </c>
      <c r="C188" s="84" t="str">
        <f aca="false">IF($A188="","",INDEX('قيود اليومية'!$A$11:$A$1010,MATCH($A188,'قيود اليومية'!$N$11:$N$1010,0)))</f>
        <v/>
      </c>
      <c r="D188" s="84" t="str">
        <f aca="false">IF($A188="","",INDEX('قيود اليومية'!$C$11:$C$1010,MATCH($A188,'قيود اليومية'!$N$11:$N$1010,0)))</f>
        <v/>
      </c>
      <c r="E188" s="51" t="str">
        <f aca="false">IF($A188="","",INDEX('قيود اليومية'!$D$11:$D$1010,MATCH($A188,'قيود اليومية'!$N$11:$N$1010,0))&amp;"")</f>
        <v/>
      </c>
      <c r="F188" s="51" t="str">
        <f aca="false">IF($A188="","",INDEX('قيود اليومية'!$K$11:$K$1010,MATCH($A188,'قيود اليومية'!$N$11:$N$1010,0))&amp;"")</f>
        <v/>
      </c>
      <c r="G188" s="51" t="str">
        <f aca="false">IF($A188="","",INDEX('قيود اليومية'!$F$11:$F$1010,MATCH($A188,'قيود اليومية'!$N$11:$N$1010,0))&amp;"")</f>
        <v/>
      </c>
      <c r="H188" s="85" t="str">
        <f aca="false">IF($A188="","",INDEX('قيود اليومية'!$G$11:$G$1010,MATCH($A188,'قيود اليومية'!$N$11:$N$1010,0)))</f>
        <v/>
      </c>
      <c r="I188" s="85" t="str">
        <f aca="false">IF($A188="","",INDEX('قيود اليومية'!$H$11:$H$1010,MATCH($A188,'قيود اليومية'!$N$11:$N$1010,0)))</f>
        <v/>
      </c>
    </row>
    <row r="189" customFormat="false" ht="15" hidden="false" customHeight="false" outlineLevel="0" collapsed="false">
      <c r="A189" s="82" t="str">
        <f aca="false">IF(ROW()-16&gt;COUNT('قيود اليومية'!$N$11:$N$1010),"",ROW()-16)</f>
        <v/>
      </c>
      <c r="B189" s="83" t="str">
        <f aca="false">IF($A189="","",INDEX('قيود اليومية'!$B$11:$B$1010,MATCH($A189,'قيود اليومية'!$N$11:$N$1010,0)))</f>
        <v/>
      </c>
      <c r="C189" s="84" t="str">
        <f aca="false">IF($A189="","",INDEX('قيود اليومية'!$A$11:$A$1010,MATCH($A189,'قيود اليومية'!$N$11:$N$1010,0)))</f>
        <v/>
      </c>
      <c r="D189" s="84" t="str">
        <f aca="false">IF($A189="","",INDEX('قيود اليومية'!$C$11:$C$1010,MATCH($A189,'قيود اليومية'!$N$11:$N$1010,0)))</f>
        <v/>
      </c>
      <c r="E189" s="51" t="str">
        <f aca="false">IF($A189="","",INDEX('قيود اليومية'!$D$11:$D$1010,MATCH($A189,'قيود اليومية'!$N$11:$N$1010,0))&amp;"")</f>
        <v/>
      </c>
      <c r="F189" s="51" t="str">
        <f aca="false">IF($A189="","",INDEX('قيود اليومية'!$K$11:$K$1010,MATCH($A189,'قيود اليومية'!$N$11:$N$1010,0))&amp;"")</f>
        <v/>
      </c>
      <c r="G189" s="51" t="str">
        <f aca="false">IF($A189="","",INDEX('قيود اليومية'!$F$11:$F$1010,MATCH($A189,'قيود اليومية'!$N$11:$N$1010,0))&amp;"")</f>
        <v/>
      </c>
      <c r="H189" s="85" t="str">
        <f aca="false">IF($A189="","",INDEX('قيود اليومية'!$G$11:$G$1010,MATCH($A189,'قيود اليومية'!$N$11:$N$1010,0)))</f>
        <v/>
      </c>
      <c r="I189" s="85" t="str">
        <f aca="false">IF($A189="","",INDEX('قيود اليومية'!$H$11:$H$1010,MATCH($A189,'قيود اليومية'!$N$11:$N$1010,0)))</f>
        <v/>
      </c>
    </row>
    <row r="190" customFormat="false" ht="15" hidden="false" customHeight="false" outlineLevel="0" collapsed="false">
      <c r="A190" s="82" t="str">
        <f aca="false">IF(ROW()-16&gt;COUNT('قيود اليومية'!$N$11:$N$1010),"",ROW()-16)</f>
        <v/>
      </c>
      <c r="B190" s="83" t="str">
        <f aca="false">IF($A190="","",INDEX('قيود اليومية'!$B$11:$B$1010,MATCH($A190,'قيود اليومية'!$N$11:$N$1010,0)))</f>
        <v/>
      </c>
      <c r="C190" s="84" t="str">
        <f aca="false">IF($A190="","",INDEX('قيود اليومية'!$A$11:$A$1010,MATCH($A190,'قيود اليومية'!$N$11:$N$1010,0)))</f>
        <v/>
      </c>
      <c r="D190" s="84" t="str">
        <f aca="false">IF($A190="","",INDEX('قيود اليومية'!$C$11:$C$1010,MATCH($A190,'قيود اليومية'!$N$11:$N$1010,0)))</f>
        <v/>
      </c>
      <c r="E190" s="51" t="str">
        <f aca="false">IF($A190="","",INDEX('قيود اليومية'!$D$11:$D$1010,MATCH($A190,'قيود اليومية'!$N$11:$N$1010,0))&amp;"")</f>
        <v/>
      </c>
      <c r="F190" s="51" t="str">
        <f aca="false">IF($A190="","",INDEX('قيود اليومية'!$K$11:$K$1010,MATCH($A190,'قيود اليومية'!$N$11:$N$1010,0))&amp;"")</f>
        <v/>
      </c>
      <c r="G190" s="51" t="str">
        <f aca="false">IF($A190="","",INDEX('قيود اليومية'!$F$11:$F$1010,MATCH($A190,'قيود اليومية'!$N$11:$N$1010,0))&amp;"")</f>
        <v/>
      </c>
      <c r="H190" s="85" t="str">
        <f aca="false">IF($A190="","",INDEX('قيود اليومية'!$G$11:$G$1010,MATCH($A190,'قيود اليومية'!$N$11:$N$1010,0)))</f>
        <v/>
      </c>
      <c r="I190" s="85" t="str">
        <f aca="false">IF($A190="","",INDEX('قيود اليومية'!$H$11:$H$1010,MATCH($A190,'قيود اليومية'!$N$11:$N$1010,0)))</f>
        <v/>
      </c>
    </row>
    <row r="191" customFormat="false" ht="15" hidden="false" customHeight="false" outlineLevel="0" collapsed="false">
      <c r="A191" s="82" t="str">
        <f aca="false">IF(ROW()-16&gt;COUNT('قيود اليومية'!$N$11:$N$1010),"",ROW()-16)</f>
        <v/>
      </c>
      <c r="B191" s="83" t="str">
        <f aca="false">IF($A191="","",INDEX('قيود اليومية'!$B$11:$B$1010,MATCH($A191,'قيود اليومية'!$N$11:$N$1010,0)))</f>
        <v/>
      </c>
      <c r="C191" s="84" t="str">
        <f aca="false">IF($A191="","",INDEX('قيود اليومية'!$A$11:$A$1010,MATCH($A191,'قيود اليومية'!$N$11:$N$1010,0)))</f>
        <v/>
      </c>
      <c r="D191" s="84" t="str">
        <f aca="false">IF($A191="","",INDEX('قيود اليومية'!$C$11:$C$1010,MATCH($A191,'قيود اليومية'!$N$11:$N$1010,0)))</f>
        <v/>
      </c>
      <c r="E191" s="51" t="str">
        <f aca="false">IF($A191="","",INDEX('قيود اليومية'!$D$11:$D$1010,MATCH($A191,'قيود اليومية'!$N$11:$N$1010,0))&amp;"")</f>
        <v/>
      </c>
      <c r="F191" s="51" t="str">
        <f aca="false">IF($A191="","",INDEX('قيود اليومية'!$K$11:$K$1010,MATCH($A191,'قيود اليومية'!$N$11:$N$1010,0))&amp;"")</f>
        <v/>
      </c>
      <c r="G191" s="51" t="str">
        <f aca="false">IF($A191="","",INDEX('قيود اليومية'!$F$11:$F$1010,MATCH($A191,'قيود اليومية'!$N$11:$N$1010,0))&amp;"")</f>
        <v/>
      </c>
      <c r="H191" s="85" t="str">
        <f aca="false">IF($A191="","",INDEX('قيود اليومية'!$G$11:$G$1010,MATCH($A191,'قيود اليومية'!$N$11:$N$1010,0)))</f>
        <v/>
      </c>
      <c r="I191" s="85" t="str">
        <f aca="false">IF($A191="","",INDEX('قيود اليومية'!$H$11:$H$1010,MATCH($A191,'قيود اليومية'!$N$11:$N$1010,0)))</f>
        <v/>
      </c>
    </row>
    <row r="192" customFormat="false" ht="15" hidden="false" customHeight="false" outlineLevel="0" collapsed="false">
      <c r="A192" s="82" t="str">
        <f aca="false">IF(ROW()-16&gt;COUNT('قيود اليومية'!$N$11:$N$1010),"",ROW()-16)</f>
        <v/>
      </c>
      <c r="B192" s="83" t="str">
        <f aca="false">IF($A192="","",INDEX('قيود اليومية'!$B$11:$B$1010,MATCH($A192,'قيود اليومية'!$N$11:$N$1010,0)))</f>
        <v/>
      </c>
      <c r="C192" s="84" t="str">
        <f aca="false">IF($A192="","",INDEX('قيود اليومية'!$A$11:$A$1010,MATCH($A192,'قيود اليومية'!$N$11:$N$1010,0)))</f>
        <v/>
      </c>
      <c r="D192" s="84" t="str">
        <f aca="false">IF($A192="","",INDEX('قيود اليومية'!$C$11:$C$1010,MATCH($A192,'قيود اليومية'!$N$11:$N$1010,0)))</f>
        <v/>
      </c>
      <c r="E192" s="51" t="str">
        <f aca="false">IF($A192="","",INDEX('قيود اليومية'!$D$11:$D$1010,MATCH($A192,'قيود اليومية'!$N$11:$N$1010,0))&amp;"")</f>
        <v/>
      </c>
      <c r="F192" s="51" t="str">
        <f aca="false">IF($A192="","",INDEX('قيود اليومية'!$K$11:$K$1010,MATCH($A192,'قيود اليومية'!$N$11:$N$1010,0))&amp;"")</f>
        <v/>
      </c>
      <c r="G192" s="51" t="str">
        <f aca="false">IF($A192="","",INDEX('قيود اليومية'!$F$11:$F$1010,MATCH($A192,'قيود اليومية'!$N$11:$N$1010,0))&amp;"")</f>
        <v/>
      </c>
      <c r="H192" s="85" t="str">
        <f aca="false">IF($A192="","",INDEX('قيود اليومية'!$G$11:$G$1010,MATCH($A192,'قيود اليومية'!$N$11:$N$1010,0)))</f>
        <v/>
      </c>
      <c r="I192" s="85" t="str">
        <f aca="false">IF($A192="","",INDEX('قيود اليومية'!$H$11:$H$1010,MATCH($A192,'قيود اليومية'!$N$11:$N$1010,0)))</f>
        <v/>
      </c>
    </row>
    <row r="193" customFormat="false" ht="15" hidden="false" customHeight="false" outlineLevel="0" collapsed="false">
      <c r="A193" s="82" t="str">
        <f aca="false">IF(ROW()-16&gt;COUNT('قيود اليومية'!$N$11:$N$1010),"",ROW()-16)</f>
        <v/>
      </c>
      <c r="B193" s="83" t="str">
        <f aca="false">IF($A193="","",INDEX('قيود اليومية'!$B$11:$B$1010,MATCH($A193,'قيود اليومية'!$N$11:$N$1010,0)))</f>
        <v/>
      </c>
      <c r="C193" s="84" t="str">
        <f aca="false">IF($A193="","",INDEX('قيود اليومية'!$A$11:$A$1010,MATCH($A193,'قيود اليومية'!$N$11:$N$1010,0)))</f>
        <v/>
      </c>
      <c r="D193" s="84" t="str">
        <f aca="false">IF($A193="","",INDEX('قيود اليومية'!$C$11:$C$1010,MATCH($A193,'قيود اليومية'!$N$11:$N$1010,0)))</f>
        <v/>
      </c>
      <c r="E193" s="51" t="str">
        <f aca="false">IF($A193="","",INDEX('قيود اليومية'!$D$11:$D$1010,MATCH($A193,'قيود اليومية'!$N$11:$N$1010,0))&amp;"")</f>
        <v/>
      </c>
      <c r="F193" s="51" t="str">
        <f aca="false">IF($A193="","",INDEX('قيود اليومية'!$K$11:$K$1010,MATCH($A193,'قيود اليومية'!$N$11:$N$1010,0))&amp;"")</f>
        <v/>
      </c>
      <c r="G193" s="51" t="str">
        <f aca="false">IF($A193="","",INDEX('قيود اليومية'!$F$11:$F$1010,MATCH($A193,'قيود اليومية'!$N$11:$N$1010,0))&amp;"")</f>
        <v/>
      </c>
      <c r="H193" s="85" t="str">
        <f aca="false">IF($A193="","",INDEX('قيود اليومية'!$G$11:$G$1010,MATCH($A193,'قيود اليومية'!$N$11:$N$1010,0)))</f>
        <v/>
      </c>
      <c r="I193" s="85" t="str">
        <f aca="false">IF($A193="","",INDEX('قيود اليومية'!$H$11:$H$1010,MATCH($A193,'قيود اليومية'!$N$11:$N$1010,0)))</f>
        <v/>
      </c>
    </row>
    <row r="194" customFormat="false" ht="15" hidden="false" customHeight="false" outlineLevel="0" collapsed="false">
      <c r="A194" s="82" t="str">
        <f aca="false">IF(ROW()-16&gt;COUNT('قيود اليومية'!$N$11:$N$1010),"",ROW()-16)</f>
        <v/>
      </c>
      <c r="B194" s="83" t="str">
        <f aca="false">IF($A194="","",INDEX('قيود اليومية'!$B$11:$B$1010,MATCH($A194,'قيود اليومية'!$N$11:$N$1010,0)))</f>
        <v/>
      </c>
      <c r="C194" s="84" t="str">
        <f aca="false">IF($A194="","",INDEX('قيود اليومية'!$A$11:$A$1010,MATCH($A194,'قيود اليومية'!$N$11:$N$1010,0)))</f>
        <v/>
      </c>
      <c r="D194" s="84" t="str">
        <f aca="false">IF($A194="","",INDEX('قيود اليومية'!$C$11:$C$1010,MATCH($A194,'قيود اليومية'!$N$11:$N$1010,0)))</f>
        <v/>
      </c>
      <c r="E194" s="51" t="str">
        <f aca="false">IF($A194="","",INDEX('قيود اليومية'!$D$11:$D$1010,MATCH($A194,'قيود اليومية'!$N$11:$N$1010,0))&amp;"")</f>
        <v/>
      </c>
      <c r="F194" s="51" t="str">
        <f aca="false">IF($A194="","",INDEX('قيود اليومية'!$K$11:$K$1010,MATCH($A194,'قيود اليومية'!$N$11:$N$1010,0))&amp;"")</f>
        <v/>
      </c>
      <c r="G194" s="51" t="str">
        <f aca="false">IF($A194="","",INDEX('قيود اليومية'!$F$11:$F$1010,MATCH($A194,'قيود اليومية'!$N$11:$N$1010,0))&amp;"")</f>
        <v/>
      </c>
      <c r="H194" s="85" t="str">
        <f aca="false">IF($A194="","",INDEX('قيود اليومية'!$G$11:$G$1010,MATCH($A194,'قيود اليومية'!$N$11:$N$1010,0)))</f>
        <v/>
      </c>
      <c r="I194" s="85" t="str">
        <f aca="false">IF($A194="","",INDEX('قيود اليومية'!$H$11:$H$1010,MATCH($A194,'قيود اليومية'!$N$11:$N$1010,0)))</f>
        <v/>
      </c>
    </row>
    <row r="195" customFormat="false" ht="15" hidden="false" customHeight="false" outlineLevel="0" collapsed="false">
      <c r="A195" s="82" t="str">
        <f aca="false">IF(ROW()-16&gt;COUNT('قيود اليومية'!$N$11:$N$1010),"",ROW()-16)</f>
        <v/>
      </c>
      <c r="B195" s="83" t="str">
        <f aca="false">IF($A195="","",INDEX('قيود اليومية'!$B$11:$B$1010,MATCH($A195,'قيود اليومية'!$N$11:$N$1010,0)))</f>
        <v/>
      </c>
      <c r="C195" s="84" t="str">
        <f aca="false">IF($A195="","",INDEX('قيود اليومية'!$A$11:$A$1010,MATCH($A195,'قيود اليومية'!$N$11:$N$1010,0)))</f>
        <v/>
      </c>
      <c r="D195" s="84" t="str">
        <f aca="false">IF($A195="","",INDEX('قيود اليومية'!$C$11:$C$1010,MATCH($A195,'قيود اليومية'!$N$11:$N$1010,0)))</f>
        <v/>
      </c>
      <c r="E195" s="51" t="str">
        <f aca="false">IF($A195="","",INDEX('قيود اليومية'!$D$11:$D$1010,MATCH($A195,'قيود اليومية'!$N$11:$N$1010,0))&amp;"")</f>
        <v/>
      </c>
      <c r="F195" s="51" t="str">
        <f aca="false">IF($A195="","",INDEX('قيود اليومية'!$K$11:$K$1010,MATCH($A195,'قيود اليومية'!$N$11:$N$1010,0))&amp;"")</f>
        <v/>
      </c>
      <c r="G195" s="51" t="str">
        <f aca="false">IF($A195="","",INDEX('قيود اليومية'!$F$11:$F$1010,MATCH($A195,'قيود اليومية'!$N$11:$N$1010,0))&amp;"")</f>
        <v/>
      </c>
      <c r="H195" s="85" t="str">
        <f aca="false">IF($A195="","",INDEX('قيود اليومية'!$G$11:$G$1010,MATCH($A195,'قيود اليومية'!$N$11:$N$1010,0)))</f>
        <v/>
      </c>
      <c r="I195" s="85" t="str">
        <f aca="false">IF($A195="","",INDEX('قيود اليومية'!$H$11:$H$1010,MATCH($A195,'قيود اليومية'!$N$11:$N$1010,0)))</f>
        <v/>
      </c>
    </row>
    <row r="196" customFormat="false" ht="15" hidden="false" customHeight="false" outlineLevel="0" collapsed="false">
      <c r="A196" s="82" t="str">
        <f aca="false">IF(ROW()-16&gt;COUNT('قيود اليومية'!$N$11:$N$1010),"",ROW()-16)</f>
        <v/>
      </c>
      <c r="B196" s="83" t="str">
        <f aca="false">IF($A196="","",INDEX('قيود اليومية'!$B$11:$B$1010,MATCH($A196,'قيود اليومية'!$N$11:$N$1010,0)))</f>
        <v/>
      </c>
      <c r="C196" s="84" t="str">
        <f aca="false">IF($A196="","",INDEX('قيود اليومية'!$A$11:$A$1010,MATCH($A196,'قيود اليومية'!$N$11:$N$1010,0)))</f>
        <v/>
      </c>
      <c r="D196" s="84" t="str">
        <f aca="false">IF($A196="","",INDEX('قيود اليومية'!$C$11:$C$1010,MATCH($A196,'قيود اليومية'!$N$11:$N$1010,0)))</f>
        <v/>
      </c>
      <c r="E196" s="51" t="str">
        <f aca="false">IF($A196="","",INDEX('قيود اليومية'!$D$11:$D$1010,MATCH($A196,'قيود اليومية'!$N$11:$N$1010,0))&amp;"")</f>
        <v/>
      </c>
      <c r="F196" s="51" t="str">
        <f aca="false">IF($A196="","",INDEX('قيود اليومية'!$K$11:$K$1010,MATCH($A196,'قيود اليومية'!$N$11:$N$1010,0))&amp;"")</f>
        <v/>
      </c>
      <c r="G196" s="51" t="str">
        <f aca="false">IF($A196="","",INDEX('قيود اليومية'!$F$11:$F$1010,MATCH($A196,'قيود اليومية'!$N$11:$N$1010,0))&amp;"")</f>
        <v/>
      </c>
      <c r="H196" s="85" t="str">
        <f aca="false">IF($A196="","",INDEX('قيود اليومية'!$G$11:$G$1010,MATCH($A196,'قيود اليومية'!$N$11:$N$1010,0)))</f>
        <v/>
      </c>
      <c r="I196" s="85" t="str">
        <f aca="false">IF($A196="","",INDEX('قيود اليومية'!$H$11:$H$1010,MATCH($A196,'قيود اليومية'!$N$11:$N$1010,0)))</f>
        <v/>
      </c>
    </row>
    <row r="197" customFormat="false" ht="15" hidden="false" customHeight="false" outlineLevel="0" collapsed="false">
      <c r="A197" s="82" t="str">
        <f aca="false">IF(ROW()-16&gt;COUNT('قيود اليومية'!$N$11:$N$1010),"",ROW()-16)</f>
        <v/>
      </c>
      <c r="B197" s="83" t="str">
        <f aca="false">IF($A197="","",INDEX('قيود اليومية'!$B$11:$B$1010,MATCH($A197,'قيود اليومية'!$N$11:$N$1010,0)))</f>
        <v/>
      </c>
      <c r="C197" s="84" t="str">
        <f aca="false">IF($A197="","",INDEX('قيود اليومية'!$A$11:$A$1010,MATCH($A197,'قيود اليومية'!$N$11:$N$1010,0)))</f>
        <v/>
      </c>
      <c r="D197" s="84" t="str">
        <f aca="false">IF($A197="","",INDEX('قيود اليومية'!$C$11:$C$1010,MATCH($A197,'قيود اليومية'!$N$11:$N$1010,0)))</f>
        <v/>
      </c>
      <c r="E197" s="51" t="str">
        <f aca="false">IF($A197="","",INDEX('قيود اليومية'!$D$11:$D$1010,MATCH($A197,'قيود اليومية'!$N$11:$N$1010,0))&amp;"")</f>
        <v/>
      </c>
      <c r="F197" s="51" t="str">
        <f aca="false">IF($A197="","",INDEX('قيود اليومية'!$K$11:$K$1010,MATCH($A197,'قيود اليومية'!$N$11:$N$1010,0))&amp;"")</f>
        <v/>
      </c>
      <c r="G197" s="51" t="str">
        <f aca="false">IF($A197="","",INDEX('قيود اليومية'!$F$11:$F$1010,MATCH($A197,'قيود اليومية'!$N$11:$N$1010,0))&amp;"")</f>
        <v/>
      </c>
      <c r="H197" s="85" t="str">
        <f aca="false">IF($A197="","",INDEX('قيود اليومية'!$G$11:$G$1010,MATCH($A197,'قيود اليومية'!$N$11:$N$1010,0)))</f>
        <v/>
      </c>
      <c r="I197" s="85" t="str">
        <f aca="false">IF($A197="","",INDEX('قيود اليومية'!$H$11:$H$1010,MATCH($A197,'قيود اليومية'!$N$11:$N$1010,0)))</f>
        <v/>
      </c>
    </row>
    <row r="198" customFormat="false" ht="15" hidden="false" customHeight="false" outlineLevel="0" collapsed="false">
      <c r="A198" s="82" t="str">
        <f aca="false">IF(ROW()-16&gt;COUNT('قيود اليومية'!$N$11:$N$1010),"",ROW()-16)</f>
        <v/>
      </c>
      <c r="B198" s="83" t="str">
        <f aca="false">IF($A198="","",INDEX('قيود اليومية'!$B$11:$B$1010,MATCH($A198,'قيود اليومية'!$N$11:$N$1010,0)))</f>
        <v/>
      </c>
      <c r="C198" s="84" t="str">
        <f aca="false">IF($A198="","",INDEX('قيود اليومية'!$A$11:$A$1010,MATCH($A198,'قيود اليومية'!$N$11:$N$1010,0)))</f>
        <v/>
      </c>
      <c r="D198" s="84" t="str">
        <f aca="false">IF($A198="","",INDEX('قيود اليومية'!$C$11:$C$1010,MATCH($A198,'قيود اليومية'!$N$11:$N$1010,0)))</f>
        <v/>
      </c>
      <c r="E198" s="51" t="str">
        <f aca="false">IF($A198="","",INDEX('قيود اليومية'!$D$11:$D$1010,MATCH($A198,'قيود اليومية'!$N$11:$N$1010,0))&amp;"")</f>
        <v/>
      </c>
      <c r="F198" s="51" t="str">
        <f aca="false">IF($A198="","",INDEX('قيود اليومية'!$K$11:$K$1010,MATCH($A198,'قيود اليومية'!$N$11:$N$1010,0))&amp;"")</f>
        <v/>
      </c>
      <c r="G198" s="51" t="str">
        <f aca="false">IF($A198="","",INDEX('قيود اليومية'!$F$11:$F$1010,MATCH($A198,'قيود اليومية'!$N$11:$N$1010,0))&amp;"")</f>
        <v/>
      </c>
      <c r="H198" s="85" t="str">
        <f aca="false">IF($A198="","",INDEX('قيود اليومية'!$G$11:$G$1010,MATCH($A198,'قيود اليومية'!$N$11:$N$1010,0)))</f>
        <v/>
      </c>
      <c r="I198" s="85" t="str">
        <f aca="false">IF($A198="","",INDEX('قيود اليومية'!$H$11:$H$1010,MATCH($A198,'قيود اليومية'!$N$11:$N$1010,0)))</f>
        <v/>
      </c>
    </row>
    <row r="199" customFormat="false" ht="15" hidden="false" customHeight="false" outlineLevel="0" collapsed="false">
      <c r="A199" s="82" t="str">
        <f aca="false">IF(ROW()-16&gt;COUNT('قيود اليومية'!$N$11:$N$1010),"",ROW()-16)</f>
        <v/>
      </c>
      <c r="B199" s="83" t="str">
        <f aca="false">IF($A199="","",INDEX('قيود اليومية'!$B$11:$B$1010,MATCH($A199,'قيود اليومية'!$N$11:$N$1010,0)))</f>
        <v/>
      </c>
      <c r="C199" s="84" t="str">
        <f aca="false">IF($A199="","",INDEX('قيود اليومية'!$A$11:$A$1010,MATCH($A199,'قيود اليومية'!$N$11:$N$1010,0)))</f>
        <v/>
      </c>
      <c r="D199" s="84" t="str">
        <f aca="false">IF($A199="","",INDEX('قيود اليومية'!$C$11:$C$1010,MATCH($A199,'قيود اليومية'!$N$11:$N$1010,0)))</f>
        <v/>
      </c>
      <c r="E199" s="51" t="str">
        <f aca="false">IF($A199="","",INDEX('قيود اليومية'!$D$11:$D$1010,MATCH($A199,'قيود اليومية'!$N$11:$N$1010,0))&amp;"")</f>
        <v/>
      </c>
      <c r="F199" s="51" t="str">
        <f aca="false">IF($A199="","",INDEX('قيود اليومية'!$K$11:$K$1010,MATCH($A199,'قيود اليومية'!$N$11:$N$1010,0))&amp;"")</f>
        <v/>
      </c>
      <c r="G199" s="51" t="str">
        <f aca="false">IF($A199="","",INDEX('قيود اليومية'!$F$11:$F$1010,MATCH($A199,'قيود اليومية'!$N$11:$N$1010,0))&amp;"")</f>
        <v/>
      </c>
      <c r="H199" s="85" t="str">
        <f aca="false">IF($A199="","",INDEX('قيود اليومية'!$G$11:$G$1010,MATCH($A199,'قيود اليومية'!$N$11:$N$1010,0)))</f>
        <v/>
      </c>
      <c r="I199" s="85" t="str">
        <f aca="false">IF($A199="","",INDEX('قيود اليومية'!$H$11:$H$1010,MATCH($A199,'قيود اليومية'!$N$11:$N$1010,0)))</f>
        <v/>
      </c>
    </row>
    <row r="200" customFormat="false" ht="15" hidden="false" customHeight="false" outlineLevel="0" collapsed="false">
      <c r="A200" s="82" t="str">
        <f aca="false">IF(ROW()-16&gt;COUNT('قيود اليومية'!$N$11:$N$1010),"",ROW()-16)</f>
        <v/>
      </c>
      <c r="B200" s="83" t="str">
        <f aca="false">IF($A200="","",INDEX('قيود اليومية'!$B$11:$B$1010,MATCH($A200,'قيود اليومية'!$N$11:$N$1010,0)))</f>
        <v/>
      </c>
      <c r="C200" s="84" t="str">
        <f aca="false">IF($A200="","",INDEX('قيود اليومية'!$A$11:$A$1010,MATCH($A200,'قيود اليومية'!$N$11:$N$1010,0)))</f>
        <v/>
      </c>
      <c r="D200" s="84" t="str">
        <f aca="false">IF($A200="","",INDEX('قيود اليومية'!$C$11:$C$1010,MATCH($A200,'قيود اليومية'!$N$11:$N$1010,0)))</f>
        <v/>
      </c>
      <c r="E200" s="51" t="str">
        <f aca="false">IF($A200="","",INDEX('قيود اليومية'!$D$11:$D$1010,MATCH($A200,'قيود اليومية'!$N$11:$N$1010,0))&amp;"")</f>
        <v/>
      </c>
      <c r="F200" s="51" t="str">
        <f aca="false">IF($A200="","",INDEX('قيود اليومية'!$K$11:$K$1010,MATCH($A200,'قيود اليومية'!$N$11:$N$1010,0))&amp;"")</f>
        <v/>
      </c>
      <c r="G200" s="51" t="str">
        <f aca="false">IF($A200="","",INDEX('قيود اليومية'!$F$11:$F$1010,MATCH($A200,'قيود اليومية'!$N$11:$N$1010,0))&amp;"")</f>
        <v/>
      </c>
      <c r="H200" s="85" t="str">
        <f aca="false">IF($A200="","",INDEX('قيود اليومية'!$G$11:$G$1010,MATCH($A200,'قيود اليومية'!$N$11:$N$1010,0)))</f>
        <v/>
      </c>
      <c r="I200" s="85" t="str">
        <f aca="false">IF($A200="","",INDEX('قيود اليومية'!$H$11:$H$1010,MATCH($A200,'قيود اليومية'!$N$11:$N$1010,0)))</f>
        <v/>
      </c>
    </row>
    <row r="201" customFormat="false" ht="15" hidden="false" customHeight="false" outlineLevel="0" collapsed="false">
      <c r="A201" s="82" t="str">
        <f aca="false">IF(ROW()-16&gt;COUNT('قيود اليومية'!$N$11:$N$1010),"",ROW()-16)</f>
        <v/>
      </c>
      <c r="B201" s="83" t="str">
        <f aca="false">IF($A201="","",INDEX('قيود اليومية'!$B$11:$B$1010,MATCH($A201,'قيود اليومية'!$N$11:$N$1010,0)))</f>
        <v/>
      </c>
      <c r="C201" s="84" t="str">
        <f aca="false">IF($A201="","",INDEX('قيود اليومية'!$A$11:$A$1010,MATCH($A201,'قيود اليومية'!$N$11:$N$1010,0)))</f>
        <v/>
      </c>
      <c r="D201" s="84" t="str">
        <f aca="false">IF($A201="","",INDEX('قيود اليومية'!$C$11:$C$1010,MATCH($A201,'قيود اليومية'!$N$11:$N$1010,0)))</f>
        <v/>
      </c>
      <c r="E201" s="51" t="str">
        <f aca="false">IF($A201="","",INDEX('قيود اليومية'!$D$11:$D$1010,MATCH($A201,'قيود اليومية'!$N$11:$N$1010,0))&amp;"")</f>
        <v/>
      </c>
      <c r="F201" s="51" t="str">
        <f aca="false">IF($A201="","",INDEX('قيود اليومية'!$K$11:$K$1010,MATCH($A201,'قيود اليومية'!$N$11:$N$1010,0))&amp;"")</f>
        <v/>
      </c>
      <c r="G201" s="51" t="str">
        <f aca="false">IF($A201="","",INDEX('قيود اليومية'!$F$11:$F$1010,MATCH($A201,'قيود اليومية'!$N$11:$N$1010,0))&amp;"")</f>
        <v/>
      </c>
      <c r="H201" s="85" t="str">
        <f aca="false">IF($A201="","",INDEX('قيود اليومية'!$G$11:$G$1010,MATCH($A201,'قيود اليومية'!$N$11:$N$1010,0)))</f>
        <v/>
      </c>
      <c r="I201" s="85" t="str">
        <f aca="false">IF($A201="","",INDEX('قيود اليومية'!$H$11:$H$1010,MATCH($A201,'قيود اليومية'!$N$11:$N$1010,0)))</f>
        <v/>
      </c>
    </row>
    <row r="202" customFormat="false" ht="15" hidden="false" customHeight="false" outlineLevel="0" collapsed="false">
      <c r="A202" s="82" t="str">
        <f aca="false">IF(ROW()-16&gt;COUNT('قيود اليومية'!$N$11:$N$1010),"",ROW()-16)</f>
        <v/>
      </c>
      <c r="B202" s="83" t="str">
        <f aca="false">IF($A202="","",INDEX('قيود اليومية'!$B$11:$B$1010,MATCH($A202,'قيود اليومية'!$N$11:$N$1010,0)))</f>
        <v/>
      </c>
      <c r="C202" s="84" t="str">
        <f aca="false">IF($A202="","",INDEX('قيود اليومية'!$A$11:$A$1010,MATCH($A202,'قيود اليومية'!$N$11:$N$1010,0)))</f>
        <v/>
      </c>
      <c r="D202" s="84" t="str">
        <f aca="false">IF($A202="","",INDEX('قيود اليومية'!$C$11:$C$1010,MATCH($A202,'قيود اليومية'!$N$11:$N$1010,0)))</f>
        <v/>
      </c>
      <c r="E202" s="51" t="str">
        <f aca="false">IF($A202="","",INDEX('قيود اليومية'!$D$11:$D$1010,MATCH($A202,'قيود اليومية'!$N$11:$N$1010,0))&amp;"")</f>
        <v/>
      </c>
      <c r="F202" s="51" t="str">
        <f aca="false">IF($A202="","",INDEX('قيود اليومية'!$K$11:$K$1010,MATCH($A202,'قيود اليومية'!$N$11:$N$1010,0))&amp;"")</f>
        <v/>
      </c>
      <c r="G202" s="51" t="str">
        <f aca="false">IF($A202="","",INDEX('قيود اليومية'!$F$11:$F$1010,MATCH($A202,'قيود اليومية'!$N$11:$N$1010,0))&amp;"")</f>
        <v/>
      </c>
      <c r="H202" s="85" t="str">
        <f aca="false">IF($A202="","",INDEX('قيود اليومية'!$G$11:$G$1010,MATCH($A202,'قيود اليومية'!$N$11:$N$1010,0)))</f>
        <v/>
      </c>
      <c r="I202" s="85" t="str">
        <f aca="false">IF($A202="","",INDEX('قيود اليومية'!$H$11:$H$1010,MATCH($A202,'قيود اليومية'!$N$11:$N$1010,0)))</f>
        <v/>
      </c>
    </row>
    <row r="203" customFormat="false" ht="15" hidden="false" customHeight="false" outlineLevel="0" collapsed="false">
      <c r="A203" s="82" t="str">
        <f aca="false">IF(ROW()-16&gt;COUNT('قيود اليومية'!$N$11:$N$1010),"",ROW()-16)</f>
        <v/>
      </c>
      <c r="B203" s="83" t="str">
        <f aca="false">IF($A203="","",INDEX('قيود اليومية'!$B$11:$B$1010,MATCH($A203,'قيود اليومية'!$N$11:$N$1010,0)))</f>
        <v/>
      </c>
      <c r="C203" s="84" t="str">
        <f aca="false">IF($A203="","",INDEX('قيود اليومية'!$A$11:$A$1010,MATCH($A203,'قيود اليومية'!$N$11:$N$1010,0)))</f>
        <v/>
      </c>
      <c r="D203" s="84" t="str">
        <f aca="false">IF($A203="","",INDEX('قيود اليومية'!$C$11:$C$1010,MATCH($A203,'قيود اليومية'!$N$11:$N$1010,0)))</f>
        <v/>
      </c>
      <c r="E203" s="51" t="str">
        <f aca="false">IF($A203="","",INDEX('قيود اليومية'!$D$11:$D$1010,MATCH($A203,'قيود اليومية'!$N$11:$N$1010,0))&amp;"")</f>
        <v/>
      </c>
      <c r="F203" s="51" t="str">
        <f aca="false">IF($A203="","",INDEX('قيود اليومية'!$K$11:$K$1010,MATCH($A203,'قيود اليومية'!$N$11:$N$1010,0))&amp;"")</f>
        <v/>
      </c>
      <c r="G203" s="51" t="str">
        <f aca="false">IF($A203="","",INDEX('قيود اليومية'!$F$11:$F$1010,MATCH($A203,'قيود اليومية'!$N$11:$N$1010,0))&amp;"")</f>
        <v/>
      </c>
      <c r="H203" s="85" t="str">
        <f aca="false">IF($A203="","",INDEX('قيود اليومية'!$G$11:$G$1010,MATCH($A203,'قيود اليومية'!$N$11:$N$1010,0)))</f>
        <v/>
      </c>
      <c r="I203" s="85" t="str">
        <f aca="false">IF($A203="","",INDEX('قيود اليومية'!$H$11:$H$1010,MATCH($A203,'قيود اليومية'!$N$11:$N$1010,0)))</f>
        <v/>
      </c>
    </row>
    <row r="204" customFormat="false" ht="15" hidden="false" customHeight="false" outlineLevel="0" collapsed="false">
      <c r="A204" s="82" t="str">
        <f aca="false">IF(ROW()-16&gt;COUNT('قيود اليومية'!$N$11:$N$1010),"",ROW()-16)</f>
        <v/>
      </c>
      <c r="B204" s="83" t="str">
        <f aca="false">IF($A204="","",INDEX('قيود اليومية'!$B$11:$B$1010,MATCH($A204,'قيود اليومية'!$N$11:$N$1010,0)))</f>
        <v/>
      </c>
      <c r="C204" s="84" t="str">
        <f aca="false">IF($A204="","",INDEX('قيود اليومية'!$A$11:$A$1010,MATCH($A204,'قيود اليومية'!$N$11:$N$1010,0)))</f>
        <v/>
      </c>
      <c r="D204" s="84" t="str">
        <f aca="false">IF($A204="","",INDEX('قيود اليومية'!$C$11:$C$1010,MATCH($A204,'قيود اليومية'!$N$11:$N$1010,0)))</f>
        <v/>
      </c>
      <c r="E204" s="51" t="str">
        <f aca="false">IF($A204="","",INDEX('قيود اليومية'!$D$11:$D$1010,MATCH($A204,'قيود اليومية'!$N$11:$N$1010,0))&amp;"")</f>
        <v/>
      </c>
      <c r="F204" s="51" t="str">
        <f aca="false">IF($A204="","",INDEX('قيود اليومية'!$K$11:$K$1010,MATCH($A204,'قيود اليومية'!$N$11:$N$1010,0))&amp;"")</f>
        <v/>
      </c>
      <c r="G204" s="51" t="str">
        <f aca="false">IF($A204="","",INDEX('قيود اليومية'!$F$11:$F$1010,MATCH($A204,'قيود اليومية'!$N$11:$N$1010,0))&amp;"")</f>
        <v/>
      </c>
      <c r="H204" s="85" t="str">
        <f aca="false">IF($A204="","",INDEX('قيود اليومية'!$G$11:$G$1010,MATCH($A204,'قيود اليومية'!$N$11:$N$1010,0)))</f>
        <v/>
      </c>
      <c r="I204" s="85" t="str">
        <f aca="false">IF($A204="","",INDEX('قيود اليومية'!$H$11:$H$1010,MATCH($A204,'قيود اليومية'!$N$11:$N$1010,0)))</f>
        <v/>
      </c>
    </row>
    <row r="205" customFormat="false" ht="15" hidden="false" customHeight="false" outlineLevel="0" collapsed="false">
      <c r="A205" s="82" t="str">
        <f aca="false">IF(ROW()-16&gt;COUNT('قيود اليومية'!$N$11:$N$1010),"",ROW()-16)</f>
        <v/>
      </c>
      <c r="B205" s="83" t="str">
        <f aca="false">IF($A205="","",INDEX('قيود اليومية'!$B$11:$B$1010,MATCH($A205,'قيود اليومية'!$N$11:$N$1010,0)))</f>
        <v/>
      </c>
      <c r="C205" s="84" t="str">
        <f aca="false">IF($A205="","",INDEX('قيود اليومية'!$A$11:$A$1010,MATCH($A205,'قيود اليومية'!$N$11:$N$1010,0)))</f>
        <v/>
      </c>
      <c r="D205" s="84" t="str">
        <f aca="false">IF($A205="","",INDEX('قيود اليومية'!$C$11:$C$1010,MATCH($A205,'قيود اليومية'!$N$11:$N$1010,0)))</f>
        <v/>
      </c>
      <c r="E205" s="51" t="str">
        <f aca="false">IF($A205="","",INDEX('قيود اليومية'!$D$11:$D$1010,MATCH($A205,'قيود اليومية'!$N$11:$N$1010,0))&amp;"")</f>
        <v/>
      </c>
      <c r="F205" s="51" t="str">
        <f aca="false">IF($A205="","",INDEX('قيود اليومية'!$K$11:$K$1010,MATCH($A205,'قيود اليومية'!$N$11:$N$1010,0))&amp;"")</f>
        <v/>
      </c>
      <c r="G205" s="51" t="str">
        <f aca="false">IF($A205="","",INDEX('قيود اليومية'!$F$11:$F$1010,MATCH($A205,'قيود اليومية'!$N$11:$N$1010,0))&amp;"")</f>
        <v/>
      </c>
      <c r="H205" s="85" t="str">
        <f aca="false">IF($A205="","",INDEX('قيود اليومية'!$G$11:$G$1010,MATCH($A205,'قيود اليومية'!$N$11:$N$1010,0)))</f>
        <v/>
      </c>
      <c r="I205" s="85" t="str">
        <f aca="false">IF($A205="","",INDEX('قيود اليومية'!$H$11:$H$1010,MATCH($A205,'قيود اليومية'!$N$11:$N$1010,0)))</f>
        <v/>
      </c>
    </row>
    <row r="206" customFormat="false" ht="15" hidden="false" customHeight="false" outlineLevel="0" collapsed="false">
      <c r="A206" s="82" t="str">
        <f aca="false">IF(ROW()-16&gt;COUNT('قيود اليومية'!$N$11:$N$1010),"",ROW()-16)</f>
        <v/>
      </c>
      <c r="B206" s="83" t="str">
        <f aca="false">IF($A206="","",INDEX('قيود اليومية'!$B$11:$B$1010,MATCH($A206,'قيود اليومية'!$N$11:$N$1010,0)))</f>
        <v/>
      </c>
      <c r="C206" s="84" t="str">
        <f aca="false">IF($A206="","",INDEX('قيود اليومية'!$A$11:$A$1010,MATCH($A206,'قيود اليومية'!$N$11:$N$1010,0)))</f>
        <v/>
      </c>
      <c r="D206" s="84" t="str">
        <f aca="false">IF($A206="","",INDEX('قيود اليومية'!$C$11:$C$1010,MATCH($A206,'قيود اليومية'!$N$11:$N$1010,0)))</f>
        <v/>
      </c>
      <c r="E206" s="51" t="str">
        <f aca="false">IF($A206="","",INDEX('قيود اليومية'!$D$11:$D$1010,MATCH($A206,'قيود اليومية'!$N$11:$N$1010,0))&amp;"")</f>
        <v/>
      </c>
      <c r="F206" s="51" t="str">
        <f aca="false">IF($A206="","",INDEX('قيود اليومية'!$K$11:$K$1010,MATCH($A206,'قيود اليومية'!$N$11:$N$1010,0))&amp;"")</f>
        <v/>
      </c>
      <c r="G206" s="51" t="str">
        <f aca="false">IF($A206="","",INDEX('قيود اليومية'!$F$11:$F$1010,MATCH($A206,'قيود اليومية'!$N$11:$N$1010,0))&amp;"")</f>
        <v/>
      </c>
      <c r="H206" s="85" t="str">
        <f aca="false">IF($A206="","",INDEX('قيود اليومية'!$G$11:$G$1010,MATCH($A206,'قيود اليومية'!$N$11:$N$1010,0)))</f>
        <v/>
      </c>
      <c r="I206" s="85" t="str">
        <f aca="false">IF($A206="","",INDEX('قيود اليومية'!$H$11:$H$1010,MATCH($A206,'قيود اليومية'!$N$11:$N$1010,0)))</f>
        <v/>
      </c>
    </row>
    <row r="207" customFormat="false" ht="15" hidden="false" customHeight="false" outlineLevel="0" collapsed="false">
      <c r="A207" s="82" t="str">
        <f aca="false">IF(ROW()-16&gt;COUNT('قيود اليومية'!$N$11:$N$1010),"",ROW()-16)</f>
        <v/>
      </c>
      <c r="B207" s="83" t="str">
        <f aca="false">IF($A207="","",INDEX('قيود اليومية'!$B$11:$B$1010,MATCH($A207,'قيود اليومية'!$N$11:$N$1010,0)))</f>
        <v/>
      </c>
      <c r="C207" s="84" t="str">
        <f aca="false">IF($A207="","",INDEX('قيود اليومية'!$A$11:$A$1010,MATCH($A207,'قيود اليومية'!$N$11:$N$1010,0)))</f>
        <v/>
      </c>
      <c r="D207" s="84" t="str">
        <f aca="false">IF($A207="","",INDEX('قيود اليومية'!$C$11:$C$1010,MATCH($A207,'قيود اليومية'!$N$11:$N$1010,0)))</f>
        <v/>
      </c>
      <c r="E207" s="51" t="str">
        <f aca="false">IF($A207="","",INDEX('قيود اليومية'!$D$11:$D$1010,MATCH($A207,'قيود اليومية'!$N$11:$N$1010,0))&amp;"")</f>
        <v/>
      </c>
      <c r="F207" s="51" t="str">
        <f aca="false">IF($A207="","",INDEX('قيود اليومية'!$K$11:$K$1010,MATCH($A207,'قيود اليومية'!$N$11:$N$1010,0))&amp;"")</f>
        <v/>
      </c>
      <c r="G207" s="51" t="str">
        <f aca="false">IF($A207="","",INDEX('قيود اليومية'!$F$11:$F$1010,MATCH($A207,'قيود اليومية'!$N$11:$N$1010,0))&amp;"")</f>
        <v/>
      </c>
      <c r="H207" s="85" t="str">
        <f aca="false">IF($A207="","",INDEX('قيود اليومية'!$G$11:$G$1010,MATCH($A207,'قيود اليومية'!$N$11:$N$1010,0)))</f>
        <v/>
      </c>
      <c r="I207" s="85" t="str">
        <f aca="false">IF($A207="","",INDEX('قيود اليومية'!$H$11:$H$1010,MATCH($A207,'قيود اليومية'!$N$11:$N$1010,0)))</f>
        <v/>
      </c>
    </row>
    <row r="208" customFormat="false" ht="15" hidden="false" customHeight="false" outlineLevel="0" collapsed="false">
      <c r="A208" s="82" t="str">
        <f aca="false">IF(ROW()-16&gt;COUNT('قيود اليومية'!$N$11:$N$1010),"",ROW()-16)</f>
        <v/>
      </c>
      <c r="B208" s="83" t="str">
        <f aca="false">IF($A208="","",INDEX('قيود اليومية'!$B$11:$B$1010,MATCH($A208,'قيود اليومية'!$N$11:$N$1010,0)))</f>
        <v/>
      </c>
      <c r="C208" s="84" t="str">
        <f aca="false">IF($A208="","",INDEX('قيود اليومية'!$A$11:$A$1010,MATCH($A208,'قيود اليومية'!$N$11:$N$1010,0)))</f>
        <v/>
      </c>
      <c r="D208" s="84" t="str">
        <f aca="false">IF($A208="","",INDEX('قيود اليومية'!$C$11:$C$1010,MATCH($A208,'قيود اليومية'!$N$11:$N$1010,0)))</f>
        <v/>
      </c>
      <c r="E208" s="51" t="str">
        <f aca="false">IF($A208="","",INDEX('قيود اليومية'!$D$11:$D$1010,MATCH($A208,'قيود اليومية'!$N$11:$N$1010,0))&amp;"")</f>
        <v/>
      </c>
      <c r="F208" s="51" t="str">
        <f aca="false">IF($A208="","",INDEX('قيود اليومية'!$K$11:$K$1010,MATCH($A208,'قيود اليومية'!$N$11:$N$1010,0))&amp;"")</f>
        <v/>
      </c>
      <c r="G208" s="51" t="str">
        <f aca="false">IF($A208="","",INDEX('قيود اليومية'!$F$11:$F$1010,MATCH($A208,'قيود اليومية'!$N$11:$N$1010,0))&amp;"")</f>
        <v/>
      </c>
      <c r="H208" s="85" t="str">
        <f aca="false">IF($A208="","",INDEX('قيود اليومية'!$G$11:$G$1010,MATCH($A208,'قيود اليومية'!$N$11:$N$1010,0)))</f>
        <v/>
      </c>
      <c r="I208" s="85" t="str">
        <f aca="false">IF($A208="","",INDEX('قيود اليومية'!$H$11:$H$1010,MATCH($A208,'قيود اليومية'!$N$11:$N$1010,0)))</f>
        <v/>
      </c>
    </row>
    <row r="209" customFormat="false" ht="15" hidden="false" customHeight="false" outlineLevel="0" collapsed="false">
      <c r="A209" s="82" t="str">
        <f aca="false">IF(ROW()-16&gt;COUNT('قيود اليومية'!$N$11:$N$1010),"",ROW()-16)</f>
        <v/>
      </c>
      <c r="B209" s="83" t="str">
        <f aca="false">IF($A209="","",INDEX('قيود اليومية'!$B$11:$B$1010,MATCH($A209,'قيود اليومية'!$N$11:$N$1010,0)))</f>
        <v/>
      </c>
      <c r="C209" s="84" t="str">
        <f aca="false">IF($A209="","",INDEX('قيود اليومية'!$A$11:$A$1010,MATCH($A209,'قيود اليومية'!$N$11:$N$1010,0)))</f>
        <v/>
      </c>
      <c r="D209" s="84" t="str">
        <f aca="false">IF($A209="","",INDEX('قيود اليومية'!$C$11:$C$1010,MATCH($A209,'قيود اليومية'!$N$11:$N$1010,0)))</f>
        <v/>
      </c>
      <c r="E209" s="51" t="str">
        <f aca="false">IF($A209="","",INDEX('قيود اليومية'!$D$11:$D$1010,MATCH($A209,'قيود اليومية'!$N$11:$N$1010,0))&amp;"")</f>
        <v/>
      </c>
      <c r="F209" s="51" t="str">
        <f aca="false">IF($A209="","",INDEX('قيود اليومية'!$K$11:$K$1010,MATCH($A209,'قيود اليومية'!$N$11:$N$1010,0))&amp;"")</f>
        <v/>
      </c>
      <c r="G209" s="51" t="str">
        <f aca="false">IF($A209="","",INDEX('قيود اليومية'!$F$11:$F$1010,MATCH($A209,'قيود اليومية'!$N$11:$N$1010,0))&amp;"")</f>
        <v/>
      </c>
      <c r="H209" s="85" t="str">
        <f aca="false">IF($A209="","",INDEX('قيود اليومية'!$G$11:$G$1010,MATCH($A209,'قيود اليومية'!$N$11:$N$1010,0)))</f>
        <v/>
      </c>
      <c r="I209" s="85" t="str">
        <f aca="false">IF($A209="","",INDEX('قيود اليومية'!$H$11:$H$1010,MATCH($A209,'قيود اليومية'!$N$11:$N$1010,0)))</f>
        <v/>
      </c>
    </row>
    <row r="210" customFormat="false" ht="15" hidden="false" customHeight="false" outlineLevel="0" collapsed="false">
      <c r="A210" s="82" t="str">
        <f aca="false">IF(ROW()-16&gt;COUNT('قيود اليومية'!$N$11:$N$1010),"",ROW()-16)</f>
        <v/>
      </c>
      <c r="B210" s="83" t="str">
        <f aca="false">IF($A210="","",INDEX('قيود اليومية'!$B$11:$B$1010,MATCH($A210,'قيود اليومية'!$N$11:$N$1010,0)))</f>
        <v/>
      </c>
      <c r="C210" s="84" t="str">
        <f aca="false">IF($A210="","",INDEX('قيود اليومية'!$A$11:$A$1010,MATCH($A210,'قيود اليومية'!$N$11:$N$1010,0)))</f>
        <v/>
      </c>
      <c r="D210" s="84" t="str">
        <f aca="false">IF($A210="","",INDEX('قيود اليومية'!$C$11:$C$1010,MATCH($A210,'قيود اليومية'!$N$11:$N$1010,0)))</f>
        <v/>
      </c>
      <c r="E210" s="51" t="str">
        <f aca="false">IF($A210="","",INDEX('قيود اليومية'!$D$11:$D$1010,MATCH($A210,'قيود اليومية'!$N$11:$N$1010,0))&amp;"")</f>
        <v/>
      </c>
      <c r="F210" s="51" t="str">
        <f aca="false">IF($A210="","",INDEX('قيود اليومية'!$K$11:$K$1010,MATCH($A210,'قيود اليومية'!$N$11:$N$1010,0))&amp;"")</f>
        <v/>
      </c>
      <c r="G210" s="51" t="str">
        <f aca="false">IF($A210="","",INDEX('قيود اليومية'!$F$11:$F$1010,MATCH($A210,'قيود اليومية'!$N$11:$N$1010,0))&amp;"")</f>
        <v/>
      </c>
      <c r="H210" s="85" t="str">
        <f aca="false">IF($A210="","",INDEX('قيود اليومية'!$G$11:$G$1010,MATCH($A210,'قيود اليومية'!$N$11:$N$1010,0)))</f>
        <v/>
      </c>
      <c r="I210" s="85" t="str">
        <f aca="false">IF($A210="","",INDEX('قيود اليومية'!$H$11:$H$1010,MATCH($A210,'قيود اليومية'!$N$11:$N$1010,0)))</f>
        <v/>
      </c>
    </row>
    <row r="211" customFormat="false" ht="15" hidden="false" customHeight="false" outlineLevel="0" collapsed="false">
      <c r="A211" s="82" t="str">
        <f aca="false">IF(ROW()-16&gt;COUNT('قيود اليومية'!$N$11:$N$1010),"",ROW()-16)</f>
        <v/>
      </c>
      <c r="B211" s="83" t="str">
        <f aca="false">IF($A211="","",INDEX('قيود اليومية'!$B$11:$B$1010,MATCH($A211,'قيود اليومية'!$N$11:$N$1010,0)))</f>
        <v/>
      </c>
      <c r="C211" s="84" t="str">
        <f aca="false">IF($A211="","",INDEX('قيود اليومية'!$A$11:$A$1010,MATCH($A211,'قيود اليومية'!$N$11:$N$1010,0)))</f>
        <v/>
      </c>
      <c r="D211" s="84" t="str">
        <f aca="false">IF($A211="","",INDEX('قيود اليومية'!$C$11:$C$1010,MATCH($A211,'قيود اليومية'!$N$11:$N$1010,0)))</f>
        <v/>
      </c>
      <c r="E211" s="51" t="str">
        <f aca="false">IF($A211="","",INDEX('قيود اليومية'!$D$11:$D$1010,MATCH($A211,'قيود اليومية'!$N$11:$N$1010,0))&amp;"")</f>
        <v/>
      </c>
      <c r="F211" s="51" t="str">
        <f aca="false">IF($A211="","",INDEX('قيود اليومية'!$K$11:$K$1010,MATCH($A211,'قيود اليومية'!$N$11:$N$1010,0))&amp;"")</f>
        <v/>
      </c>
      <c r="G211" s="51" t="str">
        <f aca="false">IF($A211="","",INDEX('قيود اليومية'!$F$11:$F$1010,MATCH($A211,'قيود اليومية'!$N$11:$N$1010,0))&amp;"")</f>
        <v/>
      </c>
      <c r="H211" s="85" t="str">
        <f aca="false">IF($A211="","",INDEX('قيود اليومية'!$G$11:$G$1010,MATCH($A211,'قيود اليومية'!$N$11:$N$1010,0)))</f>
        <v/>
      </c>
      <c r="I211" s="85" t="str">
        <f aca="false">IF($A211="","",INDEX('قيود اليومية'!$H$11:$H$1010,MATCH($A211,'قيود اليومية'!$N$11:$N$1010,0)))</f>
        <v/>
      </c>
    </row>
    <row r="212" customFormat="false" ht="15" hidden="false" customHeight="false" outlineLevel="0" collapsed="false">
      <c r="A212" s="82" t="str">
        <f aca="false">IF(ROW()-16&gt;COUNT('قيود اليومية'!$N$11:$N$1010),"",ROW()-16)</f>
        <v/>
      </c>
      <c r="B212" s="83" t="str">
        <f aca="false">IF($A212="","",INDEX('قيود اليومية'!$B$11:$B$1010,MATCH($A212,'قيود اليومية'!$N$11:$N$1010,0)))</f>
        <v/>
      </c>
      <c r="C212" s="84" t="str">
        <f aca="false">IF($A212="","",INDEX('قيود اليومية'!$A$11:$A$1010,MATCH($A212,'قيود اليومية'!$N$11:$N$1010,0)))</f>
        <v/>
      </c>
      <c r="D212" s="84" t="str">
        <f aca="false">IF($A212="","",INDEX('قيود اليومية'!$C$11:$C$1010,MATCH($A212,'قيود اليومية'!$N$11:$N$1010,0)))</f>
        <v/>
      </c>
      <c r="E212" s="51" t="str">
        <f aca="false">IF($A212="","",INDEX('قيود اليومية'!$D$11:$D$1010,MATCH($A212,'قيود اليومية'!$N$11:$N$1010,0))&amp;"")</f>
        <v/>
      </c>
      <c r="F212" s="51" t="str">
        <f aca="false">IF($A212="","",INDEX('قيود اليومية'!$K$11:$K$1010,MATCH($A212,'قيود اليومية'!$N$11:$N$1010,0))&amp;"")</f>
        <v/>
      </c>
      <c r="G212" s="51" t="str">
        <f aca="false">IF($A212="","",INDEX('قيود اليومية'!$F$11:$F$1010,MATCH($A212,'قيود اليومية'!$N$11:$N$1010,0))&amp;"")</f>
        <v/>
      </c>
      <c r="H212" s="85" t="str">
        <f aca="false">IF($A212="","",INDEX('قيود اليومية'!$G$11:$G$1010,MATCH($A212,'قيود اليومية'!$N$11:$N$1010,0)))</f>
        <v/>
      </c>
      <c r="I212" s="85" t="str">
        <f aca="false">IF($A212="","",INDEX('قيود اليومية'!$H$11:$H$1010,MATCH($A212,'قيود اليومية'!$N$11:$N$1010,0)))</f>
        <v/>
      </c>
    </row>
    <row r="213" customFormat="false" ht="15" hidden="false" customHeight="false" outlineLevel="0" collapsed="false">
      <c r="A213" s="82" t="str">
        <f aca="false">IF(ROW()-16&gt;COUNT('قيود اليومية'!$N$11:$N$1010),"",ROW()-16)</f>
        <v/>
      </c>
      <c r="B213" s="83" t="str">
        <f aca="false">IF($A213="","",INDEX('قيود اليومية'!$B$11:$B$1010,MATCH($A213,'قيود اليومية'!$N$11:$N$1010,0)))</f>
        <v/>
      </c>
      <c r="C213" s="84" t="str">
        <f aca="false">IF($A213="","",INDEX('قيود اليومية'!$A$11:$A$1010,MATCH($A213,'قيود اليومية'!$N$11:$N$1010,0)))</f>
        <v/>
      </c>
      <c r="D213" s="84" t="str">
        <f aca="false">IF($A213="","",INDEX('قيود اليومية'!$C$11:$C$1010,MATCH($A213,'قيود اليومية'!$N$11:$N$1010,0)))</f>
        <v/>
      </c>
      <c r="E213" s="51" t="str">
        <f aca="false">IF($A213="","",INDEX('قيود اليومية'!$D$11:$D$1010,MATCH($A213,'قيود اليومية'!$N$11:$N$1010,0))&amp;"")</f>
        <v/>
      </c>
      <c r="F213" s="51" t="str">
        <f aca="false">IF($A213="","",INDEX('قيود اليومية'!$K$11:$K$1010,MATCH($A213,'قيود اليومية'!$N$11:$N$1010,0))&amp;"")</f>
        <v/>
      </c>
      <c r="G213" s="51" t="str">
        <f aca="false">IF($A213="","",INDEX('قيود اليومية'!$F$11:$F$1010,MATCH($A213,'قيود اليومية'!$N$11:$N$1010,0))&amp;"")</f>
        <v/>
      </c>
      <c r="H213" s="85" t="str">
        <f aca="false">IF($A213="","",INDEX('قيود اليومية'!$G$11:$G$1010,MATCH($A213,'قيود اليومية'!$N$11:$N$1010,0)))</f>
        <v/>
      </c>
      <c r="I213" s="85" t="str">
        <f aca="false">IF($A213="","",INDEX('قيود اليومية'!$H$11:$H$1010,MATCH($A213,'قيود اليومية'!$N$11:$N$1010,0)))</f>
        <v/>
      </c>
    </row>
    <row r="214" customFormat="false" ht="15" hidden="false" customHeight="false" outlineLevel="0" collapsed="false">
      <c r="A214" s="82" t="str">
        <f aca="false">IF(ROW()-16&gt;COUNT('قيود اليومية'!$N$11:$N$1010),"",ROW()-16)</f>
        <v/>
      </c>
      <c r="B214" s="83" t="str">
        <f aca="false">IF($A214="","",INDEX('قيود اليومية'!$B$11:$B$1010,MATCH($A214,'قيود اليومية'!$N$11:$N$1010,0)))</f>
        <v/>
      </c>
      <c r="C214" s="84" t="str">
        <f aca="false">IF($A214="","",INDEX('قيود اليومية'!$A$11:$A$1010,MATCH($A214,'قيود اليومية'!$N$11:$N$1010,0)))</f>
        <v/>
      </c>
      <c r="D214" s="84" t="str">
        <f aca="false">IF($A214="","",INDEX('قيود اليومية'!$C$11:$C$1010,MATCH($A214,'قيود اليومية'!$N$11:$N$1010,0)))</f>
        <v/>
      </c>
      <c r="E214" s="51" t="str">
        <f aca="false">IF($A214="","",INDEX('قيود اليومية'!$D$11:$D$1010,MATCH($A214,'قيود اليومية'!$N$11:$N$1010,0))&amp;"")</f>
        <v/>
      </c>
      <c r="F214" s="51" t="str">
        <f aca="false">IF($A214="","",INDEX('قيود اليومية'!$K$11:$K$1010,MATCH($A214,'قيود اليومية'!$N$11:$N$1010,0))&amp;"")</f>
        <v/>
      </c>
      <c r="G214" s="51" t="str">
        <f aca="false">IF($A214="","",INDEX('قيود اليومية'!$F$11:$F$1010,MATCH($A214,'قيود اليومية'!$N$11:$N$1010,0))&amp;"")</f>
        <v/>
      </c>
      <c r="H214" s="85" t="str">
        <f aca="false">IF($A214="","",INDEX('قيود اليومية'!$G$11:$G$1010,MATCH($A214,'قيود اليومية'!$N$11:$N$1010,0)))</f>
        <v/>
      </c>
      <c r="I214" s="85" t="str">
        <f aca="false">IF($A214="","",INDEX('قيود اليومية'!$H$11:$H$1010,MATCH($A214,'قيود اليومية'!$N$11:$N$1010,0)))</f>
        <v/>
      </c>
    </row>
    <row r="215" customFormat="false" ht="15" hidden="false" customHeight="false" outlineLevel="0" collapsed="false">
      <c r="A215" s="82" t="str">
        <f aca="false">IF(ROW()-16&gt;COUNT('قيود اليومية'!$N$11:$N$1010),"",ROW()-16)</f>
        <v/>
      </c>
      <c r="B215" s="83" t="str">
        <f aca="false">IF($A215="","",INDEX('قيود اليومية'!$B$11:$B$1010,MATCH($A215,'قيود اليومية'!$N$11:$N$1010,0)))</f>
        <v/>
      </c>
      <c r="C215" s="84" t="str">
        <f aca="false">IF($A215="","",INDEX('قيود اليومية'!$A$11:$A$1010,MATCH($A215,'قيود اليومية'!$N$11:$N$1010,0)))</f>
        <v/>
      </c>
      <c r="D215" s="84" t="str">
        <f aca="false">IF($A215="","",INDEX('قيود اليومية'!$C$11:$C$1010,MATCH($A215,'قيود اليومية'!$N$11:$N$1010,0)))</f>
        <v/>
      </c>
      <c r="E215" s="51" t="str">
        <f aca="false">IF($A215="","",INDEX('قيود اليومية'!$D$11:$D$1010,MATCH($A215,'قيود اليومية'!$N$11:$N$1010,0))&amp;"")</f>
        <v/>
      </c>
      <c r="F215" s="51" t="str">
        <f aca="false">IF($A215="","",INDEX('قيود اليومية'!$K$11:$K$1010,MATCH($A215,'قيود اليومية'!$N$11:$N$1010,0))&amp;"")</f>
        <v/>
      </c>
      <c r="G215" s="51" t="str">
        <f aca="false">IF($A215="","",INDEX('قيود اليومية'!$F$11:$F$1010,MATCH($A215,'قيود اليومية'!$N$11:$N$1010,0))&amp;"")</f>
        <v/>
      </c>
      <c r="H215" s="85" t="str">
        <f aca="false">IF($A215="","",INDEX('قيود اليومية'!$G$11:$G$1010,MATCH($A215,'قيود اليومية'!$N$11:$N$1010,0)))</f>
        <v/>
      </c>
      <c r="I215" s="85" t="str">
        <f aca="false">IF($A215="","",INDEX('قيود اليومية'!$H$11:$H$1010,MATCH($A215,'قيود اليومية'!$N$11:$N$1010,0)))</f>
        <v/>
      </c>
    </row>
    <row r="216" customFormat="false" ht="15" hidden="false" customHeight="false" outlineLevel="0" collapsed="false">
      <c r="A216" s="82" t="str">
        <f aca="false">IF(ROW()-16&gt;COUNT('قيود اليومية'!$N$11:$N$1010),"",ROW()-16)</f>
        <v/>
      </c>
      <c r="B216" s="83" t="str">
        <f aca="false">IF($A216="","",INDEX('قيود اليومية'!$B$11:$B$1010,MATCH($A216,'قيود اليومية'!$N$11:$N$1010,0)))</f>
        <v/>
      </c>
      <c r="C216" s="84" t="str">
        <f aca="false">IF($A216="","",INDEX('قيود اليومية'!$A$11:$A$1010,MATCH($A216,'قيود اليومية'!$N$11:$N$1010,0)))</f>
        <v/>
      </c>
      <c r="D216" s="84" t="str">
        <f aca="false">IF($A216="","",INDEX('قيود اليومية'!$C$11:$C$1010,MATCH($A216,'قيود اليومية'!$N$11:$N$1010,0)))</f>
        <v/>
      </c>
      <c r="E216" s="51" t="str">
        <f aca="false">IF($A216="","",INDEX('قيود اليومية'!$D$11:$D$1010,MATCH($A216,'قيود اليومية'!$N$11:$N$1010,0))&amp;"")</f>
        <v/>
      </c>
      <c r="F216" s="51" t="str">
        <f aca="false">IF($A216="","",INDEX('قيود اليومية'!$K$11:$K$1010,MATCH($A216,'قيود اليومية'!$N$11:$N$1010,0))&amp;"")</f>
        <v/>
      </c>
      <c r="G216" s="51" t="str">
        <f aca="false">IF($A216="","",INDEX('قيود اليومية'!$F$11:$F$1010,MATCH($A216,'قيود اليومية'!$N$11:$N$1010,0))&amp;"")</f>
        <v/>
      </c>
      <c r="H216" s="85" t="str">
        <f aca="false">IF($A216="","",INDEX('قيود اليومية'!$G$11:$G$1010,MATCH($A216,'قيود اليومية'!$N$11:$N$1010,0)))</f>
        <v/>
      </c>
      <c r="I216" s="85" t="str">
        <f aca="false">IF($A216="","",INDEX('قيود اليومية'!$H$11:$H$1010,MATCH($A216,'قيود اليومية'!$N$11:$N$1010,0)))</f>
        <v/>
      </c>
    </row>
    <row r="217" customFormat="false" ht="15" hidden="false" customHeight="false" outlineLevel="0" collapsed="false">
      <c r="A217" s="82" t="str">
        <f aca="false">IF(ROW()-16&gt;COUNT('قيود اليومية'!$N$11:$N$1010),"",ROW()-16)</f>
        <v/>
      </c>
      <c r="B217" s="83" t="str">
        <f aca="false">IF($A217="","",INDEX('قيود اليومية'!$B$11:$B$1010,MATCH($A217,'قيود اليومية'!$N$11:$N$1010,0)))</f>
        <v/>
      </c>
      <c r="C217" s="84" t="str">
        <f aca="false">IF($A217="","",INDEX('قيود اليومية'!$A$11:$A$1010,MATCH($A217,'قيود اليومية'!$N$11:$N$1010,0)))</f>
        <v/>
      </c>
      <c r="D217" s="84" t="str">
        <f aca="false">IF($A217="","",INDEX('قيود اليومية'!$C$11:$C$1010,MATCH($A217,'قيود اليومية'!$N$11:$N$1010,0)))</f>
        <v/>
      </c>
      <c r="E217" s="51" t="str">
        <f aca="false">IF($A217="","",INDEX('قيود اليومية'!$D$11:$D$1010,MATCH($A217,'قيود اليومية'!$N$11:$N$1010,0))&amp;"")</f>
        <v/>
      </c>
      <c r="F217" s="51" t="str">
        <f aca="false">IF($A217="","",INDEX('قيود اليومية'!$K$11:$K$1010,MATCH($A217,'قيود اليومية'!$N$11:$N$1010,0))&amp;"")</f>
        <v/>
      </c>
      <c r="G217" s="51" t="str">
        <f aca="false">IF($A217="","",INDEX('قيود اليومية'!$F$11:$F$1010,MATCH($A217,'قيود اليومية'!$N$11:$N$1010,0))&amp;"")</f>
        <v/>
      </c>
      <c r="H217" s="85" t="str">
        <f aca="false">IF($A217="","",INDEX('قيود اليومية'!$G$11:$G$1010,MATCH($A217,'قيود اليومية'!$N$11:$N$1010,0)))</f>
        <v/>
      </c>
      <c r="I217" s="85" t="str">
        <f aca="false">IF($A217="","",INDEX('قيود اليومية'!$H$11:$H$1010,MATCH($A217,'قيود اليومية'!$N$11:$N$1010,0)))</f>
        <v/>
      </c>
    </row>
    <row r="218" customFormat="false" ht="15" hidden="false" customHeight="false" outlineLevel="0" collapsed="false">
      <c r="A218" s="82" t="str">
        <f aca="false">IF(ROW()-16&gt;COUNT('قيود اليومية'!$N$11:$N$1010),"",ROW()-16)</f>
        <v/>
      </c>
      <c r="B218" s="83" t="str">
        <f aca="false">IF($A218="","",INDEX('قيود اليومية'!$B$11:$B$1010,MATCH($A218,'قيود اليومية'!$N$11:$N$1010,0)))</f>
        <v/>
      </c>
      <c r="C218" s="84" t="str">
        <f aca="false">IF($A218="","",INDEX('قيود اليومية'!$A$11:$A$1010,MATCH($A218,'قيود اليومية'!$N$11:$N$1010,0)))</f>
        <v/>
      </c>
      <c r="D218" s="84" t="str">
        <f aca="false">IF($A218="","",INDEX('قيود اليومية'!$C$11:$C$1010,MATCH($A218,'قيود اليومية'!$N$11:$N$1010,0)))</f>
        <v/>
      </c>
      <c r="E218" s="51" t="str">
        <f aca="false">IF($A218="","",INDEX('قيود اليومية'!$D$11:$D$1010,MATCH($A218,'قيود اليومية'!$N$11:$N$1010,0))&amp;"")</f>
        <v/>
      </c>
      <c r="F218" s="51" t="str">
        <f aca="false">IF($A218="","",INDEX('قيود اليومية'!$K$11:$K$1010,MATCH($A218,'قيود اليومية'!$N$11:$N$1010,0))&amp;"")</f>
        <v/>
      </c>
      <c r="G218" s="51" t="str">
        <f aca="false">IF($A218="","",INDEX('قيود اليومية'!$F$11:$F$1010,MATCH($A218,'قيود اليومية'!$N$11:$N$1010,0))&amp;"")</f>
        <v/>
      </c>
      <c r="H218" s="85" t="str">
        <f aca="false">IF($A218="","",INDEX('قيود اليومية'!$G$11:$G$1010,MATCH($A218,'قيود اليومية'!$N$11:$N$1010,0)))</f>
        <v/>
      </c>
      <c r="I218" s="85" t="str">
        <f aca="false">IF($A218="","",INDEX('قيود اليومية'!$H$11:$H$1010,MATCH($A218,'قيود اليومية'!$N$11:$N$1010,0)))</f>
        <v/>
      </c>
    </row>
    <row r="219" customFormat="false" ht="15" hidden="false" customHeight="false" outlineLevel="0" collapsed="false">
      <c r="A219" s="82" t="str">
        <f aca="false">IF(ROW()-16&gt;COUNT('قيود اليومية'!$N$11:$N$1010),"",ROW()-16)</f>
        <v/>
      </c>
      <c r="B219" s="83" t="str">
        <f aca="false">IF($A219="","",INDEX('قيود اليومية'!$B$11:$B$1010,MATCH($A219,'قيود اليومية'!$N$11:$N$1010,0)))</f>
        <v/>
      </c>
      <c r="C219" s="84" t="str">
        <f aca="false">IF($A219="","",INDEX('قيود اليومية'!$A$11:$A$1010,MATCH($A219,'قيود اليومية'!$N$11:$N$1010,0)))</f>
        <v/>
      </c>
      <c r="D219" s="84" t="str">
        <f aca="false">IF($A219="","",INDEX('قيود اليومية'!$C$11:$C$1010,MATCH($A219,'قيود اليومية'!$N$11:$N$1010,0)))</f>
        <v/>
      </c>
      <c r="E219" s="51" t="str">
        <f aca="false">IF($A219="","",INDEX('قيود اليومية'!$D$11:$D$1010,MATCH($A219,'قيود اليومية'!$N$11:$N$1010,0))&amp;"")</f>
        <v/>
      </c>
      <c r="F219" s="51" t="str">
        <f aca="false">IF($A219="","",INDEX('قيود اليومية'!$K$11:$K$1010,MATCH($A219,'قيود اليومية'!$N$11:$N$1010,0))&amp;"")</f>
        <v/>
      </c>
      <c r="G219" s="51" t="str">
        <f aca="false">IF($A219="","",INDEX('قيود اليومية'!$F$11:$F$1010,MATCH($A219,'قيود اليومية'!$N$11:$N$1010,0))&amp;"")</f>
        <v/>
      </c>
      <c r="H219" s="85" t="str">
        <f aca="false">IF($A219="","",INDEX('قيود اليومية'!$G$11:$G$1010,MATCH($A219,'قيود اليومية'!$N$11:$N$1010,0)))</f>
        <v/>
      </c>
      <c r="I219" s="85" t="str">
        <f aca="false">IF($A219="","",INDEX('قيود اليومية'!$H$11:$H$1010,MATCH($A219,'قيود اليومية'!$N$11:$N$1010,0)))</f>
        <v/>
      </c>
    </row>
    <row r="220" customFormat="false" ht="15" hidden="false" customHeight="false" outlineLevel="0" collapsed="false">
      <c r="A220" s="82" t="str">
        <f aca="false">IF(ROW()-16&gt;COUNT('قيود اليومية'!$N$11:$N$1010),"",ROW()-16)</f>
        <v/>
      </c>
      <c r="B220" s="83" t="str">
        <f aca="false">IF($A220="","",INDEX('قيود اليومية'!$B$11:$B$1010,MATCH($A220,'قيود اليومية'!$N$11:$N$1010,0)))</f>
        <v/>
      </c>
      <c r="C220" s="84" t="str">
        <f aca="false">IF($A220="","",INDEX('قيود اليومية'!$A$11:$A$1010,MATCH($A220,'قيود اليومية'!$N$11:$N$1010,0)))</f>
        <v/>
      </c>
      <c r="D220" s="84" t="str">
        <f aca="false">IF($A220="","",INDEX('قيود اليومية'!$C$11:$C$1010,MATCH($A220,'قيود اليومية'!$N$11:$N$1010,0)))</f>
        <v/>
      </c>
      <c r="E220" s="51" t="str">
        <f aca="false">IF($A220="","",INDEX('قيود اليومية'!$D$11:$D$1010,MATCH($A220,'قيود اليومية'!$N$11:$N$1010,0))&amp;"")</f>
        <v/>
      </c>
      <c r="F220" s="51" t="str">
        <f aca="false">IF($A220="","",INDEX('قيود اليومية'!$K$11:$K$1010,MATCH($A220,'قيود اليومية'!$N$11:$N$1010,0))&amp;"")</f>
        <v/>
      </c>
      <c r="G220" s="51" t="str">
        <f aca="false">IF($A220="","",INDEX('قيود اليومية'!$F$11:$F$1010,MATCH($A220,'قيود اليومية'!$N$11:$N$1010,0))&amp;"")</f>
        <v/>
      </c>
      <c r="H220" s="85" t="str">
        <f aca="false">IF($A220="","",INDEX('قيود اليومية'!$G$11:$G$1010,MATCH($A220,'قيود اليومية'!$N$11:$N$1010,0)))</f>
        <v/>
      </c>
      <c r="I220" s="85" t="str">
        <f aca="false">IF($A220="","",INDEX('قيود اليومية'!$H$11:$H$1010,MATCH($A220,'قيود اليومية'!$N$11:$N$1010,0)))</f>
        <v/>
      </c>
    </row>
    <row r="221" customFormat="false" ht="15" hidden="false" customHeight="false" outlineLevel="0" collapsed="false">
      <c r="A221" s="82" t="str">
        <f aca="false">IF(ROW()-16&gt;COUNT('قيود اليومية'!$N$11:$N$1010),"",ROW()-16)</f>
        <v/>
      </c>
      <c r="B221" s="83" t="str">
        <f aca="false">IF($A221="","",INDEX('قيود اليومية'!$B$11:$B$1010,MATCH($A221,'قيود اليومية'!$N$11:$N$1010,0)))</f>
        <v/>
      </c>
      <c r="C221" s="84" t="str">
        <f aca="false">IF($A221="","",INDEX('قيود اليومية'!$A$11:$A$1010,MATCH($A221,'قيود اليومية'!$N$11:$N$1010,0)))</f>
        <v/>
      </c>
      <c r="D221" s="84" t="str">
        <f aca="false">IF($A221="","",INDEX('قيود اليومية'!$C$11:$C$1010,MATCH($A221,'قيود اليومية'!$N$11:$N$1010,0)))</f>
        <v/>
      </c>
      <c r="E221" s="51" t="str">
        <f aca="false">IF($A221="","",INDEX('قيود اليومية'!$D$11:$D$1010,MATCH($A221,'قيود اليومية'!$N$11:$N$1010,0))&amp;"")</f>
        <v/>
      </c>
      <c r="F221" s="51" t="str">
        <f aca="false">IF($A221="","",INDEX('قيود اليومية'!$K$11:$K$1010,MATCH($A221,'قيود اليومية'!$N$11:$N$1010,0))&amp;"")</f>
        <v/>
      </c>
      <c r="G221" s="51" t="str">
        <f aca="false">IF($A221="","",INDEX('قيود اليومية'!$F$11:$F$1010,MATCH($A221,'قيود اليومية'!$N$11:$N$1010,0))&amp;"")</f>
        <v/>
      </c>
      <c r="H221" s="85" t="str">
        <f aca="false">IF($A221="","",INDEX('قيود اليومية'!$G$11:$G$1010,MATCH($A221,'قيود اليومية'!$N$11:$N$1010,0)))</f>
        <v/>
      </c>
      <c r="I221" s="85" t="str">
        <f aca="false">IF($A221="","",INDEX('قيود اليومية'!$H$11:$H$1010,MATCH($A221,'قيود اليومية'!$N$11:$N$1010,0)))</f>
        <v/>
      </c>
    </row>
    <row r="222" customFormat="false" ht="15" hidden="false" customHeight="false" outlineLevel="0" collapsed="false">
      <c r="A222" s="82" t="str">
        <f aca="false">IF(ROW()-16&gt;COUNT('قيود اليومية'!$N$11:$N$1010),"",ROW()-16)</f>
        <v/>
      </c>
      <c r="B222" s="83" t="str">
        <f aca="false">IF($A222="","",INDEX('قيود اليومية'!$B$11:$B$1010,MATCH($A222,'قيود اليومية'!$N$11:$N$1010,0)))</f>
        <v/>
      </c>
      <c r="C222" s="84" t="str">
        <f aca="false">IF($A222="","",INDEX('قيود اليومية'!$A$11:$A$1010,MATCH($A222,'قيود اليومية'!$N$11:$N$1010,0)))</f>
        <v/>
      </c>
      <c r="D222" s="84" t="str">
        <f aca="false">IF($A222="","",INDEX('قيود اليومية'!$C$11:$C$1010,MATCH($A222,'قيود اليومية'!$N$11:$N$1010,0)))</f>
        <v/>
      </c>
      <c r="E222" s="51" t="str">
        <f aca="false">IF($A222="","",INDEX('قيود اليومية'!$D$11:$D$1010,MATCH($A222,'قيود اليومية'!$N$11:$N$1010,0))&amp;"")</f>
        <v/>
      </c>
      <c r="F222" s="51" t="str">
        <f aca="false">IF($A222="","",INDEX('قيود اليومية'!$K$11:$K$1010,MATCH($A222,'قيود اليومية'!$N$11:$N$1010,0))&amp;"")</f>
        <v/>
      </c>
      <c r="G222" s="51" t="str">
        <f aca="false">IF($A222="","",INDEX('قيود اليومية'!$F$11:$F$1010,MATCH($A222,'قيود اليومية'!$N$11:$N$1010,0))&amp;"")</f>
        <v/>
      </c>
      <c r="H222" s="85" t="str">
        <f aca="false">IF($A222="","",INDEX('قيود اليومية'!$G$11:$G$1010,MATCH($A222,'قيود اليومية'!$N$11:$N$1010,0)))</f>
        <v/>
      </c>
      <c r="I222" s="85" t="str">
        <f aca="false">IF($A222="","",INDEX('قيود اليومية'!$H$11:$H$1010,MATCH($A222,'قيود اليومية'!$N$11:$N$1010,0)))</f>
        <v/>
      </c>
    </row>
    <row r="223" customFormat="false" ht="15" hidden="false" customHeight="false" outlineLevel="0" collapsed="false">
      <c r="A223" s="82" t="str">
        <f aca="false">IF(ROW()-16&gt;COUNT('قيود اليومية'!$N$11:$N$1010),"",ROW()-16)</f>
        <v/>
      </c>
      <c r="B223" s="83" t="str">
        <f aca="false">IF($A223="","",INDEX('قيود اليومية'!$B$11:$B$1010,MATCH($A223,'قيود اليومية'!$N$11:$N$1010,0)))</f>
        <v/>
      </c>
      <c r="C223" s="84" t="str">
        <f aca="false">IF($A223="","",INDEX('قيود اليومية'!$A$11:$A$1010,MATCH($A223,'قيود اليومية'!$N$11:$N$1010,0)))</f>
        <v/>
      </c>
      <c r="D223" s="84" t="str">
        <f aca="false">IF($A223="","",INDEX('قيود اليومية'!$C$11:$C$1010,MATCH($A223,'قيود اليومية'!$N$11:$N$1010,0)))</f>
        <v/>
      </c>
      <c r="E223" s="51" t="str">
        <f aca="false">IF($A223="","",INDEX('قيود اليومية'!$D$11:$D$1010,MATCH($A223,'قيود اليومية'!$N$11:$N$1010,0))&amp;"")</f>
        <v/>
      </c>
      <c r="F223" s="51" t="str">
        <f aca="false">IF($A223="","",INDEX('قيود اليومية'!$K$11:$K$1010,MATCH($A223,'قيود اليومية'!$N$11:$N$1010,0))&amp;"")</f>
        <v/>
      </c>
      <c r="G223" s="51" t="str">
        <f aca="false">IF($A223="","",INDEX('قيود اليومية'!$F$11:$F$1010,MATCH($A223,'قيود اليومية'!$N$11:$N$1010,0))&amp;"")</f>
        <v/>
      </c>
      <c r="H223" s="85" t="str">
        <f aca="false">IF($A223="","",INDEX('قيود اليومية'!$G$11:$G$1010,MATCH($A223,'قيود اليومية'!$N$11:$N$1010,0)))</f>
        <v/>
      </c>
      <c r="I223" s="85" t="str">
        <f aca="false">IF($A223="","",INDEX('قيود اليومية'!$H$11:$H$1010,MATCH($A223,'قيود اليومية'!$N$11:$N$1010,0)))</f>
        <v/>
      </c>
    </row>
    <row r="224" customFormat="false" ht="15" hidden="false" customHeight="false" outlineLevel="0" collapsed="false">
      <c r="A224" s="82" t="str">
        <f aca="false">IF(ROW()-16&gt;COUNT('قيود اليومية'!$N$11:$N$1010),"",ROW()-16)</f>
        <v/>
      </c>
      <c r="B224" s="83" t="str">
        <f aca="false">IF($A224="","",INDEX('قيود اليومية'!$B$11:$B$1010,MATCH($A224,'قيود اليومية'!$N$11:$N$1010,0)))</f>
        <v/>
      </c>
      <c r="C224" s="84" t="str">
        <f aca="false">IF($A224="","",INDEX('قيود اليومية'!$A$11:$A$1010,MATCH($A224,'قيود اليومية'!$N$11:$N$1010,0)))</f>
        <v/>
      </c>
      <c r="D224" s="84" t="str">
        <f aca="false">IF($A224="","",INDEX('قيود اليومية'!$C$11:$C$1010,MATCH($A224,'قيود اليومية'!$N$11:$N$1010,0)))</f>
        <v/>
      </c>
      <c r="E224" s="51" t="str">
        <f aca="false">IF($A224="","",INDEX('قيود اليومية'!$D$11:$D$1010,MATCH($A224,'قيود اليومية'!$N$11:$N$1010,0))&amp;"")</f>
        <v/>
      </c>
      <c r="F224" s="51" t="str">
        <f aca="false">IF($A224="","",INDEX('قيود اليومية'!$K$11:$K$1010,MATCH($A224,'قيود اليومية'!$N$11:$N$1010,0))&amp;"")</f>
        <v/>
      </c>
      <c r="G224" s="51" t="str">
        <f aca="false">IF($A224="","",INDEX('قيود اليومية'!$F$11:$F$1010,MATCH($A224,'قيود اليومية'!$N$11:$N$1010,0))&amp;"")</f>
        <v/>
      </c>
      <c r="H224" s="85" t="str">
        <f aca="false">IF($A224="","",INDEX('قيود اليومية'!$G$11:$G$1010,MATCH($A224,'قيود اليومية'!$N$11:$N$1010,0)))</f>
        <v/>
      </c>
      <c r="I224" s="85" t="str">
        <f aca="false">IF($A224="","",INDEX('قيود اليومية'!$H$11:$H$1010,MATCH($A224,'قيود اليومية'!$N$11:$N$1010,0)))</f>
        <v/>
      </c>
    </row>
    <row r="225" customFormat="false" ht="15" hidden="false" customHeight="false" outlineLevel="0" collapsed="false">
      <c r="A225" s="82" t="str">
        <f aca="false">IF(ROW()-16&gt;COUNT('قيود اليومية'!$N$11:$N$1010),"",ROW()-16)</f>
        <v/>
      </c>
      <c r="B225" s="83" t="str">
        <f aca="false">IF($A225="","",INDEX('قيود اليومية'!$B$11:$B$1010,MATCH($A225,'قيود اليومية'!$N$11:$N$1010,0)))</f>
        <v/>
      </c>
      <c r="C225" s="84" t="str">
        <f aca="false">IF($A225="","",INDEX('قيود اليومية'!$A$11:$A$1010,MATCH($A225,'قيود اليومية'!$N$11:$N$1010,0)))</f>
        <v/>
      </c>
      <c r="D225" s="84" t="str">
        <f aca="false">IF($A225="","",INDEX('قيود اليومية'!$C$11:$C$1010,MATCH($A225,'قيود اليومية'!$N$11:$N$1010,0)))</f>
        <v/>
      </c>
      <c r="E225" s="51" t="str">
        <f aca="false">IF($A225="","",INDEX('قيود اليومية'!$D$11:$D$1010,MATCH($A225,'قيود اليومية'!$N$11:$N$1010,0))&amp;"")</f>
        <v/>
      </c>
      <c r="F225" s="51" t="str">
        <f aca="false">IF($A225="","",INDEX('قيود اليومية'!$K$11:$K$1010,MATCH($A225,'قيود اليومية'!$N$11:$N$1010,0))&amp;"")</f>
        <v/>
      </c>
      <c r="G225" s="51" t="str">
        <f aca="false">IF($A225="","",INDEX('قيود اليومية'!$F$11:$F$1010,MATCH($A225,'قيود اليومية'!$N$11:$N$1010,0))&amp;"")</f>
        <v/>
      </c>
      <c r="H225" s="85" t="str">
        <f aca="false">IF($A225="","",INDEX('قيود اليومية'!$G$11:$G$1010,MATCH($A225,'قيود اليومية'!$N$11:$N$1010,0)))</f>
        <v/>
      </c>
      <c r="I225" s="85" t="str">
        <f aca="false">IF($A225="","",INDEX('قيود اليومية'!$H$11:$H$1010,MATCH($A225,'قيود اليومية'!$N$11:$N$1010,0)))</f>
        <v/>
      </c>
    </row>
    <row r="226" customFormat="false" ht="15" hidden="false" customHeight="false" outlineLevel="0" collapsed="false">
      <c r="A226" s="82" t="str">
        <f aca="false">IF(ROW()-16&gt;COUNT('قيود اليومية'!$N$11:$N$1010),"",ROW()-16)</f>
        <v/>
      </c>
      <c r="B226" s="83" t="str">
        <f aca="false">IF($A226="","",INDEX('قيود اليومية'!$B$11:$B$1010,MATCH($A226,'قيود اليومية'!$N$11:$N$1010,0)))</f>
        <v/>
      </c>
      <c r="C226" s="84" t="str">
        <f aca="false">IF($A226="","",INDEX('قيود اليومية'!$A$11:$A$1010,MATCH($A226,'قيود اليومية'!$N$11:$N$1010,0)))</f>
        <v/>
      </c>
      <c r="D226" s="84" t="str">
        <f aca="false">IF($A226="","",INDEX('قيود اليومية'!$C$11:$C$1010,MATCH($A226,'قيود اليومية'!$N$11:$N$1010,0)))</f>
        <v/>
      </c>
      <c r="E226" s="51" t="str">
        <f aca="false">IF($A226="","",INDEX('قيود اليومية'!$D$11:$D$1010,MATCH($A226,'قيود اليومية'!$N$11:$N$1010,0))&amp;"")</f>
        <v/>
      </c>
      <c r="F226" s="51" t="str">
        <f aca="false">IF($A226="","",INDEX('قيود اليومية'!$K$11:$K$1010,MATCH($A226,'قيود اليومية'!$N$11:$N$1010,0))&amp;"")</f>
        <v/>
      </c>
      <c r="G226" s="51" t="str">
        <f aca="false">IF($A226="","",INDEX('قيود اليومية'!$F$11:$F$1010,MATCH($A226,'قيود اليومية'!$N$11:$N$1010,0))&amp;"")</f>
        <v/>
      </c>
      <c r="H226" s="85" t="str">
        <f aca="false">IF($A226="","",INDEX('قيود اليومية'!$G$11:$G$1010,MATCH($A226,'قيود اليومية'!$N$11:$N$1010,0)))</f>
        <v/>
      </c>
      <c r="I226" s="85" t="str">
        <f aca="false">IF($A226="","",INDEX('قيود اليومية'!$H$11:$H$1010,MATCH($A226,'قيود اليومية'!$N$11:$N$1010,0)))</f>
        <v/>
      </c>
    </row>
    <row r="227" customFormat="false" ht="15" hidden="false" customHeight="false" outlineLevel="0" collapsed="false">
      <c r="A227" s="82" t="str">
        <f aca="false">IF(ROW()-16&gt;COUNT('قيود اليومية'!$N$11:$N$1010),"",ROW()-16)</f>
        <v/>
      </c>
      <c r="B227" s="83" t="str">
        <f aca="false">IF($A227="","",INDEX('قيود اليومية'!$B$11:$B$1010,MATCH($A227,'قيود اليومية'!$N$11:$N$1010,0)))</f>
        <v/>
      </c>
      <c r="C227" s="84" t="str">
        <f aca="false">IF($A227="","",INDEX('قيود اليومية'!$A$11:$A$1010,MATCH($A227,'قيود اليومية'!$N$11:$N$1010,0)))</f>
        <v/>
      </c>
      <c r="D227" s="84" t="str">
        <f aca="false">IF($A227="","",INDEX('قيود اليومية'!$C$11:$C$1010,MATCH($A227,'قيود اليومية'!$N$11:$N$1010,0)))</f>
        <v/>
      </c>
      <c r="E227" s="51" t="str">
        <f aca="false">IF($A227="","",INDEX('قيود اليومية'!$D$11:$D$1010,MATCH($A227,'قيود اليومية'!$N$11:$N$1010,0))&amp;"")</f>
        <v/>
      </c>
      <c r="F227" s="51" t="str">
        <f aca="false">IF($A227="","",INDEX('قيود اليومية'!$K$11:$K$1010,MATCH($A227,'قيود اليومية'!$N$11:$N$1010,0))&amp;"")</f>
        <v/>
      </c>
      <c r="G227" s="51" t="str">
        <f aca="false">IF($A227="","",INDEX('قيود اليومية'!$F$11:$F$1010,MATCH($A227,'قيود اليومية'!$N$11:$N$1010,0))&amp;"")</f>
        <v/>
      </c>
      <c r="H227" s="85" t="str">
        <f aca="false">IF($A227="","",INDEX('قيود اليومية'!$G$11:$G$1010,MATCH($A227,'قيود اليومية'!$N$11:$N$1010,0)))</f>
        <v/>
      </c>
      <c r="I227" s="85" t="str">
        <f aca="false">IF($A227="","",INDEX('قيود اليومية'!$H$11:$H$1010,MATCH($A227,'قيود اليومية'!$N$11:$N$1010,0)))</f>
        <v/>
      </c>
    </row>
    <row r="228" customFormat="false" ht="15" hidden="false" customHeight="false" outlineLevel="0" collapsed="false">
      <c r="A228" s="82" t="str">
        <f aca="false">IF(ROW()-16&gt;COUNT('قيود اليومية'!$N$11:$N$1010),"",ROW()-16)</f>
        <v/>
      </c>
      <c r="B228" s="83" t="str">
        <f aca="false">IF($A228="","",INDEX('قيود اليومية'!$B$11:$B$1010,MATCH($A228,'قيود اليومية'!$N$11:$N$1010,0)))</f>
        <v/>
      </c>
      <c r="C228" s="84" t="str">
        <f aca="false">IF($A228="","",INDEX('قيود اليومية'!$A$11:$A$1010,MATCH($A228,'قيود اليومية'!$N$11:$N$1010,0)))</f>
        <v/>
      </c>
      <c r="D228" s="84" t="str">
        <f aca="false">IF($A228="","",INDEX('قيود اليومية'!$C$11:$C$1010,MATCH($A228,'قيود اليومية'!$N$11:$N$1010,0)))</f>
        <v/>
      </c>
      <c r="E228" s="51" t="str">
        <f aca="false">IF($A228="","",INDEX('قيود اليومية'!$D$11:$D$1010,MATCH($A228,'قيود اليومية'!$N$11:$N$1010,0))&amp;"")</f>
        <v/>
      </c>
      <c r="F228" s="51" t="str">
        <f aca="false">IF($A228="","",INDEX('قيود اليومية'!$K$11:$K$1010,MATCH($A228,'قيود اليومية'!$N$11:$N$1010,0))&amp;"")</f>
        <v/>
      </c>
      <c r="G228" s="51" t="str">
        <f aca="false">IF($A228="","",INDEX('قيود اليومية'!$F$11:$F$1010,MATCH($A228,'قيود اليومية'!$N$11:$N$1010,0))&amp;"")</f>
        <v/>
      </c>
      <c r="H228" s="85" t="str">
        <f aca="false">IF($A228="","",INDEX('قيود اليومية'!$G$11:$G$1010,MATCH($A228,'قيود اليومية'!$N$11:$N$1010,0)))</f>
        <v/>
      </c>
      <c r="I228" s="85" t="str">
        <f aca="false">IF($A228="","",INDEX('قيود اليومية'!$H$11:$H$1010,MATCH($A228,'قيود اليومية'!$N$11:$N$1010,0)))</f>
        <v/>
      </c>
    </row>
    <row r="229" customFormat="false" ht="15" hidden="false" customHeight="false" outlineLevel="0" collapsed="false">
      <c r="A229" s="82" t="str">
        <f aca="false">IF(ROW()-16&gt;COUNT('قيود اليومية'!$N$11:$N$1010),"",ROW()-16)</f>
        <v/>
      </c>
      <c r="B229" s="83" t="str">
        <f aca="false">IF($A229="","",INDEX('قيود اليومية'!$B$11:$B$1010,MATCH($A229,'قيود اليومية'!$N$11:$N$1010,0)))</f>
        <v/>
      </c>
      <c r="C229" s="84" t="str">
        <f aca="false">IF($A229="","",INDEX('قيود اليومية'!$A$11:$A$1010,MATCH($A229,'قيود اليومية'!$N$11:$N$1010,0)))</f>
        <v/>
      </c>
      <c r="D229" s="84" t="str">
        <f aca="false">IF($A229="","",INDEX('قيود اليومية'!$C$11:$C$1010,MATCH($A229,'قيود اليومية'!$N$11:$N$1010,0)))</f>
        <v/>
      </c>
      <c r="E229" s="51" t="str">
        <f aca="false">IF($A229="","",INDEX('قيود اليومية'!$D$11:$D$1010,MATCH($A229,'قيود اليومية'!$N$11:$N$1010,0))&amp;"")</f>
        <v/>
      </c>
      <c r="F229" s="51" t="str">
        <f aca="false">IF($A229="","",INDEX('قيود اليومية'!$K$11:$K$1010,MATCH($A229,'قيود اليومية'!$N$11:$N$1010,0))&amp;"")</f>
        <v/>
      </c>
      <c r="G229" s="51" t="str">
        <f aca="false">IF($A229="","",INDEX('قيود اليومية'!$F$11:$F$1010,MATCH($A229,'قيود اليومية'!$N$11:$N$1010,0))&amp;"")</f>
        <v/>
      </c>
      <c r="H229" s="85" t="str">
        <f aca="false">IF($A229="","",INDEX('قيود اليومية'!$G$11:$G$1010,MATCH($A229,'قيود اليومية'!$N$11:$N$1010,0)))</f>
        <v/>
      </c>
      <c r="I229" s="85" t="str">
        <f aca="false">IF($A229="","",INDEX('قيود اليومية'!$H$11:$H$1010,MATCH($A229,'قيود اليومية'!$N$11:$N$1010,0)))</f>
        <v/>
      </c>
    </row>
    <row r="230" customFormat="false" ht="15" hidden="false" customHeight="false" outlineLevel="0" collapsed="false">
      <c r="A230" s="82" t="str">
        <f aca="false">IF(ROW()-16&gt;COUNT('قيود اليومية'!$N$11:$N$1010),"",ROW()-16)</f>
        <v/>
      </c>
      <c r="B230" s="83" t="str">
        <f aca="false">IF($A230="","",INDEX('قيود اليومية'!$B$11:$B$1010,MATCH($A230,'قيود اليومية'!$N$11:$N$1010,0)))</f>
        <v/>
      </c>
      <c r="C230" s="84" t="str">
        <f aca="false">IF($A230="","",INDEX('قيود اليومية'!$A$11:$A$1010,MATCH($A230,'قيود اليومية'!$N$11:$N$1010,0)))</f>
        <v/>
      </c>
      <c r="D230" s="84" t="str">
        <f aca="false">IF($A230="","",INDEX('قيود اليومية'!$C$11:$C$1010,MATCH($A230,'قيود اليومية'!$N$11:$N$1010,0)))</f>
        <v/>
      </c>
      <c r="E230" s="51" t="str">
        <f aca="false">IF($A230="","",INDEX('قيود اليومية'!$D$11:$D$1010,MATCH($A230,'قيود اليومية'!$N$11:$N$1010,0))&amp;"")</f>
        <v/>
      </c>
      <c r="F230" s="51" t="str">
        <f aca="false">IF($A230="","",INDEX('قيود اليومية'!$K$11:$K$1010,MATCH($A230,'قيود اليومية'!$N$11:$N$1010,0))&amp;"")</f>
        <v/>
      </c>
      <c r="G230" s="51" t="str">
        <f aca="false">IF($A230="","",INDEX('قيود اليومية'!$F$11:$F$1010,MATCH($A230,'قيود اليومية'!$N$11:$N$1010,0))&amp;"")</f>
        <v/>
      </c>
      <c r="H230" s="85" t="str">
        <f aca="false">IF($A230="","",INDEX('قيود اليومية'!$G$11:$G$1010,MATCH($A230,'قيود اليومية'!$N$11:$N$1010,0)))</f>
        <v/>
      </c>
      <c r="I230" s="85" t="str">
        <f aca="false">IF($A230="","",INDEX('قيود اليومية'!$H$11:$H$1010,MATCH($A230,'قيود اليومية'!$N$11:$N$1010,0)))</f>
        <v/>
      </c>
    </row>
    <row r="231" customFormat="false" ht="15" hidden="false" customHeight="false" outlineLevel="0" collapsed="false">
      <c r="A231" s="82" t="str">
        <f aca="false">IF(ROW()-16&gt;COUNT('قيود اليومية'!$N$11:$N$1010),"",ROW()-16)</f>
        <v/>
      </c>
      <c r="B231" s="83" t="str">
        <f aca="false">IF($A231="","",INDEX('قيود اليومية'!$B$11:$B$1010,MATCH($A231,'قيود اليومية'!$N$11:$N$1010,0)))</f>
        <v/>
      </c>
      <c r="C231" s="84" t="str">
        <f aca="false">IF($A231="","",INDEX('قيود اليومية'!$A$11:$A$1010,MATCH($A231,'قيود اليومية'!$N$11:$N$1010,0)))</f>
        <v/>
      </c>
      <c r="D231" s="84" t="str">
        <f aca="false">IF($A231="","",INDEX('قيود اليومية'!$C$11:$C$1010,MATCH($A231,'قيود اليومية'!$N$11:$N$1010,0)))</f>
        <v/>
      </c>
      <c r="E231" s="51" t="str">
        <f aca="false">IF($A231="","",INDEX('قيود اليومية'!$D$11:$D$1010,MATCH($A231,'قيود اليومية'!$N$11:$N$1010,0))&amp;"")</f>
        <v/>
      </c>
      <c r="F231" s="51" t="str">
        <f aca="false">IF($A231="","",INDEX('قيود اليومية'!$K$11:$K$1010,MATCH($A231,'قيود اليومية'!$N$11:$N$1010,0))&amp;"")</f>
        <v/>
      </c>
      <c r="G231" s="51" t="str">
        <f aca="false">IF($A231="","",INDEX('قيود اليومية'!$F$11:$F$1010,MATCH($A231,'قيود اليومية'!$N$11:$N$1010,0))&amp;"")</f>
        <v/>
      </c>
      <c r="H231" s="85" t="str">
        <f aca="false">IF($A231="","",INDEX('قيود اليومية'!$G$11:$G$1010,MATCH($A231,'قيود اليومية'!$N$11:$N$1010,0)))</f>
        <v/>
      </c>
      <c r="I231" s="85" t="str">
        <f aca="false">IF($A231="","",INDEX('قيود اليومية'!$H$11:$H$1010,MATCH($A231,'قيود اليومية'!$N$11:$N$1010,0)))</f>
        <v/>
      </c>
    </row>
    <row r="232" customFormat="false" ht="15" hidden="false" customHeight="false" outlineLevel="0" collapsed="false">
      <c r="A232" s="82" t="str">
        <f aca="false">IF(ROW()-16&gt;COUNT('قيود اليومية'!$N$11:$N$1010),"",ROW()-16)</f>
        <v/>
      </c>
      <c r="B232" s="83" t="str">
        <f aca="false">IF($A232="","",INDEX('قيود اليومية'!$B$11:$B$1010,MATCH($A232,'قيود اليومية'!$N$11:$N$1010,0)))</f>
        <v/>
      </c>
      <c r="C232" s="84" t="str">
        <f aca="false">IF($A232="","",INDEX('قيود اليومية'!$A$11:$A$1010,MATCH($A232,'قيود اليومية'!$N$11:$N$1010,0)))</f>
        <v/>
      </c>
      <c r="D232" s="84" t="str">
        <f aca="false">IF($A232="","",INDEX('قيود اليومية'!$C$11:$C$1010,MATCH($A232,'قيود اليومية'!$N$11:$N$1010,0)))</f>
        <v/>
      </c>
      <c r="E232" s="51" t="str">
        <f aca="false">IF($A232="","",INDEX('قيود اليومية'!$D$11:$D$1010,MATCH($A232,'قيود اليومية'!$N$11:$N$1010,0))&amp;"")</f>
        <v/>
      </c>
      <c r="F232" s="51" t="str">
        <f aca="false">IF($A232="","",INDEX('قيود اليومية'!$K$11:$K$1010,MATCH($A232,'قيود اليومية'!$N$11:$N$1010,0))&amp;"")</f>
        <v/>
      </c>
      <c r="G232" s="51" t="str">
        <f aca="false">IF($A232="","",INDEX('قيود اليومية'!$F$11:$F$1010,MATCH($A232,'قيود اليومية'!$N$11:$N$1010,0))&amp;"")</f>
        <v/>
      </c>
      <c r="H232" s="85" t="str">
        <f aca="false">IF($A232="","",INDEX('قيود اليومية'!$G$11:$G$1010,MATCH($A232,'قيود اليومية'!$N$11:$N$1010,0)))</f>
        <v/>
      </c>
      <c r="I232" s="85" t="str">
        <f aca="false">IF($A232="","",INDEX('قيود اليومية'!$H$11:$H$1010,MATCH($A232,'قيود اليومية'!$N$11:$N$1010,0)))</f>
        <v/>
      </c>
    </row>
    <row r="233" customFormat="false" ht="15" hidden="false" customHeight="false" outlineLevel="0" collapsed="false">
      <c r="A233" s="82" t="str">
        <f aca="false">IF(ROW()-16&gt;COUNT('قيود اليومية'!$N$11:$N$1010),"",ROW()-16)</f>
        <v/>
      </c>
      <c r="B233" s="83" t="str">
        <f aca="false">IF($A233="","",INDEX('قيود اليومية'!$B$11:$B$1010,MATCH($A233,'قيود اليومية'!$N$11:$N$1010,0)))</f>
        <v/>
      </c>
      <c r="C233" s="84" t="str">
        <f aca="false">IF($A233="","",INDEX('قيود اليومية'!$A$11:$A$1010,MATCH($A233,'قيود اليومية'!$N$11:$N$1010,0)))</f>
        <v/>
      </c>
      <c r="D233" s="84" t="str">
        <f aca="false">IF($A233="","",INDEX('قيود اليومية'!$C$11:$C$1010,MATCH($A233,'قيود اليومية'!$N$11:$N$1010,0)))</f>
        <v/>
      </c>
      <c r="E233" s="51" t="str">
        <f aca="false">IF($A233="","",INDEX('قيود اليومية'!$D$11:$D$1010,MATCH($A233,'قيود اليومية'!$N$11:$N$1010,0))&amp;"")</f>
        <v/>
      </c>
      <c r="F233" s="51" t="str">
        <f aca="false">IF($A233="","",INDEX('قيود اليومية'!$K$11:$K$1010,MATCH($A233,'قيود اليومية'!$N$11:$N$1010,0))&amp;"")</f>
        <v/>
      </c>
      <c r="G233" s="51" t="str">
        <f aca="false">IF($A233="","",INDEX('قيود اليومية'!$F$11:$F$1010,MATCH($A233,'قيود اليومية'!$N$11:$N$1010,0))&amp;"")</f>
        <v/>
      </c>
      <c r="H233" s="85" t="str">
        <f aca="false">IF($A233="","",INDEX('قيود اليومية'!$G$11:$G$1010,MATCH($A233,'قيود اليومية'!$N$11:$N$1010,0)))</f>
        <v/>
      </c>
      <c r="I233" s="85" t="str">
        <f aca="false">IF($A233="","",INDEX('قيود اليومية'!$H$11:$H$1010,MATCH($A233,'قيود اليومية'!$N$11:$N$1010,0)))</f>
        <v/>
      </c>
    </row>
    <row r="234" customFormat="false" ht="15" hidden="false" customHeight="false" outlineLevel="0" collapsed="false">
      <c r="A234" s="82" t="str">
        <f aca="false">IF(ROW()-16&gt;COUNT('قيود اليومية'!$N$11:$N$1010),"",ROW()-16)</f>
        <v/>
      </c>
      <c r="B234" s="83" t="str">
        <f aca="false">IF($A234="","",INDEX('قيود اليومية'!$B$11:$B$1010,MATCH($A234,'قيود اليومية'!$N$11:$N$1010,0)))</f>
        <v/>
      </c>
      <c r="C234" s="84" t="str">
        <f aca="false">IF($A234="","",INDEX('قيود اليومية'!$A$11:$A$1010,MATCH($A234,'قيود اليومية'!$N$11:$N$1010,0)))</f>
        <v/>
      </c>
      <c r="D234" s="84" t="str">
        <f aca="false">IF($A234="","",INDEX('قيود اليومية'!$C$11:$C$1010,MATCH($A234,'قيود اليومية'!$N$11:$N$1010,0)))</f>
        <v/>
      </c>
      <c r="E234" s="51" t="str">
        <f aca="false">IF($A234="","",INDEX('قيود اليومية'!$D$11:$D$1010,MATCH($A234,'قيود اليومية'!$N$11:$N$1010,0))&amp;"")</f>
        <v/>
      </c>
      <c r="F234" s="51" t="str">
        <f aca="false">IF($A234="","",INDEX('قيود اليومية'!$K$11:$K$1010,MATCH($A234,'قيود اليومية'!$N$11:$N$1010,0))&amp;"")</f>
        <v/>
      </c>
      <c r="G234" s="51" t="str">
        <f aca="false">IF($A234="","",INDEX('قيود اليومية'!$F$11:$F$1010,MATCH($A234,'قيود اليومية'!$N$11:$N$1010,0))&amp;"")</f>
        <v/>
      </c>
      <c r="H234" s="85" t="str">
        <f aca="false">IF($A234="","",INDEX('قيود اليومية'!$G$11:$G$1010,MATCH($A234,'قيود اليومية'!$N$11:$N$1010,0)))</f>
        <v/>
      </c>
      <c r="I234" s="85" t="str">
        <f aca="false">IF($A234="","",INDEX('قيود اليومية'!$H$11:$H$1010,MATCH($A234,'قيود اليومية'!$N$11:$N$1010,0)))</f>
        <v/>
      </c>
    </row>
    <row r="235" customFormat="false" ht="15" hidden="false" customHeight="false" outlineLevel="0" collapsed="false">
      <c r="A235" s="82" t="str">
        <f aca="false">IF(ROW()-16&gt;COUNT('قيود اليومية'!$N$11:$N$1010),"",ROW()-16)</f>
        <v/>
      </c>
      <c r="B235" s="83" t="str">
        <f aca="false">IF($A235="","",INDEX('قيود اليومية'!$B$11:$B$1010,MATCH($A235,'قيود اليومية'!$N$11:$N$1010,0)))</f>
        <v/>
      </c>
      <c r="C235" s="84" t="str">
        <f aca="false">IF($A235="","",INDEX('قيود اليومية'!$A$11:$A$1010,MATCH($A235,'قيود اليومية'!$N$11:$N$1010,0)))</f>
        <v/>
      </c>
      <c r="D235" s="84" t="str">
        <f aca="false">IF($A235="","",INDEX('قيود اليومية'!$C$11:$C$1010,MATCH($A235,'قيود اليومية'!$N$11:$N$1010,0)))</f>
        <v/>
      </c>
      <c r="E235" s="51" t="str">
        <f aca="false">IF($A235="","",INDEX('قيود اليومية'!$D$11:$D$1010,MATCH($A235,'قيود اليومية'!$N$11:$N$1010,0))&amp;"")</f>
        <v/>
      </c>
      <c r="F235" s="51" t="str">
        <f aca="false">IF($A235="","",INDEX('قيود اليومية'!$K$11:$K$1010,MATCH($A235,'قيود اليومية'!$N$11:$N$1010,0))&amp;"")</f>
        <v/>
      </c>
      <c r="G235" s="51" t="str">
        <f aca="false">IF($A235="","",INDEX('قيود اليومية'!$F$11:$F$1010,MATCH($A235,'قيود اليومية'!$N$11:$N$1010,0))&amp;"")</f>
        <v/>
      </c>
      <c r="H235" s="85" t="str">
        <f aca="false">IF($A235="","",INDEX('قيود اليومية'!$G$11:$G$1010,MATCH($A235,'قيود اليومية'!$N$11:$N$1010,0)))</f>
        <v/>
      </c>
      <c r="I235" s="85" t="str">
        <f aca="false">IF($A235="","",INDEX('قيود اليومية'!$H$11:$H$1010,MATCH($A235,'قيود اليومية'!$N$11:$N$1010,0)))</f>
        <v/>
      </c>
    </row>
    <row r="236" customFormat="false" ht="15" hidden="false" customHeight="false" outlineLevel="0" collapsed="false">
      <c r="A236" s="82" t="str">
        <f aca="false">IF(ROW()-16&gt;COUNT('قيود اليومية'!$N$11:$N$1010),"",ROW()-16)</f>
        <v/>
      </c>
      <c r="B236" s="83" t="str">
        <f aca="false">IF($A236="","",INDEX('قيود اليومية'!$B$11:$B$1010,MATCH($A236,'قيود اليومية'!$N$11:$N$1010,0)))</f>
        <v/>
      </c>
      <c r="C236" s="84" t="str">
        <f aca="false">IF($A236="","",INDEX('قيود اليومية'!$A$11:$A$1010,MATCH($A236,'قيود اليومية'!$N$11:$N$1010,0)))</f>
        <v/>
      </c>
      <c r="D236" s="84" t="str">
        <f aca="false">IF($A236="","",INDEX('قيود اليومية'!$C$11:$C$1010,MATCH($A236,'قيود اليومية'!$N$11:$N$1010,0)))</f>
        <v/>
      </c>
      <c r="E236" s="51" t="str">
        <f aca="false">IF($A236="","",INDEX('قيود اليومية'!$D$11:$D$1010,MATCH($A236,'قيود اليومية'!$N$11:$N$1010,0))&amp;"")</f>
        <v/>
      </c>
      <c r="F236" s="51" t="str">
        <f aca="false">IF($A236="","",INDEX('قيود اليومية'!$K$11:$K$1010,MATCH($A236,'قيود اليومية'!$N$11:$N$1010,0))&amp;"")</f>
        <v/>
      </c>
      <c r="G236" s="51" t="str">
        <f aca="false">IF($A236="","",INDEX('قيود اليومية'!$F$11:$F$1010,MATCH($A236,'قيود اليومية'!$N$11:$N$1010,0))&amp;"")</f>
        <v/>
      </c>
      <c r="H236" s="85" t="str">
        <f aca="false">IF($A236="","",INDEX('قيود اليومية'!$G$11:$G$1010,MATCH($A236,'قيود اليومية'!$N$11:$N$1010,0)))</f>
        <v/>
      </c>
      <c r="I236" s="85" t="str">
        <f aca="false">IF($A236="","",INDEX('قيود اليومية'!$H$11:$H$1010,MATCH($A236,'قيود اليومية'!$N$11:$N$1010,0)))</f>
        <v/>
      </c>
    </row>
    <row r="237" customFormat="false" ht="15" hidden="false" customHeight="false" outlineLevel="0" collapsed="false">
      <c r="A237" s="82" t="str">
        <f aca="false">IF(ROW()-16&gt;COUNT('قيود اليومية'!$N$11:$N$1010),"",ROW()-16)</f>
        <v/>
      </c>
      <c r="B237" s="83" t="str">
        <f aca="false">IF($A237="","",INDEX('قيود اليومية'!$B$11:$B$1010,MATCH($A237,'قيود اليومية'!$N$11:$N$1010,0)))</f>
        <v/>
      </c>
      <c r="C237" s="84" t="str">
        <f aca="false">IF($A237="","",INDEX('قيود اليومية'!$A$11:$A$1010,MATCH($A237,'قيود اليومية'!$N$11:$N$1010,0)))</f>
        <v/>
      </c>
      <c r="D237" s="84" t="str">
        <f aca="false">IF($A237="","",INDEX('قيود اليومية'!$C$11:$C$1010,MATCH($A237,'قيود اليومية'!$N$11:$N$1010,0)))</f>
        <v/>
      </c>
      <c r="E237" s="51" t="str">
        <f aca="false">IF($A237="","",INDEX('قيود اليومية'!$D$11:$D$1010,MATCH($A237,'قيود اليومية'!$N$11:$N$1010,0))&amp;"")</f>
        <v/>
      </c>
      <c r="F237" s="51" t="str">
        <f aca="false">IF($A237="","",INDEX('قيود اليومية'!$K$11:$K$1010,MATCH($A237,'قيود اليومية'!$N$11:$N$1010,0))&amp;"")</f>
        <v/>
      </c>
      <c r="G237" s="51" t="str">
        <f aca="false">IF($A237="","",INDEX('قيود اليومية'!$F$11:$F$1010,MATCH($A237,'قيود اليومية'!$N$11:$N$1010,0))&amp;"")</f>
        <v/>
      </c>
      <c r="H237" s="85" t="str">
        <f aca="false">IF($A237="","",INDEX('قيود اليومية'!$G$11:$G$1010,MATCH($A237,'قيود اليومية'!$N$11:$N$1010,0)))</f>
        <v/>
      </c>
      <c r="I237" s="85" t="str">
        <f aca="false">IF($A237="","",INDEX('قيود اليومية'!$H$11:$H$1010,MATCH($A237,'قيود اليومية'!$N$11:$N$1010,0)))</f>
        <v/>
      </c>
    </row>
    <row r="238" customFormat="false" ht="15" hidden="false" customHeight="false" outlineLevel="0" collapsed="false">
      <c r="A238" s="82" t="str">
        <f aca="false">IF(ROW()-16&gt;COUNT('قيود اليومية'!$N$11:$N$1010),"",ROW()-16)</f>
        <v/>
      </c>
      <c r="B238" s="83" t="str">
        <f aca="false">IF($A238="","",INDEX('قيود اليومية'!$B$11:$B$1010,MATCH($A238,'قيود اليومية'!$N$11:$N$1010,0)))</f>
        <v/>
      </c>
      <c r="C238" s="84" t="str">
        <f aca="false">IF($A238="","",INDEX('قيود اليومية'!$A$11:$A$1010,MATCH($A238,'قيود اليومية'!$N$11:$N$1010,0)))</f>
        <v/>
      </c>
      <c r="D238" s="84" t="str">
        <f aca="false">IF($A238="","",INDEX('قيود اليومية'!$C$11:$C$1010,MATCH($A238,'قيود اليومية'!$N$11:$N$1010,0)))</f>
        <v/>
      </c>
      <c r="E238" s="51" t="str">
        <f aca="false">IF($A238="","",INDEX('قيود اليومية'!$D$11:$D$1010,MATCH($A238,'قيود اليومية'!$N$11:$N$1010,0))&amp;"")</f>
        <v/>
      </c>
      <c r="F238" s="51" t="str">
        <f aca="false">IF($A238="","",INDEX('قيود اليومية'!$K$11:$K$1010,MATCH($A238,'قيود اليومية'!$N$11:$N$1010,0))&amp;"")</f>
        <v/>
      </c>
      <c r="G238" s="51" t="str">
        <f aca="false">IF($A238="","",INDEX('قيود اليومية'!$F$11:$F$1010,MATCH($A238,'قيود اليومية'!$N$11:$N$1010,0))&amp;"")</f>
        <v/>
      </c>
      <c r="H238" s="85" t="str">
        <f aca="false">IF($A238="","",INDEX('قيود اليومية'!$G$11:$G$1010,MATCH($A238,'قيود اليومية'!$N$11:$N$1010,0)))</f>
        <v/>
      </c>
      <c r="I238" s="85" t="str">
        <f aca="false">IF($A238="","",INDEX('قيود اليومية'!$H$11:$H$1010,MATCH($A238,'قيود اليومية'!$N$11:$N$1010,0)))</f>
        <v/>
      </c>
    </row>
    <row r="239" customFormat="false" ht="15" hidden="false" customHeight="false" outlineLevel="0" collapsed="false">
      <c r="A239" s="82" t="str">
        <f aca="false">IF(ROW()-16&gt;COUNT('قيود اليومية'!$N$11:$N$1010),"",ROW()-16)</f>
        <v/>
      </c>
      <c r="B239" s="83" t="str">
        <f aca="false">IF($A239="","",INDEX('قيود اليومية'!$B$11:$B$1010,MATCH($A239,'قيود اليومية'!$N$11:$N$1010,0)))</f>
        <v/>
      </c>
      <c r="C239" s="84" t="str">
        <f aca="false">IF($A239="","",INDEX('قيود اليومية'!$A$11:$A$1010,MATCH($A239,'قيود اليومية'!$N$11:$N$1010,0)))</f>
        <v/>
      </c>
      <c r="D239" s="84" t="str">
        <f aca="false">IF($A239="","",INDEX('قيود اليومية'!$C$11:$C$1010,MATCH($A239,'قيود اليومية'!$N$11:$N$1010,0)))</f>
        <v/>
      </c>
      <c r="E239" s="51" t="str">
        <f aca="false">IF($A239="","",INDEX('قيود اليومية'!$D$11:$D$1010,MATCH($A239,'قيود اليومية'!$N$11:$N$1010,0))&amp;"")</f>
        <v/>
      </c>
      <c r="F239" s="51" t="str">
        <f aca="false">IF($A239="","",INDEX('قيود اليومية'!$K$11:$K$1010,MATCH($A239,'قيود اليومية'!$N$11:$N$1010,0))&amp;"")</f>
        <v/>
      </c>
      <c r="G239" s="51" t="str">
        <f aca="false">IF($A239="","",INDEX('قيود اليومية'!$F$11:$F$1010,MATCH($A239,'قيود اليومية'!$N$11:$N$1010,0))&amp;"")</f>
        <v/>
      </c>
      <c r="H239" s="85" t="str">
        <f aca="false">IF($A239="","",INDEX('قيود اليومية'!$G$11:$G$1010,MATCH($A239,'قيود اليومية'!$N$11:$N$1010,0)))</f>
        <v/>
      </c>
      <c r="I239" s="85" t="str">
        <f aca="false">IF($A239="","",INDEX('قيود اليومية'!$H$11:$H$1010,MATCH($A239,'قيود اليومية'!$N$11:$N$1010,0)))</f>
        <v/>
      </c>
    </row>
    <row r="240" customFormat="false" ht="15" hidden="false" customHeight="false" outlineLevel="0" collapsed="false">
      <c r="A240" s="82" t="str">
        <f aca="false">IF(ROW()-16&gt;COUNT('قيود اليومية'!$N$11:$N$1010),"",ROW()-16)</f>
        <v/>
      </c>
      <c r="B240" s="83" t="str">
        <f aca="false">IF($A240="","",INDEX('قيود اليومية'!$B$11:$B$1010,MATCH($A240,'قيود اليومية'!$N$11:$N$1010,0)))</f>
        <v/>
      </c>
      <c r="C240" s="84" t="str">
        <f aca="false">IF($A240="","",INDEX('قيود اليومية'!$A$11:$A$1010,MATCH($A240,'قيود اليومية'!$N$11:$N$1010,0)))</f>
        <v/>
      </c>
      <c r="D240" s="84" t="str">
        <f aca="false">IF($A240="","",INDEX('قيود اليومية'!$C$11:$C$1010,MATCH($A240,'قيود اليومية'!$N$11:$N$1010,0)))</f>
        <v/>
      </c>
      <c r="E240" s="51" t="str">
        <f aca="false">IF($A240="","",INDEX('قيود اليومية'!$D$11:$D$1010,MATCH($A240,'قيود اليومية'!$N$11:$N$1010,0))&amp;"")</f>
        <v/>
      </c>
      <c r="F240" s="51" t="str">
        <f aca="false">IF($A240="","",INDEX('قيود اليومية'!$K$11:$K$1010,MATCH($A240,'قيود اليومية'!$N$11:$N$1010,0))&amp;"")</f>
        <v/>
      </c>
      <c r="G240" s="51" t="str">
        <f aca="false">IF($A240="","",INDEX('قيود اليومية'!$F$11:$F$1010,MATCH($A240,'قيود اليومية'!$N$11:$N$1010,0))&amp;"")</f>
        <v/>
      </c>
      <c r="H240" s="85" t="str">
        <f aca="false">IF($A240="","",INDEX('قيود اليومية'!$G$11:$G$1010,MATCH($A240,'قيود اليومية'!$N$11:$N$1010,0)))</f>
        <v/>
      </c>
      <c r="I240" s="85" t="str">
        <f aca="false">IF($A240="","",INDEX('قيود اليومية'!$H$11:$H$1010,MATCH($A240,'قيود اليومية'!$N$11:$N$1010,0)))</f>
        <v/>
      </c>
    </row>
    <row r="241" customFormat="false" ht="15" hidden="false" customHeight="false" outlineLevel="0" collapsed="false">
      <c r="A241" s="82" t="str">
        <f aca="false">IF(ROW()-16&gt;COUNT('قيود اليومية'!$N$11:$N$1010),"",ROW()-16)</f>
        <v/>
      </c>
      <c r="B241" s="83" t="str">
        <f aca="false">IF($A241="","",INDEX('قيود اليومية'!$B$11:$B$1010,MATCH($A241,'قيود اليومية'!$N$11:$N$1010,0)))</f>
        <v/>
      </c>
      <c r="C241" s="84" t="str">
        <f aca="false">IF($A241="","",INDEX('قيود اليومية'!$A$11:$A$1010,MATCH($A241,'قيود اليومية'!$N$11:$N$1010,0)))</f>
        <v/>
      </c>
      <c r="D241" s="84" t="str">
        <f aca="false">IF($A241="","",INDEX('قيود اليومية'!$C$11:$C$1010,MATCH($A241,'قيود اليومية'!$N$11:$N$1010,0)))</f>
        <v/>
      </c>
      <c r="E241" s="51" t="str">
        <f aca="false">IF($A241="","",INDEX('قيود اليومية'!$D$11:$D$1010,MATCH($A241,'قيود اليومية'!$N$11:$N$1010,0))&amp;"")</f>
        <v/>
      </c>
      <c r="F241" s="51" t="str">
        <f aca="false">IF($A241="","",INDEX('قيود اليومية'!$K$11:$K$1010,MATCH($A241,'قيود اليومية'!$N$11:$N$1010,0))&amp;"")</f>
        <v/>
      </c>
      <c r="G241" s="51" t="str">
        <f aca="false">IF($A241="","",INDEX('قيود اليومية'!$F$11:$F$1010,MATCH($A241,'قيود اليومية'!$N$11:$N$1010,0))&amp;"")</f>
        <v/>
      </c>
      <c r="H241" s="85" t="str">
        <f aca="false">IF($A241="","",INDEX('قيود اليومية'!$G$11:$G$1010,MATCH($A241,'قيود اليومية'!$N$11:$N$1010,0)))</f>
        <v/>
      </c>
      <c r="I241" s="85" t="str">
        <f aca="false">IF($A241="","",INDEX('قيود اليومية'!$H$11:$H$1010,MATCH($A241,'قيود اليومية'!$N$11:$N$1010,0)))</f>
        <v/>
      </c>
    </row>
    <row r="242" customFormat="false" ht="15" hidden="false" customHeight="false" outlineLevel="0" collapsed="false">
      <c r="A242" s="82" t="str">
        <f aca="false">IF(ROW()-16&gt;COUNT('قيود اليومية'!$N$11:$N$1010),"",ROW()-16)</f>
        <v/>
      </c>
      <c r="B242" s="83" t="str">
        <f aca="false">IF($A242="","",INDEX('قيود اليومية'!$B$11:$B$1010,MATCH($A242,'قيود اليومية'!$N$11:$N$1010,0)))</f>
        <v/>
      </c>
      <c r="C242" s="84" t="str">
        <f aca="false">IF($A242="","",INDEX('قيود اليومية'!$A$11:$A$1010,MATCH($A242,'قيود اليومية'!$N$11:$N$1010,0)))</f>
        <v/>
      </c>
      <c r="D242" s="84" t="str">
        <f aca="false">IF($A242="","",INDEX('قيود اليومية'!$C$11:$C$1010,MATCH($A242,'قيود اليومية'!$N$11:$N$1010,0)))</f>
        <v/>
      </c>
      <c r="E242" s="51" t="str">
        <f aca="false">IF($A242="","",INDEX('قيود اليومية'!$D$11:$D$1010,MATCH($A242,'قيود اليومية'!$N$11:$N$1010,0))&amp;"")</f>
        <v/>
      </c>
      <c r="F242" s="51" t="str">
        <f aca="false">IF($A242="","",INDEX('قيود اليومية'!$K$11:$K$1010,MATCH($A242,'قيود اليومية'!$N$11:$N$1010,0))&amp;"")</f>
        <v/>
      </c>
      <c r="G242" s="51" t="str">
        <f aca="false">IF($A242="","",INDEX('قيود اليومية'!$F$11:$F$1010,MATCH($A242,'قيود اليومية'!$N$11:$N$1010,0))&amp;"")</f>
        <v/>
      </c>
      <c r="H242" s="85" t="str">
        <f aca="false">IF($A242="","",INDEX('قيود اليومية'!$G$11:$G$1010,MATCH($A242,'قيود اليومية'!$N$11:$N$1010,0)))</f>
        <v/>
      </c>
      <c r="I242" s="85" t="str">
        <f aca="false">IF($A242="","",INDEX('قيود اليومية'!$H$11:$H$1010,MATCH($A242,'قيود اليومية'!$N$11:$N$1010,0)))</f>
        <v/>
      </c>
    </row>
    <row r="243" customFormat="false" ht="15" hidden="false" customHeight="false" outlineLevel="0" collapsed="false">
      <c r="A243" s="82" t="str">
        <f aca="false">IF(ROW()-16&gt;COUNT('قيود اليومية'!$N$11:$N$1010),"",ROW()-16)</f>
        <v/>
      </c>
      <c r="B243" s="83" t="str">
        <f aca="false">IF($A243="","",INDEX('قيود اليومية'!$B$11:$B$1010,MATCH($A243,'قيود اليومية'!$N$11:$N$1010,0)))</f>
        <v/>
      </c>
      <c r="C243" s="84" t="str">
        <f aca="false">IF($A243="","",INDEX('قيود اليومية'!$A$11:$A$1010,MATCH($A243,'قيود اليومية'!$N$11:$N$1010,0)))</f>
        <v/>
      </c>
      <c r="D243" s="84" t="str">
        <f aca="false">IF($A243="","",INDEX('قيود اليومية'!$C$11:$C$1010,MATCH($A243,'قيود اليومية'!$N$11:$N$1010,0)))</f>
        <v/>
      </c>
      <c r="E243" s="51" t="str">
        <f aca="false">IF($A243="","",INDEX('قيود اليومية'!$D$11:$D$1010,MATCH($A243,'قيود اليومية'!$N$11:$N$1010,0))&amp;"")</f>
        <v/>
      </c>
      <c r="F243" s="51" t="str">
        <f aca="false">IF($A243="","",INDEX('قيود اليومية'!$K$11:$K$1010,MATCH($A243,'قيود اليومية'!$N$11:$N$1010,0))&amp;"")</f>
        <v/>
      </c>
      <c r="G243" s="51" t="str">
        <f aca="false">IF($A243="","",INDEX('قيود اليومية'!$F$11:$F$1010,MATCH($A243,'قيود اليومية'!$N$11:$N$1010,0))&amp;"")</f>
        <v/>
      </c>
      <c r="H243" s="85" t="str">
        <f aca="false">IF($A243="","",INDEX('قيود اليومية'!$G$11:$G$1010,MATCH($A243,'قيود اليومية'!$N$11:$N$1010,0)))</f>
        <v/>
      </c>
      <c r="I243" s="85" t="str">
        <f aca="false">IF($A243="","",INDEX('قيود اليومية'!$H$11:$H$1010,MATCH($A243,'قيود اليومية'!$N$11:$N$1010,0)))</f>
        <v/>
      </c>
    </row>
    <row r="244" customFormat="false" ht="15" hidden="false" customHeight="false" outlineLevel="0" collapsed="false">
      <c r="A244" s="82" t="str">
        <f aca="false">IF(ROW()-16&gt;COUNT('قيود اليومية'!$N$11:$N$1010),"",ROW()-16)</f>
        <v/>
      </c>
      <c r="B244" s="83" t="str">
        <f aca="false">IF($A244="","",INDEX('قيود اليومية'!$B$11:$B$1010,MATCH($A244,'قيود اليومية'!$N$11:$N$1010,0)))</f>
        <v/>
      </c>
      <c r="C244" s="84" t="str">
        <f aca="false">IF($A244="","",INDEX('قيود اليومية'!$A$11:$A$1010,MATCH($A244,'قيود اليومية'!$N$11:$N$1010,0)))</f>
        <v/>
      </c>
      <c r="D244" s="84" t="str">
        <f aca="false">IF($A244="","",INDEX('قيود اليومية'!$C$11:$C$1010,MATCH($A244,'قيود اليومية'!$N$11:$N$1010,0)))</f>
        <v/>
      </c>
      <c r="E244" s="51" t="str">
        <f aca="false">IF($A244="","",INDEX('قيود اليومية'!$D$11:$D$1010,MATCH($A244,'قيود اليومية'!$N$11:$N$1010,0))&amp;"")</f>
        <v/>
      </c>
      <c r="F244" s="51" t="str">
        <f aca="false">IF($A244="","",INDEX('قيود اليومية'!$K$11:$K$1010,MATCH($A244,'قيود اليومية'!$N$11:$N$1010,0))&amp;"")</f>
        <v/>
      </c>
      <c r="G244" s="51" t="str">
        <f aca="false">IF($A244="","",INDEX('قيود اليومية'!$F$11:$F$1010,MATCH($A244,'قيود اليومية'!$N$11:$N$1010,0))&amp;"")</f>
        <v/>
      </c>
      <c r="H244" s="85" t="str">
        <f aca="false">IF($A244="","",INDEX('قيود اليومية'!$G$11:$G$1010,MATCH($A244,'قيود اليومية'!$N$11:$N$1010,0)))</f>
        <v/>
      </c>
      <c r="I244" s="85" t="str">
        <f aca="false">IF($A244="","",INDEX('قيود اليومية'!$H$11:$H$1010,MATCH($A244,'قيود اليومية'!$N$11:$N$1010,0)))</f>
        <v/>
      </c>
    </row>
    <row r="245" customFormat="false" ht="15" hidden="false" customHeight="false" outlineLevel="0" collapsed="false">
      <c r="A245" s="82" t="str">
        <f aca="false">IF(ROW()-16&gt;COUNT('قيود اليومية'!$N$11:$N$1010),"",ROW()-16)</f>
        <v/>
      </c>
      <c r="B245" s="83" t="str">
        <f aca="false">IF($A245="","",INDEX('قيود اليومية'!$B$11:$B$1010,MATCH($A245,'قيود اليومية'!$N$11:$N$1010,0)))</f>
        <v/>
      </c>
      <c r="C245" s="84" t="str">
        <f aca="false">IF($A245="","",INDEX('قيود اليومية'!$A$11:$A$1010,MATCH($A245,'قيود اليومية'!$N$11:$N$1010,0)))</f>
        <v/>
      </c>
      <c r="D245" s="84" t="str">
        <f aca="false">IF($A245="","",INDEX('قيود اليومية'!$C$11:$C$1010,MATCH($A245,'قيود اليومية'!$N$11:$N$1010,0)))</f>
        <v/>
      </c>
      <c r="E245" s="51" t="str">
        <f aca="false">IF($A245="","",INDEX('قيود اليومية'!$D$11:$D$1010,MATCH($A245,'قيود اليومية'!$N$11:$N$1010,0))&amp;"")</f>
        <v/>
      </c>
      <c r="F245" s="51" t="str">
        <f aca="false">IF($A245="","",INDEX('قيود اليومية'!$K$11:$K$1010,MATCH($A245,'قيود اليومية'!$N$11:$N$1010,0))&amp;"")</f>
        <v/>
      </c>
      <c r="G245" s="51" t="str">
        <f aca="false">IF($A245="","",INDEX('قيود اليومية'!$F$11:$F$1010,MATCH($A245,'قيود اليومية'!$N$11:$N$1010,0))&amp;"")</f>
        <v/>
      </c>
      <c r="H245" s="85" t="str">
        <f aca="false">IF($A245="","",INDEX('قيود اليومية'!$G$11:$G$1010,MATCH($A245,'قيود اليومية'!$N$11:$N$1010,0)))</f>
        <v/>
      </c>
      <c r="I245" s="85" t="str">
        <f aca="false">IF($A245="","",INDEX('قيود اليومية'!$H$11:$H$1010,MATCH($A245,'قيود اليومية'!$N$11:$N$1010,0)))</f>
        <v/>
      </c>
    </row>
    <row r="246" customFormat="false" ht="15" hidden="false" customHeight="false" outlineLevel="0" collapsed="false">
      <c r="A246" s="82" t="str">
        <f aca="false">IF(ROW()-16&gt;COUNT('قيود اليومية'!$N$11:$N$1010),"",ROW()-16)</f>
        <v/>
      </c>
      <c r="B246" s="83" t="str">
        <f aca="false">IF($A246="","",INDEX('قيود اليومية'!$B$11:$B$1010,MATCH($A246,'قيود اليومية'!$N$11:$N$1010,0)))</f>
        <v/>
      </c>
      <c r="C246" s="84" t="str">
        <f aca="false">IF($A246="","",INDEX('قيود اليومية'!$A$11:$A$1010,MATCH($A246,'قيود اليومية'!$N$11:$N$1010,0)))</f>
        <v/>
      </c>
      <c r="D246" s="84" t="str">
        <f aca="false">IF($A246="","",INDEX('قيود اليومية'!$C$11:$C$1010,MATCH($A246,'قيود اليومية'!$N$11:$N$1010,0)))</f>
        <v/>
      </c>
      <c r="E246" s="51" t="str">
        <f aca="false">IF($A246="","",INDEX('قيود اليومية'!$D$11:$D$1010,MATCH($A246,'قيود اليومية'!$N$11:$N$1010,0))&amp;"")</f>
        <v/>
      </c>
      <c r="F246" s="51" t="str">
        <f aca="false">IF($A246="","",INDEX('قيود اليومية'!$K$11:$K$1010,MATCH($A246,'قيود اليومية'!$N$11:$N$1010,0))&amp;"")</f>
        <v/>
      </c>
      <c r="G246" s="51" t="str">
        <f aca="false">IF($A246="","",INDEX('قيود اليومية'!$F$11:$F$1010,MATCH($A246,'قيود اليومية'!$N$11:$N$1010,0))&amp;"")</f>
        <v/>
      </c>
      <c r="H246" s="85" t="str">
        <f aca="false">IF($A246="","",INDEX('قيود اليومية'!$G$11:$G$1010,MATCH($A246,'قيود اليومية'!$N$11:$N$1010,0)))</f>
        <v/>
      </c>
      <c r="I246" s="85" t="str">
        <f aca="false">IF($A246="","",INDEX('قيود اليومية'!$H$11:$H$1010,MATCH($A246,'قيود اليومية'!$N$11:$N$1010,0)))</f>
        <v/>
      </c>
    </row>
    <row r="247" customFormat="false" ht="15" hidden="false" customHeight="false" outlineLevel="0" collapsed="false">
      <c r="A247" s="82" t="str">
        <f aca="false">IF(ROW()-16&gt;COUNT('قيود اليومية'!$N$11:$N$1010),"",ROW()-16)</f>
        <v/>
      </c>
      <c r="B247" s="83" t="str">
        <f aca="false">IF($A247="","",INDEX('قيود اليومية'!$B$11:$B$1010,MATCH($A247,'قيود اليومية'!$N$11:$N$1010,0)))</f>
        <v/>
      </c>
      <c r="C247" s="84" t="str">
        <f aca="false">IF($A247="","",INDEX('قيود اليومية'!$A$11:$A$1010,MATCH($A247,'قيود اليومية'!$N$11:$N$1010,0)))</f>
        <v/>
      </c>
      <c r="D247" s="84" t="str">
        <f aca="false">IF($A247="","",INDEX('قيود اليومية'!$C$11:$C$1010,MATCH($A247,'قيود اليومية'!$N$11:$N$1010,0)))</f>
        <v/>
      </c>
      <c r="E247" s="51" t="str">
        <f aca="false">IF($A247="","",INDEX('قيود اليومية'!$D$11:$D$1010,MATCH($A247,'قيود اليومية'!$N$11:$N$1010,0))&amp;"")</f>
        <v/>
      </c>
      <c r="F247" s="51" t="str">
        <f aca="false">IF($A247="","",INDEX('قيود اليومية'!$K$11:$K$1010,MATCH($A247,'قيود اليومية'!$N$11:$N$1010,0))&amp;"")</f>
        <v/>
      </c>
      <c r="G247" s="51" t="str">
        <f aca="false">IF($A247="","",INDEX('قيود اليومية'!$F$11:$F$1010,MATCH($A247,'قيود اليومية'!$N$11:$N$1010,0))&amp;"")</f>
        <v/>
      </c>
      <c r="H247" s="85" t="str">
        <f aca="false">IF($A247="","",INDEX('قيود اليومية'!$G$11:$G$1010,MATCH($A247,'قيود اليومية'!$N$11:$N$1010,0)))</f>
        <v/>
      </c>
      <c r="I247" s="85" t="str">
        <f aca="false">IF($A247="","",INDEX('قيود اليومية'!$H$11:$H$1010,MATCH($A247,'قيود اليومية'!$N$11:$N$1010,0)))</f>
        <v/>
      </c>
    </row>
    <row r="248" customFormat="false" ht="15" hidden="false" customHeight="false" outlineLevel="0" collapsed="false">
      <c r="A248" s="82" t="str">
        <f aca="false">IF(ROW()-16&gt;COUNT('قيود اليومية'!$N$11:$N$1010),"",ROW()-16)</f>
        <v/>
      </c>
      <c r="B248" s="83" t="str">
        <f aca="false">IF($A248="","",INDEX('قيود اليومية'!$B$11:$B$1010,MATCH($A248,'قيود اليومية'!$N$11:$N$1010,0)))</f>
        <v/>
      </c>
      <c r="C248" s="84" t="str">
        <f aca="false">IF($A248="","",INDEX('قيود اليومية'!$A$11:$A$1010,MATCH($A248,'قيود اليومية'!$N$11:$N$1010,0)))</f>
        <v/>
      </c>
      <c r="D248" s="84" t="str">
        <f aca="false">IF($A248="","",INDEX('قيود اليومية'!$C$11:$C$1010,MATCH($A248,'قيود اليومية'!$N$11:$N$1010,0)))</f>
        <v/>
      </c>
      <c r="E248" s="51" t="str">
        <f aca="false">IF($A248="","",INDEX('قيود اليومية'!$D$11:$D$1010,MATCH($A248,'قيود اليومية'!$N$11:$N$1010,0))&amp;"")</f>
        <v/>
      </c>
      <c r="F248" s="51" t="str">
        <f aca="false">IF($A248="","",INDEX('قيود اليومية'!$K$11:$K$1010,MATCH($A248,'قيود اليومية'!$N$11:$N$1010,0))&amp;"")</f>
        <v/>
      </c>
      <c r="G248" s="51" t="str">
        <f aca="false">IF($A248="","",INDEX('قيود اليومية'!$F$11:$F$1010,MATCH($A248,'قيود اليومية'!$N$11:$N$1010,0))&amp;"")</f>
        <v/>
      </c>
      <c r="H248" s="85" t="str">
        <f aca="false">IF($A248="","",INDEX('قيود اليومية'!$G$11:$G$1010,MATCH($A248,'قيود اليومية'!$N$11:$N$1010,0)))</f>
        <v/>
      </c>
      <c r="I248" s="85" t="str">
        <f aca="false">IF($A248="","",INDEX('قيود اليومية'!$H$11:$H$1010,MATCH($A248,'قيود اليومية'!$N$11:$N$1010,0)))</f>
        <v/>
      </c>
    </row>
    <row r="249" customFormat="false" ht="15" hidden="false" customHeight="false" outlineLevel="0" collapsed="false">
      <c r="A249" s="82" t="str">
        <f aca="false">IF(ROW()-16&gt;COUNT('قيود اليومية'!$N$11:$N$1010),"",ROW()-16)</f>
        <v/>
      </c>
      <c r="B249" s="83" t="str">
        <f aca="false">IF($A249="","",INDEX('قيود اليومية'!$B$11:$B$1010,MATCH($A249,'قيود اليومية'!$N$11:$N$1010,0)))</f>
        <v/>
      </c>
      <c r="C249" s="84" t="str">
        <f aca="false">IF($A249="","",INDEX('قيود اليومية'!$A$11:$A$1010,MATCH($A249,'قيود اليومية'!$N$11:$N$1010,0)))</f>
        <v/>
      </c>
      <c r="D249" s="84" t="str">
        <f aca="false">IF($A249="","",INDEX('قيود اليومية'!$C$11:$C$1010,MATCH($A249,'قيود اليومية'!$N$11:$N$1010,0)))</f>
        <v/>
      </c>
      <c r="E249" s="51" t="str">
        <f aca="false">IF($A249="","",INDEX('قيود اليومية'!$D$11:$D$1010,MATCH($A249,'قيود اليومية'!$N$11:$N$1010,0))&amp;"")</f>
        <v/>
      </c>
      <c r="F249" s="51" t="str">
        <f aca="false">IF($A249="","",INDEX('قيود اليومية'!$K$11:$K$1010,MATCH($A249,'قيود اليومية'!$N$11:$N$1010,0))&amp;"")</f>
        <v/>
      </c>
      <c r="G249" s="51" t="str">
        <f aca="false">IF($A249="","",INDEX('قيود اليومية'!$F$11:$F$1010,MATCH($A249,'قيود اليومية'!$N$11:$N$1010,0))&amp;"")</f>
        <v/>
      </c>
      <c r="H249" s="85" t="str">
        <f aca="false">IF($A249="","",INDEX('قيود اليومية'!$G$11:$G$1010,MATCH($A249,'قيود اليومية'!$N$11:$N$1010,0)))</f>
        <v/>
      </c>
      <c r="I249" s="85" t="str">
        <f aca="false">IF($A249="","",INDEX('قيود اليومية'!$H$11:$H$1010,MATCH($A249,'قيود اليومية'!$N$11:$N$1010,0)))</f>
        <v/>
      </c>
    </row>
    <row r="250" customFormat="false" ht="15" hidden="false" customHeight="false" outlineLevel="0" collapsed="false">
      <c r="A250" s="82" t="str">
        <f aca="false">IF(ROW()-16&gt;COUNT('قيود اليومية'!$N$11:$N$1010),"",ROW()-16)</f>
        <v/>
      </c>
      <c r="B250" s="83" t="str">
        <f aca="false">IF($A250="","",INDEX('قيود اليومية'!$B$11:$B$1010,MATCH($A250,'قيود اليومية'!$N$11:$N$1010,0)))</f>
        <v/>
      </c>
      <c r="C250" s="84" t="str">
        <f aca="false">IF($A250="","",INDEX('قيود اليومية'!$A$11:$A$1010,MATCH($A250,'قيود اليومية'!$N$11:$N$1010,0)))</f>
        <v/>
      </c>
      <c r="D250" s="84" t="str">
        <f aca="false">IF($A250="","",INDEX('قيود اليومية'!$C$11:$C$1010,MATCH($A250,'قيود اليومية'!$N$11:$N$1010,0)))</f>
        <v/>
      </c>
      <c r="E250" s="51" t="str">
        <f aca="false">IF($A250="","",INDEX('قيود اليومية'!$D$11:$D$1010,MATCH($A250,'قيود اليومية'!$N$11:$N$1010,0))&amp;"")</f>
        <v/>
      </c>
      <c r="F250" s="51" t="str">
        <f aca="false">IF($A250="","",INDEX('قيود اليومية'!$K$11:$K$1010,MATCH($A250,'قيود اليومية'!$N$11:$N$1010,0))&amp;"")</f>
        <v/>
      </c>
      <c r="G250" s="51" t="str">
        <f aca="false">IF($A250="","",INDEX('قيود اليومية'!$F$11:$F$1010,MATCH($A250,'قيود اليومية'!$N$11:$N$1010,0))&amp;"")</f>
        <v/>
      </c>
      <c r="H250" s="85" t="str">
        <f aca="false">IF($A250="","",INDEX('قيود اليومية'!$G$11:$G$1010,MATCH($A250,'قيود اليومية'!$N$11:$N$1010,0)))</f>
        <v/>
      </c>
      <c r="I250" s="85" t="str">
        <f aca="false">IF($A250="","",INDEX('قيود اليومية'!$H$11:$H$1010,MATCH($A250,'قيود اليومية'!$N$11:$N$1010,0)))</f>
        <v/>
      </c>
    </row>
    <row r="251" customFormat="false" ht="15" hidden="false" customHeight="false" outlineLevel="0" collapsed="false">
      <c r="A251" s="82" t="str">
        <f aca="false">IF(ROW()-16&gt;COUNT('قيود اليومية'!$N$11:$N$1010),"",ROW()-16)</f>
        <v/>
      </c>
      <c r="B251" s="83" t="str">
        <f aca="false">IF($A251="","",INDEX('قيود اليومية'!$B$11:$B$1010,MATCH($A251,'قيود اليومية'!$N$11:$N$1010,0)))</f>
        <v/>
      </c>
      <c r="C251" s="84" t="str">
        <f aca="false">IF($A251="","",INDEX('قيود اليومية'!$A$11:$A$1010,MATCH($A251,'قيود اليومية'!$N$11:$N$1010,0)))</f>
        <v/>
      </c>
      <c r="D251" s="84" t="str">
        <f aca="false">IF($A251="","",INDEX('قيود اليومية'!$C$11:$C$1010,MATCH($A251,'قيود اليومية'!$N$11:$N$1010,0)))</f>
        <v/>
      </c>
      <c r="E251" s="51" t="str">
        <f aca="false">IF($A251="","",INDEX('قيود اليومية'!$D$11:$D$1010,MATCH($A251,'قيود اليومية'!$N$11:$N$1010,0))&amp;"")</f>
        <v/>
      </c>
      <c r="F251" s="51" t="str">
        <f aca="false">IF($A251="","",INDEX('قيود اليومية'!$K$11:$K$1010,MATCH($A251,'قيود اليومية'!$N$11:$N$1010,0))&amp;"")</f>
        <v/>
      </c>
      <c r="G251" s="51" t="str">
        <f aca="false">IF($A251="","",INDEX('قيود اليومية'!$F$11:$F$1010,MATCH($A251,'قيود اليومية'!$N$11:$N$1010,0))&amp;"")</f>
        <v/>
      </c>
      <c r="H251" s="85" t="str">
        <f aca="false">IF($A251="","",INDEX('قيود اليومية'!$G$11:$G$1010,MATCH($A251,'قيود اليومية'!$N$11:$N$1010,0)))</f>
        <v/>
      </c>
      <c r="I251" s="85" t="str">
        <f aca="false">IF($A251="","",INDEX('قيود اليومية'!$H$11:$H$1010,MATCH($A251,'قيود اليومية'!$N$11:$N$1010,0)))</f>
        <v/>
      </c>
    </row>
    <row r="252" customFormat="false" ht="15" hidden="false" customHeight="false" outlineLevel="0" collapsed="false">
      <c r="A252" s="82" t="str">
        <f aca="false">IF(ROW()-16&gt;COUNT('قيود اليومية'!$N$11:$N$1010),"",ROW()-16)</f>
        <v/>
      </c>
      <c r="B252" s="83" t="str">
        <f aca="false">IF($A252="","",INDEX('قيود اليومية'!$B$11:$B$1010,MATCH($A252,'قيود اليومية'!$N$11:$N$1010,0)))</f>
        <v/>
      </c>
      <c r="C252" s="84" t="str">
        <f aca="false">IF($A252="","",INDEX('قيود اليومية'!$A$11:$A$1010,MATCH($A252,'قيود اليومية'!$N$11:$N$1010,0)))</f>
        <v/>
      </c>
      <c r="D252" s="84" t="str">
        <f aca="false">IF($A252="","",INDEX('قيود اليومية'!$C$11:$C$1010,MATCH($A252,'قيود اليومية'!$N$11:$N$1010,0)))</f>
        <v/>
      </c>
      <c r="E252" s="51" t="str">
        <f aca="false">IF($A252="","",INDEX('قيود اليومية'!$D$11:$D$1010,MATCH($A252,'قيود اليومية'!$N$11:$N$1010,0))&amp;"")</f>
        <v/>
      </c>
      <c r="F252" s="51" t="str">
        <f aca="false">IF($A252="","",INDEX('قيود اليومية'!$K$11:$K$1010,MATCH($A252,'قيود اليومية'!$N$11:$N$1010,0))&amp;"")</f>
        <v/>
      </c>
      <c r="G252" s="51" t="str">
        <f aca="false">IF($A252="","",INDEX('قيود اليومية'!$F$11:$F$1010,MATCH($A252,'قيود اليومية'!$N$11:$N$1010,0))&amp;"")</f>
        <v/>
      </c>
      <c r="H252" s="85" t="str">
        <f aca="false">IF($A252="","",INDEX('قيود اليومية'!$G$11:$G$1010,MATCH($A252,'قيود اليومية'!$N$11:$N$1010,0)))</f>
        <v/>
      </c>
      <c r="I252" s="85" t="str">
        <f aca="false">IF($A252="","",INDEX('قيود اليومية'!$H$11:$H$1010,MATCH($A252,'قيود اليومية'!$N$11:$N$1010,0)))</f>
        <v/>
      </c>
    </row>
    <row r="253" customFormat="false" ht="15" hidden="false" customHeight="false" outlineLevel="0" collapsed="false">
      <c r="A253" s="82" t="str">
        <f aca="false">IF(ROW()-16&gt;COUNT('قيود اليومية'!$N$11:$N$1010),"",ROW()-16)</f>
        <v/>
      </c>
      <c r="B253" s="83" t="str">
        <f aca="false">IF($A253="","",INDEX('قيود اليومية'!$B$11:$B$1010,MATCH($A253,'قيود اليومية'!$N$11:$N$1010,0)))</f>
        <v/>
      </c>
      <c r="C253" s="84" t="str">
        <f aca="false">IF($A253="","",INDEX('قيود اليومية'!$A$11:$A$1010,MATCH($A253,'قيود اليومية'!$N$11:$N$1010,0)))</f>
        <v/>
      </c>
      <c r="D253" s="84" t="str">
        <f aca="false">IF($A253="","",INDEX('قيود اليومية'!$C$11:$C$1010,MATCH($A253,'قيود اليومية'!$N$11:$N$1010,0)))</f>
        <v/>
      </c>
      <c r="E253" s="51" t="str">
        <f aca="false">IF($A253="","",INDEX('قيود اليومية'!$D$11:$D$1010,MATCH($A253,'قيود اليومية'!$N$11:$N$1010,0))&amp;"")</f>
        <v/>
      </c>
      <c r="F253" s="51" t="str">
        <f aca="false">IF($A253="","",INDEX('قيود اليومية'!$K$11:$K$1010,MATCH($A253,'قيود اليومية'!$N$11:$N$1010,0))&amp;"")</f>
        <v/>
      </c>
      <c r="G253" s="51" t="str">
        <f aca="false">IF($A253="","",INDEX('قيود اليومية'!$F$11:$F$1010,MATCH($A253,'قيود اليومية'!$N$11:$N$1010,0))&amp;"")</f>
        <v/>
      </c>
      <c r="H253" s="85" t="str">
        <f aca="false">IF($A253="","",INDEX('قيود اليومية'!$G$11:$G$1010,MATCH($A253,'قيود اليومية'!$N$11:$N$1010,0)))</f>
        <v/>
      </c>
      <c r="I253" s="85" t="str">
        <f aca="false">IF($A253="","",INDEX('قيود اليومية'!$H$11:$H$1010,MATCH($A253,'قيود اليومية'!$N$11:$N$1010,0)))</f>
        <v/>
      </c>
    </row>
    <row r="254" customFormat="false" ht="15" hidden="false" customHeight="false" outlineLevel="0" collapsed="false">
      <c r="A254" s="82" t="str">
        <f aca="false">IF(ROW()-16&gt;COUNT('قيود اليومية'!$N$11:$N$1010),"",ROW()-16)</f>
        <v/>
      </c>
      <c r="B254" s="83" t="str">
        <f aca="false">IF($A254="","",INDEX('قيود اليومية'!$B$11:$B$1010,MATCH($A254,'قيود اليومية'!$N$11:$N$1010,0)))</f>
        <v/>
      </c>
      <c r="C254" s="84" t="str">
        <f aca="false">IF($A254="","",INDEX('قيود اليومية'!$A$11:$A$1010,MATCH($A254,'قيود اليومية'!$N$11:$N$1010,0)))</f>
        <v/>
      </c>
      <c r="D254" s="84" t="str">
        <f aca="false">IF($A254="","",INDEX('قيود اليومية'!$C$11:$C$1010,MATCH($A254,'قيود اليومية'!$N$11:$N$1010,0)))</f>
        <v/>
      </c>
      <c r="E254" s="51" t="str">
        <f aca="false">IF($A254="","",INDEX('قيود اليومية'!$D$11:$D$1010,MATCH($A254,'قيود اليومية'!$N$11:$N$1010,0))&amp;"")</f>
        <v/>
      </c>
      <c r="F254" s="51" t="str">
        <f aca="false">IF($A254="","",INDEX('قيود اليومية'!$K$11:$K$1010,MATCH($A254,'قيود اليومية'!$N$11:$N$1010,0))&amp;"")</f>
        <v/>
      </c>
      <c r="G254" s="51" t="str">
        <f aca="false">IF($A254="","",INDEX('قيود اليومية'!$F$11:$F$1010,MATCH($A254,'قيود اليومية'!$N$11:$N$1010,0))&amp;"")</f>
        <v/>
      </c>
      <c r="H254" s="85" t="str">
        <f aca="false">IF($A254="","",INDEX('قيود اليومية'!$G$11:$G$1010,MATCH($A254,'قيود اليومية'!$N$11:$N$1010,0)))</f>
        <v/>
      </c>
      <c r="I254" s="85" t="str">
        <f aca="false">IF($A254="","",INDEX('قيود اليومية'!$H$11:$H$1010,MATCH($A254,'قيود اليومية'!$N$11:$N$1010,0)))</f>
        <v/>
      </c>
    </row>
    <row r="255" customFormat="false" ht="15" hidden="false" customHeight="false" outlineLevel="0" collapsed="false">
      <c r="A255" s="82" t="str">
        <f aca="false">IF(ROW()-16&gt;COUNT('قيود اليومية'!$N$11:$N$1010),"",ROW()-16)</f>
        <v/>
      </c>
      <c r="B255" s="83" t="str">
        <f aca="false">IF($A255="","",INDEX('قيود اليومية'!$B$11:$B$1010,MATCH($A255,'قيود اليومية'!$N$11:$N$1010,0)))</f>
        <v/>
      </c>
      <c r="C255" s="84" t="str">
        <f aca="false">IF($A255="","",INDEX('قيود اليومية'!$A$11:$A$1010,MATCH($A255,'قيود اليومية'!$N$11:$N$1010,0)))</f>
        <v/>
      </c>
      <c r="D255" s="84" t="str">
        <f aca="false">IF($A255="","",INDEX('قيود اليومية'!$C$11:$C$1010,MATCH($A255,'قيود اليومية'!$N$11:$N$1010,0)))</f>
        <v/>
      </c>
      <c r="E255" s="51" t="str">
        <f aca="false">IF($A255="","",INDEX('قيود اليومية'!$D$11:$D$1010,MATCH($A255,'قيود اليومية'!$N$11:$N$1010,0))&amp;"")</f>
        <v/>
      </c>
      <c r="F255" s="51" t="str">
        <f aca="false">IF($A255="","",INDEX('قيود اليومية'!$K$11:$K$1010,MATCH($A255,'قيود اليومية'!$N$11:$N$1010,0))&amp;"")</f>
        <v/>
      </c>
      <c r="G255" s="51" t="str">
        <f aca="false">IF($A255="","",INDEX('قيود اليومية'!$F$11:$F$1010,MATCH($A255,'قيود اليومية'!$N$11:$N$1010,0))&amp;"")</f>
        <v/>
      </c>
      <c r="H255" s="85" t="str">
        <f aca="false">IF($A255="","",INDEX('قيود اليومية'!$G$11:$G$1010,MATCH($A255,'قيود اليومية'!$N$11:$N$1010,0)))</f>
        <v/>
      </c>
      <c r="I255" s="85" t="str">
        <f aca="false">IF($A255="","",INDEX('قيود اليومية'!$H$11:$H$1010,MATCH($A255,'قيود اليومية'!$N$11:$N$1010,0)))</f>
        <v/>
      </c>
    </row>
    <row r="256" customFormat="false" ht="15" hidden="false" customHeight="false" outlineLevel="0" collapsed="false">
      <c r="A256" s="82" t="str">
        <f aca="false">IF(ROW()-16&gt;COUNT('قيود اليومية'!$N$11:$N$1010),"",ROW()-16)</f>
        <v/>
      </c>
      <c r="B256" s="83" t="str">
        <f aca="false">IF($A256="","",INDEX('قيود اليومية'!$B$11:$B$1010,MATCH($A256,'قيود اليومية'!$N$11:$N$1010,0)))</f>
        <v/>
      </c>
      <c r="C256" s="84" t="str">
        <f aca="false">IF($A256="","",INDEX('قيود اليومية'!$A$11:$A$1010,MATCH($A256,'قيود اليومية'!$N$11:$N$1010,0)))</f>
        <v/>
      </c>
      <c r="D256" s="84" t="str">
        <f aca="false">IF($A256="","",INDEX('قيود اليومية'!$C$11:$C$1010,MATCH($A256,'قيود اليومية'!$N$11:$N$1010,0)))</f>
        <v/>
      </c>
      <c r="E256" s="51" t="str">
        <f aca="false">IF($A256="","",INDEX('قيود اليومية'!$D$11:$D$1010,MATCH($A256,'قيود اليومية'!$N$11:$N$1010,0))&amp;"")</f>
        <v/>
      </c>
      <c r="F256" s="51" t="str">
        <f aca="false">IF($A256="","",INDEX('قيود اليومية'!$K$11:$K$1010,MATCH($A256,'قيود اليومية'!$N$11:$N$1010,0))&amp;"")</f>
        <v/>
      </c>
      <c r="G256" s="51" t="str">
        <f aca="false">IF($A256="","",INDEX('قيود اليومية'!$F$11:$F$1010,MATCH($A256,'قيود اليومية'!$N$11:$N$1010,0))&amp;"")</f>
        <v/>
      </c>
      <c r="H256" s="85" t="str">
        <f aca="false">IF($A256="","",INDEX('قيود اليومية'!$G$11:$G$1010,MATCH($A256,'قيود اليومية'!$N$11:$N$1010,0)))</f>
        <v/>
      </c>
      <c r="I256" s="85" t="str">
        <f aca="false">IF($A256="","",INDEX('قيود اليومية'!$H$11:$H$1010,MATCH($A256,'قيود اليومية'!$N$11:$N$1010,0)))</f>
        <v/>
      </c>
    </row>
    <row r="257" customFormat="false" ht="15" hidden="false" customHeight="false" outlineLevel="0" collapsed="false">
      <c r="A257" s="82" t="str">
        <f aca="false">IF(ROW()-16&gt;COUNT('قيود اليومية'!$N$11:$N$1010),"",ROW()-16)</f>
        <v/>
      </c>
      <c r="B257" s="83" t="str">
        <f aca="false">IF($A257="","",INDEX('قيود اليومية'!$B$11:$B$1010,MATCH($A257,'قيود اليومية'!$N$11:$N$1010,0)))</f>
        <v/>
      </c>
      <c r="C257" s="84" t="str">
        <f aca="false">IF($A257="","",INDEX('قيود اليومية'!$A$11:$A$1010,MATCH($A257,'قيود اليومية'!$N$11:$N$1010,0)))</f>
        <v/>
      </c>
      <c r="D257" s="84" t="str">
        <f aca="false">IF($A257="","",INDEX('قيود اليومية'!$C$11:$C$1010,MATCH($A257,'قيود اليومية'!$N$11:$N$1010,0)))</f>
        <v/>
      </c>
      <c r="E257" s="51" t="str">
        <f aca="false">IF($A257="","",INDEX('قيود اليومية'!$D$11:$D$1010,MATCH($A257,'قيود اليومية'!$N$11:$N$1010,0))&amp;"")</f>
        <v/>
      </c>
      <c r="F257" s="51" t="str">
        <f aca="false">IF($A257="","",INDEX('قيود اليومية'!$K$11:$K$1010,MATCH($A257,'قيود اليومية'!$N$11:$N$1010,0))&amp;"")</f>
        <v/>
      </c>
      <c r="G257" s="51" t="str">
        <f aca="false">IF($A257="","",INDEX('قيود اليومية'!$F$11:$F$1010,MATCH($A257,'قيود اليومية'!$N$11:$N$1010,0))&amp;"")</f>
        <v/>
      </c>
      <c r="H257" s="85" t="str">
        <f aca="false">IF($A257="","",INDEX('قيود اليومية'!$G$11:$G$1010,MATCH($A257,'قيود اليومية'!$N$11:$N$1010,0)))</f>
        <v/>
      </c>
      <c r="I257" s="85" t="str">
        <f aca="false">IF($A257="","",INDEX('قيود اليومية'!$H$11:$H$1010,MATCH($A257,'قيود اليومية'!$N$11:$N$1010,0)))</f>
        <v/>
      </c>
    </row>
    <row r="258" customFormat="false" ht="15" hidden="false" customHeight="false" outlineLevel="0" collapsed="false">
      <c r="A258" s="82" t="str">
        <f aca="false">IF(ROW()-16&gt;COUNT('قيود اليومية'!$N$11:$N$1010),"",ROW()-16)</f>
        <v/>
      </c>
      <c r="B258" s="83" t="str">
        <f aca="false">IF($A258="","",INDEX('قيود اليومية'!$B$11:$B$1010,MATCH($A258,'قيود اليومية'!$N$11:$N$1010,0)))</f>
        <v/>
      </c>
      <c r="C258" s="84" t="str">
        <f aca="false">IF($A258="","",INDEX('قيود اليومية'!$A$11:$A$1010,MATCH($A258,'قيود اليومية'!$N$11:$N$1010,0)))</f>
        <v/>
      </c>
      <c r="D258" s="84" t="str">
        <f aca="false">IF($A258="","",INDEX('قيود اليومية'!$C$11:$C$1010,MATCH($A258,'قيود اليومية'!$N$11:$N$1010,0)))</f>
        <v/>
      </c>
      <c r="E258" s="51" t="str">
        <f aca="false">IF($A258="","",INDEX('قيود اليومية'!$D$11:$D$1010,MATCH($A258,'قيود اليومية'!$N$11:$N$1010,0))&amp;"")</f>
        <v/>
      </c>
      <c r="F258" s="51" t="str">
        <f aca="false">IF($A258="","",INDEX('قيود اليومية'!$K$11:$K$1010,MATCH($A258,'قيود اليومية'!$N$11:$N$1010,0))&amp;"")</f>
        <v/>
      </c>
      <c r="G258" s="51" t="str">
        <f aca="false">IF($A258="","",INDEX('قيود اليومية'!$F$11:$F$1010,MATCH($A258,'قيود اليومية'!$N$11:$N$1010,0))&amp;"")</f>
        <v/>
      </c>
      <c r="H258" s="85" t="str">
        <f aca="false">IF($A258="","",INDEX('قيود اليومية'!$G$11:$G$1010,MATCH($A258,'قيود اليومية'!$N$11:$N$1010,0)))</f>
        <v/>
      </c>
      <c r="I258" s="85" t="str">
        <f aca="false">IF($A258="","",INDEX('قيود اليومية'!$H$11:$H$1010,MATCH($A258,'قيود اليومية'!$N$11:$N$1010,0)))</f>
        <v/>
      </c>
    </row>
    <row r="259" customFormat="false" ht="15" hidden="false" customHeight="false" outlineLevel="0" collapsed="false">
      <c r="A259" s="82" t="str">
        <f aca="false">IF(ROW()-16&gt;COUNT('قيود اليومية'!$N$11:$N$1010),"",ROW()-16)</f>
        <v/>
      </c>
      <c r="B259" s="83" t="str">
        <f aca="false">IF($A259="","",INDEX('قيود اليومية'!$B$11:$B$1010,MATCH($A259,'قيود اليومية'!$N$11:$N$1010,0)))</f>
        <v/>
      </c>
      <c r="C259" s="84" t="str">
        <f aca="false">IF($A259="","",INDEX('قيود اليومية'!$A$11:$A$1010,MATCH($A259,'قيود اليومية'!$N$11:$N$1010,0)))</f>
        <v/>
      </c>
      <c r="D259" s="84" t="str">
        <f aca="false">IF($A259="","",INDEX('قيود اليومية'!$C$11:$C$1010,MATCH($A259,'قيود اليومية'!$N$11:$N$1010,0)))</f>
        <v/>
      </c>
      <c r="E259" s="51" t="str">
        <f aca="false">IF($A259="","",INDEX('قيود اليومية'!$D$11:$D$1010,MATCH($A259,'قيود اليومية'!$N$11:$N$1010,0))&amp;"")</f>
        <v/>
      </c>
      <c r="F259" s="51" t="str">
        <f aca="false">IF($A259="","",INDEX('قيود اليومية'!$K$11:$K$1010,MATCH($A259,'قيود اليومية'!$N$11:$N$1010,0))&amp;"")</f>
        <v/>
      </c>
      <c r="G259" s="51" t="str">
        <f aca="false">IF($A259="","",INDEX('قيود اليومية'!$F$11:$F$1010,MATCH($A259,'قيود اليومية'!$N$11:$N$1010,0))&amp;"")</f>
        <v/>
      </c>
      <c r="H259" s="85" t="str">
        <f aca="false">IF($A259="","",INDEX('قيود اليومية'!$G$11:$G$1010,MATCH($A259,'قيود اليومية'!$N$11:$N$1010,0)))</f>
        <v/>
      </c>
      <c r="I259" s="85" t="str">
        <f aca="false">IF($A259="","",INDEX('قيود اليومية'!$H$11:$H$1010,MATCH($A259,'قيود اليومية'!$N$11:$N$1010,0)))</f>
        <v/>
      </c>
    </row>
    <row r="260" customFormat="false" ht="15" hidden="false" customHeight="false" outlineLevel="0" collapsed="false">
      <c r="A260" s="82" t="str">
        <f aca="false">IF(ROW()-16&gt;COUNT('قيود اليومية'!$N$11:$N$1010),"",ROW()-16)</f>
        <v/>
      </c>
      <c r="B260" s="83" t="str">
        <f aca="false">IF($A260="","",INDEX('قيود اليومية'!$B$11:$B$1010,MATCH($A260,'قيود اليومية'!$N$11:$N$1010,0)))</f>
        <v/>
      </c>
      <c r="C260" s="84" t="str">
        <f aca="false">IF($A260="","",INDEX('قيود اليومية'!$A$11:$A$1010,MATCH($A260,'قيود اليومية'!$N$11:$N$1010,0)))</f>
        <v/>
      </c>
      <c r="D260" s="84" t="str">
        <f aca="false">IF($A260="","",INDEX('قيود اليومية'!$C$11:$C$1010,MATCH($A260,'قيود اليومية'!$N$11:$N$1010,0)))</f>
        <v/>
      </c>
      <c r="E260" s="51" t="str">
        <f aca="false">IF($A260="","",INDEX('قيود اليومية'!$D$11:$D$1010,MATCH($A260,'قيود اليومية'!$N$11:$N$1010,0))&amp;"")</f>
        <v/>
      </c>
      <c r="F260" s="51" t="str">
        <f aca="false">IF($A260="","",INDEX('قيود اليومية'!$K$11:$K$1010,MATCH($A260,'قيود اليومية'!$N$11:$N$1010,0))&amp;"")</f>
        <v/>
      </c>
      <c r="G260" s="51" t="str">
        <f aca="false">IF($A260="","",INDEX('قيود اليومية'!$F$11:$F$1010,MATCH($A260,'قيود اليومية'!$N$11:$N$1010,0))&amp;"")</f>
        <v/>
      </c>
      <c r="H260" s="85" t="str">
        <f aca="false">IF($A260="","",INDEX('قيود اليومية'!$G$11:$G$1010,MATCH($A260,'قيود اليومية'!$N$11:$N$1010,0)))</f>
        <v/>
      </c>
      <c r="I260" s="85" t="str">
        <f aca="false">IF($A260="","",INDEX('قيود اليومية'!$H$11:$H$1010,MATCH($A260,'قيود اليومية'!$N$11:$N$1010,0)))</f>
        <v/>
      </c>
    </row>
    <row r="261" customFormat="false" ht="15" hidden="false" customHeight="false" outlineLevel="0" collapsed="false">
      <c r="A261" s="82" t="str">
        <f aca="false">IF(ROW()-16&gt;COUNT('قيود اليومية'!$N$11:$N$1010),"",ROW()-16)</f>
        <v/>
      </c>
      <c r="B261" s="83" t="str">
        <f aca="false">IF($A261="","",INDEX('قيود اليومية'!$B$11:$B$1010,MATCH($A261,'قيود اليومية'!$N$11:$N$1010,0)))</f>
        <v/>
      </c>
      <c r="C261" s="84" t="str">
        <f aca="false">IF($A261="","",INDEX('قيود اليومية'!$A$11:$A$1010,MATCH($A261,'قيود اليومية'!$N$11:$N$1010,0)))</f>
        <v/>
      </c>
      <c r="D261" s="84" t="str">
        <f aca="false">IF($A261="","",INDEX('قيود اليومية'!$C$11:$C$1010,MATCH($A261,'قيود اليومية'!$N$11:$N$1010,0)))</f>
        <v/>
      </c>
      <c r="E261" s="51" t="str">
        <f aca="false">IF($A261="","",INDEX('قيود اليومية'!$D$11:$D$1010,MATCH($A261,'قيود اليومية'!$N$11:$N$1010,0))&amp;"")</f>
        <v/>
      </c>
      <c r="F261" s="51" t="str">
        <f aca="false">IF($A261="","",INDEX('قيود اليومية'!$K$11:$K$1010,MATCH($A261,'قيود اليومية'!$N$11:$N$1010,0))&amp;"")</f>
        <v/>
      </c>
      <c r="G261" s="51" t="str">
        <f aca="false">IF($A261="","",INDEX('قيود اليومية'!$F$11:$F$1010,MATCH($A261,'قيود اليومية'!$N$11:$N$1010,0))&amp;"")</f>
        <v/>
      </c>
      <c r="H261" s="85" t="str">
        <f aca="false">IF($A261="","",INDEX('قيود اليومية'!$G$11:$G$1010,MATCH($A261,'قيود اليومية'!$N$11:$N$1010,0)))</f>
        <v/>
      </c>
      <c r="I261" s="85" t="str">
        <f aca="false">IF($A261="","",INDEX('قيود اليومية'!$H$11:$H$1010,MATCH($A261,'قيود اليومية'!$N$11:$N$1010,0)))</f>
        <v/>
      </c>
    </row>
    <row r="262" customFormat="false" ht="15" hidden="false" customHeight="false" outlineLevel="0" collapsed="false">
      <c r="A262" s="82" t="str">
        <f aca="false">IF(ROW()-16&gt;COUNT('قيود اليومية'!$N$11:$N$1010),"",ROW()-16)</f>
        <v/>
      </c>
      <c r="B262" s="83" t="str">
        <f aca="false">IF($A262="","",INDEX('قيود اليومية'!$B$11:$B$1010,MATCH($A262,'قيود اليومية'!$N$11:$N$1010,0)))</f>
        <v/>
      </c>
      <c r="C262" s="84" t="str">
        <f aca="false">IF($A262="","",INDEX('قيود اليومية'!$A$11:$A$1010,MATCH($A262,'قيود اليومية'!$N$11:$N$1010,0)))</f>
        <v/>
      </c>
      <c r="D262" s="84" t="str">
        <f aca="false">IF($A262="","",INDEX('قيود اليومية'!$C$11:$C$1010,MATCH($A262,'قيود اليومية'!$N$11:$N$1010,0)))</f>
        <v/>
      </c>
      <c r="E262" s="51" t="str">
        <f aca="false">IF($A262="","",INDEX('قيود اليومية'!$D$11:$D$1010,MATCH($A262,'قيود اليومية'!$N$11:$N$1010,0))&amp;"")</f>
        <v/>
      </c>
      <c r="F262" s="51" t="str">
        <f aca="false">IF($A262="","",INDEX('قيود اليومية'!$K$11:$K$1010,MATCH($A262,'قيود اليومية'!$N$11:$N$1010,0))&amp;"")</f>
        <v/>
      </c>
      <c r="G262" s="51" t="str">
        <f aca="false">IF($A262="","",INDEX('قيود اليومية'!$F$11:$F$1010,MATCH($A262,'قيود اليومية'!$N$11:$N$1010,0))&amp;"")</f>
        <v/>
      </c>
      <c r="H262" s="85" t="str">
        <f aca="false">IF($A262="","",INDEX('قيود اليومية'!$G$11:$G$1010,MATCH($A262,'قيود اليومية'!$N$11:$N$1010,0)))</f>
        <v/>
      </c>
      <c r="I262" s="85" t="str">
        <f aca="false">IF($A262="","",INDEX('قيود اليومية'!$H$11:$H$1010,MATCH($A262,'قيود اليومية'!$N$11:$N$1010,0)))</f>
        <v/>
      </c>
    </row>
    <row r="263" customFormat="false" ht="15" hidden="false" customHeight="false" outlineLevel="0" collapsed="false">
      <c r="A263" s="82" t="str">
        <f aca="false">IF(ROW()-16&gt;COUNT('قيود اليومية'!$N$11:$N$1010),"",ROW()-16)</f>
        <v/>
      </c>
      <c r="B263" s="83" t="str">
        <f aca="false">IF($A263="","",INDEX('قيود اليومية'!$B$11:$B$1010,MATCH($A263,'قيود اليومية'!$N$11:$N$1010,0)))</f>
        <v/>
      </c>
      <c r="C263" s="84" t="str">
        <f aca="false">IF($A263="","",INDEX('قيود اليومية'!$A$11:$A$1010,MATCH($A263,'قيود اليومية'!$N$11:$N$1010,0)))</f>
        <v/>
      </c>
      <c r="D263" s="84" t="str">
        <f aca="false">IF($A263="","",INDEX('قيود اليومية'!$C$11:$C$1010,MATCH($A263,'قيود اليومية'!$N$11:$N$1010,0)))</f>
        <v/>
      </c>
      <c r="E263" s="51" t="str">
        <f aca="false">IF($A263="","",INDEX('قيود اليومية'!$D$11:$D$1010,MATCH($A263,'قيود اليومية'!$N$11:$N$1010,0))&amp;"")</f>
        <v/>
      </c>
      <c r="F263" s="51" t="str">
        <f aca="false">IF($A263="","",INDEX('قيود اليومية'!$K$11:$K$1010,MATCH($A263,'قيود اليومية'!$N$11:$N$1010,0))&amp;"")</f>
        <v/>
      </c>
      <c r="G263" s="51" t="str">
        <f aca="false">IF($A263="","",INDEX('قيود اليومية'!$F$11:$F$1010,MATCH($A263,'قيود اليومية'!$N$11:$N$1010,0))&amp;"")</f>
        <v/>
      </c>
      <c r="H263" s="85" t="str">
        <f aca="false">IF($A263="","",INDEX('قيود اليومية'!$G$11:$G$1010,MATCH($A263,'قيود اليومية'!$N$11:$N$1010,0)))</f>
        <v/>
      </c>
      <c r="I263" s="85" t="str">
        <f aca="false">IF($A263="","",INDEX('قيود اليومية'!$H$11:$H$1010,MATCH($A263,'قيود اليومية'!$N$11:$N$1010,0)))</f>
        <v/>
      </c>
    </row>
    <row r="264" customFormat="false" ht="15" hidden="false" customHeight="false" outlineLevel="0" collapsed="false">
      <c r="A264" s="82" t="str">
        <f aca="false">IF(ROW()-16&gt;COUNT('قيود اليومية'!$N$11:$N$1010),"",ROW()-16)</f>
        <v/>
      </c>
      <c r="B264" s="83" t="str">
        <f aca="false">IF($A264="","",INDEX('قيود اليومية'!$B$11:$B$1010,MATCH($A264,'قيود اليومية'!$N$11:$N$1010,0)))</f>
        <v/>
      </c>
      <c r="C264" s="84" t="str">
        <f aca="false">IF($A264="","",INDEX('قيود اليومية'!$A$11:$A$1010,MATCH($A264,'قيود اليومية'!$N$11:$N$1010,0)))</f>
        <v/>
      </c>
      <c r="D264" s="84" t="str">
        <f aca="false">IF($A264="","",INDEX('قيود اليومية'!$C$11:$C$1010,MATCH($A264,'قيود اليومية'!$N$11:$N$1010,0)))</f>
        <v/>
      </c>
      <c r="E264" s="51" t="str">
        <f aca="false">IF($A264="","",INDEX('قيود اليومية'!$D$11:$D$1010,MATCH($A264,'قيود اليومية'!$N$11:$N$1010,0))&amp;"")</f>
        <v/>
      </c>
      <c r="F264" s="51" t="str">
        <f aca="false">IF($A264="","",INDEX('قيود اليومية'!$K$11:$K$1010,MATCH($A264,'قيود اليومية'!$N$11:$N$1010,0))&amp;"")</f>
        <v/>
      </c>
      <c r="G264" s="51" t="str">
        <f aca="false">IF($A264="","",INDEX('قيود اليومية'!$F$11:$F$1010,MATCH($A264,'قيود اليومية'!$N$11:$N$1010,0))&amp;"")</f>
        <v/>
      </c>
      <c r="H264" s="85" t="str">
        <f aca="false">IF($A264="","",INDEX('قيود اليومية'!$G$11:$G$1010,MATCH($A264,'قيود اليومية'!$N$11:$N$1010,0)))</f>
        <v/>
      </c>
      <c r="I264" s="85" t="str">
        <f aca="false">IF($A264="","",INDEX('قيود اليومية'!$H$11:$H$1010,MATCH($A264,'قيود اليومية'!$N$11:$N$1010,0)))</f>
        <v/>
      </c>
    </row>
    <row r="265" customFormat="false" ht="15" hidden="false" customHeight="false" outlineLevel="0" collapsed="false">
      <c r="A265" s="82" t="str">
        <f aca="false">IF(ROW()-16&gt;COUNT('قيود اليومية'!$N$11:$N$1010),"",ROW()-16)</f>
        <v/>
      </c>
      <c r="B265" s="83" t="str">
        <f aca="false">IF($A265="","",INDEX('قيود اليومية'!$B$11:$B$1010,MATCH($A265,'قيود اليومية'!$N$11:$N$1010,0)))</f>
        <v/>
      </c>
      <c r="C265" s="84" t="str">
        <f aca="false">IF($A265="","",INDEX('قيود اليومية'!$A$11:$A$1010,MATCH($A265,'قيود اليومية'!$N$11:$N$1010,0)))</f>
        <v/>
      </c>
      <c r="D265" s="84" t="str">
        <f aca="false">IF($A265="","",INDEX('قيود اليومية'!$C$11:$C$1010,MATCH($A265,'قيود اليومية'!$N$11:$N$1010,0)))</f>
        <v/>
      </c>
      <c r="E265" s="51" t="str">
        <f aca="false">IF($A265="","",INDEX('قيود اليومية'!$D$11:$D$1010,MATCH($A265,'قيود اليومية'!$N$11:$N$1010,0))&amp;"")</f>
        <v/>
      </c>
      <c r="F265" s="51" t="str">
        <f aca="false">IF($A265="","",INDEX('قيود اليومية'!$K$11:$K$1010,MATCH($A265,'قيود اليومية'!$N$11:$N$1010,0))&amp;"")</f>
        <v/>
      </c>
      <c r="G265" s="51" t="str">
        <f aca="false">IF($A265="","",INDEX('قيود اليومية'!$F$11:$F$1010,MATCH($A265,'قيود اليومية'!$N$11:$N$1010,0))&amp;"")</f>
        <v/>
      </c>
      <c r="H265" s="85" t="str">
        <f aca="false">IF($A265="","",INDEX('قيود اليومية'!$G$11:$G$1010,MATCH($A265,'قيود اليومية'!$N$11:$N$1010,0)))</f>
        <v/>
      </c>
      <c r="I265" s="85" t="str">
        <f aca="false">IF($A265="","",INDEX('قيود اليومية'!$H$11:$H$1010,MATCH($A265,'قيود اليومية'!$N$11:$N$1010,0)))</f>
        <v/>
      </c>
    </row>
    <row r="266" customFormat="false" ht="15" hidden="false" customHeight="false" outlineLevel="0" collapsed="false">
      <c r="A266" s="82" t="str">
        <f aca="false">IF(ROW()-16&gt;COUNT('قيود اليومية'!$N$11:$N$1010),"",ROW()-16)</f>
        <v/>
      </c>
      <c r="B266" s="83" t="str">
        <f aca="false">IF($A266="","",INDEX('قيود اليومية'!$B$11:$B$1010,MATCH($A266,'قيود اليومية'!$N$11:$N$1010,0)))</f>
        <v/>
      </c>
      <c r="C266" s="84" t="str">
        <f aca="false">IF($A266="","",INDEX('قيود اليومية'!$A$11:$A$1010,MATCH($A266,'قيود اليومية'!$N$11:$N$1010,0)))</f>
        <v/>
      </c>
      <c r="D266" s="84" t="str">
        <f aca="false">IF($A266="","",INDEX('قيود اليومية'!$C$11:$C$1010,MATCH($A266,'قيود اليومية'!$N$11:$N$1010,0)))</f>
        <v/>
      </c>
      <c r="E266" s="51" t="str">
        <f aca="false">IF($A266="","",INDEX('قيود اليومية'!$D$11:$D$1010,MATCH($A266,'قيود اليومية'!$N$11:$N$1010,0))&amp;"")</f>
        <v/>
      </c>
      <c r="F266" s="51" t="str">
        <f aca="false">IF($A266="","",INDEX('قيود اليومية'!$K$11:$K$1010,MATCH($A266,'قيود اليومية'!$N$11:$N$1010,0))&amp;"")</f>
        <v/>
      </c>
      <c r="G266" s="51" t="str">
        <f aca="false">IF($A266="","",INDEX('قيود اليومية'!$F$11:$F$1010,MATCH($A266,'قيود اليومية'!$N$11:$N$1010,0))&amp;"")</f>
        <v/>
      </c>
      <c r="H266" s="85" t="str">
        <f aca="false">IF($A266="","",INDEX('قيود اليومية'!$G$11:$G$1010,MATCH($A266,'قيود اليومية'!$N$11:$N$1010,0)))</f>
        <v/>
      </c>
      <c r="I266" s="85" t="str">
        <f aca="false">IF($A266="","",INDEX('قيود اليومية'!$H$11:$H$1010,MATCH($A266,'قيود اليومية'!$N$11:$N$1010,0)))</f>
        <v/>
      </c>
    </row>
    <row r="267" customFormat="false" ht="15" hidden="false" customHeight="false" outlineLevel="0" collapsed="false">
      <c r="A267" s="82" t="str">
        <f aca="false">IF(ROW()-16&gt;COUNT('قيود اليومية'!$N$11:$N$1010),"",ROW()-16)</f>
        <v/>
      </c>
      <c r="B267" s="83" t="str">
        <f aca="false">IF($A267="","",INDEX('قيود اليومية'!$B$11:$B$1010,MATCH($A267,'قيود اليومية'!$N$11:$N$1010,0)))</f>
        <v/>
      </c>
      <c r="C267" s="84" t="str">
        <f aca="false">IF($A267="","",INDEX('قيود اليومية'!$A$11:$A$1010,MATCH($A267,'قيود اليومية'!$N$11:$N$1010,0)))</f>
        <v/>
      </c>
      <c r="D267" s="84" t="str">
        <f aca="false">IF($A267="","",INDEX('قيود اليومية'!$C$11:$C$1010,MATCH($A267,'قيود اليومية'!$N$11:$N$1010,0)))</f>
        <v/>
      </c>
      <c r="E267" s="51" t="str">
        <f aca="false">IF($A267="","",INDEX('قيود اليومية'!$D$11:$D$1010,MATCH($A267,'قيود اليومية'!$N$11:$N$1010,0))&amp;"")</f>
        <v/>
      </c>
      <c r="F267" s="51" t="str">
        <f aca="false">IF($A267="","",INDEX('قيود اليومية'!$K$11:$K$1010,MATCH($A267,'قيود اليومية'!$N$11:$N$1010,0))&amp;"")</f>
        <v/>
      </c>
      <c r="G267" s="51" t="str">
        <f aca="false">IF($A267="","",INDEX('قيود اليومية'!$F$11:$F$1010,MATCH($A267,'قيود اليومية'!$N$11:$N$1010,0))&amp;"")</f>
        <v/>
      </c>
      <c r="H267" s="85" t="str">
        <f aca="false">IF($A267="","",INDEX('قيود اليومية'!$G$11:$G$1010,MATCH($A267,'قيود اليومية'!$N$11:$N$1010,0)))</f>
        <v/>
      </c>
      <c r="I267" s="85" t="str">
        <f aca="false">IF($A267="","",INDEX('قيود اليومية'!$H$11:$H$1010,MATCH($A267,'قيود اليومية'!$N$11:$N$1010,0)))</f>
        <v/>
      </c>
    </row>
    <row r="268" customFormat="false" ht="15" hidden="false" customHeight="false" outlineLevel="0" collapsed="false">
      <c r="A268" s="82" t="str">
        <f aca="false">IF(ROW()-16&gt;COUNT('قيود اليومية'!$N$11:$N$1010),"",ROW()-16)</f>
        <v/>
      </c>
      <c r="B268" s="83" t="str">
        <f aca="false">IF($A268="","",INDEX('قيود اليومية'!$B$11:$B$1010,MATCH($A268,'قيود اليومية'!$N$11:$N$1010,0)))</f>
        <v/>
      </c>
      <c r="C268" s="84" t="str">
        <f aca="false">IF($A268="","",INDEX('قيود اليومية'!$A$11:$A$1010,MATCH($A268,'قيود اليومية'!$N$11:$N$1010,0)))</f>
        <v/>
      </c>
      <c r="D268" s="84" t="str">
        <f aca="false">IF($A268="","",INDEX('قيود اليومية'!$C$11:$C$1010,MATCH($A268,'قيود اليومية'!$N$11:$N$1010,0)))</f>
        <v/>
      </c>
      <c r="E268" s="51" t="str">
        <f aca="false">IF($A268="","",INDEX('قيود اليومية'!$D$11:$D$1010,MATCH($A268,'قيود اليومية'!$N$11:$N$1010,0))&amp;"")</f>
        <v/>
      </c>
      <c r="F268" s="51" t="str">
        <f aca="false">IF($A268="","",INDEX('قيود اليومية'!$K$11:$K$1010,MATCH($A268,'قيود اليومية'!$N$11:$N$1010,0))&amp;"")</f>
        <v/>
      </c>
      <c r="G268" s="51" t="str">
        <f aca="false">IF($A268="","",INDEX('قيود اليومية'!$F$11:$F$1010,MATCH($A268,'قيود اليومية'!$N$11:$N$1010,0))&amp;"")</f>
        <v/>
      </c>
      <c r="H268" s="85" t="str">
        <f aca="false">IF($A268="","",INDEX('قيود اليومية'!$G$11:$G$1010,MATCH($A268,'قيود اليومية'!$N$11:$N$1010,0)))</f>
        <v/>
      </c>
      <c r="I268" s="85" t="str">
        <f aca="false">IF($A268="","",INDEX('قيود اليومية'!$H$11:$H$1010,MATCH($A268,'قيود اليومية'!$N$11:$N$1010,0)))</f>
        <v/>
      </c>
    </row>
    <row r="269" customFormat="false" ht="15" hidden="false" customHeight="false" outlineLevel="0" collapsed="false">
      <c r="A269" s="82" t="str">
        <f aca="false">IF(ROW()-16&gt;COUNT('قيود اليومية'!$N$11:$N$1010),"",ROW()-16)</f>
        <v/>
      </c>
      <c r="B269" s="83" t="str">
        <f aca="false">IF($A269="","",INDEX('قيود اليومية'!$B$11:$B$1010,MATCH($A269,'قيود اليومية'!$N$11:$N$1010,0)))</f>
        <v/>
      </c>
      <c r="C269" s="84" t="str">
        <f aca="false">IF($A269="","",INDEX('قيود اليومية'!$A$11:$A$1010,MATCH($A269,'قيود اليومية'!$N$11:$N$1010,0)))</f>
        <v/>
      </c>
      <c r="D269" s="84" t="str">
        <f aca="false">IF($A269="","",INDEX('قيود اليومية'!$C$11:$C$1010,MATCH($A269,'قيود اليومية'!$N$11:$N$1010,0)))</f>
        <v/>
      </c>
      <c r="E269" s="51" t="str">
        <f aca="false">IF($A269="","",INDEX('قيود اليومية'!$D$11:$D$1010,MATCH($A269,'قيود اليومية'!$N$11:$N$1010,0))&amp;"")</f>
        <v/>
      </c>
      <c r="F269" s="51" t="str">
        <f aca="false">IF($A269="","",INDEX('قيود اليومية'!$K$11:$K$1010,MATCH($A269,'قيود اليومية'!$N$11:$N$1010,0))&amp;"")</f>
        <v/>
      </c>
      <c r="G269" s="51" t="str">
        <f aca="false">IF($A269="","",INDEX('قيود اليومية'!$F$11:$F$1010,MATCH($A269,'قيود اليومية'!$N$11:$N$1010,0))&amp;"")</f>
        <v/>
      </c>
      <c r="H269" s="85" t="str">
        <f aca="false">IF($A269="","",INDEX('قيود اليومية'!$G$11:$G$1010,MATCH($A269,'قيود اليومية'!$N$11:$N$1010,0)))</f>
        <v/>
      </c>
      <c r="I269" s="85" t="str">
        <f aca="false">IF($A269="","",INDEX('قيود اليومية'!$H$11:$H$1010,MATCH($A269,'قيود اليومية'!$N$11:$N$1010,0)))</f>
        <v/>
      </c>
    </row>
    <row r="270" customFormat="false" ht="15" hidden="false" customHeight="false" outlineLevel="0" collapsed="false">
      <c r="A270" s="82" t="str">
        <f aca="false">IF(ROW()-16&gt;COUNT('قيود اليومية'!$N$11:$N$1010),"",ROW()-16)</f>
        <v/>
      </c>
      <c r="B270" s="83" t="str">
        <f aca="false">IF($A270="","",INDEX('قيود اليومية'!$B$11:$B$1010,MATCH($A270,'قيود اليومية'!$N$11:$N$1010,0)))</f>
        <v/>
      </c>
      <c r="C270" s="84" t="str">
        <f aca="false">IF($A270="","",INDEX('قيود اليومية'!$A$11:$A$1010,MATCH($A270,'قيود اليومية'!$N$11:$N$1010,0)))</f>
        <v/>
      </c>
      <c r="D270" s="84" t="str">
        <f aca="false">IF($A270="","",INDEX('قيود اليومية'!$C$11:$C$1010,MATCH($A270,'قيود اليومية'!$N$11:$N$1010,0)))</f>
        <v/>
      </c>
      <c r="E270" s="51" t="str">
        <f aca="false">IF($A270="","",INDEX('قيود اليومية'!$D$11:$D$1010,MATCH($A270,'قيود اليومية'!$N$11:$N$1010,0))&amp;"")</f>
        <v/>
      </c>
      <c r="F270" s="51" t="str">
        <f aca="false">IF($A270="","",INDEX('قيود اليومية'!$K$11:$K$1010,MATCH($A270,'قيود اليومية'!$N$11:$N$1010,0))&amp;"")</f>
        <v/>
      </c>
      <c r="G270" s="51" t="str">
        <f aca="false">IF($A270="","",INDEX('قيود اليومية'!$F$11:$F$1010,MATCH($A270,'قيود اليومية'!$N$11:$N$1010,0))&amp;"")</f>
        <v/>
      </c>
      <c r="H270" s="85" t="str">
        <f aca="false">IF($A270="","",INDEX('قيود اليومية'!$G$11:$G$1010,MATCH($A270,'قيود اليومية'!$N$11:$N$1010,0)))</f>
        <v/>
      </c>
      <c r="I270" s="85" t="str">
        <f aca="false">IF($A270="","",INDEX('قيود اليومية'!$H$11:$H$1010,MATCH($A270,'قيود اليومية'!$N$11:$N$1010,0)))</f>
        <v/>
      </c>
    </row>
    <row r="271" customFormat="false" ht="15" hidden="false" customHeight="false" outlineLevel="0" collapsed="false">
      <c r="A271" s="82" t="str">
        <f aca="false">IF(ROW()-16&gt;COUNT('قيود اليومية'!$N$11:$N$1010),"",ROW()-16)</f>
        <v/>
      </c>
      <c r="B271" s="83" t="str">
        <f aca="false">IF($A271="","",INDEX('قيود اليومية'!$B$11:$B$1010,MATCH($A271,'قيود اليومية'!$N$11:$N$1010,0)))</f>
        <v/>
      </c>
      <c r="C271" s="84" t="str">
        <f aca="false">IF($A271="","",INDEX('قيود اليومية'!$A$11:$A$1010,MATCH($A271,'قيود اليومية'!$N$11:$N$1010,0)))</f>
        <v/>
      </c>
      <c r="D271" s="84" t="str">
        <f aca="false">IF($A271="","",INDEX('قيود اليومية'!$C$11:$C$1010,MATCH($A271,'قيود اليومية'!$N$11:$N$1010,0)))</f>
        <v/>
      </c>
      <c r="E271" s="51" t="str">
        <f aca="false">IF($A271="","",INDEX('قيود اليومية'!$D$11:$D$1010,MATCH($A271,'قيود اليومية'!$N$11:$N$1010,0))&amp;"")</f>
        <v/>
      </c>
      <c r="F271" s="51" t="str">
        <f aca="false">IF($A271="","",INDEX('قيود اليومية'!$K$11:$K$1010,MATCH($A271,'قيود اليومية'!$N$11:$N$1010,0))&amp;"")</f>
        <v/>
      </c>
      <c r="G271" s="51" t="str">
        <f aca="false">IF($A271="","",INDEX('قيود اليومية'!$F$11:$F$1010,MATCH($A271,'قيود اليومية'!$N$11:$N$1010,0))&amp;"")</f>
        <v/>
      </c>
      <c r="H271" s="85" t="str">
        <f aca="false">IF($A271="","",INDEX('قيود اليومية'!$G$11:$G$1010,MATCH($A271,'قيود اليومية'!$N$11:$N$1010,0)))</f>
        <v/>
      </c>
      <c r="I271" s="85" t="str">
        <f aca="false">IF($A271="","",INDEX('قيود اليومية'!$H$11:$H$1010,MATCH($A271,'قيود اليومية'!$N$11:$N$1010,0)))</f>
        <v/>
      </c>
    </row>
    <row r="272" customFormat="false" ht="15" hidden="false" customHeight="false" outlineLevel="0" collapsed="false">
      <c r="A272" s="82" t="str">
        <f aca="false">IF(ROW()-16&gt;COUNT('قيود اليومية'!$N$11:$N$1010),"",ROW()-16)</f>
        <v/>
      </c>
      <c r="B272" s="83" t="str">
        <f aca="false">IF($A272="","",INDEX('قيود اليومية'!$B$11:$B$1010,MATCH($A272,'قيود اليومية'!$N$11:$N$1010,0)))</f>
        <v/>
      </c>
      <c r="C272" s="84" t="str">
        <f aca="false">IF($A272="","",INDEX('قيود اليومية'!$A$11:$A$1010,MATCH($A272,'قيود اليومية'!$N$11:$N$1010,0)))</f>
        <v/>
      </c>
      <c r="D272" s="84" t="str">
        <f aca="false">IF($A272="","",INDEX('قيود اليومية'!$C$11:$C$1010,MATCH($A272,'قيود اليومية'!$N$11:$N$1010,0)))</f>
        <v/>
      </c>
      <c r="E272" s="51" t="str">
        <f aca="false">IF($A272="","",INDEX('قيود اليومية'!$D$11:$D$1010,MATCH($A272,'قيود اليومية'!$N$11:$N$1010,0))&amp;"")</f>
        <v/>
      </c>
      <c r="F272" s="51" t="str">
        <f aca="false">IF($A272="","",INDEX('قيود اليومية'!$K$11:$K$1010,MATCH($A272,'قيود اليومية'!$N$11:$N$1010,0))&amp;"")</f>
        <v/>
      </c>
      <c r="G272" s="51" t="str">
        <f aca="false">IF($A272="","",INDEX('قيود اليومية'!$F$11:$F$1010,MATCH($A272,'قيود اليومية'!$N$11:$N$1010,0))&amp;"")</f>
        <v/>
      </c>
      <c r="H272" s="85" t="str">
        <f aca="false">IF($A272="","",INDEX('قيود اليومية'!$G$11:$G$1010,MATCH($A272,'قيود اليومية'!$N$11:$N$1010,0)))</f>
        <v/>
      </c>
      <c r="I272" s="85" t="str">
        <f aca="false">IF($A272="","",INDEX('قيود اليومية'!$H$11:$H$1010,MATCH($A272,'قيود اليومية'!$N$11:$N$1010,0)))</f>
        <v/>
      </c>
    </row>
    <row r="273" customFormat="false" ht="15" hidden="false" customHeight="false" outlineLevel="0" collapsed="false">
      <c r="A273" s="82" t="str">
        <f aca="false">IF(ROW()-16&gt;COUNT('قيود اليومية'!$N$11:$N$1010),"",ROW()-16)</f>
        <v/>
      </c>
      <c r="B273" s="83" t="str">
        <f aca="false">IF($A273="","",INDEX('قيود اليومية'!$B$11:$B$1010,MATCH($A273,'قيود اليومية'!$N$11:$N$1010,0)))</f>
        <v/>
      </c>
      <c r="C273" s="84" t="str">
        <f aca="false">IF($A273="","",INDEX('قيود اليومية'!$A$11:$A$1010,MATCH($A273,'قيود اليومية'!$N$11:$N$1010,0)))</f>
        <v/>
      </c>
      <c r="D273" s="84" t="str">
        <f aca="false">IF($A273="","",INDEX('قيود اليومية'!$C$11:$C$1010,MATCH($A273,'قيود اليومية'!$N$11:$N$1010,0)))</f>
        <v/>
      </c>
      <c r="E273" s="51" t="str">
        <f aca="false">IF($A273="","",INDEX('قيود اليومية'!$D$11:$D$1010,MATCH($A273,'قيود اليومية'!$N$11:$N$1010,0))&amp;"")</f>
        <v/>
      </c>
      <c r="F273" s="51" t="str">
        <f aca="false">IF($A273="","",INDEX('قيود اليومية'!$K$11:$K$1010,MATCH($A273,'قيود اليومية'!$N$11:$N$1010,0))&amp;"")</f>
        <v/>
      </c>
      <c r="G273" s="51" t="str">
        <f aca="false">IF($A273="","",INDEX('قيود اليومية'!$F$11:$F$1010,MATCH($A273,'قيود اليومية'!$N$11:$N$1010,0))&amp;"")</f>
        <v/>
      </c>
      <c r="H273" s="85" t="str">
        <f aca="false">IF($A273="","",INDEX('قيود اليومية'!$G$11:$G$1010,MATCH($A273,'قيود اليومية'!$N$11:$N$1010,0)))</f>
        <v/>
      </c>
      <c r="I273" s="85" t="str">
        <f aca="false">IF($A273="","",INDEX('قيود اليومية'!$H$11:$H$1010,MATCH($A273,'قيود اليومية'!$N$11:$N$1010,0)))</f>
        <v/>
      </c>
    </row>
    <row r="274" customFormat="false" ht="15" hidden="false" customHeight="false" outlineLevel="0" collapsed="false">
      <c r="A274" s="82" t="str">
        <f aca="false">IF(ROW()-16&gt;COUNT('قيود اليومية'!$N$11:$N$1010),"",ROW()-16)</f>
        <v/>
      </c>
      <c r="B274" s="83" t="str">
        <f aca="false">IF($A274="","",INDEX('قيود اليومية'!$B$11:$B$1010,MATCH($A274,'قيود اليومية'!$N$11:$N$1010,0)))</f>
        <v/>
      </c>
      <c r="C274" s="84" t="str">
        <f aca="false">IF($A274="","",INDEX('قيود اليومية'!$A$11:$A$1010,MATCH($A274,'قيود اليومية'!$N$11:$N$1010,0)))</f>
        <v/>
      </c>
      <c r="D274" s="84" t="str">
        <f aca="false">IF($A274="","",INDEX('قيود اليومية'!$C$11:$C$1010,MATCH($A274,'قيود اليومية'!$N$11:$N$1010,0)))</f>
        <v/>
      </c>
      <c r="E274" s="51" t="str">
        <f aca="false">IF($A274="","",INDEX('قيود اليومية'!$D$11:$D$1010,MATCH($A274,'قيود اليومية'!$N$11:$N$1010,0))&amp;"")</f>
        <v/>
      </c>
      <c r="F274" s="51" t="str">
        <f aca="false">IF($A274="","",INDEX('قيود اليومية'!$K$11:$K$1010,MATCH($A274,'قيود اليومية'!$N$11:$N$1010,0))&amp;"")</f>
        <v/>
      </c>
      <c r="G274" s="51" t="str">
        <f aca="false">IF($A274="","",INDEX('قيود اليومية'!$F$11:$F$1010,MATCH($A274,'قيود اليومية'!$N$11:$N$1010,0))&amp;"")</f>
        <v/>
      </c>
      <c r="H274" s="85" t="str">
        <f aca="false">IF($A274="","",INDEX('قيود اليومية'!$G$11:$G$1010,MATCH($A274,'قيود اليومية'!$N$11:$N$1010,0)))</f>
        <v/>
      </c>
      <c r="I274" s="85" t="str">
        <f aca="false">IF($A274="","",INDEX('قيود اليومية'!$H$11:$H$1010,MATCH($A274,'قيود اليومية'!$N$11:$N$1010,0)))</f>
        <v/>
      </c>
    </row>
    <row r="275" customFormat="false" ht="15" hidden="false" customHeight="false" outlineLevel="0" collapsed="false">
      <c r="A275" s="82" t="str">
        <f aca="false">IF(ROW()-16&gt;COUNT('قيود اليومية'!$N$11:$N$1010),"",ROW()-16)</f>
        <v/>
      </c>
      <c r="B275" s="83" t="str">
        <f aca="false">IF($A275="","",INDEX('قيود اليومية'!$B$11:$B$1010,MATCH($A275,'قيود اليومية'!$N$11:$N$1010,0)))</f>
        <v/>
      </c>
      <c r="C275" s="84" t="str">
        <f aca="false">IF($A275="","",INDEX('قيود اليومية'!$A$11:$A$1010,MATCH($A275,'قيود اليومية'!$N$11:$N$1010,0)))</f>
        <v/>
      </c>
      <c r="D275" s="84" t="str">
        <f aca="false">IF($A275="","",INDEX('قيود اليومية'!$C$11:$C$1010,MATCH($A275,'قيود اليومية'!$N$11:$N$1010,0)))</f>
        <v/>
      </c>
      <c r="E275" s="51" t="str">
        <f aca="false">IF($A275="","",INDEX('قيود اليومية'!$D$11:$D$1010,MATCH($A275,'قيود اليومية'!$N$11:$N$1010,0))&amp;"")</f>
        <v/>
      </c>
      <c r="F275" s="51" t="str">
        <f aca="false">IF($A275="","",INDEX('قيود اليومية'!$K$11:$K$1010,MATCH($A275,'قيود اليومية'!$N$11:$N$1010,0))&amp;"")</f>
        <v/>
      </c>
      <c r="G275" s="51" t="str">
        <f aca="false">IF($A275="","",INDEX('قيود اليومية'!$F$11:$F$1010,MATCH($A275,'قيود اليومية'!$N$11:$N$1010,0))&amp;"")</f>
        <v/>
      </c>
      <c r="H275" s="85" t="str">
        <f aca="false">IF($A275="","",INDEX('قيود اليومية'!$G$11:$G$1010,MATCH($A275,'قيود اليومية'!$N$11:$N$1010,0)))</f>
        <v/>
      </c>
      <c r="I275" s="85" t="str">
        <f aca="false">IF($A275="","",INDEX('قيود اليومية'!$H$11:$H$1010,MATCH($A275,'قيود اليومية'!$N$11:$N$1010,0)))</f>
        <v/>
      </c>
    </row>
    <row r="276" customFormat="false" ht="15" hidden="false" customHeight="false" outlineLevel="0" collapsed="false">
      <c r="A276" s="82" t="str">
        <f aca="false">IF(ROW()-16&gt;COUNT('قيود اليومية'!$N$11:$N$1010),"",ROW()-16)</f>
        <v/>
      </c>
      <c r="B276" s="83" t="str">
        <f aca="false">IF($A276="","",INDEX('قيود اليومية'!$B$11:$B$1010,MATCH($A276,'قيود اليومية'!$N$11:$N$1010,0)))</f>
        <v/>
      </c>
      <c r="C276" s="84" t="str">
        <f aca="false">IF($A276="","",INDEX('قيود اليومية'!$A$11:$A$1010,MATCH($A276,'قيود اليومية'!$N$11:$N$1010,0)))</f>
        <v/>
      </c>
      <c r="D276" s="84" t="str">
        <f aca="false">IF($A276="","",INDEX('قيود اليومية'!$C$11:$C$1010,MATCH($A276,'قيود اليومية'!$N$11:$N$1010,0)))</f>
        <v/>
      </c>
      <c r="E276" s="51" t="str">
        <f aca="false">IF($A276="","",INDEX('قيود اليومية'!$D$11:$D$1010,MATCH($A276,'قيود اليومية'!$N$11:$N$1010,0))&amp;"")</f>
        <v/>
      </c>
      <c r="F276" s="51" t="str">
        <f aca="false">IF($A276="","",INDEX('قيود اليومية'!$K$11:$K$1010,MATCH($A276,'قيود اليومية'!$N$11:$N$1010,0))&amp;"")</f>
        <v/>
      </c>
      <c r="G276" s="51" t="str">
        <f aca="false">IF($A276="","",INDEX('قيود اليومية'!$F$11:$F$1010,MATCH($A276,'قيود اليومية'!$N$11:$N$1010,0))&amp;"")</f>
        <v/>
      </c>
      <c r="H276" s="85" t="str">
        <f aca="false">IF($A276="","",INDEX('قيود اليومية'!$G$11:$G$1010,MATCH($A276,'قيود اليومية'!$N$11:$N$1010,0)))</f>
        <v/>
      </c>
      <c r="I276" s="85" t="str">
        <f aca="false">IF($A276="","",INDEX('قيود اليومية'!$H$11:$H$1010,MATCH($A276,'قيود اليومية'!$N$11:$N$1010,0)))</f>
        <v/>
      </c>
    </row>
    <row r="277" customFormat="false" ht="15" hidden="false" customHeight="false" outlineLevel="0" collapsed="false">
      <c r="A277" s="82" t="str">
        <f aca="false">IF(ROW()-16&gt;COUNT('قيود اليومية'!$N$11:$N$1010),"",ROW()-16)</f>
        <v/>
      </c>
      <c r="B277" s="83" t="str">
        <f aca="false">IF($A277="","",INDEX('قيود اليومية'!$B$11:$B$1010,MATCH($A277,'قيود اليومية'!$N$11:$N$1010,0)))</f>
        <v/>
      </c>
      <c r="C277" s="84" t="str">
        <f aca="false">IF($A277="","",INDEX('قيود اليومية'!$A$11:$A$1010,MATCH($A277,'قيود اليومية'!$N$11:$N$1010,0)))</f>
        <v/>
      </c>
      <c r="D277" s="84" t="str">
        <f aca="false">IF($A277="","",INDEX('قيود اليومية'!$C$11:$C$1010,MATCH($A277,'قيود اليومية'!$N$11:$N$1010,0)))</f>
        <v/>
      </c>
      <c r="E277" s="51" t="str">
        <f aca="false">IF($A277="","",INDEX('قيود اليومية'!$D$11:$D$1010,MATCH($A277,'قيود اليومية'!$N$11:$N$1010,0))&amp;"")</f>
        <v/>
      </c>
      <c r="F277" s="51" t="str">
        <f aca="false">IF($A277="","",INDEX('قيود اليومية'!$K$11:$K$1010,MATCH($A277,'قيود اليومية'!$N$11:$N$1010,0))&amp;"")</f>
        <v/>
      </c>
      <c r="G277" s="51" t="str">
        <f aca="false">IF($A277="","",INDEX('قيود اليومية'!$F$11:$F$1010,MATCH($A277,'قيود اليومية'!$N$11:$N$1010,0))&amp;"")</f>
        <v/>
      </c>
      <c r="H277" s="85" t="str">
        <f aca="false">IF($A277="","",INDEX('قيود اليومية'!$G$11:$G$1010,MATCH($A277,'قيود اليومية'!$N$11:$N$1010,0)))</f>
        <v/>
      </c>
      <c r="I277" s="85" t="str">
        <f aca="false">IF($A277="","",INDEX('قيود اليومية'!$H$11:$H$1010,MATCH($A277,'قيود اليومية'!$N$11:$N$1010,0)))</f>
        <v/>
      </c>
    </row>
    <row r="278" customFormat="false" ht="15" hidden="false" customHeight="false" outlineLevel="0" collapsed="false">
      <c r="A278" s="82" t="str">
        <f aca="false">IF(ROW()-16&gt;COUNT('قيود اليومية'!$N$11:$N$1010),"",ROW()-16)</f>
        <v/>
      </c>
      <c r="B278" s="83" t="str">
        <f aca="false">IF($A278="","",INDEX('قيود اليومية'!$B$11:$B$1010,MATCH($A278,'قيود اليومية'!$N$11:$N$1010,0)))</f>
        <v/>
      </c>
      <c r="C278" s="84" t="str">
        <f aca="false">IF($A278="","",INDEX('قيود اليومية'!$A$11:$A$1010,MATCH($A278,'قيود اليومية'!$N$11:$N$1010,0)))</f>
        <v/>
      </c>
      <c r="D278" s="84" t="str">
        <f aca="false">IF($A278="","",INDEX('قيود اليومية'!$C$11:$C$1010,MATCH($A278,'قيود اليومية'!$N$11:$N$1010,0)))</f>
        <v/>
      </c>
      <c r="E278" s="51" t="str">
        <f aca="false">IF($A278="","",INDEX('قيود اليومية'!$D$11:$D$1010,MATCH($A278,'قيود اليومية'!$N$11:$N$1010,0))&amp;"")</f>
        <v/>
      </c>
      <c r="F278" s="51" t="str">
        <f aca="false">IF($A278="","",INDEX('قيود اليومية'!$K$11:$K$1010,MATCH($A278,'قيود اليومية'!$N$11:$N$1010,0))&amp;"")</f>
        <v/>
      </c>
      <c r="G278" s="51" t="str">
        <f aca="false">IF($A278="","",INDEX('قيود اليومية'!$F$11:$F$1010,MATCH($A278,'قيود اليومية'!$N$11:$N$1010,0))&amp;"")</f>
        <v/>
      </c>
      <c r="H278" s="85" t="str">
        <f aca="false">IF($A278="","",INDEX('قيود اليومية'!$G$11:$G$1010,MATCH($A278,'قيود اليومية'!$N$11:$N$1010,0)))</f>
        <v/>
      </c>
      <c r="I278" s="85" t="str">
        <f aca="false">IF($A278="","",INDEX('قيود اليومية'!$H$11:$H$1010,MATCH($A278,'قيود اليومية'!$N$11:$N$1010,0)))</f>
        <v/>
      </c>
    </row>
    <row r="279" customFormat="false" ht="15" hidden="false" customHeight="false" outlineLevel="0" collapsed="false">
      <c r="A279" s="82" t="str">
        <f aca="false">IF(ROW()-16&gt;COUNT('قيود اليومية'!$N$11:$N$1010),"",ROW()-16)</f>
        <v/>
      </c>
      <c r="B279" s="83" t="str">
        <f aca="false">IF($A279="","",INDEX('قيود اليومية'!$B$11:$B$1010,MATCH($A279,'قيود اليومية'!$N$11:$N$1010,0)))</f>
        <v/>
      </c>
      <c r="C279" s="84" t="str">
        <f aca="false">IF($A279="","",INDEX('قيود اليومية'!$A$11:$A$1010,MATCH($A279,'قيود اليومية'!$N$11:$N$1010,0)))</f>
        <v/>
      </c>
      <c r="D279" s="84" t="str">
        <f aca="false">IF($A279="","",INDEX('قيود اليومية'!$C$11:$C$1010,MATCH($A279,'قيود اليومية'!$N$11:$N$1010,0)))</f>
        <v/>
      </c>
      <c r="E279" s="51" t="str">
        <f aca="false">IF($A279="","",INDEX('قيود اليومية'!$D$11:$D$1010,MATCH($A279,'قيود اليومية'!$N$11:$N$1010,0))&amp;"")</f>
        <v/>
      </c>
      <c r="F279" s="51" t="str">
        <f aca="false">IF($A279="","",INDEX('قيود اليومية'!$K$11:$K$1010,MATCH($A279,'قيود اليومية'!$N$11:$N$1010,0))&amp;"")</f>
        <v/>
      </c>
      <c r="G279" s="51" t="str">
        <f aca="false">IF($A279="","",INDEX('قيود اليومية'!$F$11:$F$1010,MATCH($A279,'قيود اليومية'!$N$11:$N$1010,0))&amp;"")</f>
        <v/>
      </c>
      <c r="H279" s="85" t="str">
        <f aca="false">IF($A279="","",INDEX('قيود اليومية'!$G$11:$G$1010,MATCH($A279,'قيود اليومية'!$N$11:$N$1010,0)))</f>
        <v/>
      </c>
      <c r="I279" s="85" t="str">
        <f aca="false">IF($A279="","",INDEX('قيود اليومية'!$H$11:$H$1010,MATCH($A279,'قيود اليومية'!$N$11:$N$1010,0)))</f>
        <v/>
      </c>
    </row>
    <row r="280" customFormat="false" ht="15" hidden="false" customHeight="false" outlineLevel="0" collapsed="false">
      <c r="A280" s="82" t="str">
        <f aca="false">IF(ROW()-16&gt;COUNT('قيود اليومية'!$N$11:$N$1010),"",ROW()-16)</f>
        <v/>
      </c>
      <c r="B280" s="83" t="str">
        <f aca="false">IF($A280="","",INDEX('قيود اليومية'!$B$11:$B$1010,MATCH($A280,'قيود اليومية'!$N$11:$N$1010,0)))</f>
        <v/>
      </c>
      <c r="C280" s="84" t="str">
        <f aca="false">IF($A280="","",INDEX('قيود اليومية'!$A$11:$A$1010,MATCH($A280,'قيود اليومية'!$N$11:$N$1010,0)))</f>
        <v/>
      </c>
      <c r="D280" s="84" t="str">
        <f aca="false">IF($A280="","",INDEX('قيود اليومية'!$C$11:$C$1010,MATCH($A280,'قيود اليومية'!$N$11:$N$1010,0)))</f>
        <v/>
      </c>
      <c r="E280" s="51" t="str">
        <f aca="false">IF($A280="","",INDEX('قيود اليومية'!$D$11:$D$1010,MATCH($A280,'قيود اليومية'!$N$11:$N$1010,0))&amp;"")</f>
        <v/>
      </c>
      <c r="F280" s="51" t="str">
        <f aca="false">IF($A280="","",INDEX('قيود اليومية'!$K$11:$K$1010,MATCH($A280,'قيود اليومية'!$N$11:$N$1010,0))&amp;"")</f>
        <v/>
      </c>
      <c r="G280" s="51" t="str">
        <f aca="false">IF($A280="","",INDEX('قيود اليومية'!$F$11:$F$1010,MATCH($A280,'قيود اليومية'!$N$11:$N$1010,0))&amp;"")</f>
        <v/>
      </c>
      <c r="H280" s="85" t="str">
        <f aca="false">IF($A280="","",INDEX('قيود اليومية'!$G$11:$G$1010,MATCH($A280,'قيود اليومية'!$N$11:$N$1010,0)))</f>
        <v/>
      </c>
      <c r="I280" s="85" t="str">
        <f aca="false">IF($A280="","",INDEX('قيود اليومية'!$H$11:$H$1010,MATCH($A280,'قيود اليومية'!$N$11:$N$1010,0)))</f>
        <v/>
      </c>
    </row>
    <row r="281" customFormat="false" ht="15" hidden="false" customHeight="false" outlineLevel="0" collapsed="false">
      <c r="A281" s="82" t="str">
        <f aca="false">IF(ROW()-16&gt;COUNT('قيود اليومية'!$N$11:$N$1010),"",ROW()-16)</f>
        <v/>
      </c>
      <c r="B281" s="83" t="str">
        <f aca="false">IF($A281="","",INDEX('قيود اليومية'!$B$11:$B$1010,MATCH($A281,'قيود اليومية'!$N$11:$N$1010,0)))</f>
        <v/>
      </c>
      <c r="C281" s="84" t="str">
        <f aca="false">IF($A281="","",INDEX('قيود اليومية'!$A$11:$A$1010,MATCH($A281,'قيود اليومية'!$N$11:$N$1010,0)))</f>
        <v/>
      </c>
      <c r="D281" s="84" t="str">
        <f aca="false">IF($A281="","",INDEX('قيود اليومية'!$C$11:$C$1010,MATCH($A281,'قيود اليومية'!$N$11:$N$1010,0)))</f>
        <v/>
      </c>
      <c r="E281" s="51" t="str">
        <f aca="false">IF($A281="","",INDEX('قيود اليومية'!$D$11:$D$1010,MATCH($A281,'قيود اليومية'!$N$11:$N$1010,0))&amp;"")</f>
        <v/>
      </c>
      <c r="F281" s="51" t="str">
        <f aca="false">IF($A281="","",INDEX('قيود اليومية'!$K$11:$K$1010,MATCH($A281,'قيود اليومية'!$N$11:$N$1010,0))&amp;"")</f>
        <v/>
      </c>
      <c r="G281" s="51" t="str">
        <f aca="false">IF($A281="","",INDEX('قيود اليومية'!$F$11:$F$1010,MATCH($A281,'قيود اليومية'!$N$11:$N$1010,0))&amp;"")</f>
        <v/>
      </c>
      <c r="H281" s="85" t="str">
        <f aca="false">IF($A281="","",INDEX('قيود اليومية'!$G$11:$G$1010,MATCH($A281,'قيود اليومية'!$N$11:$N$1010,0)))</f>
        <v/>
      </c>
      <c r="I281" s="85" t="str">
        <f aca="false">IF($A281="","",INDEX('قيود اليومية'!$H$11:$H$1010,MATCH($A281,'قيود اليومية'!$N$11:$N$1010,0)))</f>
        <v/>
      </c>
    </row>
    <row r="282" customFormat="false" ht="15" hidden="false" customHeight="false" outlineLevel="0" collapsed="false">
      <c r="A282" s="82" t="str">
        <f aca="false">IF(ROW()-16&gt;COUNT('قيود اليومية'!$N$11:$N$1010),"",ROW()-16)</f>
        <v/>
      </c>
      <c r="B282" s="83" t="str">
        <f aca="false">IF($A282="","",INDEX('قيود اليومية'!$B$11:$B$1010,MATCH($A282,'قيود اليومية'!$N$11:$N$1010,0)))</f>
        <v/>
      </c>
      <c r="C282" s="84" t="str">
        <f aca="false">IF($A282="","",INDEX('قيود اليومية'!$A$11:$A$1010,MATCH($A282,'قيود اليومية'!$N$11:$N$1010,0)))</f>
        <v/>
      </c>
      <c r="D282" s="84" t="str">
        <f aca="false">IF($A282="","",INDEX('قيود اليومية'!$C$11:$C$1010,MATCH($A282,'قيود اليومية'!$N$11:$N$1010,0)))</f>
        <v/>
      </c>
      <c r="E282" s="51" t="str">
        <f aca="false">IF($A282="","",INDEX('قيود اليومية'!$D$11:$D$1010,MATCH($A282,'قيود اليومية'!$N$11:$N$1010,0))&amp;"")</f>
        <v/>
      </c>
      <c r="F282" s="51" t="str">
        <f aca="false">IF($A282="","",INDEX('قيود اليومية'!$K$11:$K$1010,MATCH($A282,'قيود اليومية'!$N$11:$N$1010,0))&amp;"")</f>
        <v/>
      </c>
      <c r="G282" s="51" t="str">
        <f aca="false">IF($A282="","",INDEX('قيود اليومية'!$F$11:$F$1010,MATCH($A282,'قيود اليومية'!$N$11:$N$1010,0))&amp;"")</f>
        <v/>
      </c>
      <c r="H282" s="85" t="str">
        <f aca="false">IF($A282="","",INDEX('قيود اليومية'!$G$11:$G$1010,MATCH($A282,'قيود اليومية'!$N$11:$N$1010,0)))</f>
        <v/>
      </c>
      <c r="I282" s="85" t="str">
        <f aca="false">IF($A282="","",INDEX('قيود اليومية'!$H$11:$H$1010,MATCH($A282,'قيود اليومية'!$N$11:$N$1010,0)))</f>
        <v/>
      </c>
    </row>
    <row r="283" customFormat="false" ht="15" hidden="false" customHeight="false" outlineLevel="0" collapsed="false">
      <c r="A283" s="82" t="str">
        <f aca="false">IF(ROW()-16&gt;COUNT('قيود اليومية'!$N$11:$N$1010),"",ROW()-16)</f>
        <v/>
      </c>
      <c r="B283" s="83" t="str">
        <f aca="false">IF($A283="","",INDEX('قيود اليومية'!$B$11:$B$1010,MATCH($A283,'قيود اليومية'!$N$11:$N$1010,0)))</f>
        <v/>
      </c>
      <c r="C283" s="84" t="str">
        <f aca="false">IF($A283="","",INDEX('قيود اليومية'!$A$11:$A$1010,MATCH($A283,'قيود اليومية'!$N$11:$N$1010,0)))</f>
        <v/>
      </c>
      <c r="D283" s="84" t="str">
        <f aca="false">IF($A283="","",INDEX('قيود اليومية'!$C$11:$C$1010,MATCH($A283,'قيود اليومية'!$N$11:$N$1010,0)))</f>
        <v/>
      </c>
      <c r="E283" s="51" t="str">
        <f aca="false">IF($A283="","",INDEX('قيود اليومية'!$D$11:$D$1010,MATCH($A283,'قيود اليومية'!$N$11:$N$1010,0))&amp;"")</f>
        <v/>
      </c>
      <c r="F283" s="51" t="str">
        <f aca="false">IF($A283="","",INDEX('قيود اليومية'!$K$11:$K$1010,MATCH($A283,'قيود اليومية'!$N$11:$N$1010,0))&amp;"")</f>
        <v/>
      </c>
      <c r="G283" s="51" t="str">
        <f aca="false">IF($A283="","",INDEX('قيود اليومية'!$F$11:$F$1010,MATCH($A283,'قيود اليومية'!$N$11:$N$1010,0))&amp;"")</f>
        <v/>
      </c>
      <c r="H283" s="85" t="str">
        <f aca="false">IF($A283="","",INDEX('قيود اليومية'!$G$11:$G$1010,MATCH($A283,'قيود اليومية'!$N$11:$N$1010,0)))</f>
        <v/>
      </c>
      <c r="I283" s="85" t="str">
        <f aca="false">IF($A283="","",INDEX('قيود اليومية'!$H$11:$H$1010,MATCH($A283,'قيود اليومية'!$N$11:$N$1010,0)))</f>
        <v/>
      </c>
    </row>
    <row r="284" customFormat="false" ht="15" hidden="false" customHeight="false" outlineLevel="0" collapsed="false">
      <c r="A284" s="82" t="str">
        <f aca="false">IF(ROW()-16&gt;COUNT('قيود اليومية'!$N$11:$N$1010),"",ROW()-16)</f>
        <v/>
      </c>
      <c r="B284" s="83" t="str">
        <f aca="false">IF($A284="","",INDEX('قيود اليومية'!$B$11:$B$1010,MATCH($A284,'قيود اليومية'!$N$11:$N$1010,0)))</f>
        <v/>
      </c>
      <c r="C284" s="84" t="str">
        <f aca="false">IF($A284="","",INDEX('قيود اليومية'!$A$11:$A$1010,MATCH($A284,'قيود اليومية'!$N$11:$N$1010,0)))</f>
        <v/>
      </c>
      <c r="D284" s="84" t="str">
        <f aca="false">IF($A284="","",INDEX('قيود اليومية'!$C$11:$C$1010,MATCH($A284,'قيود اليومية'!$N$11:$N$1010,0)))</f>
        <v/>
      </c>
      <c r="E284" s="51" t="str">
        <f aca="false">IF($A284="","",INDEX('قيود اليومية'!$D$11:$D$1010,MATCH($A284,'قيود اليومية'!$N$11:$N$1010,0))&amp;"")</f>
        <v/>
      </c>
      <c r="F284" s="51" t="str">
        <f aca="false">IF($A284="","",INDEX('قيود اليومية'!$K$11:$K$1010,MATCH($A284,'قيود اليومية'!$N$11:$N$1010,0))&amp;"")</f>
        <v/>
      </c>
      <c r="G284" s="51" t="str">
        <f aca="false">IF($A284="","",INDEX('قيود اليومية'!$F$11:$F$1010,MATCH($A284,'قيود اليومية'!$N$11:$N$1010,0))&amp;"")</f>
        <v/>
      </c>
      <c r="H284" s="85" t="str">
        <f aca="false">IF($A284="","",INDEX('قيود اليومية'!$G$11:$G$1010,MATCH($A284,'قيود اليومية'!$N$11:$N$1010,0)))</f>
        <v/>
      </c>
      <c r="I284" s="85" t="str">
        <f aca="false">IF($A284="","",INDEX('قيود اليومية'!$H$11:$H$1010,MATCH($A284,'قيود اليومية'!$N$11:$N$1010,0)))</f>
        <v/>
      </c>
    </row>
    <row r="285" customFormat="false" ht="15" hidden="false" customHeight="false" outlineLevel="0" collapsed="false">
      <c r="A285" s="82" t="str">
        <f aca="false">IF(ROW()-16&gt;COUNT('قيود اليومية'!$N$11:$N$1010),"",ROW()-16)</f>
        <v/>
      </c>
      <c r="B285" s="83" t="str">
        <f aca="false">IF($A285="","",INDEX('قيود اليومية'!$B$11:$B$1010,MATCH($A285,'قيود اليومية'!$N$11:$N$1010,0)))</f>
        <v/>
      </c>
      <c r="C285" s="84" t="str">
        <f aca="false">IF($A285="","",INDEX('قيود اليومية'!$A$11:$A$1010,MATCH($A285,'قيود اليومية'!$N$11:$N$1010,0)))</f>
        <v/>
      </c>
      <c r="D285" s="84" t="str">
        <f aca="false">IF($A285="","",INDEX('قيود اليومية'!$C$11:$C$1010,MATCH($A285,'قيود اليومية'!$N$11:$N$1010,0)))</f>
        <v/>
      </c>
      <c r="E285" s="51" t="str">
        <f aca="false">IF($A285="","",INDEX('قيود اليومية'!$D$11:$D$1010,MATCH($A285,'قيود اليومية'!$N$11:$N$1010,0))&amp;"")</f>
        <v/>
      </c>
      <c r="F285" s="51" t="str">
        <f aca="false">IF($A285="","",INDEX('قيود اليومية'!$K$11:$K$1010,MATCH($A285,'قيود اليومية'!$N$11:$N$1010,0))&amp;"")</f>
        <v/>
      </c>
      <c r="G285" s="51" t="str">
        <f aca="false">IF($A285="","",INDEX('قيود اليومية'!$F$11:$F$1010,MATCH($A285,'قيود اليومية'!$N$11:$N$1010,0))&amp;"")</f>
        <v/>
      </c>
      <c r="H285" s="85" t="str">
        <f aca="false">IF($A285="","",INDEX('قيود اليومية'!$G$11:$G$1010,MATCH($A285,'قيود اليومية'!$N$11:$N$1010,0)))</f>
        <v/>
      </c>
      <c r="I285" s="85" t="str">
        <f aca="false">IF($A285="","",INDEX('قيود اليومية'!$H$11:$H$1010,MATCH($A285,'قيود اليومية'!$N$11:$N$1010,0)))</f>
        <v/>
      </c>
    </row>
    <row r="286" customFormat="false" ht="15" hidden="false" customHeight="false" outlineLevel="0" collapsed="false">
      <c r="A286" s="82" t="str">
        <f aca="false">IF(ROW()-16&gt;COUNT('قيود اليومية'!$N$11:$N$1010),"",ROW()-16)</f>
        <v/>
      </c>
      <c r="B286" s="83" t="str">
        <f aca="false">IF($A286="","",INDEX('قيود اليومية'!$B$11:$B$1010,MATCH($A286,'قيود اليومية'!$N$11:$N$1010,0)))</f>
        <v/>
      </c>
      <c r="C286" s="84" t="str">
        <f aca="false">IF($A286="","",INDEX('قيود اليومية'!$A$11:$A$1010,MATCH($A286,'قيود اليومية'!$N$11:$N$1010,0)))</f>
        <v/>
      </c>
      <c r="D286" s="84" t="str">
        <f aca="false">IF($A286="","",INDEX('قيود اليومية'!$C$11:$C$1010,MATCH($A286,'قيود اليومية'!$N$11:$N$1010,0)))</f>
        <v/>
      </c>
      <c r="E286" s="51" t="str">
        <f aca="false">IF($A286="","",INDEX('قيود اليومية'!$D$11:$D$1010,MATCH($A286,'قيود اليومية'!$N$11:$N$1010,0))&amp;"")</f>
        <v/>
      </c>
      <c r="F286" s="51" t="str">
        <f aca="false">IF($A286="","",INDEX('قيود اليومية'!$K$11:$K$1010,MATCH($A286,'قيود اليومية'!$N$11:$N$1010,0))&amp;"")</f>
        <v/>
      </c>
      <c r="G286" s="51" t="str">
        <f aca="false">IF($A286="","",INDEX('قيود اليومية'!$F$11:$F$1010,MATCH($A286,'قيود اليومية'!$N$11:$N$1010,0))&amp;"")</f>
        <v/>
      </c>
      <c r="H286" s="85" t="str">
        <f aca="false">IF($A286="","",INDEX('قيود اليومية'!$G$11:$G$1010,MATCH($A286,'قيود اليومية'!$N$11:$N$1010,0)))</f>
        <v/>
      </c>
      <c r="I286" s="85" t="str">
        <f aca="false">IF($A286="","",INDEX('قيود اليومية'!$H$11:$H$1010,MATCH($A286,'قيود اليومية'!$N$11:$N$1010,0)))</f>
        <v/>
      </c>
    </row>
    <row r="287" customFormat="false" ht="15" hidden="false" customHeight="false" outlineLevel="0" collapsed="false">
      <c r="A287" s="82" t="str">
        <f aca="false">IF(ROW()-16&gt;COUNT('قيود اليومية'!$N$11:$N$1010),"",ROW()-16)</f>
        <v/>
      </c>
      <c r="B287" s="83" t="str">
        <f aca="false">IF($A287="","",INDEX('قيود اليومية'!$B$11:$B$1010,MATCH($A287,'قيود اليومية'!$N$11:$N$1010,0)))</f>
        <v/>
      </c>
      <c r="C287" s="84" t="str">
        <f aca="false">IF($A287="","",INDEX('قيود اليومية'!$A$11:$A$1010,MATCH($A287,'قيود اليومية'!$N$11:$N$1010,0)))</f>
        <v/>
      </c>
      <c r="D287" s="84" t="str">
        <f aca="false">IF($A287="","",INDEX('قيود اليومية'!$C$11:$C$1010,MATCH($A287,'قيود اليومية'!$N$11:$N$1010,0)))</f>
        <v/>
      </c>
      <c r="E287" s="51" t="str">
        <f aca="false">IF($A287="","",INDEX('قيود اليومية'!$D$11:$D$1010,MATCH($A287,'قيود اليومية'!$N$11:$N$1010,0))&amp;"")</f>
        <v/>
      </c>
      <c r="F287" s="51" t="str">
        <f aca="false">IF($A287="","",INDEX('قيود اليومية'!$K$11:$K$1010,MATCH($A287,'قيود اليومية'!$N$11:$N$1010,0))&amp;"")</f>
        <v/>
      </c>
      <c r="G287" s="51" t="str">
        <f aca="false">IF($A287="","",INDEX('قيود اليومية'!$F$11:$F$1010,MATCH($A287,'قيود اليومية'!$N$11:$N$1010,0))&amp;"")</f>
        <v/>
      </c>
      <c r="H287" s="85" t="str">
        <f aca="false">IF($A287="","",INDEX('قيود اليومية'!$G$11:$G$1010,MATCH($A287,'قيود اليومية'!$N$11:$N$1010,0)))</f>
        <v/>
      </c>
      <c r="I287" s="85" t="str">
        <f aca="false">IF($A287="","",INDEX('قيود اليومية'!$H$11:$H$1010,MATCH($A287,'قيود اليومية'!$N$11:$N$1010,0)))</f>
        <v/>
      </c>
    </row>
    <row r="288" customFormat="false" ht="15" hidden="false" customHeight="false" outlineLevel="0" collapsed="false">
      <c r="A288" s="82" t="str">
        <f aca="false">IF(ROW()-16&gt;COUNT('قيود اليومية'!$N$11:$N$1010),"",ROW()-16)</f>
        <v/>
      </c>
      <c r="B288" s="83" t="str">
        <f aca="false">IF($A288="","",INDEX('قيود اليومية'!$B$11:$B$1010,MATCH($A288,'قيود اليومية'!$N$11:$N$1010,0)))</f>
        <v/>
      </c>
      <c r="C288" s="84" t="str">
        <f aca="false">IF($A288="","",INDEX('قيود اليومية'!$A$11:$A$1010,MATCH($A288,'قيود اليومية'!$N$11:$N$1010,0)))</f>
        <v/>
      </c>
      <c r="D288" s="84" t="str">
        <f aca="false">IF($A288="","",INDEX('قيود اليومية'!$C$11:$C$1010,MATCH($A288,'قيود اليومية'!$N$11:$N$1010,0)))</f>
        <v/>
      </c>
      <c r="E288" s="51" t="str">
        <f aca="false">IF($A288="","",INDEX('قيود اليومية'!$D$11:$D$1010,MATCH($A288,'قيود اليومية'!$N$11:$N$1010,0))&amp;"")</f>
        <v/>
      </c>
      <c r="F288" s="51" t="str">
        <f aca="false">IF($A288="","",INDEX('قيود اليومية'!$K$11:$K$1010,MATCH($A288,'قيود اليومية'!$N$11:$N$1010,0))&amp;"")</f>
        <v/>
      </c>
      <c r="G288" s="51" t="str">
        <f aca="false">IF($A288="","",INDEX('قيود اليومية'!$F$11:$F$1010,MATCH($A288,'قيود اليومية'!$N$11:$N$1010,0))&amp;"")</f>
        <v/>
      </c>
      <c r="H288" s="85" t="str">
        <f aca="false">IF($A288="","",INDEX('قيود اليومية'!$G$11:$G$1010,MATCH($A288,'قيود اليومية'!$N$11:$N$1010,0)))</f>
        <v/>
      </c>
      <c r="I288" s="85" t="str">
        <f aca="false">IF($A288="","",INDEX('قيود اليومية'!$H$11:$H$1010,MATCH($A288,'قيود اليومية'!$N$11:$N$1010,0)))</f>
        <v/>
      </c>
    </row>
    <row r="289" customFormat="false" ht="15" hidden="false" customHeight="false" outlineLevel="0" collapsed="false">
      <c r="A289" s="82" t="str">
        <f aca="false">IF(ROW()-16&gt;COUNT('قيود اليومية'!$N$11:$N$1010),"",ROW()-16)</f>
        <v/>
      </c>
      <c r="B289" s="83" t="str">
        <f aca="false">IF($A289="","",INDEX('قيود اليومية'!$B$11:$B$1010,MATCH($A289,'قيود اليومية'!$N$11:$N$1010,0)))</f>
        <v/>
      </c>
      <c r="C289" s="84" t="str">
        <f aca="false">IF($A289="","",INDEX('قيود اليومية'!$A$11:$A$1010,MATCH($A289,'قيود اليومية'!$N$11:$N$1010,0)))</f>
        <v/>
      </c>
      <c r="D289" s="84" t="str">
        <f aca="false">IF($A289="","",INDEX('قيود اليومية'!$C$11:$C$1010,MATCH($A289,'قيود اليومية'!$N$11:$N$1010,0)))</f>
        <v/>
      </c>
      <c r="E289" s="51" t="str">
        <f aca="false">IF($A289="","",INDEX('قيود اليومية'!$D$11:$D$1010,MATCH($A289,'قيود اليومية'!$N$11:$N$1010,0))&amp;"")</f>
        <v/>
      </c>
      <c r="F289" s="51" t="str">
        <f aca="false">IF($A289="","",INDEX('قيود اليومية'!$K$11:$K$1010,MATCH($A289,'قيود اليومية'!$N$11:$N$1010,0))&amp;"")</f>
        <v/>
      </c>
      <c r="G289" s="51" t="str">
        <f aca="false">IF($A289="","",INDEX('قيود اليومية'!$F$11:$F$1010,MATCH($A289,'قيود اليومية'!$N$11:$N$1010,0))&amp;"")</f>
        <v/>
      </c>
      <c r="H289" s="85" t="str">
        <f aca="false">IF($A289="","",INDEX('قيود اليومية'!$G$11:$G$1010,MATCH($A289,'قيود اليومية'!$N$11:$N$1010,0)))</f>
        <v/>
      </c>
      <c r="I289" s="85" t="str">
        <f aca="false">IF($A289="","",INDEX('قيود اليومية'!$H$11:$H$1010,MATCH($A289,'قيود اليومية'!$N$11:$N$1010,0)))</f>
        <v/>
      </c>
    </row>
    <row r="290" customFormat="false" ht="15" hidden="false" customHeight="false" outlineLevel="0" collapsed="false">
      <c r="A290" s="82" t="str">
        <f aca="false">IF(ROW()-16&gt;COUNT('قيود اليومية'!$N$11:$N$1010),"",ROW()-16)</f>
        <v/>
      </c>
      <c r="B290" s="83" t="str">
        <f aca="false">IF($A290="","",INDEX('قيود اليومية'!$B$11:$B$1010,MATCH($A290,'قيود اليومية'!$N$11:$N$1010,0)))</f>
        <v/>
      </c>
      <c r="C290" s="84" t="str">
        <f aca="false">IF($A290="","",INDEX('قيود اليومية'!$A$11:$A$1010,MATCH($A290,'قيود اليومية'!$N$11:$N$1010,0)))</f>
        <v/>
      </c>
      <c r="D290" s="84" t="str">
        <f aca="false">IF($A290="","",INDEX('قيود اليومية'!$C$11:$C$1010,MATCH($A290,'قيود اليومية'!$N$11:$N$1010,0)))</f>
        <v/>
      </c>
      <c r="E290" s="51" t="str">
        <f aca="false">IF($A290="","",INDEX('قيود اليومية'!$D$11:$D$1010,MATCH($A290,'قيود اليومية'!$N$11:$N$1010,0))&amp;"")</f>
        <v/>
      </c>
      <c r="F290" s="51" t="str">
        <f aca="false">IF($A290="","",INDEX('قيود اليومية'!$K$11:$K$1010,MATCH($A290,'قيود اليومية'!$N$11:$N$1010,0))&amp;"")</f>
        <v/>
      </c>
      <c r="G290" s="51" t="str">
        <f aca="false">IF($A290="","",INDEX('قيود اليومية'!$F$11:$F$1010,MATCH($A290,'قيود اليومية'!$N$11:$N$1010,0))&amp;"")</f>
        <v/>
      </c>
      <c r="H290" s="85" t="str">
        <f aca="false">IF($A290="","",INDEX('قيود اليومية'!$G$11:$G$1010,MATCH($A290,'قيود اليومية'!$N$11:$N$1010,0)))</f>
        <v/>
      </c>
      <c r="I290" s="85" t="str">
        <f aca="false">IF($A290="","",INDEX('قيود اليومية'!$H$11:$H$1010,MATCH($A290,'قيود اليومية'!$N$11:$N$1010,0)))</f>
        <v/>
      </c>
    </row>
    <row r="291" customFormat="false" ht="15" hidden="false" customHeight="false" outlineLevel="0" collapsed="false">
      <c r="A291" s="82" t="str">
        <f aca="false">IF(ROW()-16&gt;COUNT('قيود اليومية'!$N$11:$N$1010),"",ROW()-16)</f>
        <v/>
      </c>
      <c r="B291" s="83" t="str">
        <f aca="false">IF($A291="","",INDEX('قيود اليومية'!$B$11:$B$1010,MATCH($A291,'قيود اليومية'!$N$11:$N$1010,0)))</f>
        <v/>
      </c>
      <c r="C291" s="84" t="str">
        <f aca="false">IF($A291="","",INDEX('قيود اليومية'!$A$11:$A$1010,MATCH($A291,'قيود اليومية'!$N$11:$N$1010,0)))</f>
        <v/>
      </c>
      <c r="D291" s="84" t="str">
        <f aca="false">IF($A291="","",INDEX('قيود اليومية'!$C$11:$C$1010,MATCH($A291,'قيود اليومية'!$N$11:$N$1010,0)))</f>
        <v/>
      </c>
      <c r="E291" s="51" t="str">
        <f aca="false">IF($A291="","",INDEX('قيود اليومية'!$D$11:$D$1010,MATCH($A291,'قيود اليومية'!$N$11:$N$1010,0))&amp;"")</f>
        <v/>
      </c>
      <c r="F291" s="51" t="str">
        <f aca="false">IF($A291="","",INDEX('قيود اليومية'!$K$11:$K$1010,MATCH($A291,'قيود اليومية'!$N$11:$N$1010,0))&amp;"")</f>
        <v/>
      </c>
      <c r="G291" s="51" t="str">
        <f aca="false">IF($A291="","",INDEX('قيود اليومية'!$F$11:$F$1010,MATCH($A291,'قيود اليومية'!$N$11:$N$1010,0))&amp;"")</f>
        <v/>
      </c>
      <c r="H291" s="85" t="str">
        <f aca="false">IF($A291="","",INDEX('قيود اليومية'!$G$11:$G$1010,MATCH($A291,'قيود اليومية'!$N$11:$N$1010,0)))</f>
        <v/>
      </c>
      <c r="I291" s="85" t="str">
        <f aca="false">IF($A291="","",INDEX('قيود اليومية'!$H$11:$H$1010,MATCH($A291,'قيود اليومية'!$N$11:$N$1010,0)))</f>
        <v/>
      </c>
    </row>
    <row r="292" customFormat="false" ht="15" hidden="false" customHeight="false" outlineLevel="0" collapsed="false">
      <c r="A292" s="82" t="str">
        <f aca="false">IF(ROW()-16&gt;COUNT('قيود اليومية'!$N$11:$N$1010),"",ROW()-16)</f>
        <v/>
      </c>
      <c r="B292" s="83" t="str">
        <f aca="false">IF($A292="","",INDEX('قيود اليومية'!$B$11:$B$1010,MATCH($A292,'قيود اليومية'!$N$11:$N$1010,0)))</f>
        <v/>
      </c>
      <c r="C292" s="84" t="str">
        <f aca="false">IF($A292="","",INDEX('قيود اليومية'!$A$11:$A$1010,MATCH($A292,'قيود اليومية'!$N$11:$N$1010,0)))</f>
        <v/>
      </c>
      <c r="D292" s="84" t="str">
        <f aca="false">IF($A292="","",INDEX('قيود اليومية'!$C$11:$C$1010,MATCH($A292,'قيود اليومية'!$N$11:$N$1010,0)))</f>
        <v/>
      </c>
      <c r="E292" s="51" t="str">
        <f aca="false">IF($A292="","",INDEX('قيود اليومية'!$D$11:$D$1010,MATCH($A292,'قيود اليومية'!$N$11:$N$1010,0))&amp;"")</f>
        <v/>
      </c>
      <c r="F292" s="51" t="str">
        <f aca="false">IF($A292="","",INDEX('قيود اليومية'!$K$11:$K$1010,MATCH($A292,'قيود اليومية'!$N$11:$N$1010,0))&amp;"")</f>
        <v/>
      </c>
      <c r="G292" s="51" t="str">
        <f aca="false">IF($A292="","",INDEX('قيود اليومية'!$F$11:$F$1010,MATCH($A292,'قيود اليومية'!$N$11:$N$1010,0))&amp;"")</f>
        <v/>
      </c>
      <c r="H292" s="85" t="str">
        <f aca="false">IF($A292="","",INDEX('قيود اليومية'!$G$11:$G$1010,MATCH($A292,'قيود اليومية'!$N$11:$N$1010,0)))</f>
        <v/>
      </c>
      <c r="I292" s="85" t="str">
        <f aca="false">IF($A292="","",INDEX('قيود اليومية'!$H$11:$H$1010,MATCH($A292,'قيود اليومية'!$N$11:$N$1010,0)))</f>
        <v/>
      </c>
    </row>
    <row r="293" customFormat="false" ht="15" hidden="false" customHeight="false" outlineLevel="0" collapsed="false">
      <c r="A293" s="82" t="str">
        <f aca="false">IF(ROW()-16&gt;COUNT('قيود اليومية'!$N$11:$N$1010),"",ROW()-16)</f>
        <v/>
      </c>
      <c r="B293" s="83" t="str">
        <f aca="false">IF($A293="","",INDEX('قيود اليومية'!$B$11:$B$1010,MATCH($A293,'قيود اليومية'!$N$11:$N$1010,0)))</f>
        <v/>
      </c>
      <c r="C293" s="84" t="str">
        <f aca="false">IF($A293="","",INDEX('قيود اليومية'!$A$11:$A$1010,MATCH($A293,'قيود اليومية'!$N$11:$N$1010,0)))</f>
        <v/>
      </c>
      <c r="D293" s="84" t="str">
        <f aca="false">IF($A293="","",INDEX('قيود اليومية'!$C$11:$C$1010,MATCH($A293,'قيود اليومية'!$N$11:$N$1010,0)))</f>
        <v/>
      </c>
      <c r="E293" s="51" t="str">
        <f aca="false">IF($A293="","",INDEX('قيود اليومية'!$D$11:$D$1010,MATCH($A293,'قيود اليومية'!$N$11:$N$1010,0))&amp;"")</f>
        <v/>
      </c>
      <c r="F293" s="51" t="str">
        <f aca="false">IF($A293="","",INDEX('قيود اليومية'!$K$11:$K$1010,MATCH($A293,'قيود اليومية'!$N$11:$N$1010,0))&amp;"")</f>
        <v/>
      </c>
      <c r="G293" s="51" t="str">
        <f aca="false">IF($A293="","",INDEX('قيود اليومية'!$F$11:$F$1010,MATCH($A293,'قيود اليومية'!$N$11:$N$1010,0))&amp;"")</f>
        <v/>
      </c>
      <c r="H293" s="85" t="str">
        <f aca="false">IF($A293="","",INDEX('قيود اليومية'!$G$11:$G$1010,MATCH($A293,'قيود اليومية'!$N$11:$N$1010,0)))</f>
        <v/>
      </c>
      <c r="I293" s="85" t="str">
        <f aca="false">IF($A293="","",INDEX('قيود اليومية'!$H$11:$H$1010,MATCH($A293,'قيود اليومية'!$N$11:$N$1010,0)))</f>
        <v/>
      </c>
    </row>
    <row r="294" customFormat="false" ht="15" hidden="false" customHeight="false" outlineLevel="0" collapsed="false">
      <c r="A294" s="82" t="str">
        <f aca="false">IF(ROW()-16&gt;COUNT('قيود اليومية'!$N$11:$N$1010),"",ROW()-16)</f>
        <v/>
      </c>
      <c r="B294" s="83" t="str">
        <f aca="false">IF($A294="","",INDEX('قيود اليومية'!$B$11:$B$1010,MATCH($A294,'قيود اليومية'!$N$11:$N$1010,0)))</f>
        <v/>
      </c>
      <c r="C294" s="84" t="str">
        <f aca="false">IF($A294="","",INDEX('قيود اليومية'!$A$11:$A$1010,MATCH($A294,'قيود اليومية'!$N$11:$N$1010,0)))</f>
        <v/>
      </c>
      <c r="D294" s="84" t="str">
        <f aca="false">IF($A294="","",INDEX('قيود اليومية'!$C$11:$C$1010,MATCH($A294,'قيود اليومية'!$N$11:$N$1010,0)))</f>
        <v/>
      </c>
      <c r="E294" s="51" t="str">
        <f aca="false">IF($A294="","",INDEX('قيود اليومية'!$D$11:$D$1010,MATCH($A294,'قيود اليومية'!$N$11:$N$1010,0))&amp;"")</f>
        <v/>
      </c>
      <c r="F294" s="51" t="str">
        <f aca="false">IF($A294="","",INDEX('قيود اليومية'!$K$11:$K$1010,MATCH($A294,'قيود اليومية'!$N$11:$N$1010,0))&amp;"")</f>
        <v/>
      </c>
      <c r="G294" s="51" t="str">
        <f aca="false">IF($A294="","",INDEX('قيود اليومية'!$F$11:$F$1010,MATCH($A294,'قيود اليومية'!$N$11:$N$1010,0))&amp;"")</f>
        <v/>
      </c>
      <c r="H294" s="85" t="str">
        <f aca="false">IF($A294="","",INDEX('قيود اليومية'!$G$11:$G$1010,MATCH($A294,'قيود اليومية'!$N$11:$N$1010,0)))</f>
        <v/>
      </c>
      <c r="I294" s="85" t="str">
        <f aca="false">IF($A294="","",INDEX('قيود اليومية'!$H$11:$H$1010,MATCH($A294,'قيود اليومية'!$N$11:$N$1010,0)))</f>
        <v/>
      </c>
    </row>
    <row r="295" customFormat="false" ht="15" hidden="false" customHeight="false" outlineLevel="0" collapsed="false">
      <c r="A295" s="82" t="str">
        <f aca="false">IF(ROW()-16&gt;COUNT('قيود اليومية'!$N$11:$N$1010),"",ROW()-16)</f>
        <v/>
      </c>
      <c r="B295" s="83" t="str">
        <f aca="false">IF($A295="","",INDEX('قيود اليومية'!$B$11:$B$1010,MATCH($A295,'قيود اليومية'!$N$11:$N$1010,0)))</f>
        <v/>
      </c>
      <c r="C295" s="84" t="str">
        <f aca="false">IF($A295="","",INDEX('قيود اليومية'!$A$11:$A$1010,MATCH($A295,'قيود اليومية'!$N$11:$N$1010,0)))</f>
        <v/>
      </c>
      <c r="D295" s="84" t="str">
        <f aca="false">IF($A295="","",INDEX('قيود اليومية'!$C$11:$C$1010,MATCH($A295,'قيود اليومية'!$N$11:$N$1010,0)))</f>
        <v/>
      </c>
      <c r="E295" s="51" t="str">
        <f aca="false">IF($A295="","",INDEX('قيود اليومية'!$D$11:$D$1010,MATCH($A295,'قيود اليومية'!$N$11:$N$1010,0))&amp;"")</f>
        <v/>
      </c>
      <c r="F295" s="51" t="str">
        <f aca="false">IF($A295="","",INDEX('قيود اليومية'!$K$11:$K$1010,MATCH($A295,'قيود اليومية'!$N$11:$N$1010,0))&amp;"")</f>
        <v/>
      </c>
      <c r="G295" s="51" t="str">
        <f aca="false">IF($A295="","",INDEX('قيود اليومية'!$F$11:$F$1010,MATCH($A295,'قيود اليومية'!$N$11:$N$1010,0))&amp;"")</f>
        <v/>
      </c>
      <c r="H295" s="85" t="str">
        <f aca="false">IF($A295="","",INDEX('قيود اليومية'!$G$11:$G$1010,MATCH($A295,'قيود اليومية'!$N$11:$N$1010,0)))</f>
        <v/>
      </c>
      <c r="I295" s="85" t="str">
        <f aca="false">IF($A295="","",INDEX('قيود اليومية'!$H$11:$H$1010,MATCH($A295,'قيود اليومية'!$N$11:$N$1010,0)))</f>
        <v/>
      </c>
    </row>
    <row r="296" customFormat="false" ht="15" hidden="false" customHeight="false" outlineLevel="0" collapsed="false">
      <c r="A296" s="82" t="str">
        <f aca="false">IF(ROW()-16&gt;COUNT('قيود اليومية'!$N$11:$N$1010),"",ROW()-16)</f>
        <v/>
      </c>
      <c r="B296" s="83" t="str">
        <f aca="false">IF($A296="","",INDEX('قيود اليومية'!$B$11:$B$1010,MATCH($A296,'قيود اليومية'!$N$11:$N$1010,0)))</f>
        <v/>
      </c>
      <c r="C296" s="84" t="str">
        <f aca="false">IF($A296="","",INDEX('قيود اليومية'!$A$11:$A$1010,MATCH($A296,'قيود اليومية'!$N$11:$N$1010,0)))</f>
        <v/>
      </c>
      <c r="D296" s="84" t="str">
        <f aca="false">IF($A296="","",INDEX('قيود اليومية'!$C$11:$C$1010,MATCH($A296,'قيود اليومية'!$N$11:$N$1010,0)))</f>
        <v/>
      </c>
      <c r="E296" s="51" t="str">
        <f aca="false">IF($A296="","",INDEX('قيود اليومية'!$D$11:$D$1010,MATCH($A296,'قيود اليومية'!$N$11:$N$1010,0))&amp;"")</f>
        <v/>
      </c>
      <c r="F296" s="51" t="str">
        <f aca="false">IF($A296="","",INDEX('قيود اليومية'!$K$11:$K$1010,MATCH($A296,'قيود اليومية'!$N$11:$N$1010,0))&amp;"")</f>
        <v/>
      </c>
      <c r="G296" s="51" t="str">
        <f aca="false">IF($A296="","",INDEX('قيود اليومية'!$F$11:$F$1010,MATCH($A296,'قيود اليومية'!$N$11:$N$1010,0))&amp;"")</f>
        <v/>
      </c>
      <c r="H296" s="85" t="str">
        <f aca="false">IF($A296="","",INDEX('قيود اليومية'!$G$11:$G$1010,MATCH($A296,'قيود اليومية'!$N$11:$N$1010,0)))</f>
        <v/>
      </c>
      <c r="I296" s="85" t="str">
        <f aca="false">IF($A296="","",INDEX('قيود اليومية'!$H$11:$H$1010,MATCH($A296,'قيود اليومية'!$N$11:$N$1010,0)))</f>
        <v/>
      </c>
    </row>
    <row r="297" customFormat="false" ht="15" hidden="false" customHeight="false" outlineLevel="0" collapsed="false">
      <c r="A297" s="82" t="str">
        <f aca="false">IF(ROW()-16&gt;COUNT('قيود اليومية'!$N$11:$N$1010),"",ROW()-16)</f>
        <v/>
      </c>
      <c r="B297" s="83" t="str">
        <f aca="false">IF($A297="","",INDEX('قيود اليومية'!$B$11:$B$1010,MATCH($A297,'قيود اليومية'!$N$11:$N$1010,0)))</f>
        <v/>
      </c>
      <c r="C297" s="84" t="str">
        <f aca="false">IF($A297="","",INDEX('قيود اليومية'!$A$11:$A$1010,MATCH($A297,'قيود اليومية'!$N$11:$N$1010,0)))</f>
        <v/>
      </c>
      <c r="D297" s="84" t="str">
        <f aca="false">IF($A297="","",INDEX('قيود اليومية'!$C$11:$C$1010,MATCH($A297,'قيود اليومية'!$N$11:$N$1010,0)))</f>
        <v/>
      </c>
      <c r="E297" s="51" t="str">
        <f aca="false">IF($A297="","",INDEX('قيود اليومية'!$D$11:$D$1010,MATCH($A297,'قيود اليومية'!$N$11:$N$1010,0))&amp;"")</f>
        <v/>
      </c>
      <c r="F297" s="51" t="str">
        <f aca="false">IF($A297="","",INDEX('قيود اليومية'!$K$11:$K$1010,MATCH($A297,'قيود اليومية'!$N$11:$N$1010,0))&amp;"")</f>
        <v/>
      </c>
      <c r="G297" s="51" t="str">
        <f aca="false">IF($A297="","",INDEX('قيود اليومية'!$F$11:$F$1010,MATCH($A297,'قيود اليومية'!$N$11:$N$1010,0))&amp;"")</f>
        <v/>
      </c>
      <c r="H297" s="85" t="str">
        <f aca="false">IF($A297="","",INDEX('قيود اليومية'!$G$11:$G$1010,MATCH($A297,'قيود اليومية'!$N$11:$N$1010,0)))</f>
        <v/>
      </c>
      <c r="I297" s="85" t="str">
        <f aca="false">IF($A297="","",INDEX('قيود اليومية'!$H$11:$H$1010,MATCH($A297,'قيود اليومية'!$N$11:$N$1010,0)))</f>
        <v/>
      </c>
    </row>
    <row r="298" customFormat="false" ht="15" hidden="false" customHeight="false" outlineLevel="0" collapsed="false">
      <c r="A298" s="82" t="str">
        <f aca="false">IF(ROW()-16&gt;COUNT('قيود اليومية'!$N$11:$N$1010),"",ROW()-16)</f>
        <v/>
      </c>
      <c r="B298" s="83" t="str">
        <f aca="false">IF($A298="","",INDEX('قيود اليومية'!$B$11:$B$1010,MATCH($A298,'قيود اليومية'!$N$11:$N$1010,0)))</f>
        <v/>
      </c>
      <c r="C298" s="84" t="str">
        <f aca="false">IF($A298="","",INDEX('قيود اليومية'!$A$11:$A$1010,MATCH($A298,'قيود اليومية'!$N$11:$N$1010,0)))</f>
        <v/>
      </c>
      <c r="D298" s="84" t="str">
        <f aca="false">IF($A298="","",INDEX('قيود اليومية'!$C$11:$C$1010,MATCH($A298,'قيود اليومية'!$N$11:$N$1010,0)))</f>
        <v/>
      </c>
      <c r="E298" s="51" t="str">
        <f aca="false">IF($A298="","",INDEX('قيود اليومية'!$D$11:$D$1010,MATCH($A298,'قيود اليومية'!$N$11:$N$1010,0))&amp;"")</f>
        <v/>
      </c>
      <c r="F298" s="51" t="str">
        <f aca="false">IF($A298="","",INDEX('قيود اليومية'!$K$11:$K$1010,MATCH($A298,'قيود اليومية'!$N$11:$N$1010,0))&amp;"")</f>
        <v/>
      </c>
      <c r="G298" s="51" t="str">
        <f aca="false">IF($A298="","",INDEX('قيود اليومية'!$F$11:$F$1010,MATCH($A298,'قيود اليومية'!$N$11:$N$1010,0))&amp;"")</f>
        <v/>
      </c>
      <c r="H298" s="85" t="str">
        <f aca="false">IF($A298="","",INDEX('قيود اليومية'!$G$11:$G$1010,MATCH($A298,'قيود اليومية'!$N$11:$N$1010,0)))</f>
        <v/>
      </c>
      <c r="I298" s="85" t="str">
        <f aca="false">IF($A298="","",INDEX('قيود اليومية'!$H$11:$H$1010,MATCH($A298,'قيود اليومية'!$N$11:$N$1010,0)))</f>
        <v/>
      </c>
    </row>
    <row r="299" customFormat="false" ht="15" hidden="false" customHeight="false" outlineLevel="0" collapsed="false">
      <c r="A299" s="82" t="str">
        <f aca="false">IF(ROW()-16&gt;COUNT('قيود اليومية'!$N$11:$N$1010),"",ROW()-16)</f>
        <v/>
      </c>
      <c r="B299" s="83" t="str">
        <f aca="false">IF($A299="","",INDEX('قيود اليومية'!$B$11:$B$1010,MATCH($A299,'قيود اليومية'!$N$11:$N$1010,0)))</f>
        <v/>
      </c>
      <c r="C299" s="84" t="str">
        <f aca="false">IF($A299="","",INDEX('قيود اليومية'!$A$11:$A$1010,MATCH($A299,'قيود اليومية'!$N$11:$N$1010,0)))</f>
        <v/>
      </c>
      <c r="D299" s="84" t="str">
        <f aca="false">IF($A299="","",INDEX('قيود اليومية'!$C$11:$C$1010,MATCH($A299,'قيود اليومية'!$N$11:$N$1010,0)))</f>
        <v/>
      </c>
      <c r="E299" s="51" t="str">
        <f aca="false">IF($A299="","",INDEX('قيود اليومية'!$D$11:$D$1010,MATCH($A299,'قيود اليومية'!$N$11:$N$1010,0))&amp;"")</f>
        <v/>
      </c>
      <c r="F299" s="51" t="str">
        <f aca="false">IF($A299="","",INDEX('قيود اليومية'!$K$11:$K$1010,MATCH($A299,'قيود اليومية'!$N$11:$N$1010,0))&amp;"")</f>
        <v/>
      </c>
      <c r="G299" s="51" t="str">
        <f aca="false">IF($A299="","",INDEX('قيود اليومية'!$F$11:$F$1010,MATCH($A299,'قيود اليومية'!$N$11:$N$1010,0))&amp;"")</f>
        <v/>
      </c>
      <c r="H299" s="85" t="str">
        <f aca="false">IF($A299="","",INDEX('قيود اليومية'!$G$11:$G$1010,MATCH($A299,'قيود اليومية'!$N$11:$N$1010,0)))</f>
        <v/>
      </c>
      <c r="I299" s="85" t="str">
        <f aca="false">IF($A299="","",INDEX('قيود اليومية'!$H$11:$H$1010,MATCH($A299,'قيود اليومية'!$N$11:$N$1010,0)))</f>
        <v/>
      </c>
    </row>
    <row r="300" customFormat="false" ht="15" hidden="false" customHeight="false" outlineLevel="0" collapsed="false">
      <c r="A300" s="82" t="str">
        <f aca="false">IF(ROW()-16&gt;COUNT('قيود اليومية'!$N$11:$N$1010),"",ROW()-16)</f>
        <v/>
      </c>
      <c r="B300" s="83" t="str">
        <f aca="false">IF($A300="","",INDEX('قيود اليومية'!$B$11:$B$1010,MATCH($A300,'قيود اليومية'!$N$11:$N$1010,0)))</f>
        <v/>
      </c>
      <c r="C300" s="84" t="str">
        <f aca="false">IF($A300="","",INDEX('قيود اليومية'!$A$11:$A$1010,MATCH($A300,'قيود اليومية'!$N$11:$N$1010,0)))</f>
        <v/>
      </c>
      <c r="D300" s="84" t="str">
        <f aca="false">IF($A300="","",INDEX('قيود اليومية'!$C$11:$C$1010,MATCH($A300,'قيود اليومية'!$N$11:$N$1010,0)))</f>
        <v/>
      </c>
      <c r="E300" s="51" t="str">
        <f aca="false">IF($A300="","",INDEX('قيود اليومية'!$D$11:$D$1010,MATCH($A300,'قيود اليومية'!$N$11:$N$1010,0))&amp;"")</f>
        <v/>
      </c>
      <c r="F300" s="51" t="str">
        <f aca="false">IF($A300="","",INDEX('قيود اليومية'!$K$11:$K$1010,MATCH($A300,'قيود اليومية'!$N$11:$N$1010,0))&amp;"")</f>
        <v/>
      </c>
      <c r="G300" s="51" t="str">
        <f aca="false">IF($A300="","",INDEX('قيود اليومية'!$F$11:$F$1010,MATCH($A300,'قيود اليومية'!$N$11:$N$1010,0))&amp;"")</f>
        <v/>
      </c>
      <c r="H300" s="85" t="str">
        <f aca="false">IF($A300="","",INDEX('قيود اليومية'!$G$11:$G$1010,MATCH($A300,'قيود اليومية'!$N$11:$N$1010,0)))</f>
        <v/>
      </c>
      <c r="I300" s="85" t="str">
        <f aca="false">IF($A300="","",INDEX('قيود اليومية'!$H$11:$H$1010,MATCH($A300,'قيود اليومية'!$N$11:$N$1010,0)))</f>
        <v/>
      </c>
    </row>
    <row r="301" customFormat="false" ht="15" hidden="false" customHeight="false" outlineLevel="0" collapsed="false">
      <c r="A301" s="82" t="str">
        <f aca="false">IF(ROW()-16&gt;COUNT('قيود اليومية'!$N$11:$N$1010),"",ROW()-16)</f>
        <v/>
      </c>
      <c r="B301" s="83" t="str">
        <f aca="false">IF($A301="","",INDEX('قيود اليومية'!$B$11:$B$1010,MATCH($A301,'قيود اليومية'!$N$11:$N$1010,0)))</f>
        <v/>
      </c>
      <c r="C301" s="84" t="str">
        <f aca="false">IF($A301="","",INDEX('قيود اليومية'!$A$11:$A$1010,MATCH($A301,'قيود اليومية'!$N$11:$N$1010,0)))</f>
        <v/>
      </c>
      <c r="D301" s="84" t="str">
        <f aca="false">IF($A301="","",INDEX('قيود اليومية'!$C$11:$C$1010,MATCH($A301,'قيود اليومية'!$N$11:$N$1010,0)))</f>
        <v/>
      </c>
      <c r="E301" s="51" t="str">
        <f aca="false">IF($A301="","",INDEX('قيود اليومية'!$D$11:$D$1010,MATCH($A301,'قيود اليومية'!$N$11:$N$1010,0))&amp;"")</f>
        <v/>
      </c>
      <c r="F301" s="51" t="str">
        <f aca="false">IF($A301="","",INDEX('قيود اليومية'!$K$11:$K$1010,MATCH($A301,'قيود اليومية'!$N$11:$N$1010,0))&amp;"")</f>
        <v/>
      </c>
      <c r="G301" s="51" t="str">
        <f aca="false">IF($A301="","",INDEX('قيود اليومية'!$F$11:$F$1010,MATCH($A301,'قيود اليومية'!$N$11:$N$1010,0))&amp;"")</f>
        <v/>
      </c>
      <c r="H301" s="85" t="str">
        <f aca="false">IF($A301="","",INDEX('قيود اليومية'!$G$11:$G$1010,MATCH($A301,'قيود اليومية'!$N$11:$N$1010,0)))</f>
        <v/>
      </c>
      <c r="I301" s="85" t="str">
        <f aca="false">IF($A301="","",INDEX('قيود اليومية'!$H$11:$H$1010,MATCH($A301,'قيود اليومية'!$N$11:$N$1010,0)))</f>
        <v/>
      </c>
    </row>
    <row r="302" customFormat="false" ht="15" hidden="false" customHeight="false" outlineLevel="0" collapsed="false">
      <c r="A302" s="82" t="str">
        <f aca="false">IF(ROW()-16&gt;COUNT('قيود اليومية'!$N$11:$N$1010),"",ROW()-16)</f>
        <v/>
      </c>
      <c r="B302" s="83" t="str">
        <f aca="false">IF($A302="","",INDEX('قيود اليومية'!$B$11:$B$1010,MATCH($A302,'قيود اليومية'!$N$11:$N$1010,0)))</f>
        <v/>
      </c>
      <c r="C302" s="84" t="str">
        <f aca="false">IF($A302="","",INDEX('قيود اليومية'!$A$11:$A$1010,MATCH($A302,'قيود اليومية'!$N$11:$N$1010,0)))</f>
        <v/>
      </c>
      <c r="D302" s="84" t="str">
        <f aca="false">IF($A302="","",INDEX('قيود اليومية'!$C$11:$C$1010,MATCH($A302,'قيود اليومية'!$N$11:$N$1010,0)))</f>
        <v/>
      </c>
      <c r="E302" s="51" t="str">
        <f aca="false">IF($A302="","",INDEX('قيود اليومية'!$D$11:$D$1010,MATCH($A302,'قيود اليومية'!$N$11:$N$1010,0))&amp;"")</f>
        <v/>
      </c>
      <c r="F302" s="51" t="str">
        <f aca="false">IF($A302="","",INDEX('قيود اليومية'!$K$11:$K$1010,MATCH($A302,'قيود اليومية'!$N$11:$N$1010,0))&amp;"")</f>
        <v/>
      </c>
      <c r="G302" s="51" t="str">
        <f aca="false">IF($A302="","",INDEX('قيود اليومية'!$F$11:$F$1010,MATCH($A302,'قيود اليومية'!$N$11:$N$1010,0))&amp;"")</f>
        <v/>
      </c>
      <c r="H302" s="85" t="str">
        <f aca="false">IF($A302="","",INDEX('قيود اليومية'!$G$11:$G$1010,MATCH($A302,'قيود اليومية'!$N$11:$N$1010,0)))</f>
        <v/>
      </c>
      <c r="I302" s="85" t="str">
        <f aca="false">IF($A302="","",INDEX('قيود اليومية'!$H$11:$H$1010,MATCH($A302,'قيود اليومية'!$N$11:$N$1010,0)))</f>
        <v/>
      </c>
    </row>
    <row r="303" customFormat="false" ht="15" hidden="false" customHeight="false" outlineLevel="0" collapsed="false">
      <c r="A303" s="82" t="str">
        <f aca="false">IF(ROW()-16&gt;COUNT('قيود اليومية'!$N$11:$N$1010),"",ROW()-16)</f>
        <v/>
      </c>
      <c r="B303" s="83" t="str">
        <f aca="false">IF($A303="","",INDEX('قيود اليومية'!$B$11:$B$1010,MATCH($A303,'قيود اليومية'!$N$11:$N$1010,0)))</f>
        <v/>
      </c>
      <c r="C303" s="84" t="str">
        <f aca="false">IF($A303="","",INDEX('قيود اليومية'!$A$11:$A$1010,MATCH($A303,'قيود اليومية'!$N$11:$N$1010,0)))</f>
        <v/>
      </c>
      <c r="D303" s="84" t="str">
        <f aca="false">IF($A303="","",INDEX('قيود اليومية'!$C$11:$C$1010,MATCH($A303,'قيود اليومية'!$N$11:$N$1010,0)))</f>
        <v/>
      </c>
      <c r="E303" s="51" t="str">
        <f aca="false">IF($A303="","",INDEX('قيود اليومية'!$D$11:$D$1010,MATCH($A303,'قيود اليومية'!$N$11:$N$1010,0))&amp;"")</f>
        <v/>
      </c>
      <c r="F303" s="51" t="str">
        <f aca="false">IF($A303="","",INDEX('قيود اليومية'!$K$11:$K$1010,MATCH($A303,'قيود اليومية'!$N$11:$N$1010,0))&amp;"")</f>
        <v/>
      </c>
      <c r="G303" s="51" t="str">
        <f aca="false">IF($A303="","",INDEX('قيود اليومية'!$F$11:$F$1010,MATCH($A303,'قيود اليومية'!$N$11:$N$1010,0))&amp;"")</f>
        <v/>
      </c>
      <c r="H303" s="85" t="str">
        <f aca="false">IF($A303="","",INDEX('قيود اليومية'!$G$11:$G$1010,MATCH($A303,'قيود اليومية'!$N$11:$N$1010,0)))</f>
        <v/>
      </c>
      <c r="I303" s="85" t="str">
        <f aca="false">IF($A303="","",INDEX('قيود اليومية'!$H$11:$H$1010,MATCH($A303,'قيود اليومية'!$N$11:$N$1010,0)))</f>
        <v/>
      </c>
    </row>
    <row r="304" customFormat="false" ht="15" hidden="false" customHeight="false" outlineLevel="0" collapsed="false">
      <c r="A304" s="82" t="str">
        <f aca="false">IF(ROW()-16&gt;COUNT('قيود اليومية'!$N$11:$N$1010),"",ROW()-16)</f>
        <v/>
      </c>
      <c r="B304" s="83" t="str">
        <f aca="false">IF($A304="","",INDEX('قيود اليومية'!$B$11:$B$1010,MATCH($A304,'قيود اليومية'!$N$11:$N$1010,0)))</f>
        <v/>
      </c>
      <c r="C304" s="84" t="str">
        <f aca="false">IF($A304="","",INDEX('قيود اليومية'!$A$11:$A$1010,MATCH($A304,'قيود اليومية'!$N$11:$N$1010,0)))</f>
        <v/>
      </c>
      <c r="D304" s="84" t="str">
        <f aca="false">IF($A304="","",INDEX('قيود اليومية'!$C$11:$C$1010,MATCH($A304,'قيود اليومية'!$N$11:$N$1010,0)))</f>
        <v/>
      </c>
      <c r="E304" s="51" t="str">
        <f aca="false">IF($A304="","",INDEX('قيود اليومية'!$D$11:$D$1010,MATCH($A304,'قيود اليومية'!$N$11:$N$1010,0))&amp;"")</f>
        <v/>
      </c>
      <c r="F304" s="51" t="str">
        <f aca="false">IF($A304="","",INDEX('قيود اليومية'!$K$11:$K$1010,MATCH($A304,'قيود اليومية'!$N$11:$N$1010,0))&amp;"")</f>
        <v/>
      </c>
      <c r="G304" s="51" t="str">
        <f aca="false">IF($A304="","",INDEX('قيود اليومية'!$F$11:$F$1010,MATCH($A304,'قيود اليومية'!$N$11:$N$1010,0))&amp;"")</f>
        <v/>
      </c>
      <c r="H304" s="85" t="str">
        <f aca="false">IF($A304="","",INDEX('قيود اليومية'!$G$11:$G$1010,MATCH($A304,'قيود اليومية'!$N$11:$N$1010,0)))</f>
        <v/>
      </c>
      <c r="I304" s="85" t="str">
        <f aca="false">IF($A304="","",INDEX('قيود اليومية'!$H$11:$H$1010,MATCH($A304,'قيود اليومية'!$N$11:$N$1010,0)))</f>
        <v/>
      </c>
    </row>
    <row r="305" customFormat="false" ht="15" hidden="false" customHeight="false" outlineLevel="0" collapsed="false">
      <c r="A305" s="82" t="str">
        <f aca="false">IF(ROW()-16&gt;COUNT('قيود اليومية'!$N$11:$N$1010),"",ROW()-16)</f>
        <v/>
      </c>
      <c r="B305" s="83" t="str">
        <f aca="false">IF($A305="","",INDEX('قيود اليومية'!$B$11:$B$1010,MATCH($A305,'قيود اليومية'!$N$11:$N$1010,0)))</f>
        <v/>
      </c>
      <c r="C305" s="84" t="str">
        <f aca="false">IF($A305="","",INDEX('قيود اليومية'!$A$11:$A$1010,MATCH($A305,'قيود اليومية'!$N$11:$N$1010,0)))</f>
        <v/>
      </c>
      <c r="D305" s="84" t="str">
        <f aca="false">IF($A305="","",INDEX('قيود اليومية'!$C$11:$C$1010,MATCH($A305,'قيود اليومية'!$N$11:$N$1010,0)))</f>
        <v/>
      </c>
      <c r="E305" s="51" t="str">
        <f aca="false">IF($A305="","",INDEX('قيود اليومية'!$D$11:$D$1010,MATCH($A305,'قيود اليومية'!$N$11:$N$1010,0))&amp;"")</f>
        <v/>
      </c>
      <c r="F305" s="51" t="str">
        <f aca="false">IF($A305="","",INDEX('قيود اليومية'!$K$11:$K$1010,MATCH($A305,'قيود اليومية'!$N$11:$N$1010,0))&amp;"")</f>
        <v/>
      </c>
      <c r="G305" s="51" t="str">
        <f aca="false">IF($A305="","",INDEX('قيود اليومية'!$F$11:$F$1010,MATCH($A305,'قيود اليومية'!$N$11:$N$1010,0))&amp;"")</f>
        <v/>
      </c>
      <c r="H305" s="85" t="str">
        <f aca="false">IF($A305="","",INDEX('قيود اليومية'!$G$11:$G$1010,MATCH($A305,'قيود اليومية'!$N$11:$N$1010,0)))</f>
        <v/>
      </c>
      <c r="I305" s="85" t="str">
        <f aca="false">IF($A305="","",INDEX('قيود اليومية'!$H$11:$H$1010,MATCH($A305,'قيود اليومية'!$N$11:$N$1010,0)))</f>
        <v/>
      </c>
    </row>
    <row r="306" customFormat="false" ht="15" hidden="false" customHeight="false" outlineLevel="0" collapsed="false">
      <c r="A306" s="82" t="str">
        <f aca="false">IF(ROW()-16&gt;COUNT('قيود اليومية'!$N$11:$N$1010),"",ROW()-16)</f>
        <v/>
      </c>
      <c r="B306" s="83" t="str">
        <f aca="false">IF($A306="","",INDEX('قيود اليومية'!$B$11:$B$1010,MATCH($A306,'قيود اليومية'!$N$11:$N$1010,0)))</f>
        <v/>
      </c>
      <c r="C306" s="84" t="str">
        <f aca="false">IF($A306="","",INDEX('قيود اليومية'!$A$11:$A$1010,MATCH($A306,'قيود اليومية'!$N$11:$N$1010,0)))</f>
        <v/>
      </c>
      <c r="D306" s="84" t="str">
        <f aca="false">IF($A306="","",INDEX('قيود اليومية'!$C$11:$C$1010,MATCH($A306,'قيود اليومية'!$N$11:$N$1010,0)))</f>
        <v/>
      </c>
      <c r="E306" s="51" t="str">
        <f aca="false">IF($A306="","",INDEX('قيود اليومية'!$D$11:$D$1010,MATCH($A306,'قيود اليومية'!$N$11:$N$1010,0))&amp;"")</f>
        <v/>
      </c>
      <c r="F306" s="51" t="str">
        <f aca="false">IF($A306="","",INDEX('قيود اليومية'!$K$11:$K$1010,MATCH($A306,'قيود اليومية'!$N$11:$N$1010,0))&amp;"")</f>
        <v/>
      </c>
      <c r="G306" s="51" t="str">
        <f aca="false">IF($A306="","",INDEX('قيود اليومية'!$F$11:$F$1010,MATCH($A306,'قيود اليومية'!$N$11:$N$1010,0))&amp;"")</f>
        <v/>
      </c>
      <c r="H306" s="85" t="str">
        <f aca="false">IF($A306="","",INDEX('قيود اليومية'!$G$11:$G$1010,MATCH($A306,'قيود اليومية'!$N$11:$N$1010,0)))</f>
        <v/>
      </c>
      <c r="I306" s="85" t="str">
        <f aca="false">IF($A306="","",INDEX('قيود اليومية'!$H$11:$H$1010,MATCH($A306,'قيود اليومية'!$N$11:$N$1010,0)))</f>
        <v/>
      </c>
    </row>
    <row r="307" customFormat="false" ht="15" hidden="false" customHeight="false" outlineLevel="0" collapsed="false">
      <c r="A307" s="82" t="str">
        <f aca="false">IF(ROW()-16&gt;COUNT('قيود اليومية'!$N$11:$N$1010),"",ROW()-16)</f>
        <v/>
      </c>
      <c r="B307" s="83" t="str">
        <f aca="false">IF($A307="","",INDEX('قيود اليومية'!$B$11:$B$1010,MATCH($A307,'قيود اليومية'!$N$11:$N$1010,0)))</f>
        <v/>
      </c>
      <c r="C307" s="84" t="str">
        <f aca="false">IF($A307="","",INDEX('قيود اليومية'!$A$11:$A$1010,MATCH($A307,'قيود اليومية'!$N$11:$N$1010,0)))</f>
        <v/>
      </c>
      <c r="D307" s="84" t="str">
        <f aca="false">IF($A307="","",INDEX('قيود اليومية'!$C$11:$C$1010,MATCH($A307,'قيود اليومية'!$N$11:$N$1010,0)))</f>
        <v/>
      </c>
      <c r="E307" s="51" t="str">
        <f aca="false">IF($A307="","",INDEX('قيود اليومية'!$D$11:$D$1010,MATCH($A307,'قيود اليومية'!$N$11:$N$1010,0))&amp;"")</f>
        <v/>
      </c>
      <c r="F307" s="51" t="str">
        <f aca="false">IF($A307="","",INDEX('قيود اليومية'!$K$11:$K$1010,MATCH($A307,'قيود اليومية'!$N$11:$N$1010,0))&amp;"")</f>
        <v/>
      </c>
      <c r="G307" s="51" t="str">
        <f aca="false">IF($A307="","",INDEX('قيود اليومية'!$F$11:$F$1010,MATCH($A307,'قيود اليومية'!$N$11:$N$1010,0))&amp;"")</f>
        <v/>
      </c>
      <c r="H307" s="85" t="str">
        <f aca="false">IF($A307="","",INDEX('قيود اليومية'!$G$11:$G$1010,MATCH($A307,'قيود اليومية'!$N$11:$N$1010,0)))</f>
        <v/>
      </c>
      <c r="I307" s="85" t="str">
        <f aca="false">IF($A307="","",INDEX('قيود اليومية'!$H$11:$H$1010,MATCH($A307,'قيود اليومية'!$N$11:$N$1010,0)))</f>
        <v/>
      </c>
    </row>
    <row r="308" customFormat="false" ht="15" hidden="false" customHeight="false" outlineLevel="0" collapsed="false">
      <c r="A308" s="82" t="str">
        <f aca="false">IF(ROW()-16&gt;COUNT('قيود اليومية'!$N$11:$N$1010),"",ROW()-16)</f>
        <v/>
      </c>
      <c r="B308" s="83" t="str">
        <f aca="false">IF($A308="","",INDEX('قيود اليومية'!$B$11:$B$1010,MATCH($A308,'قيود اليومية'!$N$11:$N$1010,0)))</f>
        <v/>
      </c>
      <c r="C308" s="84" t="str">
        <f aca="false">IF($A308="","",INDEX('قيود اليومية'!$A$11:$A$1010,MATCH($A308,'قيود اليومية'!$N$11:$N$1010,0)))</f>
        <v/>
      </c>
      <c r="D308" s="84" t="str">
        <f aca="false">IF($A308="","",INDEX('قيود اليومية'!$C$11:$C$1010,MATCH($A308,'قيود اليومية'!$N$11:$N$1010,0)))</f>
        <v/>
      </c>
      <c r="E308" s="51" t="str">
        <f aca="false">IF($A308="","",INDEX('قيود اليومية'!$D$11:$D$1010,MATCH($A308,'قيود اليومية'!$N$11:$N$1010,0))&amp;"")</f>
        <v/>
      </c>
      <c r="F308" s="51" t="str">
        <f aca="false">IF($A308="","",INDEX('قيود اليومية'!$K$11:$K$1010,MATCH($A308,'قيود اليومية'!$N$11:$N$1010,0))&amp;"")</f>
        <v/>
      </c>
      <c r="G308" s="51" t="str">
        <f aca="false">IF($A308="","",INDEX('قيود اليومية'!$F$11:$F$1010,MATCH($A308,'قيود اليومية'!$N$11:$N$1010,0))&amp;"")</f>
        <v/>
      </c>
      <c r="H308" s="85" t="str">
        <f aca="false">IF($A308="","",INDEX('قيود اليومية'!$G$11:$G$1010,MATCH($A308,'قيود اليومية'!$N$11:$N$1010,0)))</f>
        <v/>
      </c>
      <c r="I308" s="85" t="str">
        <f aca="false">IF($A308="","",INDEX('قيود اليومية'!$H$11:$H$1010,MATCH($A308,'قيود اليومية'!$N$11:$N$1010,0)))</f>
        <v/>
      </c>
    </row>
    <row r="309" customFormat="false" ht="15" hidden="false" customHeight="false" outlineLevel="0" collapsed="false">
      <c r="A309" s="82" t="str">
        <f aca="false">IF(ROW()-16&gt;COUNT('قيود اليومية'!$N$11:$N$1010),"",ROW()-16)</f>
        <v/>
      </c>
      <c r="B309" s="83" t="str">
        <f aca="false">IF($A309="","",INDEX('قيود اليومية'!$B$11:$B$1010,MATCH($A309,'قيود اليومية'!$N$11:$N$1010,0)))</f>
        <v/>
      </c>
      <c r="C309" s="84" t="str">
        <f aca="false">IF($A309="","",INDEX('قيود اليومية'!$A$11:$A$1010,MATCH($A309,'قيود اليومية'!$N$11:$N$1010,0)))</f>
        <v/>
      </c>
      <c r="D309" s="84" t="str">
        <f aca="false">IF($A309="","",INDEX('قيود اليومية'!$C$11:$C$1010,MATCH($A309,'قيود اليومية'!$N$11:$N$1010,0)))</f>
        <v/>
      </c>
      <c r="E309" s="51" t="str">
        <f aca="false">IF($A309="","",INDEX('قيود اليومية'!$D$11:$D$1010,MATCH($A309,'قيود اليومية'!$N$11:$N$1010,0))&amp;"")</f>
        <v/>
      </c>
      <c r="F309" s="51" t="str">
        <f aca="false">IF($A309="","",INDEX('قيود اليومية'!$K$11:$K$1010,MATCH($A309,'قيود اليومية'!$N$11:$N$1010,0))&amp;"")</f>
        <v/>
      </c>
      <c r="G309" s="51" t="str">
        <f aca="false">IF($A309="","",INDEX('قيود اليومية'!$F$11:$F$1010,MATCH($A309,'قيود اليومية'!$N$11:$N$1010,0))&amp;"")</f>
        <v/>
      </c>
      <c r="H309" s="85" t="str">
        <f aca="false">IF($A309="","",INDEX('قيود اليومية'!$G$11:$G$1010,MATCH($A309,'قيود اليومية'!$N$11:$N$1010,0)))</f>
        <v/>
      </c>
      <c r="I309" s="85" t="str">
        <f aca="false">IF($A309="","",INDEX('قيود اليومية'!$H$11:$H$1010,MATCH($A309,'قيود اليومية'!$N$11:$N$1010,0)))</f>
        <v/>
      </c>
    </row>
    <row r="310" customFormat="false" ht="15" hidden="false" customHeight="false" outlineLevel="0" collapsed="false">
      <c r="A310" s="82" t="str">
        <f aca="false">IF(ROW()-16&gt;COUNT('قيود اليومية'!$N$11:$N$1010),"",ROW()-16)</f>
        <v/>
      </c>
      <c r="B310" s="83" t="str">
        <f aca="false">IF($A310="","",INDEX('قيود اليومية'!$B$11:$B$1010,MATCH($A310,'قيود اليومية'!$N$11:$N$1010,0)))</f>
        <v/>
      </c>
      <c r="C310" s="84" t="str">
        <f aca="false">IF($A310="","",INDEX('قيود اليومية'!$A$11:$A$1010,MATCH($A310,'قيود اليومية'!$N$11:$N$1010,0)))</f>
        <v/>
      </c>
      <c r="D310" s="84" t="str">
        <f aca="false">IF($A310="","",INDEX('قيود اليومية'!$C$11:$C$1010,MATCH($A310,'قيود اليومية'!$N$11:$N$1010,0)))</f>
        <v/>
      </c>
      <c r="E310" s="51" t="str">
        <f aca="false">IF($A310="","",INDEX('قيود اليومية'!$D$11:$D$1010,MATCH($A310,'قيود اليومية'!$N$11:$N$1010,0))&amp;"")</f>
        <v/>
      </c>
      <c r="F310" s="51" t="str">
        <f aca="false">IF($A310="","",INDEX('قيود اليومية'!$K$11:$K$1010,MATCH($A310,'قيود اليومية'!$N$11:$N$1010,0))&amp;"")</f>
        <v/>
      </c>
      <c r="G310" s="51" t="str">
        <f aca="false">IF($A310="","",INDEX('قيود اليومية'!$F$11:$F$1010,MATCH($A310,'قيود اليومية'!$N$11:$N$1010,0))&amp;"")</f>
        <v/>
      </c>
      <c r="H310" s="85" t="str">
        <f aca="false">IF($A310="","",INDEX('قيود اليومية'!$G$11:$G$1010,MATCH($A310,'قيود اليومية'!$N$11:$N$1010,0)))</f>
        <v/>
      </c>
      <c r="I310" s="85" t="str">
        <f aca="false">IF($A310="","",INDEX('قيود اليومية'!$H$11:$H$1010,MATCH($A310,'قيود اليومية'!$N$11:$N$1010,0)))</f>
        <v/>
      </c>
    </row>
    <row r="311" customFormat="false" ht="15" hidden="false" customHeight="false" outlineLevel="0" collapsed="false">
      <c r="A311" s="82" t="str">
        <f aca="false">IF(ROW()-16&gt;COUNT('قيود اليومية'!$N$11:$N$1010),"",ROW()-16)</f>
        <v/>
      </c>
      <c r="B311" s="83" t="str">
        <f aca="false">IF($A311="","",INDEX('قيود اليومية'!$B$11:$B$1010,MATCH($A311,'قيود اليومية'!$N$11:$N$1010,0)))</f>
        <v/>
      </c>
      <c r="C311" s="84" t="str">
        <f aca="false">IF($A311="","",INDEX('قيود اليومية'!$A$11:$A$1010,MATCH($A311,'قيود اليومية'!$N$11:$N$1010,0)))</f>
        <v/>
      </c>
      <c r="D311" s="84" t="str">
        <f aca="false">IF($A311="","",INDEX('قيود اليومية'!$C$11:$C$1010,MATCH($A311,'قيود اليومية'!$N$11:$N$1010,0)))</f>
        <v/>
      </c>
      <c r="E311" s="51" t="str">
        <f aca="false">IF($A311="","",INDEX('قيود اليومية'!$D$11:$D$1010,MATCH($A311,'قيود اليومية'!$N$11:$N$1010,0))&amp;"")</f>
        <v/>
      </c>
      <c r="F311" s="51" t="str">
        <f aca="false">IF($A311="","",INDEX('قيود اليومية'!$K$11:$K$1010,MATCH($A311,'قيود اليومية'!$N$11:$N$1010,0))&amp;"")</f>
        <v/>
      </c>
      <c r="G311" s="51" t="str">
        <f aca="false">IF($A311="","",INDEX('قيود اليومية'!$F$11:$F$1010,MATCH($A311,'قيود اليومية'!$N$11:$N$1010,0))&amp;"")</f>
        <v/>
      </c>
      <c r="H311" s="85" t="str">
        <f aca="false">IF($A311="","",INDEX('قيود اليومية'!$G$11:$G$1010,MATCH($A311,'قيود اليومية'!$N$11:$N$1010,0)))</f>
        <v/>
      </c>
      <c r="I311" s="85" t="str">
        <f aca="false">IF($A311="","",INDEX('قيود اليومية'!$H$11:$H$1010,MATCH($A311,'قيود اليومية'!$N$11:$N$1010,0)))</f>
        <v/>
      </c>
    </row>
    <row r="312" customFormat="false" ht="15" hidden="false" customHeight="false" outlineLevel="0" collapsed="false">
      <c r="A312" s="82" t="str">
        <f aca="false">IF(ROW()-16&gt;COUNT('قيود اليومية'!$N$11:$N$1010),"",ROW()-16)</f>
        <v/>
      </c>
      <c r="B312" s="83" t="str">
        <f aca="false">IF($A312="","",INDEX('قيود اليومية'!$B$11:$B$1010,MATCH($A312,'قيود اليومية'!$N$11:$N$1010,0)))</f>
        <v/>
      </c>
      <c r="C312" s="84" t="str">
        <f aca="false">IF($A312="","",INDEX('قيود اليومية'!$A$11:$A$1010,MATCH($A312,'قيود اليومية'!$N$11:$N$1010,0)))</f>
        <v/>
      </c>
      <c r="D312" s="84" t="str">
        <f aca="false">IF($A312="","",INDEX('قيود اليومية'!$C$11:$C$1010,MATCH($A312,'قيود اليومية'!$N$11:$N$1010,0)))</f>
        <v/>
      </c>
      <c r="E312" s="51" t="str">
        <f aca="false">IF($A312="","",INDEX('قيود اليومية'!$D$11:$D$1010,MATCH($A312,'قيود اليومية'!$N$11:$N$1010,0))&amp;"")</f>
        <v/>
      </c>
      <c r="F312" s="51" t="str">
        <f aca="false">IF($A312="","",INDEX('قيود اليومية'!$K$11:$K$1010,MATCH($A312,'قيود اليومية'!$N$11:$N$1010,0))&amp;"")</f>
        <v/>
      </c>
      <c r="G312" s="51" t="str">
        <f aca="false">IF($A312="","",INDEX('قيود اليومية'!$F$11:$F$1010,MATCH($A312,'قيود اليومية'!$N$11:$N$1010,0))&amp;"")</f>
        <v/>
      </c>
      <c r="H312" s="85" t="str">
        <f aca="false">IF($A312="","",INDEX('قيود اليومية'!$G$11:$G$1010,MATCH($A312,'قيود اليومية'!$N$11:$N$1010,0)))</f>
        <v/>
      </c>
      <c r="I312" s="85" t="str">
        <f aca="false">IF($A312="","",INDEX('قيود اليومية'!$H$11:$H$1010,MATCH($A312,'قيود اليومية'!$N$11:$N$1010,0)))</f>
        <v/>
      </c>
    </row>
    <row r="313" customFormat="false" ht="15" hidden="false" customHeight="false" outlineLevel="0" collapsed="false">
      <c r="A313" s="82" t="str">
        <f aca="false">IF(ROW()-16&gt;COUNT('قيود اليومية'!$N$11:$N$1010),"",ROW()-16)</f>
        <v/>
      </c>
      <c r="B313" s="83" t="str">
        <f aca="false">IF($A313="","",INDEX('قيود اليومية'!$B$11:$B$1010,MATCH($A313,'قيود اليومية'!$N$11:$N$1010,0)))</f>
        <v/>
      </c>
      <c r="C313" s="84" t="str">
        <f aca="false">IF($A313="","",INDEX('قيود اليومية'!$A$11:$A$1010,MATCH($A313,'قيود اليومية'!$N$11:$N$1010,0)))</f>
        <v/>
      </c>
      <c r="D313" s="84" t="str">
        <f aca="false">IF($A313="","",INDEX('قيود اليومية'!$C$11:$C$1010,MATCH($A313,'قيود اليومية'!$N$11:$N$1010,0)))</f>
        <v/>
      </c>
      <c r="E313" s="51" t="str">
        <f aca="false">IF($A313="","",INDEX('قيود اليومية'!$D$11:$D$1010,MATCH($A313,'قيود اليومية'!$N$11:$N$1010,0))&amp;"")</f>
        <v/>
      </c>
      <c r="F313" s="51" t="str">
        <f aca="false">IF($A313="","",INDEX('قيود اليومية'!$K$11:$K$1010,MATCH($A313,'قيود اليومية'!$N$11:$N$1010,0))&amp;"")</f>
        <v/>
      </c>
      <c r="G313" s="51" t="str">
        <f aca="false">IF($A313="","",INDEX('قيود اليومية'!$F$11:$F$1010,MATCH($A313,'قيود اليومية'!$N$11:$N$1010,0))&amp;"")</f>
        <v/>
      </c>
      <c r="H313" s="85" t="str">
        <f aca="false">IF($A313="","",INDEX('قيود اليومية'!$G$11:$G$1010,MATCH($A313,'قيود اليومية'!$N$11:$N$1010,0)))</f>
        <v/>
      </c>
      <c r="I313" s="85" t="str">
        <f aca="false">IF($A313="","",INDEX('قيود اليومية'!$H$11:$H$1010,MATCH($A313,'قيود اليومية'!$N$11:$N$1010,0)))</f>
        <v/>
      </c>
    </row>
    <row r="314" customFormat="false" ht="15" hidden="false" customHeight="false" outlineLevel="0" collapsed="false">
      <c r="A314" s="82" t="str">
        <f aca="false">IF(ROW()-16&gt;COUNT('قيود اليومية'!$N$11:$N$1010),"",ROW()-16)</f>
        <v/>
      </c>
      <c r="B314" s="83" t="str">
        <f aca="false">IF($A314="","",INDEX('قيود اليومية'!$B$11:$B$1010,MATCH($A314,'قيود اليومية'!$N$11:$N$1010,0)))</f>
        <v/>
      </c>
      <c r="C314" s="84" t="str">
        <f aca="false">IF($A314="","",INDEX('قيود اليومية'!$A$11:$A$1010,MATCH($A314,'قيود اليومية'!$N$11:$N$1010,0)))</f>
        <v/>
      </c>
      <c r="D314" s="84" t="str">
        <f aca="false">IF($A314="","",INDEX('قيود اليومية'!$C$11:$C$1010,MATCH($A314,'قيود اليومية'!$N$11:$N$1010,0)))</f>
        <v/>
      </c>
      <c r="E314" s="51" t="str">
        <f aca="false">IF($A314="","",INDEX('قيود اليومية'!$D$11:$D$1010,MATCH($A314,'قيود اليومية'!$N$11:$N$1010,0))&amp;"")</f>
        <v/>
      </c>
      <c r="F314" s="51" t="str">
        <f aca="false">IF($A314="","",INDEX('قيود اليومية'!$K$11:$K$1010,MATCH($A314,'قيود اليومية'!$N$11:$N$1010,0))&amp;"")</f>
        <v/>
      </c>
      <c r="G314" s="51" t="str">
        <f aca="false">IF($A314="","",INDEX('قيود اليومية'!$F$11:$F$1010,MATCH($A314,'قيود اليومية'!$N$11:$N$1010,0))&amp;"")</f>
        <v/>
      </c>
      <c r="H314" s="85" t="str">
        <f aca="false">IF($A314="","",INDEX('قيود اليومية'!$G$11:$G$1010,MATCH($A314,'قيود اليومية'!$N$11:$N$1010,0)))</f>
        <v/>
      </c>
      <c r="I314" s="85" t="str">
        <f aca="false">IF($A314="","",INDEX('قيود اليومية'!$H$11:$H$1010,MATCH($A314,'قيود اليومية'!$N$11:$N$1010,0)))</f>
        <v/>
      </c>
    </row>
    <row r="315" customFormat="false" ht="15" hidden="false" customHeight="false" outlineLevel="0" collapsed="false">
      <c r="A315" s="82" t="str">
        <f aca="false">IF(ROW()-16&gt;COUNT('قيود اليومية'!$N$11:$N$1010),"",ROW()-16)</f>
        <v/>
      </c>
      <c r="B315" s="83" t="str">
        <f aca="false">IF($A315="","",INDEX('قيود اليومية'!$B$11:$B$1010,MATCH($A315,'قيود اليومية'!$N$11:$N$1010,0)))</f>
        <v/>
      </c>
      <c r="C315" s="84" t="str">
        <f aca="false">IF($A315="","",INDEX('قيود اليومية'!$A$11:$A$1010,MATCH($A315,'قيود اليومية'!$N$11:$N$1010,0)))</f>
        <v/>
      </c>
      <c r="D315" s="84" t="str">
        <f aca="false">IF($A315="","",INDEX('قيود اليومية'!$C$11:$C$1010,MATCH($A315,'قيود اليومية'!$N$11:$N$1010,0)))</f>
        <v/>
      </c>
      <c r="E315" s="51" t="str">
        <f aca="false">IF($A315="","",INDEX('قيود اليومية'!$D$11:$D$1010,MATCH($A315,'قيود اليومية'!$N$11:$N$1010,0))&amp;"")</f>
        <v/>
      </c>
      <c r="F315" s="51" t="str">
        <f aca="false">IF($A315="","",INDEX('قيود اليومية'!$K$11:$K$1010,MATCH($A315,'قيود اليومية'!$N$11:$N$1010,0))&amp;"")</f>
        <v/>
      </c>
      <c r="G315" s="51" t="str">
        <f aca="false">IF($A315="","",INDEX('قيود اليومية'!$F$11:$F$1010,MATCH($A315,'قيود اليومية'!$N$11:$N$1010,0))&amp;"")</f>
        <v/>
      </c>
      <c r="H315" s="85" t="str">
        <f aca="false">IF($A315="","",INDEX('قيود اليومية'!$G$11:$G$1010,MATCH($A315,'قيود اليومية'!$N$11:$N$1010,0)))</f>
        <v/>
      </c>
      <c r="I315" s="85" t="str">
        <f aca="false">IF($A315="","",INDEX('قيود اليومية'!$H$11:$H$1010,MATCH($A315,'قيود اليومية'!$N$11:$N$1010,0)))</f>
        <v/>
      </c>
    </row>
    <row r="316" customFormat="false" ht="15" hidden="false" customHeight="false" outlineLevel="0" collapsed="false">
      <c r="A316" s="82" t="str">
        <f aca="false">IF(ROW()-16&gt;COUNT('قيود اليومية'!$N$11:$N$1010),"",ROW()-16)</f>
        <v/>
      </c>
      <c r="B316" s="83" t="str">
        <f aca="false">IF($A316="","",INDEX('قيود اليومية'!$B$11:$B$1010,MATCH($A316,'قيود اليومية'!$N$11:$N$1010,0)))</f>
        <v/>
      </c>
      <c r="C316" s="84" t="str">
        <f aca="false">IF($A316="","",INDEX('قيود اليومية'!$A$11:$A$1010,MATCH($A316,'قيود اليومية'!$N$11:$N$1010,0)))</f>
        <v/>
      </c>
      <c r="D316" s="84" t="str">
        <f aca="false">IF($A316="","",INDEX('قيود اليومية'!$C$11:$C$1010,MATCH($A316,'قيود اليومية'!$N$11:$N$1010,0)))</f>
        <v/>
      </c>
      <c r="E316" s="51" t="str">
        <f aca="false">IF($A316="","",INDEX('قيود اليومية'!$D$11:$D$1010,MATCH($A316,'قيود اليومية'!$N$11:$N$1010,0))&amp;"")</f>
        <v/>
      </c>
      <c r="F316" s="51" t="str">
        <f aca="false">IF($A316="","",INDEX('قيود اليومية'!$K$11:$K$1010,MATCH($A316,'قيود اليومية'!$N$11:$N$1010,0))&amp;"")</f>
        <v/>
      </c>
      <c r="G316" s="51" t="str">
        <f aca="false">IF($A316="","",INDEX('قيود اليومية'!$F$11:$F$1010,MATCH($A316,'قيود اليومية'!$N$11:$N$1010,0))&amp;"")</f>
        <v/>
      </c>
      <c r="H316" s="85" t="str">
        <f aca="false">IF($A316="","",INDEX('قيود اليومية'!$G$11:$G$1010,MATCH($A316,'قيود اليومية'!$N$11:$N$1010,0)))</f>
        <v/>
      </c>
      <c r="I316" s="85" t="str">
        <f aca="false">IF($A316="","",INDEX('قيود اليومية'!$H$11:$H$1010,MATCH($A316,'قيود اليومية'!$N$11:$N$1010,0)))</f>
        <v/>
      </c>
    </row>
  </sheetData>
  <mergeCells count="16">
    <mergeCell ref="A1:I1"/>
    <mergeCell ref="A2:I2"/>
    <mergeCell ref="A5:B5"/>
    <mergeCell ref="C5:E5"/>
    <mergeCell ref="A6:B6"/>
    <mergeCell ref="C6:E6"/>
    <mergeCell ref="A7:B7"/>
    <mergeCell ref="C7:E7"/>
    <mergeCell ref="A8:C8"/>
    <mergeCell ref="A9:C9"/>
    <mergeCell ref="A10:C10"/>
    <mergeCell ref="A11:C11"/>
    <mergeCell ref="A12:C12"/>
    <mergeCell ref="F12:I12"/>
    <mergeCell ref="A13:C13"/>
    <mergeCell ref="A14:C14"/>
  </mergeCells>
  <conditionalFormatting sqref="A17:I316">
    <cfRule type="expression" priority="2" aboveAverage="0" equalAverage="0" bottom="0" percent="0" rank="0" text="" dxfId="21">
      <formula>AND($A17&lt;&gt;"",MOD($A17,2)=0)</formula>
    </cfRule>
  </conditionalFormatting>
  <dataValidations count="1">
    <dataValidation allowBlank="true" error="من فضلك اختر قيمة من القائمة المنسدلة." errorStyle="stop" errorTitle="قيمة غير مسموحة" operator="between" prompt="اختر المشروع لعرض كشف حسابه" promptTitle="المشروع" showDropDown="false" showErrorMessage="true" showInputMessage="true" sqref="C6" type="list">
      <formula1>PRJ_NAMES</formula1>
      <formula2>0</formula2>
    </dataValidation>
  </dataValidations>
  <hyperlinks>
    <hyperlink ref="A3" location="'الرئيسية'!A1" display="🏠 الرئيسية"/>
    <hyperlink ref="B3" location="'شجرة الحسابات'!A1" display="🌳 الشجرة"/>
    <hyperlink ref="C3" location="'قيود اليومية'!A1" display="✍ القيود"/>
    <hyperlink ref="D3" location="'تجميع المشروعات'!A1" display="🏗 المشروعات"/>
    <hyperlink ref="E3" location="'دفتر الأستاذ'!A1" display="📒 الأستاذ"/>
    <hyperlink ref="F3" location="'ميزان المراجعة'!A1" display="⚖ الميزان"/>
    <hyperlink ref="G3" location="'قائمة الدخل'!A1" display="📈 الدخل"/>
    <hyperlink ref="H3" location="'المركز المالي'!A1" display="🏦 المركز المالي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true"/>
  </sheetPr>
  <dimension ref="A1:H316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7" min="6" style="0" width="17"/>
    <col collapsed="false" customWidth="true" hidden="false" outlineLevel="0" max="8" min="8" style="0" width="19"/>
  </cols>
  <sheetData>
    <row r="1" customFormat="false" ht="37.5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tr">
        <f aca="false">الرئيسية!$C$6&amp;"   |   الفترة المنتهية في: "&amp;TEXT(الرئيسية!$C$7,"yyyy/mm/dd")&amp;"   |   المبالغ بـ "&amp;الرئيسية!$G$7</f>
        <v>شركة الإعمار الحديثة للمقاولات العامة   |   الفترة المنتهية في: 2026/03/31   |   المبالغ بـ ريال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26" t="s">
        <v>42</v>
      </c>
      <c r="B3" s="16" t="s">
        <v>149</v>
      </c>
      <c r="C3" s="16" t="s">
        <v>43</v>
      </c>
      <c r="D3" s="16" t="s">
        <v>44</v>
      </c>
      <c r="E3" s="16" t="s">
        <v>45</v>
      </c>
      <c r="F3" s="16" t="s">
        <v>47</v>
      </c>
      <c r="G3" s="16" t="s">
        <v>48</v>
      </c>
      <c r="H3" s="16" t="s">
        <v>49</v>
      </c>
    </row>
    <row r="4" customFormat="false" ht="7.5" hidden="false" customHeight="true" outlineLevel="0" collapsed="false"/>
    <row r="5" customFormat="false" ht="21.75" hidden="false" customHeight="true" outlineLevel="0" collapsed="false">
      <c r="A5" s="37" t="s">
        <v>268</v>
      </c>
      <c r="B5" s="37"/>
      <c r="E5" s="8" t="s">
        <v>269</v>
      </c>
      <c r="F5" s="7" t="s">
        <v>270</v>
      </c>
      <c r="G5" s="7"/>
      <c r="H5" s="9" t="s">
        <v>271</v>
      </c>
    </row>
    <row r="6" customFormat="false" ht="30" hidden="false" customHeight="true" outlineLevel="0" collapsed="false">
      <c r="A6" s="39" t="s">
        <v>58</v>
      </c>
      <c r="B6" s="39"/>
      <c r="C6" s="71" t="n">
        <v>1102</v>
      </c>
      <c r="E6" s="41" t="n">
        <f aca="false">SUM(F17:F316)</f>
        <v>5695000</v>
      </c>
      <c r="F6" s="86" t="n">
        <f aca="false">SUM(G17:G316)</f>
        <v>2828200</v>
      </c>
      <c r="G6" s="86"/>
      <c r="H6" s="87" t="n">
        <f aca="false">IF(IFERROR(INDEX('شجرة الحسابات'!$F$9:$F$208,MATCH($C$6,'شجرة الحسابات'!$A$9:$A$208,0))&amp;"","")="دائن",F6-E6,E6-F6)</f>
        <v>2866800</v>
      </c>
    </row>
    <row r="7" customFormat="false" ht="15" hidden="false" customHeight="false" outlineLevel="0" collapsed="false">
      <c r="A7" s="39" t="s">
        <v>59</v>
      </c>
      <c r="B7" s="39"/>
      <c r="C7" s="88" t="str">
        <f aca="false">IFERROR(INDEX('شجرة الحسابات'!$B$9:$B$208,MATCH($C$6,'شجرة الحسابات'!$A$9:$A$208,0))&amp;"","")</f>
        <v>البنك - الحساب الجاري</v>
      </c>
      <c r="D7" s="88"/>
    </row>
    <row r="8" customFormat="false" ht="15" hidden="false" customHeight="false" outlineLevel="0" collapsed="false">
      <c r="A8" s="39" t="s">
        <v>272</v>
      </c>
      <c r="B8" s="39"/>
      <c r="C8" s="22" t="str">
        <f aca="false">IFERROR(INDEX('شجرة الحسابات'!$F$9:$F$208,MATCH($C$6,'شجرة الحسابات'!$A$9:$A$208,0))&amp;"","")&amp;" — "&amp;IFERROR(INDEX('شجرة الحسابات'!$E$9:$E$208,MATCH($C$6,'شجرة الحسابات'!$A$9:$A$208,0))&amp;"","")</f>
        <v>مدين — الأصول</v>
      </c>
      <c r="D8" s="22"/>
      <c r="E8" s="70" t="str">
        <f aca="false">"عدد الحركات المرحّلة: "&amp;COUNT('قيود اليومية'!$O$11:$O$1010)&amp;"   |   الرصيد يُحسب حسب طبيعة الحساب"</f>
        <v>عدد الحركات المرحّلة: 15   |   الرصيد يُحسب حسب طبيعة الحساب</v>
      </c>
      <c r="F8" s="70"/>
      <c r="G8" s="70"/>
      <c r="H8" s="70"/>
    </row>
    <row r="9" customFormat="false" ht="9.75" hidden="false" customHeight="true" outlineLevel="0" collapsed="false"/>
    <row r="10" customFormat="false" ht="6" hidden="false" customHeight="true" outlineLevel="0" collapsed="false"/>
    <row r="11" customFormat="false" ht="6" hidden="false" customHeight="true" outlineLevel="0" collapsed="false"/>
    <row r="12" customFormat="false" ht="6" hidden="false" customHeight="true" outlineLevel="0" collapsed="false"/>
    <row r="13" customFormat="false" ht="6" hidden="false" customHeight="true" outlineLevel="0" collapsed="false"/>
    <row r="14" customFormat="false" ht="6" hidden="false" customHeight="true" outlineLevel="0" collapsed="false"/>
    <row r="15" customFormat="false" ht="6" hidden="false" customHeight="true" outlineLevel="0" collapsed="false"/>
    <row r="16" customFormat="false" ht="33.75" hidden="false" customHeight="true" outlineLevel="0" collapsed="false">
      <c r="A16" s="31" t="s">
        <v>265</v>
      </c>
      <c r="B16" s="31" t="s">
        <v>161</v>
      </c>
      <c r="C16" s="31" t="s">
        <v>160</v>
      </c>
      <c r="D16" s="31" t="s">
        <v>162</v>
      </c>
      <c r="E16" s="31" t="s">
        <v>266</v>
      </c>
      <c r="F16" s="31" t="s">
        <v>71</v>
      </c>
      <c r="G16" s="31" t="s">
        <v>94</v>
      </c>
      <c r="H16" s="31" t="s">
        <v>273</v>
      </c>
    </row>
    <row r="17" customFormat="false" ht="15" hidden="false" customHeight="false" outlineLevel="0" collapsed="false">
      <c r="A17" s="82" t="n">
        <f aca="false">IF(ROW()-16&gt;COUNT('قيود اليومية'!$O$11:$O$1010),"",ROW()-16)</f>
        <v>1</v>
      </c>
      <c r="B17" s="83" t="n">
        <f aca="false">IF($A17="","",INDEX('قيود اليومية'!$B$11:$B$1010,MATCH($A17,'قيود اليومية'!$O$11:$O$1010,0)))</f>
        <v>46023</v>
      </c>
      <c r="C17" s="84" t="n">
        <f aca="false">IF($A17="","",INDEX('قيود اليومية'!$A$11:$A$1010,MATCH($A17,'قيود اليومية'!$O$11:$O$1010,0)))</f>
        <v>1</v>
      </c>
      <c r="D17" s="51" t="str">
        <f aca="false">IF($A17="","",INDEX('قيود اليومية'!$E$11:$E$1010,MATCH($A17,'قيود اليومية'!$O$11:$O$1010,0))&amp;"")</f>
        <v/>
      </c>
      <c r="E17" s="51" t="str">
        <f aca="false">IF($A17="","",INDEX('قيود اليومية'!$F$11:$F$1010,MATCH($A17,'قيود اليومية'!$O$11:$O$1010,0))&amp;"")</f>
        <v>إيداع رأس المال المدفوع بالبنك</v>
      </c>
      <c r="F17" s="85" t="n">
        <f aca="false">IF($A17="","",INDEX('قيود اليومية'!$G$11:$G$1010,MATCH($A17,'قيود اليومية'!$O$11:$O$1010,0)))</f>
        <v>3000000</v>
      </c>
      <c r="G17" s="85" t="n">
        <f aca="false">IF($A17="","",INDEX('قيود اليومية'!$H$11:$H$1010,MATCH($A17,'قيود اليومية'!$O$11:$O$1010,0)))</f>
        <v>0</v>
      </c>
      <c r="H17" s="63" t="n">
        <f aca="false">IF($A17="","",0+IF($C$8&lt;&gt;"" ,IF(LEFT($C$8,4)="دائن",G17-F17,F17-G17),0))</f>
        <v>3000000</v>
      </c>
    </row>
    <row r="18" customFormat="false" ht="15" hidden="false" customHeight="false" outlineLevel="0" collapsed="false">
      <c r="A18" s="82" t="n">
        <f aca="false">IF(ROW()-16&gt;COUNT('قيود اليومية'!$O$11:$O$1010),"",ROW()-16)</f>
        <v>2</v>
      </c>
      <c r="B18" s="83" t="n">
        <f aca="false">IF($A18="","",INDEX('قيود اليومية'!$B$11:$B$1010,MATCH($A18,'قيود اليومية'!$O$11:$O$1010,0)))</f>
        <v>46027</v>
      </c>
      <c r="C18" s="84" t="n">
        <f aca="false">IF($A18="","",INDEX('قيود اليومية'!$A$11:$A$1010,MATCH($A18,'قيود اليومية'!$O$11:$O$1010,0)))</f>
        <v>2</v>
      </c>
      <c r="D18" s="51" t="str">
        <f aca="false">IF($A18="","",INDEX('قيود اليومية'!$E$11:$E$1010,MATCH($A18,'قيود اليومية'!$O$11:$O$1010,0))&amp;"")</f>
        <v/>
      </c>
      <c r="E18" s="51" t="str">
        <f aca="false">IF($A18="","",INDEX('قيود اليومية'!$F$11:$F$1010,MATCH($A18,'قيود اليومية'!$O$11:$O$1010,0))&amp;"")</f>
        <v>سداد جزء من ثمن الأصول</v>
      </c>
      <c r="F18" s="85" t="n">
        <f aca="false">IF($A18="","",INDEX('قيود اليومية'!$G$11:$G$1010,MATCH($A18,'قيود اليومية'!$O$11:$O$1010,0)))</f>
        <v>0</v>
      </c>
      <c r="G18" s="85" t="n">
        <f aca="false">IF($A18="","",INDEX('قيود اليومية'!$H$11:$H$1010,MATCH($A18,'قيود اليومية'!$O$11:$O$1010,0)))</f>
        <v>1030000</v>
      </c>
      <c r="H18" s="63" t="n">
        <f aca="false">IF($A18="","",N(H17)+IF($C$8&lt;&gt;"" ,IF(LEFT($C$8,4)="دائن",G18-F18,F18-G18),0))</f>
        <v>1970000</v>
      </c>
    </row>
    <row r="19" customFormat="false" ht="15" hidden="false" customHeight="false" outlineLevel="0" collapsed="false">
      <c r="A19" s="82" t="n">
        <f aca="false">IF(ROW()-16&gt;COUNT('قيود اليومية'!$O$11:$O$1010),"",ROW()-16)</f>
        <v>3</v>
      </c>
      <c r="B19" s="83" t="n">
        <f aca="false">IF($A19="","",INDEX('قيود اليومية'!$B$11:$B$1010,MATCH($A19,'قيود اليومية'!$O$11:$O$1010,0)))</f>
        <v>46030</v>
      </c>
      <c r="C19" s="84" t="n">
        <f aca="false">IF($A19="","",INDEX('قيود اليومية'!$A$11:$A$1010,MATCH($A19,'قيود اليومية'!$O$11:$O$1010,0)))</f>
        <v>3</v>
      </c>
      <c r="D19" s="51" t="str">
        <f aca="false">IF($A19="","",INDEX('قيود اليومية'!$E$11:$E$1010,MATCH($A19,'قيود اليومية'!$O$11:$O$1010,0))&amp;"")</f>
        <v/>
      </c>
      <c r="E19" s="51" t="str">
        <f aca="false">IF($A19="","",INDEX('قيود اليومية'!$F$11:$F$1010,MATCH($A19,'قيود اليومية'!$O$11:$O$1010,0))&amp;"")</f>
        <v>تغذية الخزينة (عهدة نقدية)</v>
      </c>
      <c r="F19" s="85" t="n">
        <f aca="false">IF($A19="","",INDEX('قيود اليومية'!$G$11:$G$1010,MATCH($A19,'قيود اليومية'!$O$11:$O$1010,0)))</f>
        <v>0</v>
      </c>
      <c r="G19" s="85" t="n">
        <f aca="false">IF($A19="","",INDEX('قيود اليومية'!$H$11:$H$1010,MATCH($A19,'قيود اليومية'!$O$11:$O$1010,0)))</f>
        <v>80000</v>
      </c>
      <c r="H19" s="63" t="n">
        <f aca="false">IF($A19="","",N(H18)+IF($C$8&lt;&gt;"" ,IF(LEFT($C$8,4)="دائن",G19-F19,F19-G19),0))</f>
        <v>1890000</v>
      </c>
    </row>
    <row r="20" customFormat="false" ht="15" hidden="false" customHeight="false" outlineLevel="0" collapsed="false">
      <c r="A20" s="82" t="n">
        <f aca="false">IF(ROW()-16&gt;COUNT('قيود اليومية'!$O$11:$O$1010),"",ROW()-16)</f>
        <v>4</v>
      </c>
      <c r="B20" s="83" t="n">
        <f aca="false">IF($A20="","",INDEX('قيود اليومية'!$B$11:$B$1010,MATCH($A20,'قيود اليومية'!$O$11:$O$1010,0)))</f>
        <v>46032</v>
      </c>
      <c r="C20" s="84" t="n">
        <f aca="false">IF($A20="","",INDEX('قيود اليومية'!$A$11:$A$1010,MATCH($A20,'قيود اليومية'!$O$11:$O$1010,0)))</f>
        <v>4</v>
      </c>
      <c r="D20" s="51" t="str">
        <f aca="false">IF($A20="","",INDEX('قيود اليومية'!$E$11:$E$1010,MATCH($A20,'قيود اليومية'!$O$11:$O$1010,0))&amp;"")</f>
        <v>برج الريان التجاري</v>
      </c>
      <c r="E20" s="51" t="str">
        <f aca="false">IF($A20="","",INDEX('قيود اليومية'!$F$11:$F$1010,MATCH($A20,'قيود اليومية'!$O$11:$O$1010,0))&amp;"")</f>
        <v>استلام دفعة مقدمة 15% من العميل</v>
      </c>
      <c r="F20" s="85" t="n">
        <f aca="false">IF($A20="","",INDEX('قيود اليومية'!$G$11:$G$1010,MATCH($A20,'قيود اليومية'!$O$11:$O$1010,0)))</f>
        <v>750000</v>
      </c>
      <c r="G20" s="85" t="n">
        <f aca="false">IF($A20="","",INDEX('قيود اليومية'!$H$11:$H$1010,MATCH($A20,'قيود اليومية'!$O$11:$O$1010,0)))</f>
        <v>0</v>
      </c>
      <c r="H20" s="63" t="n">
        <f aca="false">IF($A20="","",N(H19)+IF($C$8&lt;&gt;"" ,IF(LEFT($C$8,4)="دائن",G20-F20,F20-G20),0))</f>
        <v>2640000</v>
      </c>
    </row>
    <row r="21" customFormat="false" ht="15" hidden="false" customHeight="false" outlineLevel="0" collapsed="false">
      <c r="A21" s="82" t="n">
        <f aca="false">IF(ROW()-16&gt;COUNT('قيود اليومية'!$O$11:$O$1010),"",ROW()-16)</f>
        <v>5</v>
      </c>
      <c r="B21" s="83" t="n">
        <f aca="false">IF($A21="","",INDEX('قيود اليومية'!$B$11:$B$1010,MATCH($A21,'قيود اليومية'!$O$11:$O$1010,0)))</f>
        <v>46034</v>
      </c>
      <c r="C21" s="84" t="n">
        <f aca="false">IF($A21="","",INDEX('قيود اليومية'!$A$11:$A$1010,MATCH($A21,'قيود اليومية'!$O$11:$O$1010,0)))</f>
        <v>5</v>
      </c>
      <c r="D21" s="51" t="str">
        <f aca="false">IF($A21="","",INDEX('قيود اليومية'!$E$11:$E$1010,MATCH($A21,'قيود اليومية'!$O$11:$O$1010,0))&amp;"")</f>
        <v>مجمع فلل النخيل السكني</v>
      </c>
      <c r="E21" s="51" t="str">
        <f aca="false">IF($A21="","",INDEX('قيود اليومية'!$F$11:$F$1010,MATCH($A21,'قيود اليومية'!$O$11:$O$1010,0))&amp;"")</f>
        <v>استلام دفعة مقدمة 10% من العميل</v>
      </c>
      <c r="F21" s="85" t="n">
        <f aca="false">IF($A21="","",INDEX('قيود اليومية'!$G$11:$G$1010,MATCH($A21,'قيود اليومية'!$O$11:$O$1010,0)))</f>
        <v>320000</v>
      </c>
      <c r="G21" s="85" t="n">
        <f aca="false">IF($A21="","",INDEX('قيود اليومية'!$H$11:$H$1010,MATCH($A21,'قيود اليومية'!$O$11:$O$1010,0)))</f>
        <v>0</v>
      </c>
      <c r="H21" s="63" t="n">
        <f aca="false">IF($A21="","",N(H20)+IF($C$8&lt;&gt;"" ,IF(LEFT($C$8,4)="دائن",G21-F21,F21-G21),0))</f>
        <v>2960000</v>
      </c>
    </row>
    <row r="22" customFormat="false" ht="15" hidden="false" customHeight="false" outlineLevel="0" collapsed="false">
      <c r="A22" s="82" t="n">
        <f aca="false">IF(ROW()-16&gt;COUNT('قيود اليومية'!$O$11:$O$1010),"",ROW()-16)</f>
        <v>6</v>
      </c>
      <c r="B22" s="83" t="n">
        <f aca="false">IF($A22="","",INDEX('قيود اليومية'!$B$11:$B$1010,MATCH($A22,'قيود اليومية'!$O$11:$O$1010,0)))</f>
        <v>46042</v>
      </c>
      <c r="C22" s="84" t="n">
        <f aca="false">IF($A22="","",INDEX('قيود اليومية'!$A$11:$A$1010,MATCH($A22,'قيود اليومية'!$O$11:$O$1010,0)))</f>
        <v>7</v>
      </c>
      <c r="D22" s="51" t="str">
        <f aca="false">IF($A22="","",INDEX('قيود اليومية'!$E$11:$E$1010,MATCH($A22,'قيود اليومية'!$O$11:$O$1010,0))&amp;"")</f>
        <v>برج الريان التجاري</v>
      </c>
      <c r="E22" s="51" t="str">
        <f aca="false">IF($A22="","",INDEX('قيود اليومية'!$F$11:$F$1010,MATCH($A22,'قيود اليومية'!$O$11:$O$1010,0))&amp;"")</f>
        <v>دفعة مقدمة لمقاول باطن الأعمال الكهربائية</v>
      </c>
      <c r="F22" s="85" t="n">
        <f aca="false">IF($A22="","",INDEX('قيود اليومية'!$G$11:$G$1010,MATCH($A22,'قيود اليومية'!$O$11:$O$1010,0)))</f>
        <v>0</v>
      </c>
      <c r="G22" s="85" t="n">
        <f aca="false">IF($A22="","",INDEX('قيود اليومية'!$H$11:$H$1010,MATCH($A22,'قيود اليومية'!$O$11:$O$1010,0)))</f>
        <v>150000</v>
      </c>
      <c r="H22" s="63" t="n">
        <f aca="false">IF($A22="","",N(H21)+IF($C$8&lt;&gt;"" ,IF(LEFT($C$8,4)="دائن",G22-F22,F22-G22),0))</f>
        <v>2810000</v>
      </c>
    </row>
    <row r="23" customFormat="false" ht="15" hidden="false" customHeight="false" outlineLevel="0" collapsed="false">
      <c r="A23" s="82" t="n">
        <f aca="false">IF(ROW()-16&gt;COUNT('قيود اليومية'!$O$11:$O$1010),"",ROW()-16)</f>
        <v>7</v>
      </c>
      <c r="B23" s="83" t="n">
        <f aca="false">IF($A23="","",INDEX('قيود اليومية'!$B$11:$B$1010,MATCH($A23,'قيود اليومية'!$O$11:$O$1010,0)))</f>
        <v>46053</v>
      </c>
      <c r="C23" s="84" t="n">
        <f aca="false">IF($A23="","",INDEX('قيود اليومية'!$A$11:$A$1010,MATCH($A23,'قيود اليومية'!$O$11:$O$1010,0)))</f>
        <v>8</v>
      </c>
      <c r="D23" s="51" t="str">
        <f aca="false">IF($A23="","",INDEX('قيود اليومية'!$E$11:$E$1010,MATCH($A23,'قيود اليومية'!$O$11:$O$1010,0))&amp;"")</f>
        <v/>
      </c>
      <c r="E23" s="51" t="str">
        <f aca="false">IF($A23="","",INDEX('قيود اليومية'!$F$11:$F$1010,MATCH($A23,'قيود اليومية'!$O$11:$O$1010,0))&amp;"")</f>
        <v>صرف رواتب وأجور يناير</v>
      </c>
      <c r="F23" s="85" t="n">
        <f aca="false">IF($A23="","",INDEX('قيود اليومية'!$G$11:$G$1010,MATCH($A23,'قيود اليومية'!$O$11:$O$1010,0)))</f>
        <v>0</v>
      </c>
      <c r="G23" s="85" t="n">
        <f aca="false">IF($A23="","",INDEX('قيود اليومية'!$H$11:$H$1010,MATCH($A23,'قيود اليومية'!$O$11:$O$1010,0)))</f>
        <v>360000</v>
      </c>
      <c r="H23" s="63" t="n">
        <f aca="false">IF($A23="","",N(H22)+IF($C$8&lt;&gt;"" ,IF(LEFT($C$8,4)="دائن",G23-F23,F23-G23),0))</f>
        <v>2450000</v>
      </c>
    </row>
    <row r="24" customFormat="false" ht="15" hidden="false" customHeight="false" outlineLevel="0" collapsed="false">
      <c r="A24" s="82" t="n">
        <f aca="false">IF(ROW()-16&gt;COUNT('قيود اليومية'!$O$11:$O$1010),"",ROW()-16)</f>
        <v>8</v>
      </c>
      <c r="B24" s="83" t="n">
        <f aca="false">IF($A24="","",INDEX('قيود اليومية'!$B$11:$B$1010,MATCH($A24,'قيود اليومية'!$O$11:$O$1010,0)))</f>
        <v>46058</v>
      </c>
      <c r="C24" s="84" t="n">
        <f aca="false">IF($A24="","",INDEX('قيود اليومية'!$A$11:$A$1010,MATCH($A24,'قيود اليومية'!$O$11:$O$1010,0)))</f>
        <v>9</v>
      </c>
      <c r="D24" s="51" t="str">
        <f aca="false">IF($A24="","",INDEX('قيود اليومية'!$E$11:$E$1010,MATCH($A24,'قيود اليومية'!$O$11:$O$1010,0))&amp;"")</f>
        <v/>
      </c>
      <c r="E24" s="51" t="str">
        <f aca="false">IF($A24="","",INDEX('قيود اليومية'!$F$11:$F$1010,MATCH($A24,'قيود اليومية'!$O$11:$O$1010,0))&amp;"")</f>
        <v>سداد إيجار وتشغيل معدات</v>
      </c>
      <c r="F24" s="85" t="n">
        <f aca="false">IF($A24="","",INDEX('قيود اليومية'!$G$11:$G$1010,MATCH($A24,'قيود اليومية'!$O$11:$O$1010,0)))</f>
        <v>0</v>
      </c>
      <c r="G24" s="85" t="n">
        <f aca="false">IF($A24="","",INDEX('قيود اليومية'!$H$11:$H$1010,MATCH($A24,'قيود اليومية'!$O$11:$O$1010,0)))</f>
        <v>125000</v>
      </c>
      <c r="H24" s="63" t="n">
        <f aca="false">IF($A24="","",N(H23)+IF($C$8&lt;&gt;"" ,IF(LEFT($C$8,4)="دائن",G24-F24,F24-G24),0))</f>
        <v>2325000</v>
      </c>
    </row>
    <row r="25" customFormat="false" ht="15" hidden="false" customHeight="false" outlineLevel="0" collapsed="false">
      <c r="A25" s="82" t="n">
        <f aca="false">IF(ROW()-16&gt;COUNT('قيود اليومية'!$O$11:$O$1010),"",ROW()-16)</f>
        <v>9</v>
      </c>
      <c r="B25" s="83" t="n">
        <f aca="false">IF($A25="","",INDEX('قيود اليومية'!$B$11:$B$1010,MATCH($A25,'قيود اليومية'!$O$11:$O$1010,0)))</f>
        <v>46086</v>
      </c>
      <c r="C25" s="84" t="n">
        <f aca="false">IF($A25="","",INDEX('قيود اليومية'!$A$11:$A$1010,MATCH($A25,'قيود اليومية'!$O$11:$O$1010,0)))</f>
        <v>13</v>
      </c>
      <c r="D25" s="51" t="str">
        <f aca="false">IF($A25="","",INDEX('قيود اليومية'!$E$11:$E$1010,MATCH($A25,'قيود اليومية'!$O$11:$O$1010,0))&amp;"")</f>
        <v>برج الريان التجاري</v>
      </c>
      <c r="E25" s="51" t="str">
        <f aca="false">IF($A25="","",INDEX('قيود اليومية'!$F$11:$F$1010,MATCH($A25,'قيود اليومية'!$O$11:$O$1010,0))&amp;"")</f>
        <v>تحصيل صافي المستخلص رقم 1</v>
      </c>
      <c r="F25" s="85" t="n">
        <f aca="false">IF($A25="","",INDEX('قيود اليومية'!$G$11:$G$1010,MATCH($A25,'قيود اليومية'!$O$11:$O$1010,0)))</f>
        <v>1125000</v>
      </c>
      <c r="G25" s="85" t="n">
        <f aca="false">IF($A25="","",INDEX('قيود اليومية'!$H$11:$H$1010,MATCH($A25,'قيود اليومية'!$O$11:$O$1010,0)))</f>
        <v>0</v>
      </c>
      <c r="H25" s="63" t="n">
        <f aca="false">IF($A25="","",N(H24)+IF($C$8&lt;&gt;"" ,IF(LEFT($C$8,4)="دائن",G25-F25,F25-G25),0))</f>
        <v>3450000</v>
      </c>
    </row>
    <row r="26" customFormat="false" ht="15" hidden="false" customHeight="false" outlineLevel="0" collapsed="false">
      <c r="A26" s="82" t="n">
        <f aca="false">IF(ROW()-16&gt;COUNT('قيود اليومية'!$O$11:$O$1010),"",ROW()-16)</f>
        <v>10</v>
      </c>
      <c r="B26" s="83" t="n">
        <f aca="false">IF($A26="","",INDEX('قيود اليومية'!$B$11:$B$1010,MATCH($A26,'قيود اليومية'!$O$11:$O$1010,0)))</f>
        <v>46099</v>
      </c>
      <c r="C26" s="84" t="n">
        <f aca="false">IF($A26="","",INDEX('قيود اليومية'!$A$11:$A$1010,MATCH($A26,'قيود اليومية'!$O$11:$O$1010,0)))</f>
        <v>16</v>
      </c>
      <c r="D26" s="51" t="str">
        <f aca="false">IF($A26="","",INDEX('قيود اليومية'!$E$11:$E$1010,MATCH($A26,'قيود اليومية'!$O$11:$O$1010,0))&amp;"")</f>
        <v/>
      </c>
      <c r="E26" s="51" t="str">
        <f aca="false">IF($A26="","",INDEX('قيود اليومية'!$F$11:$F$1010,MATCH($A26,'قيود اليومية'!$O$11:$O$1010,0))&amp;"")</f>
        <v>سداد دفعة للموردين</v>
      </c>
      <c r="F26" s="85" t="n">
        <f aca="false">IF($A26="","",INDEX('قيود اليومية'!$G$11:$G$1010,MATCH($A26,'قيود اليومية'!$O$11:$O$1010,0)))</f>
        <v>0</v>
      </c>
      <c r="G26" s="85" t="n">
        <f aca="false">IF($A26="","",INDEX('قيود اليومية'!$H$11:$H$1010,MATCH($A26,'قيود اليومية'!$O$11:$O$1010,0)))</f>
        <v>500000</v>
      </c>
      <c r="H26" s="63" t="n">
        <f aca="false">IF($A26="","",N(H25)+IF($C$8&lt;&gt;"" ,IF(LEFT($C$8,4)="دائن",G26-F26,F26-G26),0))</f>
        <v>2950000</v>
      </c>
    </row>
    <row r="27" customFormat="false" ht="15" hidden="false" customHeight="false" outlineLevel="0" collapsed="false">
      <c r="A27" s="82" t="n">
        <f aca="false">IF(ROW()-16&gt;COUNT('قيود اليومية'!$O$11:$O$1010),"",ROW()-16)</f>
        <v>11</v>
      </c>
      <c r="B27" s="83" t="n">
        <f aca="false">IF($A27="","",INDEX('قيود اليومية'!$B$11:$B$1010,MATCH($A27,'قيود اليومية'!$O$11:$O$1010,0)))</f>
        <v>46103</v>
      </c>
      <c r="C27" s="84" t="n">
        <f aca="false">IF($A27="","",INDEX('قيود اليومية'!$A$11:$A$1010,MATCH($A27,'قيود اليومية'!$O$11:$O$1010,0)))</f>
        <v>18</v>
      </c>
      <c r="D27" s="51" t="str">
        <f aca="false">IF($A27="","",INDEX('قيود اليومية'!$E$11:$E$1010,MATCH($A27,'قيود اليومية'!$O$11:$O$1010,0))&amp;"")</f>
        <v/>
      </c>
      <c r="E27" s="51" t="str">
        <f aca="false">IF($A27="","",INDEX('قيود اليومية'!$F$11:$F$1010,MATCH($A27,'قيود اليومية'!$O$11:$O$1010,0))&amp;"")</f>
        <v>سداد دفعة لمقاولي الباطن</v>
      </c>
      <c r="F27" s="85" t="n">
        <f aca="false">IF($A27="","",INDEX('قيود اليومية'!$G$11:$G$1010,MATCH($A27,'قيود اليومية'!$O$11:$O$1010,0)))</f>
        <v>0</v>
      </c>
      <c r="G27" s="85" t="n">
        <f aca="false">IF($A27="","",INDEX('قيود اليومية'!$H$11:$H$1010,MATCH($A27,'قيود اليومية'!$O$11:$O$1010,0)))</f>
        <v>400000</v>
      </c>
      <c r="H27" s="63" t="n">
        <f aca="false">IF($A27="","",N(H26)+IF($C$8&lt;&gt;"" ,IF(LEFT($C$8,4)="دائن",G27-F27,F27-G27),0))</f>
        <v>2550000</v>
      </c>
    </row>
    <row r="28" customFormat="false" ht="15" hidden="false" customHeight="false" outlineLevel="0" collapsed="false">
      <c r="A28" s="82" t="n">
        <f aca="false">IF(ROW()-16&gt;COUNT('قيود اليومية'!$O$11:$O$1010),"",ROW()-16)</f>
        <v>12</v>
      </c>
      <c r="B28" s="83" t="n">
        <f aca="false">IF($A28="","",INDEX('قيود اليومية'!$B$11:$B$1010,MATCH($A28,'قيود اليومية'!$O$11:$O$1010,0)))</f>
        <v>46107</v>
      </c>
      <c r="C28" s="84" t="n">
        <f aca="false">IF($A28="","",INDEX('قيود اليومية'!$A$11:$A$1010,MATCH($A28,'قيود اليومية'!$O$11:$O$1010,0)))</f>
        <v>20</v>
      </c>
      <c r="D28" s="51" t="str">
        <f aca="false">IF($A28="","",INDEX('قيود اليومية'!$E$11:$E$1010,MATCH($A28,'قيود اليومية'!$O$11:$O$1010,0))&amp;"")</f>
        <v>مجمع فلل النخيل السكني</v>
      </c>
      <c r="E28" s="51" t="str">
        <f aca="false">IF($A28="","",INDEX('قيود اليومية'!$F$11:$F$1010,MATCH($A28,'قيود اليومية'!$O$11:$O$1010,0))&amp;"")</f>
        <v>تحصيل جزئي من المستخلص رقم 1</v>
      </c>
      <c r="F28" s="85" t="n">
        <f aca="false">IF($A28="","",INDEX('قيود اليومية'!$G$11:$G$1010,MATCH($A28,'قيود اليومية'!$O$11:$O$1010,0)))</f>
        <v>500000</v>
      </c>
      <c r="G28" s="85" t="n">
        <f aca="false">IF($A28="","",INDEX('قيود اليومية'!$H$11:$H$1010,MATCH($A28,'قيود اليومية'!$O$11:$O$1010,0)))</f>
        <v>0</v>
      </c>
      <c r="H28" s="63" t="n">
        <f aca="false">IF($A28="","",N(H27)+IF($C$8&lt;&gt;"" ,IF(LEFT($C$8,4)="دائن",G28-F28,F28-G28),0))</f>
        <v>3050000</v>
      </c>
    </row>
    <row r="29" customFormat="false" ht="15" hidden="false" customHeight="false" outlineLevel="0" collapsed="false">
      <c r="A29" s="82" t="n">
        <f aca="false">IF(ROW()-16&gt;COUNT('قيود اليومية'!$O$11:$O$1010),"",ROW()-16)</f>
        <v>13</v>
      </c>
      <c r="B29" s="83" t="n">
        <f aca="false">IF($A29="","",INDEX('قيود اليومية'!$B$11:$B$1010,MATCH($A29,'قيود اليومية'!$O$11:$O$1010,0)))</f>
        <v>46109</v>
      </c>
      <c r="C29" s="84" t="n">
        <f aca="false">IF($A29="","",INDEX('قيود اليومية'!$A$11:$A$1010,MATCH($A29,'قيود اليومية'!$O$11:$O$1010,0)))</f>
        <v>21</v>
      </c>
      <c r="D29" s="51" t="str">
        <f aca="false">IF($A29="","",INDEX('قيود اليومية'!$E$11:$E$1010,MATCH($A29,'قيود اليومية'!$O$11:$O$1010,0))&amp;"")</f>
        <v>توسعة مستشفى الشفاء</v>
      </c>
      <c r="E29" s="51" t="str">
        <f aca="false">IF($A29="","",INDEX('قيود اليومية'!$F$11:$F$1010,MATCH($A29,'قيود اليومية'!$O$11:$O$1010,0))&amp;"")</f>
        <v>تكاليف تجهيز الموقع قبل بدء الاعتراف بالإيراد</v>
      </c>
      <c r="F29" s="85" t="n">
        <f aca="false">IF($A29="","",INDEX('قيود اليومية'!$G$11:$G$1010,MATCH($A29,'قيود اليومية'!$O$11:$O$1010,0)))</f>
        <v>0</v>
      </c>
      <c r="G29" s="85" t="n">
        <f aca="false">IF($A29="","",INDEX('قيود اليومية'!$H$11:$H$1010,MATCH($A29,'قيود اليومية'!$O$11:$O$1010,0)))</f>
        <v>95000</v>
      </c>
      <c r="H29" s="63" t="n">
        <f aca="false">IF($A29="","",N(H28)+IF($C$8&lt;&gt;"" ,IF(LEFT($C$8,4)="دائن",G29-F29,F29-G29),0))</f>
        <v>2955000</v>
      </c>
    </row>
    <row r="30" customFormat="false" ht="15" hidden="false" customHeight="false" outlineLevel="0" collapsed="false">
      <c r="A30" s="82" t="n">
        <f aca="false">IF(ROW()-16&gt;COUNT('قيود اليومية'!$O$11:$O$1010),"",ROW()-16)</f>
        <v>14</v>
      </c>
      <c r="B30" s="83" t="n">
        <f aca="false">IF($A30="","",INDEX('قيود اليومية'!$B$11:$B$1010,MATCH($A30,'قيود اليومية'!$O$11:$O$1010,0)))</f>
        <v>46112</v>
      </c>
      <c r="C30" s="84" t="n">
        <f aca="false">IF($A30="","",INDEX('قيود اليومية'!$A$11:$A$1010,MATCH($A30,'قيود اليومية'!$O$11:$O$1010,0)))</f>
        <v>23</v>
      </c>
      <c r="D30" s="51" t="str">
        <f aca="false">IF($A30="","",INDEX('قيود اليومية'!$E$11:$E$1010,MATCH($A30,'قيود اليومية'!$O$11:$O$1010,0))&amp;"")</f>
        <v/>
      </c>
      <c r="E30" s="51" t="str">
        <f aca="false">IF($A30="","",INDEX('قيود اليومية'!$F$11:$F$1010,MATCH($A30,'قيود اليومية'!$O$11:$O$1010,0))&amp;"")</f>
        <v>سداد مصاريف إدارية</v>
      </c>
      <c r="F30" s="85" t="n">
        <f aca="false">IF($A30="","",INDEX('قيود اليومية'!$G$11:$G$1010,MATCH($A30,'قيود اليومية'!$O$11:$O$1010,0)))</f>
        <v>0</v>
      </c>
      <c r="G30" s="85" t="n">
        <f aca="false">IF($A30="","",INDEX('قيود اليومية'!$H$11:$H$1010,MATCH($A30,'قيود اليومية'!$O$11:$O$1010,0)))</f>
        <v>48200</v>
      </c>
      <c r="H30" s="63" t="n">
        <f aca="false">IF($A30="","",N(H29)+IF($C$8&lt;&gt;"" ,IF(LEFT($C$8,4)="دائن",G30-F30,F30-G30),0))</f>
        <v>2906800</v>
      </c>
    </row>
    <row r="31" customFormat="false" ht="15" hidden="false" customHeight="false" outlineLevel="0" collapsed="false">
      <c r="A31" s="82" t="n">
        <f aca="false">IF(ROW()-16&gt;COUNT('قيود اليومية'!$O$11:$O$1010),"",ROW()-16)</f>
        <v>15</v>
      </c>
      <c r="B31" s="83" t="n">
        <f aca="false">IF($A31="","",INDEX('قيود اليومية'!$B$11:$B$1010,MATCH($A31,'قيود اليومية'!$O$11:$O$1010,0)))</f>
        <v>46112</v>
      </c>
      <c r="C31" s="84" t="n">
        <f aca="false">IF($A31="","",INDEX('قيود اليومية'!$A$11:$A$1010,MATCH($A31,'قيود اليومية'!$O$11:$O$1010,0)))</f>
        <v>27</v>
      </c>
      <c r="D31" s="51" t="str">
        <f aca="false">IF($A31="","",INDEX('قيود اليومية'!$E$11:$E$1010,MATCH($A31,'قيود اليومية'!$O$11:$O$1010,0))&amp;"")</f>
        <v/>
      </c>
      <c r="E31" s="51" t="str">
        <f aca="false">IF($A31="","",INDEX('قيود اليومية'!$F$11:$F$1010,MATCH($A31,'قيود اليومية'!$O$11:$O$1010,0))&amp;"")</f>
        <v>مسحوبات الشركاء</v>
      </c>
      <c r="F31" s="85" t="n">
        <f aca="false">IF($A31="","",INDEX('قيود اليومية'!$G$11:$G$1010,MATCH($A31,'قيود اليومية'!$O$11:$O$1010,0)))</f>
        <v>0</v>
      </c>
      <c r="G31" s="85" t="n">
        <f aca="false">IF($A31="","",INDEX('قيود اليومية'!$H$11:$H$1010,MATCH($A31,'قيود اليومية'!$O$11:$O$1010,0)))</f>
        <v>40000</v>
      </c>
      <c r="H31" s="63" t="n">
        <f aca="false">IF($A31="","",N(H30)+IF($C$8&lt;&gt;"" ,IF(LEFT($C$8,4)="دائن",G31-F31,F31-G31),0))</f>
        <v>2866800</v>
      </c>
    </row>
    <row r="32" customFormat="false" ht="15" hidden="false" customHeight="false" outlineLevel="0" collapsed="false">
      <c r="A32" s="82" t="str">
        <f aca="false">IF(ROW()-16&gt;COUNT('قيود اليومية'!$O$11:$O$1010),"",ROW()-16)</f>
        <v/>
      </c>
      <c r="B32" s="83" t="str">
        <f aca="false">IF($A32="","",INDEX('قيود اليومية'!$B$11:$B$1010,MATCH($A32,'قيود اليومية'!$O$11:$O$1010,0)))</f>
        <v/>
      </c>
      <c r="C32" s="84" t="str">
        <f aca="false">IF($A32="","",INDEX('قيود اليومية'!$A$11:$A$1010,MATCH($A32,'قيود اليومية'!$O$11:$O$1010,0)))</f>
        <v/>
      </c>
      <c r="D32" s="51" t="str">
        <f aca="false">IF($A32="","",INDEX('قيود اليومية'!$E$11:$E$1010,MATCH($A32,'قيود اليومية'!$O$11:$O$1010,0))&amp;"")</f>
        <v/>
      </c>
      <c r="E32" s="51" t="str">
        <f aca="false">IF($A32="","",INDEX('قيود اليومية'!$F$11:$F$1010,MATCH($A32,'قيود اليومية'!$O$11:$O$1010,0))&amp;"")</f>
        <v/>
      </c>
      <c r="F32" s="85" t="str">
        <f aca="false">IF($A32="","",INDEX('قيود اليومية'!$G$11:$G$1010,MATCH($A32,'قيود اليومية'!$O$11:$O$1010,0)))</f>
        <v/>
      </c>
      <c r="G32" s="85" t="str">
        <f aca="false">IF($A32="","",INDEX('قيود اليومية'!$H$11:$H$1010,MATCH($A32,'قيود اليومية'!$O$11:$O$1010,0)))</f>
        <v/>
      </c>
      <c r="H32" s="63" t="str">
        <f aca="false">IF($A32="","",N(H31)+IF($C$8&lt;&gt;"" ,IF(LEFT($C$8,4)="دائن",G32-F32,F32-G32),0))</f>
        <v/>
      </c>
    </row>
    <row r="33" customFormat="false" ht="15" hidden="false" customHeight="false" outlineLevel="0" collapsed="false">
      <c r="A33" s="82" t="str">
        <f aca="false">IF(ROW()-16&gt;COUNT('قيود اليومية'!$O$11:$O$1010),"",ROW()-16)</f>
        <v/>
      </c>
      <c r="B33" s="83" t="str">
        <f aca="false">IF($A33="","",INDEX('قيود اليومية'!$B$11:$B$1010,MATCH($A33,'قيود اليومية'!$O$11:$O$1010,0)))</f>
        <v/>
      </c>
      <c r="C33" s="84" t="str">
        <f aca="false">IF($A33="","",INDEX('قيود اليومية'!$A$11:$A$1010,MATCH($A33,'قيود اليومية'!$O$11:$O$1010,0)))</f>
        <v/>
      </c>
      <c r="D33" s="51" t="str">
        <f aca="false">IF($A33="","",INDEX('قيود اليومية'!$E$11:$E$1010,MATCH($A33,'قيود اليومية'!$O$11:$O$1010,0))&amp;"")</f>
        <v/>
      </c>
      <c r="E33" s="51" t="str">
        <f aca="false">IF($A33="","",INDEX('قيود اليومية'!$F$11:$F$1010,MATCH($A33,'قيود اليومية'!$O$11:$O$1010,0))&amp;"")</f>
        <v/>
      </c>
      <c r="F33" s="85" t="str">
        <f aca="false">IF($A33="","",INDEX('قيود اليومية'!$G$11:$G$1010,MATCH($A33,'قيود اليومية'!$O$11:$O$1010,0)))</f>
        <v/>
      </c>
      <c r="G33" s="85" t="str">
        <f aca="false">IF($A33="","",INDEX('قيود اليومية'!$H$11:$H$1010,MATCH($A33,'قيود اليومية'!$O$11:$O$1010,0)))</f>
        <v/>
      </c>
      <c r="H33" s="63" t="str">
        <f aca="false">IF($A33="","",N(H32)+IF($C$8&lt;&gt;"" ,IF(LEFT($C$8,4)="دائن",G33-F33,F33-G33),0))</f>
        <v/>
      </c>
    </row>
    <row r="34" customFormat="false" ht="15" hidden="false" customHeight="false" outlineLevel="0" collapsed="false">
      <c r="A34" s="82" t="str">
        <f aca="false">IF(ROW()-16&gt;COUNT('قيود اليومية'!$O$11:$O$1010),"",ROW()-16)</f>
        <v/>
      </c>
      <c r="B34" s="83" t="str">
        <f aca="false">IF($A34="","",INDEX('قيود اليومية'!$B$11:$B$1010,MATCH($A34,'قيود اليومية'!$O$11:$O$1010,0)))</f>
        <v/>
      </c>
      <c r="C34" s="84" t="str">
        <f aca="false">IF($A34="","",INDEX('قيود اليومية'!$A$11:$A$1010,MATCH($A34,'قيود اليومية'!$O$11:$O$1010,0)))</f>
        <v/>
      </c>
      <c r="D34" s="51" t="str">
        <f aca="false">IF($A34="","",INDEX('قيود اليومية'!$E$11:$E$1010,MATCH($A34,'قيود اليومية'!$O$11:$O$1010,0))&amp;"")</f>
        <v/>
      </c>
      <c r="E34" s="51" t="str">
        <f aca="false">IF($A34="","",INDEX('قيود اليومية'!$F$11:$F$1010,MATCH($A34,'قيود اليومية'!$O$11:$O$1010,0))&amp;"")</f>
        <v/>
      </c>
      <c r="F34" s="85" t="str">
        <f aca="false">IF($A34="","",INDEX('قيود اليومية'!$G$11:$G$1010,MATCH($A34,'قيود اليومية'!$O$11:$O$1010,0)))</f>
        <v/>
      </c>
      <c r="G34" s="85" t="str">
        <f aca="false">IF($A34="","",INDEX('قيود اليومية'!$H$11:$H$1010,MATCH($A34,'قيود اليومية'!$O$11:$O$1010,0)))</f>
        <v/>
      </c>
      <c r="H34" s="63" t="str">
        <f aca="false">IF($A34="","",N(H33)+IF($C$8&lt;&gt;"" ,IF(LEFT($C$8,4)="دائن",G34-F34,F34-G34),0))</f>
        <v/>
      </c>
    </row>
    <row r="35" customFormat="false" ht="15" hidden="false" customHeight="false" outlineLevel="0" collapsed="false">
      <c r="A35" s="82" t="str">
        <f aca="false">IF(ROW()-16&gt;COUNT('قيود اليومية'!$O$11:$O$1010),"",ROW()-16)</f>
        <v/>
      </c>
      <c r="B35" s="83" t="str">
        <f aca="false">IF($A35="","",INDEX('قيود اليومية'!$B$11:$B$1010,MATCH($A35,'قيود اليومية'!$O$11:$O$1010,0)))</f>
        <v/>
      </c>
      <c r="C35" s="84" t="str">
        <f aca="false">IF($A35="","",INDEX('قيود اليومية'!$A$11:$A$1010,MATCH($A35,'قيود اليومية'!$O$11:$O$1010,0)))</f>
        <v/>
      </c>
      <c r="D35" s="51" t="str">
        <f aca="false">IF($A35="","",INDEX('قيود اليومية'!$E$11:$E$1010,MATCH($A35,'قيود اليومية'!$O$11:$O$1010,0))&amp;"")</f>
        <v/>
      </c>
      <c r="E35" s="51" t="str">
        <f aca="false">IF($A35="","",INDEX('قيود اليومية'!$F$11:$F$1010,MATCH($A35,'قيود اليومية'!$O$11:$O$1010,0))&amp;"")</f>
        <v/>
      </c>
      <c r="F35" s="85" t="str">
        <f aca="false">IF($A35="","",INDEX('قيود اليومية'!$G$11:$G$1010,MATCH($A35,'قيود اليومية'!$O$11:$O$1010,0)))</f>
        <v/>
      </c>
      <c r="G35" s="85" t="str">
        <f aca="false">IF($A35="","",INDEX('قيود اليومية'!$H$11:$H$1010,MATCH($A35,'قيود اليومية'!$O$11:$O$1010,0)))</f>
        <v/>
      </c>
      <c r="H35" s="63" t="str">
        <f aca="false">IF($A35="","",N(H34)+IF($C$8&lt;&gt;"" ,IF(LEFT($C$8,4)="دائن",G35-F35,F35-G35),0))</f>
        <v/>
      </c>
    </row>
    <row r="36" customFormat="false" ht="15" hidden="false" customHeight="false" outlineLevel="0" collapsed="false">
      <c r="A36" s="82" t="str">
        <f aca="false">IF(ROW()-16&gt;COUNT('قيود اليومية'!$O$11:$O$1010),"",ROW()-16)</f>
        <v/>
      </c>
      <c r="B36" s="83" t="str">
        <f aca="false">IF($A36="","",INDEX('قيود اليومية'!$B$11:$B$1010,MATCH($A36,'قيود اليومية'!$O$11:$O$1010,0)))</f>
        <v/>
      </c>
      <c r="C36" s="84" t="str">
        <f aca="false">IF($A36="","",INDEX('قيود اليومية'!$A$11:$A$1010,MATCH($A36,'قيود اليومية'!$O$11:$O$1010,0)))</f>
        <v/>
      </c>
      <c r="D36" s="51" t="str">
        <f aca="false">IF($A36="","",INDEX('قيود اليومية'!$E$11:$E$1010,MATCH($A36,'قيود اليومية'!$O$11:$O$1010,0))&amp;"")</f>
        <v/>
      </c>
      <c r="E36" s="51" t="str">
        <f aca="false">IF($A36="","",INDEX('قيود اليومية'!$F$11:$F$1010,MATCH($A36,'قيود اليومية'!$O$11:$O$1010,0))&amp;"")</f>
        <v/>
      </c>
      <c r="F36" s="85" t="str">
        <f aca="false">IF($A36="","",INDEX('قيود اليومية'!$G$11:$G$1010,MATCH($A36,'قيود اليومية'!$O$11:$O$1010,0)))</f>
        <v/>
      </c>
      <c r="G36" s="85" t="str">
        <f aca="false">IF($A36="","",INDEX('قيود اليومية'!$H$11:$H$1010,MATCH($A36,'قيود اليومية'!$O$11:$O$1010,0)))</f>
        <v/>
      </c>
      <c r="H36" s="63" t="str">
        <f aca="false">IF($A36="","",N(H35)+IF($C$8&lt;&gt;"" ,IF(LEFT($C$8,4)="دائن",G36-F36,F36-G36),0))</f>
        <v/>
      </c>
    </row>
    <row r="37" customFormat="false" ht="15" hidden="false" customHeight="false" outlineLevel="0" collapsed="false">
      <c r="A37" s="82" t="str">
        <f aca="false">IF(ROW()-16&gt;COUNT('قيود اليومية'!$O$11:$O$1010),"",ROW()-16)</f>
        <v/>
      </c>
      <c r="B37" s="83" t="str">
        <f aca="false">IF($A37="","",INDEX('قيود اليومية'!$B$11:$B$1010,MATCH($A37,'قيود اليومية'!$O$11:$O$1010,0)))</f>
        <v/>
      </c>
      <c r="C37" s="84" t="str">
        <f aca="false">IF($A37="","",INDEX('قيود اليومية'!$A$11:$A$1010,MATCH($A37,'قيود اليومية'!$O$11:$O$1010,0)))</f>
        <v/>
      </c>
      <c r="D37" s="51" t="str">
        <f aca="false">IF($A37="","",INDEX('قيود اليومية'!$E$11:$E$1010,MATCH($A37,'قيود اليومية'!$O$11:$O$1010,0))&amp;"")</f>
        <v/>
      </c>
      <c r="E37" s="51" t="str">
        <f aca="false">IF($A37="","",INDEX('قيود اليومية'!$F$11:$F$1010,MATCH($A37,'قيود اليومية'!$O$11:$O$1010,0))&amp;"")</f>
        <v/>
      </c>
      <c r="F37" s="85" t="str">
        <f aca="false">IF($A37="","",INDEX('قيود اليومية'!$G$11:$G$1010,MATCH($A37,'قيود اليومية'!$O$11:$O$1010,0)))</f>
        <v/>
      </c>
      <c r="G37" s="85" t="str">
        <f aca="false">IF($A37="","",INDEX('قيود اليومية'!$H$11:$H$1010,MATCH($A37,'قيود اليومية'!$O$11:$O$1010,0)))</f>
        <v/>
      </c>
      <c r="H37" s="63" t="str">
        <f aca="false">IF($A37="","",N(H36)+IF($C$8&lt;&gt;"" ,IF(LEFT($C$8,4)="دائن",G37-F37,F37-G37),0))</f>
        <v/>
      </c>
    </row>
    <row r="38" customFormat="false" ht="15" hidden="false" customHeight="false" outlineLevel="0" collapsed="false">
      <c r="A38" s="82" t="str">
        <f aca="false">IF(ROW()-16&gt;COUNT('قيود اليومية'!$O$11:$O$1010),"",ROW()-16)</f>
        <v/>
      </c>
      <c r="B38" s="83" t="str">
        <f aca="false">IF($A38="","",INDEX('قيود اليومية'!$B$11:$B$1010,MATCH($A38,'قيود اليومية'!$O$11:$O$1010,0)))</f>
        <v/>
      </c>
      <c r="C38" s="84" t="str">
        <f aca="false">IF($A38="","",INDEX('قيود اليومية'!$A$11:$A$1010,MATCH($A38,'قيود اليومية'!$O$11:$O$1010,0)))</f>
        <v/>
      </c>
      <c r="D38" s="51" t="str">
        <f aca="false">IF($A38="","",INDEX('قيود اليومية'!$E$11:$E$1010,MATCH($A38,'قيود اليومية'!$O$11:$O$1010,0))&amp;"")</f>
        <v/>
      </c>
      <c r="E38" s="51" t="str">
        <f aca="false">IF($A38="","",INDEX('قيود اليومية'!$F$11:$F$1010,MATCH($A38,'قيود اليومية'!$O$11:$O$1010,0))&amp;"")</f>
        <v/>
      </c>
      <c r="F38" s="85" t="str">
        <f aca="false">IF($A38="","",INDEX('قيود اليومية'!$G$11:$G$1010,MATCH($A38,'قيود اليومية'!$O$11:$O$1010,0)))</f>
        <v/>
      </c>
      <c r="G38" s="85" t="str">
        <f aca="false">IF($A38="","",INDEX('قيود اليومية'!$H$11:$H$1010,MATCH($A38,'قيود اليومية'!$O$11:$O$1010,0)))</f>
        <v/>
      </c>
      <c r="H38" s="63" t="str">
        <f aca="false">IF($A38="","",N(H37)+IF($C$8&lt;&gt;"" ,IF(LEFT($C$8,4)="دائن",G38-F38,F38-G38),0))</f>
        <v/>
      </c>
    </row>
    <row r="39" customFormat="false" ht="15" hidden="false" customHeight="false" outlineLevel="0" collapsed="false">
      <c r="A39" s="82" t="str">
        <f aca="false">IF(ROW()-16&gt;COUNT('قيود اليومية'!$O$11:$O$1010),"",ROW()-16)</f>
        <v/>
      </c>
      <c r="B39" s="83" t="str">
        <f aca="false">IF($A39="","",INDEX('قيود اليومية'!$B$11:$B$1010,MATCH($A39,'قيود اليومية'!$O$11:$O$1010,0)))</f>
        <v/>
      </c>
      <c r="C39" s="84" t="str">
        <f aca="false">IF($A39="","",INDEX('قيود اليومية'!$A$11:$A$1010,MATCH($A39,'قيود اليومية'!$O$11:$O$1010,0)))</f>
        <v/>
      </c>
      <c r="D39" s="51" t="str">
        <f aca="false">IF($A39="","",INDEX('قيود اليومية'!$E$11:$E$1010,MATCH($A39,'قيود اليومية'!$O$11:$O$1010,0))&amp;"")</f>
        <v/>
      </c>
      <c r="E39" s="51" t="str">
        <f aca="false">IF($A39="","",INDEX('قيود اليومية'!$F$11:$F$1010,MATCH($A39,'قيود اليومية'!$O$11:$O$1010,0))&amp;"")</f>
        <v/>
      </c>
      <c r="F39" s="85" t="str">
        <f aca="false">IF($A39="","",INDEX('قيود اليومية'!$G$11:$G$1010,MATCH($A39,'قيود اليومية'!$O$11:$O$1010,0)))</f>
        <v/>
      </c>
      <c r="G39" s="85" t="str">
        <f aca="false">IF($A39="","",INDEX('قيود اليومية'!$H$11:$H$1010,MATCH($A39,'قيود اليومية'!$O$11:$O$1010,0)))</f>
        <v/>
      </c>
      <c r="H39" s="63" t="str">
        <f aca="false">IF($A39="","",N(H38)+IF($C$8&lt;&gt;"" ,IF(LEFT($C$8,4)="دائن",G39-F39,F39-G39),0))</f>
        <v/>
      </c>
    </row>
    <row r="40" customFormat="false" ht="15" hidden="false" customHeight="false" outlineLevel="0" collapsed="false">
      <c r="A40" s="82" t="str">
        <f aca="false">IF(ROW()-16&gt;COUNT('قيود اليومية'!$O$11:$O$1010),"",ROW()-16)</f>
        <v/>
      </c>
      <c r="B40" s="83" t="str">
        <f aca="false">IF($A40="","",INDEX('قيود اليومية'!$B$11:$B$1010,MATCH($A40,'قيود اليومية'!$O$11:$O$1010,0)))</f>
        <v/>
      </c>
      <c r="C40" s="84" t="str">
        <f aca="false">IF($A40="","",INDEX('قيود اليومية'!$A$11:$A$1010,MATCH($A40,'قيود اليومية'!$O$11:$O$1010,0)))</f>
        <v/>
      </c>
      <c r="D40" s="51" t="str">
        <f aca="false">IF($A40="","",INDEX('قيود اليومية'!$E$11:$E$1010,MATCH($A40,'قيود اليومية'!$O$11:$O$1010,0))&amp;"")</f>
        <v/>
      </c>
      <c r="E40" s="51" t="str">
        <f aca="false">IF($A40="","",INDEX('قيود اليومية'!$F$11:$F$1010,MATCH($A40,'قيود اليومية'!$O$11:$O$1010,0))&amp;"")</f>
        <v/>
      </c>
      <c r="F40" s="85" t="str">
        <f aca="false">IF($A40="","",INDEX('قيود اليومية'!$G$11:$G$1010,MATCH($A40,'قيود اليومية'!$O$11:$O$1010,0)))</f>
        <v/>
      </c>
      <c r="G40" s="85" t="str">
        <f aca="false">IF($A40="","",INDEX('قيود اليومية'!$H$11:$H$1010,MATCH($A40,'قيود اليومية'!$O$11:$O$1010,0)))</f>
        <v/>
      </c>
      <c r="H40" s="63" t="str">
        <f aca="false">IF($A40="","",N(H39)+IF($C$8&lt;&gt;"" ,IF(LEFT($C$8,4)="دائن",G40-F40,F40-G40),0))</f>
        <v/>
      </c>
    </row>
    <row r="41" customFormat="false" ht="15" hidden="false" customHeight="false" outlineLevel="0" collapsed="false">
      <c r="A41" s="82" t="str">
        <f aca="false">IF(ROW()-16&gt;COUNT('قيود اليومية'!$O$11:$O$1010),"",ROW()-16)</f>
        <v/>
      </c>
      <c r="B41" s="83" t="str">
        <f aca="false">IF($A41="","",INDEX('قيود اليومية'!$B$11:$B$1010,MATCH($A41,'قيود اليومية'!$O$11:$O$1010,0)))</f>
        <v/>
      </c>
      <c r="C41" s="84" t="str">
        <f aca="false">IF($A41="","",INDEX('قيود اليومية'!$A$11:$A$1010,MATCH($A41,'قيود اليومية'!$O$11:$O$1010,0)))</f>
        <v/>
      </c>
      <c r="D41" s="51" t="str">
        <f aca="false">IF($A41="","",INDEX('قيود اليومية'!$E$11:$E$1010,MATCH($A41,'قيود اليومية'!$O$11:$O$1010,0))&amp;"")</f>
        <v/>
      </c>
      <c r="E41" s="51" t="str">
        <f aca="false">IF($A41="","",INDEX('قيود اليومية'!$F$11:$F$1010,MATCH($A41,'قيود اليومية'!$O$11:$O$1010,0))&amp;"")</f>
        <v/>
      </c>
      <c r="F41" s="85" t="str">
        <f aca="false">IF($A41="","",INDEX('قيود اليومية'!$G$11:$G$1010,MATCH($A41,'قيود اليومية'!$O$11:$O$1010,0)))</f>
        <v/>
      </c>
      <c r="G41" s="85" t="str">
        <f aca="false">IF($A41="","",INDEX('قيود اليومية'!$H$11:$H$1010,MATCH($A41,'قيود اليومية'!$O$11:$O$1010,0)))</f>
        <v/>
      </c>
      <c r="H41" s="63" t="str">
        <f aca="false">IF($A41="","",N(H40)+IF($C$8&lt;&gt;"" ,IF(LEFT($C$8,4)="دائن",G41-F41,F41-G41),0))</f>
        <v/>
      </c>
    </row>
    <row r="42" customFormat="false" ht="15" hidden="false" customHeight="false" outlineLevel="0" collapsed="false">
      <c r="A42" s="82" t="str">
        <f aca="false">IF(ROW()-16&gt;COUNT('قيود اليومية'!$O$11:$O$1010),"",ROW()-16)</f>
        <v/>
      </c>
      <c r="B42" s="83" t="str">
        <f aca="false">IF($A42="","",INDEX('قيود اليومية'!$B$11:$B$1010,MATCH($A42,'قيود اليومية'!$O$11:$O$1010,0)))</f>
        <v/>
      </c>
      <c r="C42" s="84" t="str">
        <f aca="false">IF($A42="","",INDEX('قيود اليومية'!$A$11:$A$1010,MATCH($A42,'قيود اليومية'!$O$11:$O$1010,0)))</f>
        <v/>
      </c>
      <c r="D42" s="51" t="str">
        <f aca="false">IF($A42="","",INDEX('قيود اليومية'!$E$11:$E$1010,MATCH($A42,'قيود اليومية'!$O$11:$O$1010,0))&amp;"")</f>
        <v/>
      </c>
      <c r="E42" s="51" t="str">
        <f aca="false">IF($A42="","",INDEX('قيود اليومية'!$F$11:$F$1010,MATCH($A42,'قيود اليومية'!$O$11:$O$1010,0))&amp;"")</f>
        <v/>
      </c>
      <c r="F42" s="85" t="str">
        <f aca="false">IF($A42="","",INDEX('قيود اليومية'!$G$11:$G$1010,MATCH($A42,'قيود اليومية'!$O$11:$O$1010,0)))</f>
        <v/>
      </c>
      <c r="G42" s="85" t="str">
        <f aca="false">IF($A42="","",INDEX('قيود اليومية'!$H$11:$H$1010,MATCH($A42,'قيود اليومية'!$O$11:$O$1010,0)))</f>
        <v/>
      </c>
      <c r="H42" s="63" t="str">
        <f aca="false">IF($A42="","",N(H41)+IF($C$8&lt;&gt;"" ,IF(LEFT($C$8,4)="دائن",G42-F42,F42-G42),0))</f>
        <v/>
      </c>
    </row>
    <row r="43" customFormat="false" ht="15" hidden="false" customHeight="false" outlineLevel="0" collapsed="false">
      <c r="A43" s="82" t="str">
        <f aca="false">IF(ROW()-16&gt;COUNT('قيود اليومية'!$O$11:$O$1010),"",ROW()-16)</f>
        <v/>
      </c>
      <c r="B43" s="83" t="str">
        <f aca="false">IF($A43="","",INDEX('قيود اليومية'!$B$11:$B$1010,MATCH($A43,'قيود اليومية'!$O$11:$O$1010,0)))</f>
        <v/>
      </c>
      <c r="C43" s="84" t="str">
        <f aca="false">IF($A43="","",INDEX('قيود اليومية'!$A$11:$A$1010,MATCH($A43,'قيود اليومية'!$O$11:$O$1010,0)))</f>
        <v/>
      </c>
      <c r="D43" s="51" t="str">
        <f aca="false">IF($A43="","",INDEX('قيود اليومية'!$E$11:$E$1010,MATCH($A43,'قيود اليومية'!$O$11:$O$1010,0))&amp;"")</f>
        <v/>
      </c>
      <c r="E43" s="51" t="str">
        <f aca="false">IF($A43="","",INDEX('قيود اليومية'!$F$11:$F$1010,MATCH($A43,'قيود اليومية'!$O$11:$O$1010,0))&amp;"")</f>
        <v/>
      </c>
      <c r="F43" s="85" t="str">
        <f aca="false">IF($A43="","",INDEX('قيود اليومية'!$G$11:$G$1010,MATCH($A43,'قيود اليومية'!$O$11:$O$1010,0)))</f>
        <v/>
      </c>
      <c r="G43" s="85" t="str">
        <f aca="false">IF($A43="","",INDEX('قيود اليومية'!$H$11:$H$1010,MATCH($A43,'قيود اليومية'!$O$11:$O$1010,0)))</f>
        <v/>
      </c>
      <c r="H43" s="63" t="str">
        <f aca="false">IF($A43="","",N(H42)+IF($C$8&lt;&gt;"" ,IF(LEFT($C$8,4)="دائن",G43-F43,F43-G43),0))</f>
        <v/>
      </c>
    </row>
    <row r="44" customFormat="false" ht="15" hidden="false" customHeight="false" outlineLevel="0" collapsed="false">
      <c r="A44" s="82" t="str">
        <f aca="false">IF(ROW()-16&gt;COUNT('قيود اليومية'!$O$11:$O$1010),"",ROW()-16)</f>
        <v/>
      </c>
      <c r="B44" s="83" t="str">
        <f aca="false">IF($A44="","",INDEX('قيود اليومية'!$B$11:$B$1010,MATCH($A44,'قيود اليومية'!$O$11:$O$1010,0)))</f>
        <v/>
      </c>
      <c r="C44" s="84" t="str">
        <f aca="false">IF($A44="","",INDEX('قيود اليومية'!$A$11:$A$1010,MATCH($A44,'قيود اليومية'!$O$11:$O$1010,0)))</f>
        <v/>
      </c>
      <c r="D44" s="51" t="str">
        <f aca="false">IF($A44="","",INDEX('قيود اليومية'!$E$11:$E$1010,MATCH($A44,'قيود اليومية'!$O$11:$O$1010,0))&amp;"")</f>
        <v/>
      </c>
      <c r="E44" s="51" t="str">
        <f aca="false">IF($A44="","",INDEX('قيود اليومية'!$F$11:$F$1010,MATCH($A44,'قيود اليومية'!$O$11:$O$1010,0))&amp;"")</f>
        <v/>
      </c>
      <c r="F44" s="85" t="str">
        <f aca="false">IF($A44="","",INDEX('قيود اليومية'!$G$11:$G$1010,MATCH($A44,'قيود اليومية'!$O$11:$O$1010,0)))</f>
        <v/>
      </c>
      <c r="G44" s="85" t="str">
        <f aca="false">IF($A44="","",INDEX('قيود اليومية'!$H$11:$H$1010,MATCH($A44,'قيود اليومية'!$O$11:$O$1010,0)))</f>
        <v/>
      </c>
      <c r="H44" s="63" t="str">
        <f aca="false">IF($A44="","",N(H43)+IF($C$8&lt;&gt;"" ,IF(LEFT($C$8,4)="دائن",G44-F44,F44-G44),0))</f>
        <v/>
      </c>
    </row>
    <row r="45" customFormat="false" ht="15" hidden="false" customHeight="false" outlineLevel="0" collapsed="false">
      <c r="A45" s="82" t="str">
        <f aca="false">IF(ROW()-16&gt;COUNT('قيود اليومية'!$O$11:$O$1010),"",ROW()-16)</f>
        <v/>
      </c>
      <c r="B45" s="83" t="str">
        <f aca="false">IF($A45="","",INDEX('قيود اليومية'!$B$11:$B$1010,MATCH($A45,'قيود اليومية'!$O$11:$O$1010,0)))</f>
        <v/>
      </c>
      <c r="C45" s="84" t="str">
        <f aca="false">IF($A45="","",INDEX('قيود اليومية'!$A$11:$A$1010,MATCH($A45,'قيود اليومية'!$O$11:$O$1010,0)))</f>
        <v/>
      </c>
      <c r="D45" s="51" t="str">
        <f aca="false">IF($A45="","",INDEX('قيود اليومية'!$E$11:$E$1010,MATCH($A45,'قيود اليومية'!$O$11:$O$1010,0))&amp;"")</f>
        <v/>
      </c>
      <c r="E45" s="51" t="str">
        <f aca="false">IF($A45="","",INDEX('قيود اليومية'!$F$11:$F$1010,MATCH($A45,'قيود اليومية'!$O$11:$O$1010,0))&amp;"")</f>
        <v/>
      </c>
      <c r="F45" s="85" t="str">
        <f aca="false">IF($A45="","",INDEX('قيود اليومية'!$G$11:$G$1010,MATCH($A45,'قيود اليومية'!$O$11:$O$1010,0)))</f>
        <v/>
      </c>
      <c r="G45" s="85" t="str">
        <f aca="false">IF($A45="","",INDEX('قيود اليومية'!$H$11:$H$1010,MATCH($A45,'قيود اليومية'!$O$11:$O$1010,0)))</f>
        <v/>
      </c>
      <c r="H45" s="63" t="str">
        <f aca="false">IF($A45="","",N(H44)+IF($C$8&lt;&gt;"" ,IF(LEFT($C$8,4)="دائن",G45-F45,F45-G45),0))</f>
        <v/>
      </c>
    </row>
    <row r="46" customFormat="false" ht="15" hidden="false" customHeight="false" outlineLevel="0" collapsed="false">
      <c r="A46" s="82" t="str">
        <f aca="false">IF(ROW()-16&gt;COUNT('قيود اليومية'!$O$11:$O$1010),"",ROW()-16)</f>
        <v/>
      </c>
      <c r="B46" s="83" t="str">
        <f aca="false">IF($A46="","",INDEX('قيود اليومية'!$B$11:$B$1010,MATCH($A46,'قيود اليومية'!$O$11:$O$1010,0)))</f>
        <v/>
      </c>
      <c r="C46" s="84" t="str">
        <f aca="false">IF($A46="","",INDEX('قيود اليومية'!$A$11:$A$1010,MATCH($A46,'قيود اليومية'!$O$11:$O$1010,0)))</f>
        <v/>
      </c>
      <c r="D46" s="51" t="str">
        <f aca="false">IF($A46="","",INDEX('قيود اليومية'!$E$11:$E$1010,MATCH($A46,'قيود اليومية'!$O$11:$O$1010,0))&amp;"")</f>
        <v/>
      </c>
      <c r="E46" s="51" t="str">
        <f aca="false">IF($A46="","",INDEX('قيود اليومية'!$F$11:$F$1010,MATCH($A46,'قيود اليومية'!$O$11:$O$1010,0))&amp;"")</f>
        <v/>
      </c>
      <c r="F46" s="85" t="str">
        <f aca="false">IF($A46="","",INDEX('قيود اليومية'!$G$11:$G$1010,MATCH($A46,'قيود اليومية'!$O$11:$O$1010,0)))</f>
        <v/>
      </c>
      <c r="G46" s="85" t="str">
        <f aca="false">IF($A46="","",INDEX('قيود اليومية'!$H$11:$H$1010,MATCH($A46,'قيود اليومية'!$O$11:$O$1010,0)))</f>
        <v/>
      </c>
      <c r="H46" s="63" t="str">
        <f aca="false">IF($A46="","",N(H45)+IF($C$8&lt;&gt;"" ,IF(LEFT($C$8,4)="دائن",G46-F46,F46-G46),0))</f>
        <v/>
      </c>
    </row>
    <row r="47" customFormat="false" ht="15" hidden="false" customHeight="false" outlineLevel="0" collapsed="false">
      <c r="A47" s="82" t="str">
        <f aca="false">IF(ROW()-16&gt;COUNT('قيود اليومية'!$O$11:$O$1010),"",ROW()-16)</f>
        <v/>
      </c>
      <c r="B47" s="83" t="str">
        <f aca="false">IF($A47="","",INDEX('قيود اليومية'!$B$11:$B$1010,MATCH($A47,'قيود اليومية'!$O$11:$O$1010,0)))</f>
        <v/>
      </c>
      <c r="C47" s="84" t="str">
        <f aca="false">IF($A47="","",INDEX('قيود اليومية'!$A$11:$A$1010,MATCH($A47,'قيود اليومية'!$O$11:$O$1010,0)))</f>
        <v/>
      </c>
      <c r="D47" s="51" t="str">
        <f aca="false">IF($A47="","",INDEX('قيود اليومية'!$E$11:$E$1010,MATCH($A47,'قيود اليومية'!$O$11:$O$1010,0))&amp;"")</f>
        <v/>
      </c>
      <c r="E47" s="51" t="str">
        <f aca="false">IF($A47="","",INDEX('قيود اليومية'!$F$11:$F$1010,MATCH($A47,'قيود اليومية'!$O$11:$O$1010,0))&amp;"")</f>
        <v/>
      </c>
      <c r="F47" s="85" t="str">
        <f aca="false">IF($A47="","",INDEX('قيود اليومية'!$G$11:$G$1010,MATCH($A47,'قيود اليومية'!$O$11:$O$1010,0)))</f>
        <v/>
      </c>
      <c r="G47" s="85" t="str">
        <f aca="false">IF($A47="","",INDEX('قيود اليومية'!$H$11:$H$1010,MATCH($A47,'قيود اليومية'!$O$11:$O$1010,0)))</f>
        <v/>
      </c>
      <c r="H47" s="63" t="str">
        <f aca="false">IF($A47="","",N(H46)+IF($C$8&lt;&gt;"" ,IF(LEFT($C$8,4)="دائن",G47-F47,F47-G47),0))</f>
        <v/>
      </c>
    </row>
    <row r="48" customFormat="false" ht="15" hidden="false" customHeight="false" outlineLevel="0" collapsed="false">
      <c r="A48" s="82" t="str">
        <f aca="false">IF(ROW()-16&gt;COUNT('قيود اليومية'!$O$11:$O$1010),"",ROW()-16)</f>
        <v/>
      </c>
      <c r="B48" s="83" t="str">
        <f aca="false">IF($A48="","",INDEX('قيود اليومية'!$B$11:$B$1010,MATCH($A48,'قيود اليومية'!$O$11:$O$1010,0)))</f>
        <v/>
      </c>
      <c r="C48" s="84" t="str">
        <f aca="false">IF($A48="","",INDEX('قيود اليومية'!$A$11:$A$1010,MATCH($A48,'قيود اليومية'!$O$11:$O$1010,0)))</f>
        <v/>
      </c>
      <c r="D48" s="51" t="str">
        <f aca="false">IF($A48="","",INDEX('قيود اليومية'!$E$11:$E$1010,MATCH($A48,'قيود اليومية'!$O$11:$O$1010,0))&amp;"")</f>
        <v/>
      </c>
      <c r="E48" s="51" t="str">
        <f aca="false">IF($A48="","",INDEX('قيود اليومية'!$F$11:$F$1010,MATCH($A48,'قيود اليومية'!$O$11:$O$1010,0))&amp;"")</f>
        <v/>
      </c>
      <c r="F48" s="85" t="str">
        <f aca="false">IF($A48="","",INDEX('قيود اليومية'!$G$11:$G$1010,MATCH($A48,'قيود اليومية'!$O$11:$O$1010,0)))</f>
        <v/>
      </c>
      <c r="G48" s="85" t="str">
        <f aca="false">IF($A48="","",INDEX('قيود اليومية'!$H$11:$H$1010,MATCH($A48,'قيود اليومية'!$O$11:$O$1010,0)))</f>
        <v/>
      </c>
      <c r="H48" s="63" t="str">
        <f aca="false">IF($A48="","",N(H47)+IF($C$8&lt;&gt;"" ,IF(LEFT($C$8,4)="دائن",G48-F48,F48-G48),0))</f>
        <v/>
      </c>
    </row>
    <row r="49" customFormat="false" ht="15" hidden="false" customHeight="false" outlineLevel="0" collapsed="false">
      <c r="A49" s="82" t="str">
        <f aca="false">IF(ROW()-16&gt;COUNT('قيود اليومية'!$O$11:$O$1010),"",ROW()-16)</f>
        <v/>
      </c>
      <c r="B49" s="83" t="str">
        <f aca="false">IF($A49="","",INDEX('قيود اليومية'!$B$11:$B$1010,MATCH($A49,'قيود اليومية'!$O$11:$O$1010,0)))</f>
        <v/>
      </c>
      <c r="C49" s="84" t="str">
        <f aca="false">IF($A49="","",INDEX('قيود اليومية'!$A$11:$A$1010,MATCH($A49,'قيود اليومية'!$O$11:$O$1010,0)))</f>
        <v/>
      </c>
      <c r="D49" s="51" t="str">
        <f aca="false">IF($A49="","",INDEX('قيود اليومية'!$E$11:$E$1010,MATCH($A49,'قيود اليومية'!$O$11:$O$1010,0))&amp;"")</f>
        <v/>
      </c>
      <c r="E49" s="51" t="str">
        <f aca="false">IF($A49="","",INDEX('قيود اليومية'!$F$11:$F$1010,MATCH($A49,'قيود اليومية'!$O$11:$O$1010,0))&amp;"")</f>
        <v/>
      </c>
      <c r="F49" s="85" t="str">
        <f aca="false">IF($A49="","",INDEX('قيود اليومية'!$G$11:$G$1010,MATCH($A49,'قيود اليومية'!$O$11:$O$1010,0)))</f>
        <v/>
      </c>
      <c r="G49" s="85" t="str">
        <f aca="false">IF($A49="","",INDEX('قيود اليومية'!$H$11:$H$1010,MATCH($A49,'قيود اليومية'!$O$11:$O$1010,0)))</f>
        <v/>
      </c>
      <c r="H49" s="63" t="str">
        <f aca="false">IF($A49="","",N(H48)+IF($C$8&lt;&gt;"" ,IF(LEFT($C$8,4)="دائن",G49-F49,F49-G49),0))</f>
        <v/>
      </c>
    </row>
    <row r="50" customFormat="false" ht="15" hidden="false" customHeight="false" outlineLevel="0" collapsed="false">
      <c r="A50" s="82" t="str">
        <f aca="false">IF(ROW()-16&gt;COUNT('قيود اليومية'!$O$11:$O$1010),"",ROW()-16)</f>
        <v/>
      </c>
      <c r="B50" s="83" t="str">
        <f aca="false">IF($A50="","",INDEX('قيود اليومية'!$B$11:$B$1010,MATCH($A50,'قيود اليومية'!$O$11:$O$1010,0)))</f>
        <v/>
      </c>
      <c r="C50" s="84" t="str">
        <f aca="false">IF($A50="","",INDEX('قيود اليومية'!$A$11:$A$1010,MATCH($A50,'قيود اليومية'!$O$11:$O$1010,0)))</f>
        <v/>
      </c>
      <c r="D50" s="51" t="str">
        <f aca="false">IF($A50="","",INDEX('قيود اليومية'!$E$11:$E$1010,MATCH($A50,'قيود اليومية'!$O$11:$O$1010,0))&amp;"")</f>
        <v/>
      </c>
      <c r="E50" s="51" t="str">
        <f aca="false">IF($A50="","",INDEX('قيود اليومية'!$F$11:$F$1010,MATCH($A50,'قيود اليومية'!$O$11:$O$1010,0))&amp;"")</f>
        <v/>
      </c>
      <c r="F50" s="85" t="str">
        <f aca="false">IF($A50="","",INDEX('قيود اليومية'!$G$11:$G$1010,MATCH($A50,'قيود اليومية'!$O$11:$O$1010,0)))</f>
        <v/>
      </c>
      <c r="G50" s="85" t="str">
        <f aca="false">IF($A50="","",INDEX('قيود اليومية'!$H$11:$H$1010,MATCH($A50,'قيود اليومية'!$O$11:$O$1010,0)))</f>
        <v/>
      </c>
      <c r="H50" s="63" t="str">
        <f aca="false">IF($A50="","",N(H49)+IF($C$8&lt;&gt;"" ,IF(LEFT($C$8,4)="دائن",G50-F50,F50-G50),0))</f>
        <v/>
      </c>
    </row>
    <row r="51" customFormat="false" ht="15" hidden="false" customHeight="false" outlineLevel="0" collapsed="false">
      <c r="A51" s="82" t="str">
        <f aca="false">IF(ROW()-16&gt;COUNT('قيود اليومية'!$O$11:$O$1010),"",ROW()-16)</f>
        <v/>
      </c>
      <c r="B51" s="83" t="str">
        <f aca="false">IF($A51="","",INDEX('قيود اليومية'!$B$11:$B$1010,MATCH($A51,'قيود اليومية'!$O$11:$O$1010,0)))</f>
        <v/>
      </c>
      <c r="C51" s="84" t="str">
        <f aca="false">IF($A51="","",INDEX('قيود اليومية'!$A$11:$A$1010,MATCH($A51,'قيود اليومية'!$O$11:$O$1010,0)))</f>
        <v/>
      </c>
      <c r="D51" s="51" t="str">
        <f aca="false">IF($A51="","",INDEX('قيود اليومية'!$E$11:$E$1010,MATCH($A51,'قيود اليومية'!$O$11:$O$1010,0))&amp;"")</f>
        <v/>
      </c>
      <c r="E51" s="51" t="str">
        <f aca="false">IF($A51="","",INDEX('قيود اليومية'!$F$11:$F$1010,MATCH($A51,'قيود اليومية'!$O$11:$O$1010,0))&amp;"")</f>
        <v/>
      </c>
      <c r="F51" s="85" t="str">
        <f aca="false">IF($A51="","",INDEX('قيود اليومية'!$G$11:$G$1010,MATCH($A51,'قيود اليومية'!$O$11:$O$1010,0)))</f>
        <v/>
      </c>
      <c r="G51" s="85" t="str">
        <f aca="false">IF($A51="","",INDEX('قيود اليومية'!$H$11:$H$1010,MATCH($A51,'قيود اليومية'!$O$11:$O$1010,0)))</f>
        <v/>
      </c>
      <c r="H51" s="63" t="str">
        <f aca="false">IF($A51="","",N(H50)+IF($C$8&lt;&gt;"" ,IF(LEFT($C$8,4)="دائن",G51-F51,F51-G51),0))</f>
        <v/>
      </c>
    </row>
    <row r="52" customFormat="false" ht="15" hidden="false" customHeight="false" outlineLevel="0" collapsed="false">
      <c r="A52" s="82" t="str">
        <f aca="false">IF(ROW()-16&gt;COUNT('قيود اليومية'!$O$11:$O$1010),"",ROW()-16)</f>
        <v/>
      </c>
      <c r="B52" s="83" t="str">
        <f aca="false">IF($A52="","",INDEX('قيود اليومية'!$B$11:$B$1010,MATCH($A52,'قيود اليومية'!$O$11:$O$1010,0)))</f>
        <v/>
      </c>
      <c r="C52" s="84" t="str">
        <f aca="false">IF($A52="","",INDEX('قيود اليومية'!$A$11:$A$1010,MATCH($A52,'قيود اليومية'!$O$11:$O$1010,0)))</f>
        <v/>
      </c>
      <c r="D52" s="51" t="str">
        <f aca="false">IF($A52="","",INDEX('قيود اليومية'!$E$11:$E$1010,MATCH($A52,'قيود اليومية'!$O$11:$O$1010,0))&amp;"")</f>
        <v/>
      </c>
      <c r="E52" s="51" t="str">
        <f aca="false">IF($A52="","",INDEX('قيود اليومية'!$F$11:$F$1010,MATCH($A52,'قيود اليومية'!$O$11:$O$1010,0))&amp;"")</f>
        <v/>
      </c>
      <c r="F52" s="85" t="str">
        <f aca="false">IF($A52="","",INDEX('قيود اليومية'!$G$11:$G$1010,MATCH($A52,'قيود اليومية'!$O$11:$O$1010,0)))</f>
        <v/>
      </c>
      <c r="G52" s="85" t="str">
        <f aca="false">IF($A52="","",INDEX('قيود اليومية'!$H$11:$H$1010,MATCH($A52,'قيود اليومية'!$O$11:$O$1010,0)))</f>
        <v/>
      </c>
      <c r="H52" s="63" t="str">
        <f aca="false">IF($A52="","",N(H51)+IF($C$8&lt;&gt;"" ,IF(LEFT($C$8,4)="دائن",G52-F52,F52-G52),0))</f>
        <v/>
      </c>
    </row>
    <row r="53" customFormat="false" ht="15" hidden="false" customHeight="false" outlineLevel="0" collapsed="false">
      <c r="A53" s="82" t="str">
        <f aca="false">IF(ROW()-16&gt;COUNT('قيود اليومية'!$O$11:$O$1010),"",ROW()-16)</f>
        <v/>
      </c>
      <c r="B53" s="83" t="str">
        <f aca="false">IF($A53="","",INDEX('قيود اليومية'!$B$11:$B$1010,MATCH($A53,'قيود اليومية'!$O$11:$O$1010,0)))</f>
        <v/>
      </c>
      <c r="C53" s="84" t="str">
        <f aca="false">IF($A53="","",INDEX('قيود اليومية'!$A$11:$A$1010,MATCH($A53,'قيود اليومية'!$O$11:$O$1010,0)))</f>
        <v/>
      </c>
      <c r="D53" s="51" t="str">
        <f aca="false">IF($A53="","",INDEX('قيود اليومية'!$E$11:$E$1010,MATCH($A53,'قيود اليومية'!$O$11:$O$1010,0))&amp;"")</f>
        <v/>
      </c>
      <c r="E53" s="51" t="str">
        <f aca="false">IF($A53="","",INDEX('قيود اليومية'!$F$11:$F$1010,MATCH($A53,'قيود اليومية'!$O$11:$O$1010,0))&amp;"")</f>
        <v/>
      </c>
      <c r="F53" s="85" t="str">
        <f aca="false">IF($A53="","",INDEX('قيود اليومية'!$G$11:$G$1010,MATCH($A53,'قيود اليومية'!$O$11:$O$1010,0)))</f>
        <v/>
      </c>
      <c r="G53" s="85" t="str">
        <f aca="false">IF($A53="","",INDEX('قيود اليومية'!$H$11:$H$1010,MATCH($A53,'قيود اليومية'!$O$11:$O$1010,0)))</f>
        <v/>
      </c>
      <c r="H53" s="63" t="str">
        <f aca="false">IF($A53="","",N(H52)+IF($C$8&lt;&gt;"" ,IF(LEFT($C$8,4)="دائن",G53-F53,F53-G53),0))</f>
        <v/>
      </c>
    </row>
    <row r="54" customFormat="false" ht="15" hidden="false" customHeight="false" outlineLevel="0" collapsed="false">
      <c r="A54" s="82" t="str">
        <f aca="false">IF(ROW()-16&gt;COUNT('قيود اليومية'!$O$11:$O$1010),"",ROW()-16)</f>
        <v/>
      </c>
      <c r="B54" s="83" t="str">
        <f aca="false">IF($A54="","",INDEX('قيود اليومية'!$B$11:$B$1010,MATCH($A54,'قيود اليومية'!$O$11:$O$1010,0)))</f>
        <v/>
      </c>
      <c r="C54" s="84" t="str">
        <f aca="false">IF($A54="","",INDEX('قيود اليومية'!$A$11:$A$1010,MATCH($A54,'قيود اليومية'!$O$11:$O$1010,0)))</f>
        <v/>
      </c>
      <c r="D54" s="51" t="str">
        <f aca="false">IF($A54="","",INDEX('قيود اليومية'!$E$11:$E$1010,MATCH($A54,'قيود اليومية'!$O$11:$O$1010,0))&amp;"")</f>
        <v/>
      </c>
      <c r="E54" s="51" t="str">
        <f aca="false">IF($A54="","",INDEX('قيود اليومية'!$F$11:$F$1010,MATCH($A54,'قيود اليومية'!$O$11:$O$1010,0))&amp;"")</f>
        <v/>
      </c>
      <c r="F54" s="85" t="str">
        <f aca="false">IF($A54="","",INDEX('قيود اليومية'!$G$11:$G$1010,MATCH($A54,'قيود اليومية'!$O$11:$O$1010,0)))</f>
        <v/>
      </c>
      <c r="G54" s="85" t="str">
        <f aca="false">IF($A54="","",INDEX('قيود اليومية'!$H$11:$H$1010,MATCH($A54,'قيود اليومية'!$O$11:$O$1010,0)))</f>
        <v/>
      </c>
      <c r="H54" s="63" t="str">
        <f aca="false">IF($A54="","",N(H53)+IF($C$8&lt;&gt;"" ,IF(LEFT($C$8,4)="دائن",G54-F54,F54-G54),0))</f>
        <v/>
      </c>
    </row>
    <row r="55" customFormat="false" ht="15" hidden="false" customHeight="false" outlineLevel="0" collapsed="false">
      <c r="A55" s="82" t="str">
        <f aca="false">IF(ROW()-16&gt;COUNT('قيود اليومية'!$O$11:$O$1010),"",ROW()-16)</f>
        <v/>
      </c>
      <c r="B55" s="83" t="str">
        <f aca="false">IF($A55="","",INDEX('قيود اليومية'!$B$11:$B$1010,MATCH($A55,'قيود اليومية'!$O$11:$O$1010,0)))</f>
        <v/>
      </c>
      <c r="C55" s="84" t="str">
        <f aca="false">IF($A55="","",INDEX('قيود اليومية'!$A$11:$A$1010,MATCH($A55,'قيود اليومية'!$O$11:$O$1010,0)))</f>
        <v/>
      </c>
      <c r="D55" s="51" t="str">
        <f aca="false">IF($A55="","",INDEX('قيود اليومية'!$E$11:$E$1010,MATCH($A55,'قيود اليومية'!$O$11:$O$1010,0))&amp;"")</f>
        <v/>
      </c>
      <c r="E55" s="51" t="str">
        <f aca="false">IF($A55="","",INDEX('قيود اليومية'!$F$11:$F$1010,MATCH($A55,'قيود اليومية'!$O$11:$O$1010,0))&amp;"")</f>
        <v/>
      </c>
      <c r="F55" s="85" t="str">
        <f aca="false">IF($A55="","",INDEX('قيود اليومية'!$G$11:$G$1010,MATCH($A55,'قيود اليومية'!$O$11:$O$1010,0)))</f>
        <v/>
      </c>
      <c r="G55" s="85" t="str">
        <f aca="false">IF($A55="","",INDEX('قيود اليومية'!$H$11:$H$1010,MATCH($A55,'قيود اليومية'!$O$11:$O$1010,0)))</f>
        <v/>
      </c>
      <c r="H55" s="63" t="str">
        <f aca="false">IF($A55="","",N(H54)+IF($C$8&lt;&gt;"" ,IF(LEFT($C$8,4)="دائن",G55-F55,F55-G55),0))</f>
        <v/>
      </c>
    </row>
    <row r="56" customFormat="false" ht="15" hidden="false" customHeight="false" outlineLevel="0" collapsed="false">
      <c r="A56" s="82" t="str">
        <f aca="false">IF(ROW()-16&gt;COUNT('قيود اليومية'!$O$11:$O$1010),"",ROW()-16)</f>
        <v/>
      </c>
      <c r="B56" s="83" t="str">
        <f aca="false">IF($A56="","",INDEX('قيود اليومية'!$B$11:$B$1010,MATCH($A56,'قيود اليومية'!$O$11:$O$1010,0)))</f>
        <v/>
      </c>
      <c r="C56" s="84" t="str">
        <f aca="false">IF($A56="","",INDEX('قيود اليومية'!$A$11:$A$1010,MATCH($A56,'قيود اليومية'!$O$11:$O$1010,0)))</f>
        <v/>
      </c>
      <c r="D56" s="51" t="str">
        <f aca="false">IF($A56="","",INDEX('قيود اليومية'!$E$11:$E$1010,MATCH($A56,'قيود اليومية'!$O$11:$O$1010,0))&amp;"")</f>
        <v/>
      </c>
      <c r="E56" s="51" t="str">
        <f aca="false">IF($A56="","",INDEX('قيود اليومية'!$F$11:$F$1010,MATCH($A56,'قيود اليومية'!$O$11:$O$1010,0))&amp;"")</f>
        <v/>
      </c>
      <c r="F56" s="85" t="str">
        <f aca="false">IF($A56="","",INDEX('قيود اليومية'!$G$11:$G$1010,MATCH($A56,'قيود اليومية'!$O$11:$O$1010,0)))</f>
        <v/>
      </c>
      <c r="G56" s="85" t="str">
        <f aca="false">IF($A56="","",INDEX('قيود اليومية'!$H$11:$H$1010,MATCH($A56,'قيود اليومية'!$O$11:$O$1010,0)))</f>
        <v/>
      </c>
      <c r="H56" s="63" t="str">
        <f aca="false">IF($A56="","",N(H55)+IF($C$8&lt;&gt;"" ,IF(LEFT($C$8,4)="دائن",G56-F56,F56-G56),0))</f>
        <v/>
      </c>
    </row>
    <row r="57" customFormat="false" ht="15" hidden="false" customHeight="false" outlineLevel="0" collapsed="false">
      <c r="A57" s="82" t="str">
        <f aca="false">IF(ROW()-16&gt;COUNT('قيود اليومية'!$O$11:$O$1010),"",ROW()-16)</f>
        <v/>
      </c>
      <c r="B57" s="83" t="str">
        <f aca="false">IF($A57="","",INDEX('قيود اليومية'!$B$11:$B$1010,MATCH($A57,'قيود اليومية'!$O$11:$O$1010,0)))</f>
        <v/>
      </c>
      <c r="C57" s="84" t="str">
        <f aca="false">IF($A57="","",INDEX('قيود اليومية'!$A$11:$A$1010,MATCH($A57,'قيود اليومية'!$O$11:$O$1010,0)))</f>
        <v/>
      </c>
      <c r="D57" s="51" t="str">
        <f aca="false">IF($A57="","",INDEX('قيود اليومية'!$E$11:$E$1010,MATCH($A57,'قيود اليومية'!$O$11:$O$1010,0))&amp;"")</f>
        <v/>
      </c>
      <c r="E57" s="51" t="str">
        <f aca="false">IF($A57="","",INDEX('قيود اليومية'!$F$11:$F$1010,MATCH($A57,'قيود اليومية'!$O$11:$O$1010,0))&amp;"")</f>
        <v/>
      </c>
      <c r="F57" s="85" t="str">
        <f aca="false">IF($A57="","",INDEX('قيود اليومية'!$G$11:$G$1010,MATCH($A57,'قيود اليومية'!$O$11:$O$1010,0)))</f>
        <v/>
      </c>
      <c r="G57" s="85" t="str">
        <f aca="false">IF($A57="","",INDEX('قيود اليومية'!$H$11:$H$1010,MATCH($A57,'قيود اليومية'!$O$11:$O$1010,0)))</f>
        <v/>
      </c>
      <c r="H57" s="63" t="str">
        <f aca="false">IF($A57="","",N(H56)+IF($C$8&lt;&gt;"" ,IF(LEFT($C$8,4)="دائن",G57-F57,F57-G57),0))</f>
        <v/>
      </c>
    </row>
    <row r="58" customFormat="false" ht="15" hidden="false" customHeight="false" outlineLevel="0" collapsed="false">
      <c r="A58" s="82" t="str">
        <f aca="false">IF(ROW()-16&gt;COUNT('قيود اليومية'!$O$11:$O$1010),"",ROW()-16)</f>
        <v/>
      </c>
      <c r="B58" s="83" t="str">
        <f aca="false">IF($A58="","",INDEX('قيود اليومية'!$B$11:$B$1010,MATCH($A58,'قيود اليومية'!$O$11:$O$1010,0)))</f>
        <v/>
      </c>
      <c r="C58" s="84" t="str">
        <f aca="false">IF($A58="","",INDEX('قيود اليومية'!$A$11:$A$1010,MATCH($A58,'قيود اليومية'!$O$11:$O$1010,0)))</f>
        <v/>
      </c>
      <c r="D58" s="51" t="str">
        <f aca="false">IF($A58="","",INDEX('قيود اليومية'!$E$11:$E$1010,MATCH($A58,'قيود اليومية'!$O$11:$O$1010,0))&amp;"")</f>
        <v/>
      </c>
      <c r="E58" s="51" t="str">
        <f aca="false">IF($A58="","",INDEX('قيود اليومية'!$F$11:$F$1010,MATCH($A58,'قيود اليومية'!$O$11:$O$1010,0))&amp;"")</f>
        <v/>
      </c>
      <c r="F58" s="85" t="str">
        <f aca="false">IF($A58="","",INDEX('قيود اليومية'!$G$11:$G$1010,MATCH($A58,'قيود اليومية'!$O$11:$O$1010,0)))</f>
        <v/>
      </c>
      <c r="G58" s="85" t="str">
        <f aca="false">IF($A58="","",INDEX('قيود اليومية'!$H$11:$H$1010,MATCH($A58,'قيود اليومية'!$O$11:$O$1010,0)))</f>
        <v/>
      </c>
      <c r="H58" s="63" t="str">
        <f aca="false">IF($A58="","",N(H57)+IF($C$8&lt;&gt;"" ,IF(LEFT($C$8,4)="دائن",G58-F58,F58-G58),0))</f>
        <v/>
      </c>
    </row>
    <row r="59" customFormat="false" ht="15" hidden="false" customHeight="false" outlineLevel="0" collapsed="false">
      <c r="A59" s="82" t="str">
        <f aca="false">IF(ROW()-16&gt;COUNT('قيود اليومية'!$O$11:$O$1010),"",ROW()-16)</f>
        <v/>
      </c>
      <c r="B59" s="83" t="str">
        <f aca="false">IF($A59="","",INDEX('قيود اليومية'!$B$11:$B$1010,MATCH($A59,'قيود اليومية'!$O$11:$O$1010,0)))</f>
        <v/>
      </c>
      <c r="C59" s="84" t="str">
        <f aca="false">IF($A59="","",INDEX('قيود اليومية'!$A$11:$A$1010,MATCH($A59,'قيود اليومية'!$O$11:$O$1010,0)))</f>
        <v/>
      </c>
      <c r="D59" s="51" t="str">
        <f aca="false">IF($A59="","",INDEX('قيود اليومية'!$E$11:$E$1010,MATCH($A59,'قيود اليومية'!$O$11:$O$1010,0))&amp;"")</f>
        <v/>
      </c>
      <c r="E59" s="51" t="str">
        <f aca="false">IF($A59="","",INDEX('قيود اليومية'!$F$11:$F$1010,MATCH($A59,'قيود اليومية'!$O$11:$O$1010,0))&amp;"")</f>
        <v/>
      </c>
      <c r="F59" s="85" t="str">
        <f aca="false">IF($A59="","",INDEX('قيود اليومية'!$G$11:$G$1010,MATCH($A59,'قيود اليومية'!$O$11:$O$1010,0)))</f>
        <v/>
      </c>
      <c r="G59" s="85" t="str">
        <f aca="false">IF($A59="","",INDEX('قيود اليومية'!$H$11:$H$1010,MATCH($A59,'قيود اليومية'!$O$11:$O$1010,0)))</f>
        <v/>
      </c>
      <c r="H59" s="63" t="str">
        <f aca="false">IF($A59="","",N(H58)+IF($C$8&lt;&gt;"" ,IF(LEFT($C$8,4)="دائن",G59-F59,F59-G59),0))</f>
        <v/>
      </c>
    </row>
    <row r="60" customFormat="false" ht="15" hidden="false" customHeight="false" outlineLevel="0" collapsed="false">
      <c r="A60" s="82" t="str">
        <f aca="false">IF(ROW()-16&gt;COUNT('قيود اليومية'!$O$11:$O$1010),"",ROW()-16)</f>
        <v/>
      </c>
      <c r="B60" s="83" t="str">
        <f aca="false">IF($A60="","",INDEX('قيود اليومية'!$B$11:$B$1010,MATCH($A60,'قيود اليومية'!$O$11:$O$1010,0)))</f>
        <v/>
      </c>
      <c r="C60" s="84" t="str">
        <f aca="false">IF($A60="","",INDEX('قيود اليومية'!$A$11:$A$1010,MATCH($A60,'قيود اليومية'!$O$11:$O$1010,0)))</f>
        <v/>
      </c>
      <c r="D60" s="51" t="str">
        <f aca="false">IF($A60="","",INDEX('قيود اليومية'!$E$11:$E$1010,MATCH($A60,'قيود اليومية'!$O$11:$O$1010,0))&amp;"")</f>
        <v/>
      </c>
      <c r="E60" s="51" t="str">
        <f aca="false">IF($A60="","",INDEX('قيود اليومية'!$F$11:$F$1010,MATCH($A60,'قيود اليومية'!$O$11:$O$1010,0))&amp;"")</f>
        <v/>
      </c>
      <c r="F60" s="85" t="str">
        <f aca="false">IF($A60="","",INDEX('قيود اليومية'!$G$11:$G$1010,MATCH($A60,'قيود اليومية'!$O$11:$O$1010,0)))</f>
        <v/>
      </c>
      <c r="G60" s="85" t="str">
        <f aca="false">IF($A60="","",INDEX('قيود اليومية'!$H$11:$H$1010,MATCH($A60,'قيود اليومية'!$O$11:$O$1010,0)))</f>
        <v/>
      </c>
      <c r="H60" s="63" t="str">
        <f aca="false">IF($A60="","",N(H59)+IF($C$8&lt;&gt;"" ,IF(LEFT($C$8,4)="دائن",G60-F60,F60-G60),0))</f>
        <v/>
      </c>
    </row>
    <row r="61" customFormat="false" ht="15" hidden="false" customHeight="false" outlineLevel="0" collapsed="false">
      <c r="A61" s="82" t="str">
        <f aca="false">IF(ROW()-16&gt;COUNT('قيود اليومية'!$O$11:$O$1010),"",ROW()-16)</f>
        <v/>
      </c>
      <c r="B61" s="83" t="str">
        <f aca="false">IF($A61="","",INDEX('قيود اليومية'!$B$11:$B$1010,MATCH($A61,'قيود اليومية'!$O$11:$O$1010,0)))</f>
        <v/>
      </c>
      <c r="C61" s="84" t="str">
        <f aca="false">IF($A61="","",INDEX('قيود اليومية'!$A$11:$A$1010,MATCH($A61,'قيود اليومية'!$O$11:$O$1010,0)))</f>
        <v/>
      </c>
      <c r="D61" s="51" t="str">
        <f aca="false">IF($A61="","",INDEX('قيود اليومية'!$E$11:$E$1010,MATCH($A61,'قيود اليومية'!$O$11:$O$1010,0))&amp;"")</f>
        <v/>
      </c>
      <c r="E61" s="51" t="str">
        <f aca="false">IF($A61="","",INDEX('قيود اليومية'!$F$11:$F$1010,MATCH($A61,'قيود اليومية'!$O$11:$O$1010,0))&amp;"")</f>
        <v/>
      </c>
      <c r="F61" s="85" t="str">
        <f aca="false">IF($A61="","",INDEX('قيود اليومية'!$G$11:$G$1010,MATCH($A61,'قيود اليومية'!$O$11:$O$1010,0)))</f>
        <v/>
      </c>
      <c r="G61" s="85" t="str">
        <f aca="false">IF($A61="","",INDEX('قيود اليومية'!$H$11:$H$1010,MATCH($A61,'قيود اليومية'!$O$11:$O$1010,0)))</f>
        <v/>
      </c>
      <c r="H61" s="63" t="str">
        <f aca="false">IF($A61="","",N(H60)+IF($C$8&lt;&gt;"" ,IF(LEFT($C$8,4)="دائن",G61-F61,F61-G61),0))</f>
        <v/>
      </c>
    </row>
    <row r="62" customFormat="false" ht="15" hidden="false" customHeight="false" outlineLevel="0" collapsed="false">
      <c r="A62" s="82" t="str">
        <f aca="false">IF(ROW()-16&gt;COUNT('قيود اليومية'!$O$11:$O$1010),"",ROW()-16)</f>
        <v/>
      </c>
      <c r="B62" s="83" t="str">
        <f aca="false">IF($A62="","",INDEX('قيود اليومية'!$B$11:$B$1010,MATCH($A62,'قيود اليومية'!$O$11:$O$1010,0)))</f>
        <v/>
      </c>
      <c r="C62" s="84" t="str">
        <f aca="false">IF($A62="","",INDEX('قيود اليومية'!$A$11:$A$1010,MATCH($A62,'قيود اليومية'!$O$11:$O$1010,0)))</f>
        <v/>
      </c>
      <c r="D62" s="51" t="str">
        <f aca="false">IF($A62="","",INDEX('قيود اليومية'!$E$11:$E$1010,MATCH($A62,'قيود اليومية'!$O$11:$O$1010,0))&amp;"")</f>
        <v/>
      </c>
      <c r="E62" s="51" t="str">
        <f aca="false">IF($A62="","",INDEX('قيود اليومية'!$F$11:$F$1010,MATCH($A62,'قيود اليومية'!$O$11:$O$1010,0))&amp;"")</f>
        <v/>
      </c>
      <c r="F62" s="85" t="str">
        <f aca="false">IF($A62="","",INDEX('قيود اليومية'!$G$11:$G$1010,MATCH($A62,'قيود اليومية'!$O$11:$O$1010,0)))</f>
        <v/>
      </c>
      <c r="G62" s="85" t="str">
        <f aca="false">IF($A62="","",INDEX('قيود اليومية'!$H$11:$H$1010,MATCH($A62,'قيود اليومية'!$O$11:$O$1010,0)))</f>
        <v/>
      </c>
      <c r="H62" s="63" t="str">
        <f aca="false">IF($A62="","",N(H61)+IF($C$8&lt;&gt;"" ,IF(LEFT($C$8,4)="دائن",G62-F62,F62-G62),0))</f>
        <v/>
      </c>
    </row>
    <row r="63" customFormat="false" ht="15" hidden="false" customHeight="false" outlineLevel="0" collapsed="false">
      <c r="A63" s="82" t="str">
        <f aca="false">IF(ROW()-16&gt;COUNT('قيود اليومية'!$O$11:$O$1010),"",ROW()-16)</f>
        <v/>
      </c>
      <c r="B63" s="83" t="str">
        <f aca="false">IF($A63="","",INDEX('قيود اليومية'!$B$11:$B$1010,MATCH($A63,'قيود اليومية'!$O$11:$O$1010,0)))</f>
        <v/>
      </c>
      <c r="C63" s="84" t="str">
        <f aca="false">IF($A63="","",INDEX('قيود اليومية'!$A$11:$A$1010,MATCH($A63,'قيود اليومية'!$O$11:$O$1010,0)))</f>
        <v/>
      </c>
      <c r="D63" s="51" t="str">
        <f aca="false">IF($A63="","",INDEX('قيود اليومية'!$E$11:$E$1010,MATCH($A63,'قيود اليومية'!$O$11:$O$1010,0))&amp;"")</f>
        <v/>
      </c>
      <c r="E63" s="51" t="str">
        <f aca="false">IF($A63="","",INDEX('قيود اليومية'!$F$11:$F$1010,MATCH($A63,'قيود اليومية'!$O$11:$O$1010,0))&amp;"")</f>
        <v/>
      </c>
      <c r="F63" s="85" t="str">
        <f aca="false">IF($A63="","",INDEX('قيود اليومية'!$G$11:$G$1010,MATCH($A63,'قيود اليومية'!$O$11:$O$1010,0)))</f>
        <v/>
      </c>
      <c r="G63" s="85" t="str">
        <f aca="false">IF($A63="","",INDEX('قيود اليومية'!$H$11:$H$1010,MATCH($A63,'قيود اليومية'!$O$11:$O$1010,0)))</f>
        <v/>
      </c>
      <c r="H63" s="63" t="str">
        <f aca="false">IF($A63="","",N(H62)+IF($C$8&lt;&gt;"" ,IF(LEFT($C$8,4)="دائن",G63-F63,F63-G63),0))</f>
        <v/>
      </c>
    </row>
    <row r="64" customFormat="false" ht="15" hidden="false" customHeight="false" outlineLevel="0" collapsed="false">
      <c r="A64" s="82" t="str">
        <f aca="false">IF(ROW()-16&gt;COUNT('قيود اليومية'!$O$11:$O$1010),"",ROW()-16)</f>
        <v/>
      </c>
      <c r="B64" s="83" t="str">
        <f aca="false">IF($A64="","",INDEX('قيود اليومية'!$B$11:$B$1010,MATCH($A64,'قيود اليومية'!$O$11:$O$1010,0)))</f>
        <v/>
      </c>
      <c r="C64" s="84" t="str">
        <f aca="false">IF($A64="","",INDEX('قيود اليومية'!$A$11:$A$1010,MATCH($A64,'قيود اليومية'!$O$11:$O$1010,0)))</f>
        <v/>
      </c>
      <c r="D64" s="51" t="str">
        <f aca="false">IF($A64="","",INDEX('قيود اليومية'!$E$11:$E$1010,MATCH($A64,'قيود اليومية'!$O$11:$O$1010,0))&amp;"")</f>
        <v/>
      </c>
      <c r="E64" s="51" t="str">
        <f aca="false">IF($A64="","",INDEX('قيود اليومية'!$F$11:$F$1010,MATCH($A64,'قيود اليومية'!$O$11:$O$1010,0))&amp;"")</f>
        <v/>
      </c>
      <c r="F64" s="85" t="str">
        <f aca="false">IF($A64="","",INDEX('قيود اليومية'!$G$11:$G$1010,MATCH($A64,'قيود اليومية'!$O$11:$O$1010,0)))</f>
        <v/>
      </c>
      <c r="G64" s="85" t="str">
        <f aca="false">IF($A64="","",INDEX('قيود اليومية'!$H$11:$H$1010,MATCH($A64,'قيود اليومية'!$O$11:$O$1010,0)))</f>
        <v/>
      </c>
      <c r="H64" s="63" t="str">
        <f aca="false">IF($A64="","",N(H63)+IF($C$8&lt;&gt;"" ,IF(LEFT($C$8,4)="دائن",G64-F64,F64-G64),0))</f>
        <v/>
      </c>
    </row>
    <row r="65" customFormat="false" ht="15" hidden="false" customHeight="false" outlineLevel="0" collapsed="false">
      <c r="A65" s="82" t="str">
        <f aca="false">IF(ROW()-16&gt;COUNT('قيود اليومية'!$O$11:$O$1010),"",ROW()-16)</f>
        <v/>
      </c>
      <c r="B65" s="83" t="str">
        <f aca="false">IF($A65="","",INDEX('قيود اليومية'!$B$11:$B$1010,MATCH($A65,'قيود اليومية'!$O$11:$O$1010,0)))</f>
        <v/>
      </c>
      <c r="C65" s="84" t="str">
        <f aca="false">IF($A65="","",INDEX('قيود اليومية'!$A$11:$A$1010,MATCH($A65,'قيود اليومية'!$O$11:$O$1010,0)))</f>
        <v/>
      </c>
      <c r="D65" s="51" t="str">
        <f aca="false">IF($A65="","",INDEX('قيود اليومية'!$E$11:$E$1010,MATCH($A65,'قيود اليومية'!$O$11:$O$1010,0))&amp;"")</f>
        <v/>
      </c>
      <c r="E65" s="51" t="str">
        <f aca="false">IF($A65="","",INDEX('قيود اليومية'!$F$11:$F$1010,MATCH($A65,'قيود اليومية'!$O$11:$O$1010,0))&amp;"")</f>
        <v/>
      </c>
      <c r="F65" s="85" t="str">
        <f aca="false">IF($A65="","",INDEX('قيود اليومية'!$G$11:$G$1010,MATCH($A65,'قيود اليومية'!$O$11:$O$1010,0)))</f>
        <v/>
      </c>
      <c r="G65" s="85" t="str">
        <f aca="false">IF($A65="","",INDEX('قيود اليومية'!$H$11:$H$1010,MATCH($A65,'قيود اليومية'!$O$11:$O$1010,0)))</f>
        <v/>
      </c>
      <c r="H65" s="63" t="str">
        <f aca="false">IF($A65="","",N(H64)+IF($C$8&lt;&gt;"" ,IF(LEFT($C$8,4)="دائن",G65-F65,F65-G65),0))</f>
        <v/>
      </c>
    </row>
    <row r="66" customFormat="false" ht="15" hidden="false" customHeight="false" outlineLevel="0" collapsed="false">
      <c r="A66" s="82" t="str">
        <f aca="false">IF(ROW()-16&gt;COUNT('قيود اليومية'!$O$11:$O$1010),"",ROW()-16)</f>
        <v/>
      </c>
      <c r="B66" s="83" t="str">
        <f aca="false">IF($A66="","",INDEX('قيود اليومية'!$B$11:$B$1010,MATCH($A66,'قيود اليومية'!$O$11:$O$1010,0)))</f>
        <v/>
      </c>
      <c r="C66" s="84" t="str">
        <f aca="false">IF($A66="","",INDEX('قيود اليومية'!$A$11:$A$1010,MATCH($A66,'قيود اليومية'!$O$11:$O$1010,0)))</f>
        <v/>
      </c>
      <c r="D66" s="51" t="str">
        <f aca="false">IF($A66="","",INDEX('قيود اليومية'!$E$11:$E$1010,MATCH($A66,'قيود اليومية'!$O$11:$O$1010,0))&amp;"")</f>
        <v/>
      </c>
      <c r="E66" s="51" t="str">
        <f aca="false">IF($A66="","",INDEX('قيود اليومية'!$F$11:$F$1010,MATCH($A66,'قيود اليومية'!$O$11:$O$1010,0))&amp;"")</f>
        <v/>
      </c>
      <c r="F66" s="85" t="str">
        <f aca="false">IF($A66="","",INDEX('قيود اليومية'!$G$11:$G$1010,MATCH($A66,'قيود اليومية'!$O$11:$O$1010,0)))</f>
        <v/>
      </c>
      <c r="G66" s="85" t="str">
        <f aca="false">IF($A66="","",INDEX('قيود اليومية'!$H$11:$H$1010,MATCH($A66,'قيود اليومية'!$O$11:$O$1010,0)))</f>
        <v/>
      </c>
      <c r="H66" s="63" t="str">
        <f aca="false">IF($A66="","",N(H65)+IF($C$8&lt;&gt;"" ,IF(LEFT($C$8,4)="دائن",G66-F66,F66-G66),0))</f>
        <v/>
      </c>
    </row>
    <row r="67" customFormat="false" ht="15" hidden="false" customHeight="false" outlineLevel="0" collapsed="false">
      <c r="A67" s="82" t="str">
        <f aca="false">IF(ROW()-16&gt;COUNT('قيود اليومية'!$O$11:$O$1010),"",ROW()-16)</f>
        <v/>
      </c>
      <c r="B67" s="83" t="str">
        <f aca="false">IF($A67="","",INDEX('قيود اليومية'!$B$11:$B$1010,MATCH($A67,'قيود اليومية'!$O$11:$O$1010,0)))</f>
        <v/>
      </c>
      <c r="C67" s="84" t="str">
        <f aca="false">IF($A67="","",INDEX('قيود اليومية'!$A$11:$A$1010,MATCH($A67,'قيود اليومية'!$O$11:$O$1010,0)))</f>
        <v/>
      </c>
      <c r="D67" s="51" t="str">
        <f aca="false">IF($A67="","",INDEX('قيود اليومية'!$E$11:$E$1010,MATCH($A67,'قيود اليومية'!$O$11:$O$1010,0))&amp;"")</f>
        <v/>
      </c>
      <c r="E67" s="51" t="str">
        <f aca="false">IF($A67="","",INDEX('قيود اليومية'!$F$11:$F$1010,MATCH($A67,'قيود اليومية'!$O$11:$O$1010,0))&amp;"")</f>
        <v/>
      </c>
      <c r="F67" s="85" t="str">
        <f aca="false">IF($A67="","",INDEX('قيود اليومية'!$G$11:$G$1010,MATCH($A67,'قيود اليومية'!$O$11:$O$1010,0)))</f>
        <v/>
      </c>
      <c r="G67" s="85" t="str">
        <f aca="false">IF($A67="","",INDEX('قيود اليومية'!$H$11:$H$1010,MATCH($A67,'قيود اليومية'!$O$11:$O$1010,0)))</f>
        <v/>
      </c>
      <c r="H67" s="63" t="str">
        <f aca="false">IF($A67="","",N(H66)+IF($C$8&lt;&gt;"" ,IF(LEFT($C$8,4)="دائن",G67-F67,F67-G67),0))</f>
        <v/>
      </c>
    </row>
    <row r="68" customFormat="false" ht="15" hidden="false" customHeight="false" outlineLevel="0" collapsed="false">
      <c r="A68" s="82" t="str">
        <f aca="false">IF(ROW()-16&gt;COUNT('قيود اليومية'!$O$11:$O$1010),"",ROW()-16)</f>
        <v/>
      </c>
      <c r="B68" s="83" t="str">
        <f aca="false">IF($A68="","",INDEX('قيود اليومية'!$B$11:$B$1010,MATCH($A68,'قيود اليومية'!$O$11:$O$1010,0)))</f>
        <v/>
      </c>
      <c r="C68" s="84" t="str">
        <f aca="false">IF($A68="","",INDEX('قيود اليومية'!$A$11:$A$1010,MATCH($A68,'قيود اليومية'!$O$11:$O$1010,0)))</f>
        <v/>
      </c>
      <c r="D68" s="51" t="str">
        <f aca="false">IF($A68="","",INDEX('قيود اليومية'!$E$11:$E$1010,MATCH($A68,'قيود اليومية'!$O$11:$O$1010,0))&amp;"")</f>
        <v/>
      </c>
      <c r="E68" s="51" t="str">
        <f aca="false">IF($A68="","",INDEX('قيود اليومية'!$F$11:$F$1010,MATCH($A68,'قيود اليومية'!$O$11:$O$1010,0))&amp;"")</f>
        <v/>
      </c>
      <c r="F68" s="85" t="str">
        <f aca="false">IF($A68="","",INDEX('قيود اليومية'!$G$11:$G$1010,MATCH($A68,'قيود اليومية'!$O$11:$O$1010,0)))</f>
        <v/>
      </c>
      <c r="G68" s="85" t="str">
        <f aca="false">IF($A68="","",INDEX('قيود اليومية'!$H$11:$H$1010,MATCH($A68,'قيود اليومية'!$O$11:$O$1010,0)))</f>
        <v/>
      </c>
      <c r="H68" s="63" t="str">
        <f aca="false">IF($A68="","",N(H67)+IF($C$8&lt;&gt;"" ,IF(LEFT($C$8,4)="دائن",G68-F68,F68-G68),0))</f>
        <v/>
      </c>
    </row>
    <row r="69" customFormat="false" ht="15" hidden="false" customHeight="false" outlineLevel="0" collapsed="false">
      <c r="A69" s="82" t="str">
        <f aca="false">IF(ROW()-16&gt;COUNT('قيود اليومية'!$O$11:$O$1010),"",ROW()-16)</f>
        <v/>
      </c>
      <c r="B69" s="83" t="str">
        <f aca="false">IF($A69="","",INDEX('قيود اليومية'!$B$11:$B$1010,MATCH($A69,'قيود اليومية'!$O$11:$O$1010,0)))</f>
        <v/>
      </c>
      <c r="C69" s="84" t="str">
        <f aca="false">IF($A69="","",INDEX('قيود اليومية'!$A$11:$A$1010,MATCH($A69,'قيود اليومية'!$O$11:$O$1010,0)))</f>
        <v/>
      </c>
      <c r="D69" s="51" t="str">
        <f aca="false">IF($A69="","",INDEX('قيود اليومية'!$E$11:$E$1010,MATCH($A69,'قيود اليومية'!$O$11:$O$1010,0))&amp;"")</f>
        <v/>
      </c>
      <c r="E69" s="51" t="str">
        <f aca="false">IF($A69="","",INDEX('قيود اليومية'!$F$11:$F$1010,MATCH($A69,'قيود اليومية'!$O$11:$O$1010,0))&amp;"")</f>
        <v/>
      </c>
      <c r="F69" s="85" t="str">
        <f aca="false">IF($A69="","",INDEX('قيود اليومية'!$G$11:$G$1010,MATCH($A69,'قيود اليومية'!$O$11:$O$1010,0)))</f>
        <v/>
      </c>
      <c r="G69" s="85" t="str">
        <f aca="false">IF($A69="","",INDEX('قيود اليومية'!$H$11:$H$1010,MATCH($A69,'قيود اليومية'!$O$11:$O$1010,0)))</f>
        <v/>
      </c>
      <c r="H69" s="63" t="str">
        <f aca="false">IF($A69="","",N(H68)+IF($C$8&lt;&gt;"" ,IF(LEFT($C$8,4)="دائن",G69-F69,F69-G69),0))</f>
        <v/>
      </c>
    </row>
    <row r="70" customFormat="false" ht="15" hidden="false" customHeight="false" outlineLevel="0" collapsed="false">
      <c r="A70" s="82" t="str">
        <f aca="false">IF(ROW()-16&gt;COUNT('قيود اليومية'!$O$11:$O$1010),"",ROW()-16)</f>
        <v/>
      </c>
      <c r="B70" s="83" t="str">
        <f aca="false">IF($A70="","",INDEX('قيود اليومية'!$B$11:$B$1010,MATCH($A70,'قيود اليومية'!$O$11:$O$1010,0)))</f>
        <v/>
      </c>
      <c r="C70" s="84" t="str">
        <f aca="false">IF($A70="","",INDEX('قيود اليومية'!$A$11:$A$1010,MATCH($A70,'قيود اليومية'!$O$11:$O$1010,0)))</f>
        <v/>
      </c>
      <c r="D70" s="51" t="str">
        <f aca="false">IF($A70="","",INDEX('قيود اليومية'!$E$11:$E$1010,MATCH($A70,'قيود اليومية'!$O$11:$O$1010,0))&amp;"")</f>
        <v/>
      </c>
      <c r="E70" s="51" t="str">
        <f aca="false">IF($A70="","",INDEX('قيود اليومية'!$F$11:$F$1010,MATCH($A70,'قيود اليومية'!$O$11:$O$1010,0))&amp;"")</f>
        <v/>
      </c>
      <c r="F70" s="85" t="str">
        <f aca="false">IF($A70="","",INDEX('قيود اليومية'!$G$11:$G$1010,MATCH($A70,'قيود اليومية'!$O$11:$O$1010,0)))</f>
        <v/>
      </c>
      <c r="G70" s="85" t="str">
        <f aca="false">IF($A70="","",INDEX('قيود اليومية'!$H$11:$H$1010,MATCH($A70,'قيود اليومية'!$O$11:$O$1010,0)))</f>
        <v/>
      </c>
      <c r="H70" s="63" t="str">
        <f aca="false">IF($A70="","",N(H69)+IF($C$8&lt;&gt;"" ,IF(LEFT($C$8,4)="دائن",G70-F70,F70-G70),0))</f>
        <v/>
      </c>
    </row>
    <row r="71" customFormat="false" ht="15" hidden="false" customHeight="false" outlineLevel="0" collapsed="false">
      <c r="A71" s="82" t="str">
        <f aca="false">IF(ROW()-16&gt;COUNT('قيود اليومية'!$O$11:$O$1010),"",ROW()-16)</f>
        <v/>
      </c>
      <c r="B71" s="83" t="str">
        <f aca="false">IF($A71="","",INDEX('قيود اليومية'!$B$11:$B$1010,MATCH($A71,'قيود اليومية'!$O$11:$O$1010,0)))</f>
        <v/>
      </c>
      <c r="C71" s="84" t="str">
        <f aca="false">IF($A71="","",INDEX('قيود اليومية'!$A$11:$A$1010,MATCH($A71,'قيود اليومية'!$O$11:$O$1010,0)))</f>
        <v/>
      </c>
      <c r="D71" s="51" t="str">
        <f aca="false">IF($A71="","",INDEX('قيود اليومية'!$E$11:$E$1010,MATCH($A71,'قيود اليومية'!$O$11:$O$1010,0))&amp;"")</f>
        <v/>
      </c>
      <c r="E71" s="51" t="str">
        <f aca="false">IF($A71="","",INDEX('قيود اليومية'!$F$11:$F$1010,MATCH($A71,'قيود اليومية'!$O$11:$O$1010,0))&amp;"")</f>
        <v/>
      </c>
      <c r="F71" s="85" t="str">
        <f aca="false">IF($A71="","",INDEX('قيود اليومية'!$G$11:$G$1010,MATCH($A71,'قيود اليومية'!$O$11:$O$1010,0)))</f>
        <v/>
      </c>
      <c r="G71" s="85" t="str">
        <f aca="false">IF($A71="","",INDEX('قيود اليومية'!$H$11:$H$1010,MATCH($A71,'قيود اليومية'!$O$11:$O$1010,0)))</f>
        <v/>
      </c>
      <c r="H71" s="63" t="str">
        <f aca="false">IF($A71="","",N(H70)+IF($C$8&lt;&gt;"" ,IF(LEFT($C$8,4)="دائن",G71-F71,F71-G71),0))</f>
        <v/>
      </c>
    </row>
    <row r="72" customFormat="false" ht="15" hidden="false" customHeight="false" outlineLevel="0" collapsed="false">
      <c r="A72" s="82" t="str">
        <f aca="false">IF(ROW()-16&gt;COUNT('قيود اليومية'!$O$11:$O$1010),"",ROW()-16)</f>
        <v/>
      </c>
      <c r="B72" s="83" t="str">
        <f aca="false">IF($A72="","",INDEX('قيود اليومية'!$B$11:$B$1010,MATCH($A72,'قيود اليومية'!$O$11:$O$1010,0)))</f>
        <v/>
      </c>
      <c r="C72" s="84" t="str">
        <f aca="false">IF($A72="","",INDEX('قيود اليومية'!$A$11:$A$1010,MATCH($A72,'قيود اليومية'!$O$11:$O$1010,0)))</f>
        <v/>
      </c>
      <c r="D72" s="51" t="str">
        <f aca="false">IF($A72="","",INDEX('قيود اليومية'!$E$11:$E$1010,MATCH($A72,'قيود اليومية'!$O$11:$O$1010,0))&amp;"")</f>
        <v/>
      </c>
      <c r="E72" s="51" t="str">
        <f aca="false">IF($A72="","",INDEX('قيود اليومية'!$F$11:$F$1010,MATCH($A72,'قيود اليومية'!$O$11:$O$1010,0))&amp;"")</f>
        <v/>
      </c>
      <c r="F72" s="85" t="str">
        <f aca="false">IF($A72="","",INDEX('قيود اليومية'!$G$11:$G$1010,MATCH($A72,'قيود اليومية'!$O$11:$O$1010,0)))</f>
        <v/>
      </c>
      <c r="G72" s="85" t="str">
        <f aca="false">IF($A72="","",INDEX('قيود اليومية'!$H$11:$H$1010,MATCH($A72,'قيود اليومية'!$O$11:$O$1010,0)))</f>
        <v/>
      </c>
      <c r="H72" s="63" t="str">
        <f aca="false">IF($A72="","",N(H71)+IF($C$8&lt;&gt;"" ,IF(LEFT($C$8,4)="دائن",G72-F72,F72-G72),0))</f>
        <v/>
      </c>
    </row>
    <row r="73" customFormat="false" ht="15" hidden="false" customHeight="false" outlineLevel="0" collapsed="false">
      <c r="A73" s="82" t="str">
        <f aca="false">IF(ROW()-16&gt;COUNT('قيود اليومية'!$O$11:$O$1010),"",ROW()-16)</f>
        <v/>
      </c>
      <c r="B73" s="83" t="str">
        <f aca="false">IF($A73="","",INDEX('قيود اليومية'!$B$11:$B$1010,MATCH($A73,'قيود اليومية'!$O$11:$O$1010,0)))</f>
        <v/>
      </c>
      <c r="C73" s="84" t="str">
        <f aca="false">IF($A73="","",INDEX('قيود اليومية'!$A$11:$A$1010,MATCH($A73,'قيود اليومية'!$O$11:$O$1010,0)))</f>
        <v/>
      </c>
      <c r="D73" s="51" t="str">
        <f aca="false">IF($A73="","",INDEX('قيود اليومية'!$E$11:$E$1010,MATCH($A73,'قيود اليومية'!$O$11:$O$1010,0))&amp;"")</f>
        <v/>
      </c>
      <c r="E73" s="51" t="str">
        <f aca="false">IF($A73="","",INDEX('قيود اليومية'!$F$11:$F$1010,MATCH($A73,'قيود اليومية'!$O$11:$O$1010,0))&amp;"")</f>
        <v/>
      </c>
      <c r="F73" s="85" t="str">
        <f aca="false">IF($A73="","",INDEX('قيود اليومية'!$G$11:$G$1010,MATCH($A73,'قيود اليومية'!$O$11:$O$1010,0)))</f>
        <v/>
      </c>
      <c r="G73" s="85" t="str">
        <f aca="false">IF($A73="","",INDEX('قيود اليومية'!$H$11:$H$1010,MATCH($A73,'قيود اليومية'!$O$11:$O$1010,0)))</f>
        <v/>
      </c>
      <c r="H73" s="63" t="str">
        <f aca="false">IF($A73="","",N(H72)+IF($C$8&lt;&gt;"" ,IF(LEFT($C$8,4)="دائن",G73-F73,F73-G73),0))</f>
        <v/>
      </c>
    </row>
    <row r="74" customFormat="false" ht="15" hidden="false" customHeight="false" outlineLevel="0" collapsed="false">
      <c r="A74" s="82" t="str">
        <f aca="false">IF(ROW()-16&gt;COUNT('قيود اليومية'!$O$11:$O$1010),"",ROW()-16)</f>
        <v/>
      </c>
      <c r="B74" s="83" t="str">
        <f aca="false">IF($A74="","",INDEX('قيود اليومية'!$B$11:$B$1010,MATCH($A74,'قيود اليومية'!$O$11:$O$1010,0)))</f>
        <v/>
      </c>
      <c r="C74" s="84" t="str">
        <f aca="false">IF($A74="","",INDEX('قيود اليومية'!$A$11:$A$1010,MATCH($A74,'قيود اليومية'!$O$11:$O$1010,0)))</f>
        <v/>
      </c>
      <c r="D74" s="51" t="str">
        <f aca="false">IF($A74="","",INDEX('قيود اليومية'!$E$11:$E$1010,MATCH($A74,'قيود اليومية'!$O$11:$O$1010,0))&amp;"")</f>
        <v/>
      </c>
      <c r="E74" s="51" t="str">
        <f aca="false">IF($A74="","",INDEX('قيود اليومية'!$F$11:$F$1010,MATCH($A74,'قيود اليومية'!$O$11:$O$1010,0))&amp;"")</f>
        <v/>
      </c>
      <c r="F74" s="85" t="str">
        <f aca="false">IF($A74="","",INDEX('قيود اليومية'!$G$11:$G$1010,MATCH($A74,'قيود اليومية'!$O$11:$O$1010,0)))</f>
        <v/>
      </c>
      <c r="G74" s="85" t="str">
        <f aca="false">IF($A74="","",INDEX('قيود اليومية'!$H$11:$H$1010,MATCH($A74,'قيود اليومية'!$O$11:$O$1010,0)))</f>
        <v/>
      </c>
      <c r="H74" s="63" t="str">
        <f aca="false">IF($A74="","",N(H73)+IF($C$8&lt;&gt;"" ,IF(LEFT($C$8,4)="دائن",G74-F74,F74-G74),0))</f>
        <v/>
      </c>
    </row>
    <row r="75" customFormat="false" ht="15" hidden="false" customHeight="false" outlineLevel="0" collapsed="false">
      <c r="A75" s="82" t="str">
        <f aca="false">IF(ROW()-16&gt;COUNT('قيود اليومية'!$O$11:$O$1010),"",ROW()-16)</f>
        <v/>
      </c>
      <c r="B75" s="83" t="str">
        <f aca="false">IF($A75="","",INDEX('قيود اليومية'!$B$11:$B$1010,MATCH($A75,'قيود اليومية'!$O$11:$O$1010,0)))</f>
        <v/>
      </c>
      <c r="C75" s="84" t="str">
        <f aca="false">IF($A75="","",INDEX('قيود اليومية'!$A$11:$A$1010,MATCH($A75,'قيود اليومية'!$O$11:$O$1010,0)))</f>
        <v/>
      </c>
      <c r="D75" s="51" t="str">
        <f aca="false">IF($A75="","",INDEX('قيود اليومية'!$E$11:$E$1010,MATCH($A75,'قيود اليومية'!$O$11:$O$1010,0))&amp;"")</f>
        <v/>
      </c>
      <c r="E75" s="51" t="str">
        <f aca="false">IF($A75="","",INDEX('قيود اليومية'!$F$11:$F$1010,MATCH($A75,'قيود اليومية'!$O$11:$O$1010,0))&amp;"")</f>
        <v/>
      </c>
      <c r="F75" s="85" t="str">
        <f aca="false">IF($A75="","",INDEX('قيود اليومية'!$G$11:$G$1010,MATCH($A75,'قيود اليومية'!$O$11:$O$1010,0)))</f>
        <v/>
      </c>
      <c r="G75" s="85" t="str">
        <f aca="false">IF($A75="","",INDEX('قيود اليومية'!$H$11:$H$1010,MATCH($A75,'قيود اليومية'!$O$11:$O$1010,0)))</f>
        <v/>
      </c>
      <c r="H75" s="63" t="str">
        <f aca="false">IF($A75="","",N(H74)+IF($C$8&lt;&gt;"" ,IF(LEFT($C$8,4)="دائن",G75-F75,F75-G75),0))</f>
        <v/>
      </c>
    </row>
    <row r="76" customFormat="false" ht="15" hidden="false" customHeight="false" outlineLevel="0" collapsed="false">
      <c r="A76" s="82" t="str">
        <f aca="false">IF(ROW()-16&gt;COUNT('قيود اليومية'!$O$11:$O$1010),"",ROW()-16)</f>
        <v/>
      </c>
      <c r="B76" s="83" t="str">
        <f aca="false">IF($A76="","",INDEX('قيود اليومية'!$B$11:$B$1010,MATCH($A76,'قيود اليومية'!$O$11:$O$1010,0)))</f>
        <v/>
      </c>
      <c r="C76" s="84" t="str">
        <f aca="false">IF($A76="","",INDEX('قيود اليومية'!$A$11:$A$1010,MATCH($A76,'قيود اليومية'!$O$11:$O$1010,0)))</f>
        <v/>
      </c>
      <c r="D76" s="51" t="str">
        <f aca="false">IF($A76="","",INDEX('قيود اليومية'!$E$11:$E$1010,MATCH($A76,'قيود اليومية'!$O$11:$O$1010,0))&amp;"")</f>
        <v/>
      </c>
      <c r="E76" s="51" t="str">
        <f aca="false">IF($A76="","",INDEX('قيود اليومية'!$F$11:$F$1010,MATCH($A76,'قيود اليومية'!$O$11:$O$1010,0))&amp;"")</f>
        <v/>
      </c>
      <c r="F76" s="85" t="str">
        <f aca="false">IF($A76="","",INDEX('قيود اليومية'!$G$11:$G$1010,MATCH($A76,'قيود اليومية'!$O$11:$O$1010,0)))</f>
        <v/>
      </c>
      <c r="G76" s="85" t="str">
        <f aca="false">IF($A76="","",INDEX('قيود اليومية'!$H$11:$H$1010,MATCH($A76,'قيود اليومية'!$O$11:$O$1010,0)))</f>
        <v/>
      </c>
      <c r="H76" s="63" t="str">
        <f aca="false">IF($A76="","",N(H75)+IF($C$8&lt;&gt;"" ,IF(LEFT($C$8,4)="دائن",G76-F76,F76-G76),0))</f>
        <v/>
      </c>
    </row>
    <row r="77" customFormat="false" ht="15" hidden="false" customHeight="false" outlineLevel="0" collapsed="false">
      <c r="A77" s="82" t="str">
        <f aca="false">IF(ROW()-16&gt;COUNT('قيود اليومية'!$O$11:$O$1010),"",ROW()-16)</f>
        <v/>
      </c>
      <c r="B77" s="83" t="str">
        <f aca="false">IF($A77="","",INDEX('قيود اليومية'!$B$11:$B$1010,MATCH($A77,'قيود اليومية'!$O$11:$O$1010,0)))</f>
        <v/>
      </c>
      <c r="C77" s="84" t="str">
        <f aca="false">IF($A77="","",INDEX('قيود اليومية'!$A$11:$A$1010,MATCH($A77,'قيود اليومية'!$O$11:$O$1010,0)))</f>
        <v/>
      </c>
      <c r="D77" s="51" t="str">
        <f aca="false">IF($A77="","",INDEX('قيود اليومية'!$E$11:$E$1010,MATCH($A77,'قيود اليومية'!$O$11:$O$1010,0))&amp;"")</f>
        <v/>
      </c>
      <c r="E77" s="51" t="str">
        <f aca="false">IF($A77="","",INDEX('قيود اليومية'!$F$11:$F$1010,MATCH($A77,'قيود اليومية'!$O$11:$O$1010,0))&amp;"")</f>
        <v/>
      </c>
      <c r="F77" s="85" t="str">
        <f aca="false">IF($A77="","",INDEX('قيود اليومية'!$G$11:$G$1010,MATCH($A77,'قيود اليومية'!$O$11:$O$1010,0)))</f>
        <v/>
      </c>
      <c r="G77" s="85" t="str">
        <f aca="false">IF($A77="","",INDEX('قيود اليومية'!$H$11:$H$1010,MATCH($A77,'قيود اليومية'!$O$11:$O$1010,0)))</f>
        <v/>
      </c>
      <c r="H77" s="63" t="str">
        <f aca="false">IF($A77="","",N(H76)+IF($C$8&lt;&gt;"" ,IF(LEFT($C$8,4)="دائن",G77-F77,F77-G77),0))</f>
        <v/>
      </c>
    </row>
    <row r="78" customFormat="false" ht="15" hidden="false" customHeight="false" outlineLevel="0" collapsed="false">
      <c r="A78" s="82" t="str">
        <f aca="false">IF(ROW()-16&gt;COUNT('قيود اليومية'!$O$11:$O$1010),"",ROW()-16)</f>
        <v/>
      </c>
      <c r="B78" s="83" t="str">
        <f aca="false">IF($A78="","",INDEX('قيود اليومية'!$B$11:$B$1010,MATCH($A78,'قيود اليومية'!$O$11:$O$1010,0)))</f>
        <v/>
      </c>
      <c r="C78" s="84" t="str">
        <f aca="false">IF($A78="","",INDEX('قيود اليومية'!$A$11:$A$1010,MATCH($A78,'قيود اليومية'!$O$11:$O$1010,0)))</f>
        <v/>
      </c>
      <c r="D78" s="51" t="str">
        <f aca="false">IF($A78="","",INDEX('قيود اليومية'!$E$11:$E$1010,MATCH($A78,'قيود اليومية'!$O$11:$O$1010,0))&amp;"")</f>
        <v/>
      </c>
      <c r="E78" s="51" t="str">
        <f aca="false">IF($A78="","",INDEX('قيود اليومية'!$F$11:$F$1010,MATCH($A78,'قيود اليومية'!$O$11:$O$1010,0))&amp;"")</f>
        <v/>
      </c>
      <c r="F78" s="85" t="str">
        <f aca="false">IF($A78="","",INDEX('قيود اليومية'!$G$11:$G$1010,MATCH($A78,'قيود اليومية'!$O$11:$O$1010,0)))</f>
        <v/>
      </c>
      <c r="G78" s="85" t="str">
        <f aca="false">IF($A78="","",INDEX('قيود اليومية'!$H$11:$H$1010,MATCH($A78,'قيود اليومية'!$O$11:$O$1010,0)))</f>
        <v/>
      </c>
      <c r="H78" s="63" t="str">
        <f aca="false">IF($A78="","",N(H77)+IF($C$8&lt;&gt;"" ,IF(LEFT($C$8,4)="دائن",G78-F78,F78-G78),0))</f>
        <v/>
      </c>
    </row>
    <row r="79" customFormat="false" ht="15" hidden="false" customHeight="false" outlineLevel="0" collapsed="false">
      <c r="A79" s="82" t="str">
        <f aca="false">IF(ROW()-16&gt;COUNT('قيود اليومية'!$O$11:$O$1010),"",ROW()-16)</f>
        <v/>
      </c>
      <c r="B79" s="83" t="str">
        <f aca="false">IF($A79="","",INDEX('قيود اليومية'!$B$11:$B$1010,MATCH($A79,'قيود اليومية'!$O$11:$O$1010,0)))</f>
        <v/>
      </c>
      <c r="C79" s="84" t="str">
        <f aca="false">IF($A79="","",INDEX('قيود اليومية'!$A$11:$A$1010,MATCH($A79,'قيود اليومية'!$O$11:$O$1010,0)))</f>
        <v/>
      </c>
      <c r="D79" s="51" t="str">
        <f aca="false">IF($A79="","",INDEX('قيود اليومية'!$E$11:$E$1010,MATCH($A79,'قيود اليومية'!$O$11:$O$1010,0))&amp;"")</f>
        <v/>
      </c>
      <c r="E79" s="51" t="str">
        <f aca="false">IF($A79="","",INDEX('قيود اليومية'!$F$11:$F$1010,MATCH($A79,'قيود اليومية'!$O$11:$O$1010,0))&amp;"")</f>
        <v/>
      </c>
      <c r="F79" s="85" t="str">
        <f aca="false">IF($A79="","",INDEX('قيود اليومية'!$G$11:$G$1010,MATCH($A79,'قيود اليومية'!$O$11:$O$1010,0)))</f>
        <v/>
      </c>
      <c r="G79" s="85" t="str">
        <f aca="false">IF($A79="","",INDEX('قيود اليومية'!$H$11:$H$1010,MATCH($A79,'قيود اليومية'!$O$11:$O$1010,0)))</f>
        <v/>
      </c>
      <c r="H79" s="63" t="str">
        <f aca="false">IF($A79="","",N(H78)+IF($C$8&lt;&gt;"" ,IF(LEFT($C$8,4)="دائن",G79-F79,F79-G79),0))</f>
        <v/>
      </c>
    </row>
    <row r="80" customFormat="false" ht="15" hidden="false" customHeight="false" outlineLevel="0" collapsed="false">
      <c r="A80" s="82" t="str">
        <f aca="false">IF(ROW()-16&gt;COUNT('قيود اليومية'!$O$11:$O$1010),"",ROW()-16)</f>
        <v/>
      </c>
      <c r="B80" s="83" t="str">
        <f aca="false">IF($A80="","",INDEX('قيود اليومية'!$B$11:$B$1010,MATCH($A80,'قيود اليومية'!$O$11:$O$1010,0)))</f>
        <v/>
      </c>
      <c r="C80" s="84" t="str">
        <f aca="false">IF($A80="","",INDEX('قيود اليومية'!$A$11:$A$1010,MATCH($A80,'قيود اليومية'!$O$11:$O$1010,0)))</f>
        <v/>
      </c>
      <c r="D80" s="51" t="str">
        <f aca="false">IF($A80="","",INDEX('قيود اليومية'!$E$11:$E$1010,MATCH($A80,'قيود اليومية'!$O$11:$O$1010,0))&amp;"")</f>
        <v/>
      </c>
      <c r="E80" s="51" t="str">
        <f aca="false">IF($A80="","",INDEX('قيود اليومية'!$F$11:$F$1010,MATCH($A80,'قيود اليومية'!$O$11:$O$1010,0))&amp;"")</f>
        <v/>
      </c>
      <c r="F80" s="85" t="str">
        <f aca="false">IF($A80="","",INDEX('قيود اليومية'!$G$11:$G$1010,MATCH($A80,'قيود اليومية'!$O$11:$O$1010,0)))</f>
        <v/>
      </c>
      <c r="G80" s="85" t="str">
        <f aca="false">IF($A80="","",INDEX('قيود اليومية'!$H$11:$H$1010,MATCH($A80,'قيود اليومية'!$O$11:$O$1010,0)))</f>
        <v/>
      </c>
      <c r="H80" s="63" t="str">
        <f aca="false">IF($A80="","",N(H79)+IF($C$8&lt;&gt;"" ,IF(LEFT($C$8,4)="دائن",G80-F80,F80-G80),0))</f>
        <v/>
      </c>
    </row>
    <row r="81" customFormat="false" ht="15" hidden="false" customHeight="false" outlineLevel="0" collapsed="false">
      <c r="A81" s="82" t="str">
        <f aca="false">IF(ROW()-16&gt;COUNT('قيود اليومية'!$O$11:$O$1010),"",ROW()-16)</f>
        <v/>
      </c>
      <c r="B81" s="83" t="str">
        <f aca="false">IF($A81="","",INDEX('قيود اليومية'!$B$11:$B$1010,MATCH($A81,'قيود اليومية'!$O$11:$O$1010,0)))</f>
        <v/>
      </c>
      <c r="C81" s="84" t="str">
        <f aca="false">IF($A81="","",INDEX('قيود اليومية'!$A$11:$A$1010,MATCH($A81,'قيود اليومية'!$O$11:$O$1010,0)))</f>
        <v/>
      </c>
      <c r="D81" s="51" t="str">
        <f aca="false">IF($A81="","",INDEX('قيود اليومية'!$E$11:$E$1010,MATCH($A81,'قيود اليومية'!$O$11:$O$1010,0))&amp;"")</f>
        <v/>
      </c>
      <c r="E81" s="51" t="str">
        <f aca="false">IF($A81="","",INDEX('قيود اليومية'!$F$11:$F$1010,MATCH($A81,'قيود اليومية'!$O$11:$O$1010,0))&amp;"")</f>
        <v/>
      </c>
      <c r="F81" s="85" t="str">
        <f aca="false">IF($A81="","",INDEX('قيود اليومية'!$G$11:$G$1010,MATCH($A81,'قيود اليومية'!$O$11:$O$1010,0)))</f>
        <v/>
      </c>
      <c r="G81" s="85" t="str">
        <f aca="false">IF($A81="","",INDEX('قيود اليومية'!$H$11:$H$1010,MATCH($A81,'قيود اليومية'!$O$11:$O$1010,0)))</f>
        <v/>
      </c>
      <c r="H81" s="63" t="str">
        <f aca="false">IF($A81="","",N(H80)+IF($C$8&lt;&gt;"" ,IF(LEFT($C$8,4)="دائن",G81-F81,F81-G81),0))</f>
        <v/>
      </c>
    </row>
    <row r="82" customFormat="false" ht="15" hidden="false" customHeight="false" outlineLevel="0" collapsed="false">
      <c r="A82" s="82" t="str">
        <f aca="false">IF(ROW()-16&gt;COUNT('قيود اليومية'!$O$11:$O$1010),"",ROW()-16)</f>
        <v/>
      </c>
      <c r="B82" s="83" t="str">
        <f aca="false">IF($A82="","",INDEX('قيود اليومية'!$B$11:$B$1010,MATCH($A82,'قيود اليومية'!$O$11:$O$1010,0)))</f>
        <v/>
      </c>
      <c r="C82" s="84" t="str">
        <f aca="false">IF($A82="","",INDEX('قيود اليومية'!$A$11:$A$1010,MATCH($A82,'قيود اليومية'!$O$11:$O$1010,0)))</f>
        <v/>
      </c>
      <c r="D82" s="51" t="str">
        <f aca="false">IF($A82="","",INDEX('قيود اليومية'!$E$11:$E$1010,MATCH($A82,'قيود اليومية'!$O$11:$O$1010,0))&amp;"")</f>
        <v/>
      </c>
      <c r="E82" s="51" t="str">
        <f aca="false">IF($A82="","",INDEX('قيود اليومية'!$F$11:$F$1010,MATCH($A82,'قيود اليومية'!$O$11:$O$1010,0))&amp;"")</f>
        <v/>
      </c>
      <c r="F82" s="85" t="str">
        <f aca="false">IF($A82="","",INDEX('قيود اليومية'!$G$11:$G$1010,MATCH($A82,'قيود اليومية'!$O$11:$O$1010,0)))</f>
        <v/>
      </c>
      <c r="G82" s="85" t="str">
        <f aca="false">IF($A82="","",INDEX('قيود اليومية'!$H$11:$H$1010,MATCH($A82,'قيود اليومية'!$O$11:$O$1010,0)))</f>
        <v/>
      </c>
      <c r="H82" s="63" t="str">
        <f aca="false">IF($A82="","",N(H81)+IF($C$8&lt;&gt;"" ,IF(LEFT($C$8,4)="دائن",G82-F82,F82-G82),0))</f>
        <v/>
      </c>
    </row>
    <row r="83" customFormat="false" ht="15" hidden="false" customHeight="false" outlineLevel="0" collapsed="false">
      <c r="A83" s="82" t="str">
        <f aca="false">IF(ROW()-16&gt;COUNT('قيود اليومية'!$O$11:$O$1010),"",ROW()-16)</f>
        <v/>
      </c>
      <c r="B83" s="83" t="str">
        <f aca="false">IF($A83="","",INDEX('قيود اليومية'!$B$11:$B$1010,MATCH($A83,'قيود اليومية'!$O$11:$O$1010,0)))</f>
        <v/>
      </c>
      <c r="C83" s="84" t="str">
        <f aca="false">IF($A83="","",INDEX('قيود اليومية'!$A$11:$A$1010,MATCH($A83,'قيود اليومية'!$O$11:$O$1010,0)))</f>
        <v/>
      </c>
      <c r="D83" s="51" t="str">
        <f aca="false">IF($A83="","",INDEX('قيود اليومية'!$E$11:$E$1010,MATCH($A83,'قيود اليومية'!$O$11:$O$1010,0))&amp;"")</f>
        <v/>
      </c>
      <c r="E83" s="51" t="str">
        <f aca="false">IF($A83="","",INDEX('قيود اليومية'!$F$11:$F$1010,MATCH($A83,'قيود اليومية'!$O$11:$O$1010,0))&amp;"")</f>
        <v/>
      </c>
      <c r="F83" s="85" t="str">
        <f aca="false">IF($A83="","",INDEX('قيود اليومية'!$G$11:$G$1010,MATCH($A83,'قيود اليومية'!$O$11:$O$1010,0)))</f>
        <v/>
      </c>
      <c r="G83" s="85" t="str">
        <f aca="false">IF($A83="","",INDEX('قيود اليومية'!$H$11:$H$1010,MATCH($A83,'قيود اليومية'!$O$11:$O$1010,0)))</f>
        <v/>
      </c>
      <c r="H83" s="63" t="str">
        <f aca="false">IF($A83="","",N(H82)+IF($C$8&lt;&gt;"" ,IF(LEFT($C$8,4)="دائن",G83-F83,F83-G83),0))</f>
        <v/>
      </c>
    </row>
    <row r="84" customFormat="false" ht="15" hidden="false" customHeight="false" outlineLevel="0" collapsed="false">
      <c r="A84" s="82" t="str">
        <f aca="false">IF(ROW()-16&gt;COUNT('قيود اليومية'!$O$11:$O$1010),"",ROW()-16)</f>
        <v/>
      </c>
      <c r="B84" s="83" t="str">
        <f aca="false">IF($A84="","",INDEX('قيود اليومية'!$B$11:$B$1010,MATCH($A84,'قيود اليومية'!$O$11:$O$1010,0)))</f>
        <v/>
      </c>
      <c r="C84" s="84" t="str">
        <f aca="false">IF($A84="","",INDEX('قيود اليومية'!$A$11:$A$1010,MATCH($A84,'قيود اليومية'!$O$11:$O$1010,0)))</f>
        <v/>
      </c>
      <c r="D84" s="51" t="str">
        <f aca="false">IF($A84="","",INDEX('قيود اليومية'!$E$11:$E$1010,MATCH($A84,'قيود اليومية'!$O$11:$O$1010,0))&amp;"")</f>
        <v/>
      </c>
      <c r="E84" s="51" t="str">
        <f aca="false">IF($A84="","",INDEX('قيود اليومية'!$F$11:$F$1010,MATCH($A84,'قيود اليومية'!$O$11:$O$1010,0))&amp;"")</f>
        <v/>
      </c>
      <c r="F84" s="85" t="str">
        <f aca="false">IF($A84="","",INDEX('قيود اليومية'!$G$11:$G$1010,MATCH($A84,'قيود اليومية'!$O$11:$O$1010,0)))</f>
        <v/>
      </c>
      <c r="G84" s="85" t="str">
        <f aca="false">IF($A84="","",INDEX('قيود اليومية'!$H$11:$H$1010,MATCH($A84,'قيود اليومية'!$O$11:$O$1010,0)))</f>
        <v/>
      </c>
      <c r="H84" s="63" t="str">
        <f aca="false">IF($A84="","",N(H83)+IF($C$8&lt;&gt;"" ,IF(LEFT($C$8,4)="دائن",G84-F84,F84-G84),0))</f>
        <v/>
      </c>
    </row>
    <row r="85" customFormat="false" ht="15" hidden="false" customHeight="false" outlineLevel="0" collapsed="false">
      <c r="A85" s="82" t="str">
        <f aca="false">IF(ROW()-16&gt;COUNT('قيود اليومية'!$O$11:$O$1010),"",ROW()-16)</f>
        <v/>
      </c>
      <c r="B85" s="83" t="str">
        <f aca="false">IF($A85="","",INDEX('قيود اليومية'!$B$11:$B$1010,MATCH($A85,'قيود اليومية'!$O$11:$O$1010,0)))</f>
        <v/>
      </c>
      <c r="C85" s="84" t="str">
        <f aca="false">IF($A85="","",INDEX('قيود اليومية'!$A$11:$A$1010,MATCH($A85,'قيود اليومية'!$O$11:$O$1010,0)))</f>
        <v/>
      </c>
      <c r="D85" s="51" t="str">
        <f aca="false">IF($A85="","",INDEX('قيود اليومية'!$E$11:$E$1010,MATCH($A85,'قيود اليومية'!$O$11:$O$1010,0))&amp;"")</f>
        <v/>
      </c>
      <c r="E85" s="51" t="str">
        <f aca="false">IF($A85="","",INDEX('قيود اليومية'!$F$11:$F$1010,MATCH($A85,'قيود اليومية'!$O$11:$O$1010,0))&amp;"")</f>
        <v/>
      </c>
      <c r="F85" s="85" t="str">
        <f aca="false">IF($A85="","",INDEX('قيود اليومية'!$G$11:$G$1010,MATCH($A85,'قيود اليومية'!$O$11:$O$1010,0)))</f>
        <v/>
      </c>
      <c r="G85" s="85" t="str">
        <f aca="false">IF($A85="","",INDEX('قيود اليومية'!$H$11:$H$1010,MATCH($A85,'قيود اليومية'!$O$11:$O$1010,0)))</f>
        <v/>
      </c>
      <c r="H85" s="63" t="str">
        <f aca="false">IF($A85="","",N(H84)+IF($C$8&lt;&gt;"" ,IF(LEFT($C$8,4)="دائن",G85-F85,F85-G85),0))</f>
        <v/>
      </c>
    </row>
    <row r="86" customFormat="false" ht="15" hidden="false" customHeight="false" outlineLevel="0" collapsed="false">
      <c r="A86" s="82" t="str">
        <f aca="false">IF(ROW()-16&gt;COUNT('قيود اليومية'!$O$11:$O$1010),"",ROW()-16)</f>
        <v/>
      </c>
      <c r="B86" s="83" t="str">
        <f aca="false">IF($A86="","",INDEX('قيود اليومية'!$B$11:$B$1010,MATCH($A86,'قيود اليومية'!$O$11:$O$1010,0)))</f>
        <v/>
      </c>
      <c r="C86" s="84" t="str">
        <f aca="false">IF($A86="","",INDEX('قيود اليومية'!$A$11:$A$1010,MATCH($A86,'قيود اليومية'!$O$11:$O$1010,0)))</f>
        <v/>
      </c>
      <c r="D86" s="51" t="str">
        <f aca="false">IF($A86="","",INDEX('قيود اليومية'!$E$11:$E$1010,MATCH($A86,'قيود اليومية'!$O$11:$O$1010,0))&amp;"")</f>
        <v/>
      </c>
      <c r="E86" s="51" t="str">
        <f aca="false">IF($A86="","",INDEX('قيود اليومية'!$F$11:$F$1010,MATCH($A86,'قيود اليومية'!$O$11:$O$1010,0))&amp;"")</f>
        <v/>
      </c>
      <c r="F86" s="85" t="str">
        <f aca="false">IF($A86="","",INDEX('قيود اليومية'!$G$11:$G$1010,MATCH($A86,'قيود اليومية'!$O$11:$O$1010,0)))</f>
        <v/>
      </c>
      <c r="G86" s="85" t="str">
        <f aca="false">IF($A86="","",INDEX('قيود اليومية'!$H$11:$H$1010,MATCH($A86,'قيود اليومية'!$O$11:$O$1010,0)))</f>
        <v/>
      </c>
      <c r="H86" s="63" t="str">
        <f aca="false">IF($A86="","",N(H85)+IF($C$8&lt;&gt;"" ,IF(LEFT($C$8,4)="دائن",G86-F86,F86-G86),0))</f>
        <v/>
      </c>
    </row>
    <row r="87" customFormat="false" ht="15" hidden="false" customHeight="false" outlineLevel="0" collapsed="false">
      <c r="A87" s="82" t="str">
        <f aca="false">IF(ROW()-16&gt;COUNT('قيود اليومية'!$O$11:$O$1010),"",ROW()-16)</f>
        <v/>
      </c>
      <c r="B87" s="83" t="str">
        <f aca="false">IF($A87="","",INDEX('قيود اليومية'!$B$11:$B$1010,MATCH($A87,'قيود اليومية'!$O$11:$O$1010,0)))</f>
        <v/>
      </c>
      <c r="C87" s="84" t="str">
        <f aca="false">IF($A87="","",INDEX('قيود اليومية'!$A$11:$A$1010,MATCH($A87,'قيود اليومية'!$O$11:$O$1010,0)))</f>
        <v/>
      </c>
      <c r="D87" s="51" t="str">
        <f aca="false">IF($A87="","",INDEX('قيود اليومية'!$E$11:$E$1010,MATCH($A87,'قيود اليومية'!$O$11:$O$1010,0))&amp;"")</f>
        <v/>
      </c>
      <c r="E87" s="51" t="str">
        <f aca="false">IF($A87="","",INDEX('قيود اليومية'!$F$11:$F$1010,MATCH($A87,'قيود اليومية'!$O$11:$O$1010,0))&amp;"")</f>
        <v/>
      </c>
      <c r="F87" s="85" t="str">
        <f aca="false">IF($A87="","",INDEX('قيود اليومية'!$G$11:$G$1010,MATCH($A87,'قيود اليومية'!$O$11:$O$1010,0)))</f>
        <v/>
      </c>
      <c r="G87" s="85" t="str">
        <f aca="false">IF($A87="","",INDEX('قيود اليومية'!$H$11:$H$1010,MATCH($A87,'قيود اليومية'!$O$11:$O$1010,0)))</f>
        <v/>
      </c>
      <c r="H87" s="63" t="str">
        <f aca="false">IF($A87="","",N(H86)+IF($C$8&lt;&gt;"" ,IF(LEFT($C$8,4)="دائن",G87-F87,F87-G87),0))</f>
        <v/>
      </c>
    </row>
    <row r="88" customFormat="false" ht="15" hidden="false" customHeight="false" outlineLevel="0" collapsed="false">
      <c r="A88" s="82" t="str">
        <f aca="false">IF(ROW()-16&gt;COUNT('قيود اليومية'!$O$11:$O$1010),"",ROW()-16)</f>
        <v/>
      </c>
      <c r="B88" s="83" t="str">
        <f aca="false">IF($A88="","",INDEX('قيود اليومية'!$B$11:$B$1010,MATCH($A88,'قيود اليومية'!$O$11:$O$1010,0)))</f>
        <v/>
      </c>
      <c r="C88" s="84" t="str">
        <f aca="false">IF($A88="","",INDEX('قيود اليومية'!$A$11:$A$1010,MATCH($A88,'قيود اليومية'!$O$11:$O$1010,0)))</f>
        <v/>
      </c>
      <c r="D88" s="51" t="str">
        <f aca="false">IF($A88="","",INDEX('قيود اليومية'!$E$11:$E$1010,MATCH($A88,'قيود اليومية'!$O$11:$O$1010,0))&amp;"")</f>
        <v/>
      </c>
      <c r="E88" s="51" t="str">
        <f aca="false">IF($A88="","",INDEX('قيود اليومية'!$F$11:$F$1010,MATCH($A88,'قيود اليومية'!$O$11:$O$1010,0))&amp;"")</f>
        <v/>
      </c>
      <c r="F88" s="85" t="str">
        <f aca="false">IF($A88="","",INDEX('قيود اليومية'!$G$11:$G$1010,MATCH($A88,'قيود اليومية'!$O$11:$O$1010,0)))</f>
        <v/>
      </c>
      <c r="G88" s="85" t="str">
        <f aca="false">IF($A88="","",INDEX('قيود اليومية'!$H$11:$H$1010,MATCH($A88,'قيود اليومية'!$O$11:$O$1010,0)))</f>
        <v/>
      </c>
      <c r="H88" s="63" t="str">
        <f aca="false">IF($A88="","",N(H87)+IF($C$8&lt;&gt;"" ,IF(LEFT($C$8,4)="دائن",G88-F88,F88-G88),0))</f>
        <v/>
      </c>
    </row>
    <row r="89" customFormat="false" ht="15" hidden="false" customHeight="false" outlineLevel="0" collapsed="false">
      <c r="A89" s="82" t="str">
        <f aca="false">IF(ROW()-16&gt;COUNT('قيود اليومية'!$O$11:$O$1010),"",ROW()-16)</f>
        <v/>
      </c>
      <c r="B89" s="83" t="str">
        <f aca="false">IF($A89="","",INDEX('قيود اليومية'!$B$11:$B$1010,MATCH($A89,'قيود اليومية'!$O$11:$O$1010,0)))</f>
        <v/>
      </c>
      <c r="C89" s="84" t="str">
        <f aca="false">IF($A89="","",INDEX('قيود اليومية'!$A$11:$A$1010,MATCH($A89,'قيود اليومية'!$O$11:$O$1010,0)))</f>
        <v/>
      </c>
      <c r="D89" s="51" t="str">
        <f aca="false">IF($A89="","",INDEX('قيود اليومية'!$E$11:$E$1010,MATCH($A89,'قيود اليومية'!$O$11:$O$1010,0))&amp;"")</f>
        <v/>
      </c>
      <c r="E89" s="51" t="str">
        <f aca="false">IF($A89="","",INDEX('قيود اليومية'!$F$11:$F$1010,MATCH($A89,'قيود اليومية'!$O$11:$O$1010,0))&amp;"")</f>
        <v/>
      </c>
      <c r="F89" s="85" t="str">
        <f aca="false">IF($A89="","",INDEX('قيود اليومية'!$G$11:$G$1010,MATCH($A89,'قيود اليومية'!$O$11:$O$1010,0)))</f>
        <v/>
      </c>
      <c r="G89" s="85" t="str">
        <f aca="false">IF($A89="","",INDEX('قيود اليومية'!$H$11:$H$1010,MATCH($A89,'قيود اليومية'!$O$11:$O$1010,0)))</f>
        <v/>
      </c>
      <c r="H89" s="63" t="str">
        <f aca="false">IF($A89="","",N(H88)+IF($C$8&lt;&gt;"" ,IF(LEFT($C$8,4)="دائن",G89-F89,F89-G89),0))</f>
        <v/>
      </c>
    </row>
    <row r="90" customFormat="false" ht="15" hidden="false" customHeight="false" outlineLevel="0" collapsed="false">
      <c r="A90" s="82" t="str">
        <f aca="false">IF(ROW()-16&gt;COUNT('قيود اليومية'!$O$11:$O$1010),"",ROW()-16)</f>
        <v/>
      </c>
      <c r="B90" s="83" t="str">
        <f aca="false">IF($A90="","",INDEX('قيود اليومية'!$B$11:$B$1010,MATCH($A90,'قيود اليومية'!$O$11:$O$1010,0)))</f>
        <v/>
      </c>
      <c r="C90" s="84" t="str">
        <f aca="false">IF($A90="","",INDEX('قيود اليومية'!$A$11:$A$1010,MATCH($A90,'قيود اليومية'!$O$11:$O$1010,0)))</f>
        <v/>
      </c>
      <c r="D90" s="51" t="str">
        <f aca="false">IF($A90="","",INDEX('قيود اليومية'!$E$11:$E$1010,MATCH($A90,'قيود اليومية'!$O$11:$O$1010,0))&amp;"")</f>
        <v/>
      </c>
      <c r="E90" s="51" t="str">
        <f aca="false">IF($A90="","",INDEX('قيود اليومية'!$F$11:$F$1010,MATCH($A90,'قيود اليومية'!$O$11:$O$1010,0))&amp;"")</f>
        <v/>
      </c>
      <c r="F90" s="85" t="str">
        <f aca="false">IF($A90="","",INDEX('قيود اليومية'!$G$11:$G$1010,MATCH($A90,'قيود اليومية'!$O$11:$O$1010,0)))</f>
        <v/>
      </c>
      <c r="G90" s="85" t="str">
        <f aca="false">IF($A90="","",INDEX('قيود اليومية'!$H$11:$H$1010,MATCH($A90,'قيود اليومية'!$O$11:$O$1010,0)))</f>
        <v/>
      </c>
      <c r="H90" s="63" t="str">
        <f aca="false">IF($A90="","",N(H89)+IF($C$8&lt;&gt;"" ,IF(LEFT($C$8,4)="دائن",G90-F90,F90-G90),0))</f>
        <v/>
      </c>
    </row>
    <row r="91" customFormat="false" ht="15" hidden="false" customHeight="false" outlineLevel="0" collapsed="false">
      <c r="A91" s="82" t="str">
        <f aca="false">IF(ROW()-16&gt;COUNT('قيود اليومية'!$O$11:$O$1010),"",ROW()-16)</f>
        <v/>
      </c>
      <c r="B91" s="83" t="str">
        <f aca="false">IF($A91="","",INDEX('قيود اليومية'!$B$11:$B$1010,MATCH($A91,'قيود اليومية'!$O$11:$O$1010,0)))</f>
        <v/>
      </c>
      <c r="C91" s="84" t="str">
        <f aca="false">IF($A91="","",INDEX('قيود اليومية'!$A$11:$A$1010,MATCH($A91,'قيود اليومية'!$O$11:$O$1010,0)))</f>
        <v/>
      </c>
      <c r="D91" s="51" t="str">
        <f aca="false">IF($A91="","",INDEX('قيود اليومية'!$E$11:$E$1010,MATCH($A91,'قيود اليومية'!$O$11:$O$1010,0))&amp;"")</f>
        <v/>
      </c>
      <c r="E91" s="51" t="str">
        <f aca="false">IF($A91="","",INDEX('قيود اليومية'!$F$11:$F$1010,MATCH($A91,'قيود اليومية'!$O$11:$O$1010,0))&amp;"")</f>
        <v/>
      </c>
      <c r="F91" s="85" t="str">
        <f aca="false">IF($A91="","",INDEX('قيود اليومية'!$G$11:$G$1010,MATCH($A91,'قيود اليومية'!$O$11:$O$1010,0)))</f>
        <v/>
      </c>
      <c r="G91" s="85" t="str">
        <f aca="false">IF($A91="","",INDEX('قيود اليومية'!$H$11:$H$1010,MATCH($A91,'قيود اليومية'!$O$11:$O$1010,0)))</f>
        <v/>
      </c>
      <c r="H91" s="63" t="str">
        <f aca="false">IF($A91="","",N(H90)+IF($C$8&lt;&gt;"" ,IF(LEFT($C$8,4)="دائن",G91-F91,F91-G91),0))</f>
        <v/>
      </c>
    </row>
    <row r="92" customFormat="false" ht="15" hidden="false" customHeight="false" outlineLevel="0" collapsed="false">
      <c r="A92" s="82" t="str">
        <f aca="false">IF(ROW()-16&gt;COUNT('قيود اليومية'!$O$11:$O$1010),"",ROW()-16)</f>
        <v/>
      </c>
      <c r="B92" s="83" t="str">
        <f aca="false">IF($A92="","",INDEX('قيود اليومية'!$B$11:$B$1010,MATCH($A92,'قيود اليومية'!$O$11:$O$1010,0)))</f>
        <v/>
      </c>
      <c r="C92" s="84" t="str">
        <f aca="false">IF($A92="","",INDEX('قيود اليومية'!$A$11:$A$1010,MATCH($A92,'قيود اليومية'!$O$11:$O$1010,0)))</f>
        <v/>
      </c>
      <c r="D92" s="51" t="str">
        <f aca="false">IF($A92="","",INDEX('قيود اليومية'!$E$11:$E$1010,MATCH($A92,'قيود اليومية'!$O$11:$O$1010,0))&amp;"")</f>
        <v/>
      </c>
      <c r="E92" s="51" t="str">
        <f aca="false">IF($A92="","",INDEX('قيود اليومية'!$F$11:$F$1010,MATCH($A92,'قيود اليومية'!$O$11:$O$1010,0))&amp;"")</f>
        <v/>
      </c>
      <c r="F92" s="85" t="str">
        <f aca="false">IF($A92="","",INDEX('قيود اليومية'!$G$11:$G$1010,MATCH($A92,'قيود اليومية'!$O$11:$O$1010,0)))</f>
        <v/>
      </c>
      <c r="G92" s="85" t="str">
        <f aca="false">IF($A92="","",INDEX('قيود اليومية'!$H$11:$H$1010,MATCH($A92,'قيود اليومية'!$O$11:$O$1010,0)))</f>
        <v/>
      </c>
      <c r="H92" s="63" t="str">
        <f aca="false">IF($A92="","",N(H91)+IF($C$8&lt;&gt;"" ,IF(LEFT($C$8,4)="دائن",G92-F92,F92-G92),0))</f>
        <v/>
      </c>
    </row>
    <row r="93" customFormat="false" ht="15" hidden="false" customHeight="false" outlineLevel="0" collapsed="false">
      <c r="A93" s="82" t="str">
        <f aca="false">IF(ROW()-16&gt;COUNT('قيود اليومية'!$O$11:$O$1010),"",ROW()-16)</f>
        <v/>
      </c>
      <c r="B93" s="83" t="str">
        <f aca="false">IF($A93="","",INDEX('قيود اليومية'!$B$11:$B$1010,MATCH($A93,'قيود اليومية'!$O$11:$O$1010,0)))</f>
        <v/>
      </c>
      <c r="C93" s="84" t="str">
        <f aca="false">IF($A93="","",INDEX('قيود اليومية'!$A$11:$A$1010,MATCH($A93,'قيود اليومية'!$O$11:$O$1010,0)))</f>
        <v/>
      </c>
      <c r="D93" s="51" t="str">
        <f aca="false">IF($A93="","",INDEX('قيود اليومية'!$E$11:$E$1010,MATCH($A93,'قيود اليومية'!$O$11:$O$1010,0))&amp;"")</f>
        <v/>
      </c>
      <c r="E93" s="51" t="str">
        <f aca="false">IF($A93="","",INDEX('قيود اليومية'!$F$11:$F$1010,MATCH($A93,'قيود اليومية'!$O$11:$O$1010,0))&amp;"")</f>
        <v/>
      </c>
      <c r="F93" s="85" t="str">
        <f aca="false">IF($A93="","",INDEX('قيود اليومية'!$G$11:$G$1010,MATCH($A93,'قيود اليومية'!$O$11:$O$1010,0)))</f>
        <v/>
      </c>
      <c r="G93" s="85" t="str">
        <f aca="false">IF($A93="","",INDEX('قيود اليومية'!$H$11:$H$1010,MATCH($A93,'قيود اليومية'!$O$11:$O$1010,0)))</f>
        <v/>
      </c>
      <c r="H93" s="63" t="str">
        <f aca="false">IF($A93="","",N(H92)+IF($C$8&lt;&gt;"" ,IF(LEFT($C$8,4)="دائن",G93-F93,F93-G93),0))</f>
        <v/>
      </c>
    </row>
    <row r="94" customFormat="false" ht="15" hidden="false" customHeight="false" outlineLevel="0" collapsed="false">
      <c r="A94" s="82" t="str">
        <f aca="false">IF(ROW()-16&gt;COUNT('قيود اليومية'!$O$11:$O$1010),"",ROW()-16)</f>
        <v/>
      </c>
      <c r="B94" s="83" t="str">
        <f aca="false">IF($A94="","",INDEX('قيود اليومية'!$B$11:$B$1010,MATCH($A94,'قيود اليومية'!$O$11:$O$1010,0)))</f>
        <v/>
      </c>
      <c r="C94" s="84" t="str">
        <f aca="false">IF($A94="","",INDEX('قيود اليومية'!$A$11:$A$1010,MATCH($A94,'قيود اليومية'!$O$11:$O$1010,0)))</f>
        <v/>
      </c>
      <c r="D94" s="51" t="str">
        <f aca="false">IF($A94="","",INDEX('قيود اليومية'!$E$11:$E$1010,MATCH($A94,'قيود اليومية'!$O$11:$O$1010,0))&amp;"")</f>
        <v/>
      </c>
      <c r="E94" s="51" t="str">
        <f aca="false">IF($A94="","",INDEX('قيود اليومية'!$F$11:$F$1010,MATCH($A94,'قيود اليومية'!$O$11:$O$1010,0))&amp;"")</f>
        <v/>
      </c>
      <c r="F94" s="85" t="str">
        <f aca="false">IF($A94="","",INDEX('قيود اليومية'!$G$11:$G$1010,MATCH($A94,'قيود اليومية'!$O$11:$O$1010,0)))</f>
        <v/>
      </c>
      <c r="G94" s="85" t="str">
        <f aca="false">IF($A94="","",INDEX('قيود اليومية'!$H$11:$H$1010,MATCH($A94,'قيود اليومية'!$O$11:$O$1010,0)))</f>
        <v/>
      </c>
      <c r="H94" s="63" t="str">
        <f aca="false">IF($A94="","",N(H93)+IF($C$8&lt;&gt;"" ,IF(LEFT($C$8,4)="دائن",G94-F94,F94-G94),0))</f>
        <v/>
      </c>
    </row>
    <row r="95" customFormat="false" ht="15" hidden="false" customHeight="false" outlineLevel="0" collapsed="false">
      <c r="A95" s="82" t="str">
        <f aca="false">IF(ROW()-16&gt;COUNT('قيود اليومية'!$O$11:$O$1010),"",ROW()-16)</f>
        <v/>
      </c>
      <c r="B95" s="83" t="str">
        <f aca="false">IF($A95="","",INDEX('قيود اليومية'!$B$11:$B$1010,MATCH($A95,'قيود اليومية'!$O$11:$O$1010,0)))</f>
        <v/>
      </c>
      <c r="C95" s="84" t="str">
        <f aca="false">IF($A95="","",INDEX('قيود اليومية'!$A$11:$A$1010,MATCH($A95,'قيود اليومية'!$O$11:$O$1010,0)))</f>
        <v/>
      </c>
      <c r="D95" s="51" t="str">
        <f aca="false">IF($A95="","",INDEX('قيود اليومية'!$E$11:$E$1010,MATCH($A95,'قيود اليومية'!$O$11:$O$1010,0))&amp;"")</f>
        <v/>
      </c>
      <c r="E95" s="51" t="str">
        <f aca="false">IF($A95="","",INDEX('قيود اليومية'!$F$11:$F$1010,MATCH($A95,'قيود اليومية'!$O$11:$O$1010,0))&amp;"")</f>
        <v/>
      </c>
      <c r="F95" s="85" t="str">
        <f aca="false">IF($A95="","",INDEX('قيود اليومية'!$G$11:$G$1010,MATCH($A95,'قيود اليومية'!$O$11:$O$1010,0)))</f>
        <v/>
      </c>
      <c r="G95" s="85" t="str">
        <f aca="false">IF($A95="","",INDEX('قيود اليومية'!$H$11:$H$1010,MATCH($A95,'قيود اليومية'!$O$11:$O$1010,0)))</f>
        <v/>
      </c>
      <c r="H95" s="63" t="str">
        <f aca="false">IF($A95="","",N(H94)+IF($C$8&lt;&gt;"" ,IF(LEFT($C$8,4)="دائن",G95-F95,F95-G95),0))</f>
        <v/>
      </c>
    </row>
    <row r="96" customFormat="false" ht="15" hidden="false" customHeight="false" outlineLevel="0" collapsed="false">
      <c r="A96" s="82" t="str">
        <f aca="false">IF(ROW()-16&gt;COUNT('قيود اليومية'!$O$11:$O$1010),"",ROW()-16)</f>
        <v/>
      </c>
      <c r="B96" s="83" t="str">
        <f aca="false">IF($A96="","",INDEX('قيود اليومية'!$B$11:$B$1010,MATCH($A96,'قيود اليومية'!$O$11:$O$1010,0)))</f>
        <v/>
      </c>
      <c r="C96" s="84" t="str">
        <f aca="false">IF($A96="","",INDEX('قيود اليومية'!$A$11:$A$1010,MATCH($A96,'قيود اليومية'!$O$11:$O$1010,0)))</f>
        <v/>
      </c>
      <c r="D96" s="51" t="str">
        <f aca="false">IF($A96="","",INDEX('قيود اليومية'!$E$11:$E$1010,MATCH($A96,'قيود اليومية'!$O$11:$O$1010,0))&amp;"")</f>
        <v/>
      </c>
      <c r="E96" s="51" t="str">
        <f aca="false">IF($A96="","",INDEX('قيود اليومية'!$F$11:$F$1010,MATCH($A96,'قيود اليومية'!$O$11:$O$1010,0))&amp;"")</f>
        <v/>
      </c>
      <c r="F96" s="85" t="str">
        <f aca="false">IF($A96="","",INDEX('قيود اليومية'!$G$11:$G$1010,MATCH($A96,'قيود اليومية'!$O$11:$O$1010,0)))</f>
        <v/>
      </c>
      <c r="G96" s="85" t="str">
        <f aca="false">IF($A96="","",INDEX('قيود اليومية'!$H$11:$H$1010,MATCH($A96,'قيود اليومية'!$O$11:$O$1010,0)))</f>
        <v/>
      </c>
      <c r="H96" s="63" t="str">
        <f aca="false">IF($A96="","",N(H95)+IF($C$8&lt;&gt;"" ,IF(LEFT($C$8,4)="دائن",G96-F96,F96-G96),0))</f>
        <v/>
      </c>
    </row>
    <row r="97" customFormat="false" ht="15" hidden="false" customHeight="false" outlineLevel="0" collapsed="false">
      <c r="A97" s="82" t="str">
        <f aca="false">IF(ROW()-16&gt;COUNT('قيود اليومية'!$O$11:$O$1010),"",ROW()-16)</f>
        <v/>
      </c>
      <c r="B97" s="83" t="str">
        <f aca="false">IF($A97="","",INDEX('قيود اليومية'!$B$11:$B$1010,MATCH($A97,'قيود اليومية'!$O$11:$O$1010,0)))</f>
        <v/>
      </c>
      <c r="C97" s="84" t="str">
        <f aca="false">IF($A97="","",INDEX('قيود اليومية'!$A$11:$A$1010,MATCH($A97,'قيود اليومية'!$O$11:$O$1010,0)))</f>
        <v/>
      </c>
      <c r="D97" s="51" t="str">
        <f aca="false">IF($A97="","",INDEX('قيود اليومية'!$E$11:$E$1010,MATCH($A97,'قيود اليومية'!$O$11:$O$1010,0))&amp;"")</f>
        <v/>
      </c>
      <c r="E97" s="51" t="str">
        <f aca="false">IF($A97="","",INDEX('قيود اليومية'!$F$11:$F$1010,MATCH($A97,'قيود اليومية'!$O$11:$O$1010,0))&amp;"")</f>
        <v/>
      </c>
      <c r="F97" s="85" t="str">
        <f aca="false">IF($A97="","",INDEX('قيود اليومية'!$G$11:$G$1010,MATCH($A97,'قيود اليومية'!$O$11:$O$1010,0)))</f>
        <v/>
      </c>
      <c r="G97" s="85" t="str">
        <f aca="false">IF($A97="","",INDEX('قيود اليومية'!$H$11:$H$1010,MATCH($A97,'قيود اليومية'!$O$11:$O$1010,0)))</f>
        <v/>
      </c>
      <c r="H97" s="63" t="str">
        <f aca="false">IF($A97="","",N(H96)+IF($C$8&lt;&gt;"" ,IF(LEFT($C$8,4)="دائن",G97-F97,F97-G97),0))</f>
        <v/>
      </c>
    </row>
    <row r="98" customFormat="false" ht="15" hidden="false" customHeight="false" outlineLevel="0" collapsed="false">
      <c r="A98" s="82" t="str">
        <f aca="false">IF(ROW()-16&gt;COUNT('قيود اليومية'!$O$11:$O$1010),"",ROW()-16)</f>
        <v/>
      </c>
      <c r="B98" s="83" t="str">
        <f aca="false">IF($A98="","",INDEX('قيود اليومية'!$B$11:$B$1010,MATCH($A98,'قيود اليومية'!$O$11:$O$1010,0)))</f>
        <v/>
      </c>
      <c r="C98" s="84" t="str">
        <f aca="false">IF($A98="","",INDEX('قيود اليومية'!$A$11:$A$1010,MATCH($A98,'قيود اليومية'!$O$11:$O$1010,0)))</f>
        <v/>
      </c>
      <c r="D98" s="51" t="str">
        <f aca="false">IF($A98="","",INDEX('قيود اليومية'!$E$11:$E$1010,MATCH($A98,'قيود اليومية'!$O$11:$O$1010,0))&amp;"")</f>
        <v/>
      </c>
      <c r="E98" s="51" t="str">
        <f aca="false">IF($A98="","",INDEX('قيود اليومية'!$F$11:$F$1010,MATCH($A98,'قيود اليومية'!$O$11:$O$1010,0))&amp;"")</f>
        <v/>
      </c>
      <c r="F98" s="85" t="str">
        <f aca="false">IF($A98="","",INDEX('قيود اليومية'!$G$11:$G$1010,MATCH($A98,'قيود اليومية'!$O$11:$O$1010,0)))</f>
        <v/>
      </c>
      <c r="G98" s="85" t="str">
        <f aca="false">IF($A98="","",INDEX('قيود اليومية'!$H$11:$H$1010,MATCH($A98,'قيود اليومية'!$O$11:$O$1010,0)))</f>
        <v/>
      </c>
      <c r="H98" s="63" t="str">
        <f aca="false">IF($A98="","",N(H97)+IF($C$8&lt;&gt;"" ,IF(LEFT($C$8,4)="دائن",G98-F98,F98-G98),0))</f>
        <v/>
      </c>
    </row>
    <row r="99" customFormat="false" ht="15" hidden="false" customHeight="false" outlineLevel="0" collapsed="false">
      <c r="A99" s="82" t="str">
        <f aca="false">IF(ROW()-16&gt;COUNT('قيود اليومية'!$O$11:$O$1010),"",ROW()-16)</f>
        <v/>
      </c>
      <c r="B99" s="83" t="str">
        <f aca="false">IF($A99="","",INDEX('قيود اليومية'!$B$11:$B$1010,MATCH($A99,'قيود اليومية'!$O$11:$O$1010,0)))</f>
        <v/>
      </c>
      <c r="C99" s="84" t="str">
        <f aca="false">IF($A99="","",INDEX('قيود اليومية'!$A$11:$A$1010,MATCH($A99,'قيود اليومية'!$O$11:$O$1010,0)))</f>
        <v/>
      </c>
      <c r="D99" s="51" t="str">
        <f aca="false">IF($A99="","",INDEX('قيود اليومية'!$E$11:$E$1010,MATCH($A99,'قيود اليومية'!$O$11:$O$1010,0))&amp;"")</f>
        <v/>
      </c>
      <c r="E99" s="51" t="str">
        <f aca="false">IF($A99="","",INDEX('قيود اليومية'!$F$11:$F$1010,MATCH($A99,'قيود اليومية'!$O$11:$O$1010,0))&amp;"")</f>
        <v/>
      </c>
      <c r="F99" s="85" t="str">
        <f aca="false">IF($A99="","",INDEX('قيود اليومية'!$G$11:$G$1010,MATCH($A99,'قيود اليومية'!$O$11:$O$1010,0)))</f>
        <v/>
      </c>
      <c r="G99" s="85" t="str">
        <f aca="false">IF($A99="","",INDEX('قيود اليومية'!$H$11:$H$1010,MATCH($A99,'قيود اليومية'!$O$11:$O$1010,0)))</f>
        <v/>
      </c>
      <c r="H99" s="63" t="str">
        <f aca="false">IF($A99="","",N(H98)+IF($C$8&lt;&gt;"" ,IF(LEFT($C$8,4)="دائن",G99-F99,F99-G99),0))</f>
        <v/>
      </c>
    </row>
    <row r="100" customFormat="false" ht="15" hidden="false" customHeight="false" outlineLevel="0" collapsed="false">
      <c r="A100" s="82" t="str">
        <f aca="false">IF(ROW()-16&gt;COUNT('قيود اليومية'!$O$11:$O$1010),"",ROW()-16)</f>
        <v/>
      </c>
      <c r="B100" s="83" t="str">
        <f aca="false">IF($A100="","",INDEX('قيود اليومية'!$B$11:$B$1010,MATCH($A100,'قيود اليومية'!$O$11:$O$1010,0)))</f>
        <v/>
      </c>
      <c r="C100" s="84" t="str">
        <f aca="false">IF($A100="","",INDEX('قيود اليومية'!$A$11:$A$1010,MATCH($A100,'قيود اليومية'!$O$11:$O$1010,0)))</f>
        <v/>
      </c>
      <c r="D100" s="51" t="str">
        <f aca="false">IF($A100="","",INDEX('قيود اليومية'!$E$11:$E$1010,MATCH($A100,'قيود اليومية'!$O$11:$O$1010,0))&amp;"")</f>
        <v/>
      </c>
      <c r="E100" s="51" t="str">
        <f aca="false">IF($A100="","",INDEX('قيود اليومية'!$F$11:$F$1010,MATCH($A100,'قيود اليومية'!$O$11:$O$1010,0))&amp;"")</f>
        <v/>
      </c>
      <c r="F100" s="85" t="str">
        <f aca="false">IF($A100="","",INDEX('قيود اليومية'!$G$11:$G$1010,MATCH($A100,'قيود اليومية'!$O$11:$O$1010,0)))</f>
        <v/>
      </c>
      <c r="G100" s="85" t="str">
        <f aca="false">IF($A100="","",INDEX('قيود اليومية'!$H$11:$H$1010,MATCH($A100,'قيود اليومية'!$O$11:$O$1010,0)))</f>
        <v/>
      </c>
      <c r="H100" s="63" t="str">
        <f aca="false">IF($A100="","",N(H99)+IF($C$8&lt;&gt;"" ,IF(LEFT($C$8,4)="دائن",G100-F100,F100-G100),0))</f>
        <v/>
      </c>
    </row>
    <row r="101" customFormat="false" ht="15" hidden="false" customHeight="false" outlineLevel="0" collapsed="false">
      <c r="A101" s="82" t="str">
        <f aca="false">IF(ROW()-16&gt;COUNT('قيود اليومية'!$O$11:$O$1010),"",ROW()-16)</f>
        <v/>
      </c>
      <c r="B101" s="83" t="str">
        <f aca="false">IF($A101="","",INDEX('قيود اليومية'!$B$11:$B$1010,MATCH($A101,'قيود اليومية'!$O$11:$O$1010,0)))</f>
        <v/>
      </c>
      <c r="C101" s="84" t="str">
        <f aca="false">IF($A101="","",INDEX('قيود اليومية'!$A$11:$A$1010,MATCH($A101,'قيود اليومية'!$O$11:$O$1010,0)))</f>
        <v/>
      </c>
      <c r="D101" s="51" t="str">
        <f aca="false">IF($A101="","",INDEX('قيود اليومية'!$E$11:$E$1010,MATCH($A101,'قيود اليومية'!$O$11:$O$1010,0))&amp;"")</f>
        <v/>
      </c>
      <c r="E101" s="51" t="str">
        <f aca="false">IF($A101="","",INDEX('قيود اليومية'!$F$11:$F$1010,MATCH($A101,'قيود اليومية'!$O$11:$O$1010,0))&amp;"")</f>
        <v/>
      </c>
      <c r="F101" s="85" t="str">
        <f aca="false">IF($A101="","",INDEX('قيود اليومية'!$G$11:$G$1010,MATCH($A101,'قيود اليومية'!$O$11:$O$1010,0)))</f>
        <v/>
      </c>
      <c r="G101" s="85" t="str">
        <f aca="false">IF($A101="","",INDEX('قيود اليومية'!$H$11:$H$1010,MATCH($A101,'قيود اليومية'!$O$11:$O$1010,0)))</f>
        <v/>
      </c>
      <c r="H101" s="63" t="str">
        <f aca="false">IF($A101="","",N(H100)+IF($C$8&lt;&gt;"" ,IF(LEFT($C$8,4)="دائن",G101-F101,F101-G101),0))</f>
        <v/>
      </c>
    </row>
    <row r="102" customFormat="false" ht="15" hidden="false" customHeight="false" outlineLevel="0" collapsed="false">
      <c r="A102" s="82" t="str">
        <f aca="false">IF(ROW()-16&gt;COUNT('قيود اليومية'!$O$11:$O$1010),"",ROW()-16)</f>
        <v/>
      </c>
      <c r="B102" s="83" t="str">
        <f aca="false">IF($A102="","",INDEX('قيود اليومية'!$B$11:$B$1010,MATCH($A102,'قيود اليومية'!$O$11:$O$1010,0)))</f>
        <v/>
      </c>
      <c r="C102" s="84" t="str">
        <f aca="false">IF($A102="","",INDEX('قيود اليومية'!$A$11:$A$1010,MATCH($A102,'قيود اليومية'!$O$11:$O$1010,0)))</f>
        <v/>
      </c>
      <c r="D102" s="51" t="str">
        <f aca="false">IF($A102="","",INDEX('قيود اليومية'!$E$11:$E$1010,MATCH($A102,'قيود اليومية'!$O$11:$O$1010,0))&amp;"")</f>
        <v/>
      </c>
      <c r="E102" s="51" t="str">
        <f aca="false">IF($A102="","",INDEX('قيود اليومية'!$F$11:$F$1010,MATCH($A102,'قيود اليومية'!$O$11:$O$1010,0))&amp;"")</f>
        <v/>
      </c>
      <c r="F102" s="85" t="str">
        <f aca="false">IF($A102="","",INDEX('قيود اليومية'!$G$11:$G$1010,MATCH($A102,'قيود اليومية'!$O$11:$O$1010,0)))</f>
        <v/>
      </c>
      <c r="G102" s="85" t="str">
        <f aca="false">IF($A102="","",INDEX('قيود اليومية'!$H$11:$H$1010,MATCH($A102,'قيود اليومية'!$O$11:$O$1010,0)))</f>
        <v/>
      </c>
      <c r="H102" s="63" t="str">
        <f aca="false">IF($A102="","",N(H101)+IF($C$8&lt;&gt;"" ,IF(LEFT($C$8,4)="دائن",G102-F102,F102-G102),0))</f>
        <v/>
      </c>
    </row>
    <row r="103" customFormat="false" ht="15" hidden="false" customHeight="false" outlineLevel="0" collapsed="false">
      <c r="A103" s="82" t="str">
        <f aca="false">IF(ROW()-16&gt;COUNT('قيود اليومية'!$O$11:$O$1010),"",ROW()-16)</f>
        <v/>
      </c>
      <c r="B103" s="83" t="str">
        <f aca="false">IF($A103="","",INDEX('قيود اليومية'!$B$11:$B$1010,MATCH($A103,'قيود اليومية'!$O$11:$O$1010,0)))</f>
        <v/>
      </c>
      <c r="C103" s="84" t="str">
        <f aca="false">IF($A103="","",INDEX('قيود اليومية'!$A$11:$A$1010,MATCH($A103,'قيود اليومية'!$O$11:$O$1010,0)))</f>
        <v/>
      </c>
      <c r="D103" s="51" t="str">
        <f aca="false">IF($A103="","",INDEX('قيود اليومية'!$E$11:$E$1010,MATCH($A103,'قيود اليومية'!$O$11:$O$1010,0))&amp;"")</f>
        <v/>
      </c>
      <c r="E103" s="51" t="str">
        <f aca="false">IF($A103="","",INDEX('قيود اليومية'!$F$11:$F$1010,MATCH($A103,'قيود اليومية'!$O$11:$O$1010,0))&amp;"")</f>
        <v/>
      </c>
      <c r="F103" s="85" t="str">
        <f aca="false">IF($A103="","",INDEX('قيود اليومية'!$G$11:$G$1010,MATCH($A103,'قيود اليومية'!$O$11:$O$1010,0)))</f>
        <v/>
      </c>
      <c r="G103" s="85" t="str">
        <f aca="false">IF($A103="","",INDEX('قيود اليومية'!$H$11:$H$1010,MATCH($A103,'قيود اليومية'!$O$11:$O$1010,0)))</f>
        <v/>
      </c>
      <c r="H103" s="63" t="str">
        <f aca="false">IF($A103="","",N(H102)+IF($C$8&lt;&gt;"" ,IF(LEFT($C$8,4)="دائن",G103-F103,F103-G103),0))</f>
        <v/>
      </c>
    </row>
    <row r="104" customFormat="false" ht="15" hidden="false" customHeight="false" outlineLevel="0" collapsed="false">
      <c r="A104" s="82" t="str">
        <f aca="false">IF(ROW()-16&gt;COUNT('قيود اليومية'!$O$11:$O$1010),"",ROW()-16)</f>
        <v/>
      </c>
      <c r="B104" s="83" t="str">
        <f aca="false">IF($A104="","",INDEX('قيود اليومية'!$B$11:$B$1010,MATCH($A104,'قيود اليومية'!$O$11:$O$1010,0)))</f>
        <v/>
      </c>
      <c r="C104" s="84" t="str">
        <f aca="false">IF($A104="","",INDEX('قيود اليومية'!$A$11:$A$1010,MATCH($A104,'قيود اليومية'!$O$11:$O$1010,0)))</f>
        <v/>
      </c>
      <c r="D104" s="51" t="str">
        <f aca="false">IF($A104="","",INDEX('قيود اليومية'!$E$11:$E$1010,MATCH($A104,'قيود اليومية'!$O$11:$O$1010,0))&amp;"")</f>
        <v/>
      </c>
      <c r="E104" s="51" t="str">
        <f aca="false">IF($A104="","",INDEX('قيود اليومية'!$F$11:$F$1010,MATCH($A104,'قيود اليومية'!$O$11:$O$1010,0))&amp;"")</f>
        <v/>
      </c>
      <c r="F104" s="85" t="str">
        <f aca="false">IF($A104="","",INDEX('قيود اليومية'!$G$11:$G$1010,MATCH($A104,'قيود اليومية'!$O$11:$O$1010,0)))</f>
        <v/>
      </c>
      <c r="G104" s="85" t="str">
        <f aca="false">IF($A104="","",INDEX('قيود اليومية'!$H$11:$H$1010,MATCH($A104,'قيود اليومية'!$O$11:$O$1010,0)))</f>
        <v/>
      </c>
      <c r="H104" s="63" t="str">
        <f aca="false">IF($A104="","",N(H103)+IF($C$8&lt;&gt;"" ,IF(LEFT($C$8,4)="دائن",G104-F104,F104-G104),0))</f>
        <v/>
      </c>
    </row>
    <row r="105" customFormat="false" ht="15" hidden="false" customHeight="false" outlineLevel="0" collapsed="false">
      <c r="A105" s="82" t="str">
        <f aca="false">IF(ROW()-16&gt;COUNT('قيود اليومية'!$O$11:$O$1010),"",ROW()-16)</f>
        <v/>
      </c>
      <c r="B105" s="83" t="str">
        <f aca="false">IF($A105="","",INDEX('قيود اليومية'!$B$11:$B$1010,MATCH($A105,'قيود اليومية'!$O$11:$O$1010,0)))</f>
        <v/>
      </c>
      <c r="C105" s="84" t="str">
        <f aca="false">IF($A105="","",INDEX('قيود اليومية'!$A$11:$A$1010,MATCH($A105,'قيود اليومية'!$O$11:$O$1010,0)))</f>
        <v/>
      </c>
      <c r="D105" s="51" t="str">
        <f aca="false">IF($A105="","",INDEX('قيود اليومية'!$E$11:$E$1010,MATCH($A105,'قيود اليومية'!$O$11:$O$1010,0))&amp;"")</f>
        <v/>
      </c>
      <c r="E105" s="51" t="str">
        <f aca="false">IF($A105="","",INDEX('قيود اليومية'!$F$11:$F$1010,MATCH($A105,'قيود اليومية'!$O$11:$O$1010,0))&amp;"")</f>
        <v/>
      </c>
      <c r="F105" s="85" t="str">
        <f aca="false">IF($A105="","",INDEX('قيود اليومية'!$G$11:$G$1010,MATCH($A105,'قيود اليومية'!$O$11:$O$1010,0)))</f>
        <v/>
      </c>
      <c r="G105" s="85" t="str">
        <f aca="false">IF($A105="","",INDEX('قيود اليومية'!$H$11:$H$1010,MATCH($A105,'قيود اليومية'!$O$11:$O$1010,0)))</f>
        <v/>
      </c>
      <c r="H105" s="63" t="str">
        <f aca="false">IF($A105="","",N(H104)+IF($C$8&lt;&gt;"" ,IF(LEFT($C$8,4)="دائن",G105-F105,F105-G105),0))</f>
        <v/>
      </c>
    </row>
    <row r="106" customFormat="false" ht="15" hidden="false" customHeight="false" outlineLevel="0" collapsed="false">
      <c r="A106" s="82" t="str">
        <f aca="false">IF(ROW()-16&gt;COUNT('قيود اليومية'!$O$11:$O$1010),"",ROW()-16)</f>
        <v/>
      </c>
      <c r="B106" s="83" t="str">
        <f aca="false">IF($A106="","",INDEX('قيود اليومية'!$B$11:$B$1010,MATCH($A106,'قيود اليومية'!$O$11:$O$1010,0)))</f>
        <v/>
      </c>
      <c r="C106" s="84" t="str">
        <f aca="false">IF($A106="","",INDEX('قيود اليومية'!$A$11:$A$1010,MATCH($A106,'قيود اليومية'!$O$11:$O$1010,0)))</f>
        <v/>
      </c>
      <c r="D106" s="51" t="str">
        <f aca="false">IF($A106="","",INDEX('قيود اليومية'!$E$11:$E$1010,MATCH($A106,'قيود اليومية'!$O$11:$O$1010,0))&amp;"")</f>
        <v/>
      </c>
      <c r="E106" s="51" t="str">
        <f aca="false">IF($A106="","",INDEX('قيود اليومية'!$F$11:$F$1010,MATCH($A106,'قيود اليومية'!$O$11:$O$1010,0))&amp;"")</f>
        <v/>
      </c>
      <c r="F106" s="85" t="str">
        <f aca="false">IF($A106="","",INDEX('قيود اليومية'!$G$11:$G$1010,MATCH($A106,'قيود اليومية'!$O$11:$O$1010,0)))</f>
        <v/>
      </c>
      <c r="G106" s="85" t="str">
        <f aca="false">IF($A106="","",INDEX('قيود اليومية'!$H$11:$H$1010,MATCH($A106,'قيود اليومية'!$O$11:$O$1010,0)))</f>
        <v/>
      </c>
      <c r="H106" s="63" t="str">
        <f aca="false">IF($A106="","",N(H105)+IF($C$8&lt;&gt;"" ,IF(LEFT($C$8,4)="دائن",G106-F106,F106-G106),0))</f>
        <v/>
      </c>
    </row>
    <row r="107" customFormat="false" ht="15" hidden="false" customHeight="false" outlineLevel="0" collapsed="false">
      <c r="A107" s="82" t="str">
        <f aca="false">IF(ROW()-16&gt;COUNT('قيود اليومية'!$O$11:$O$1010),"",ROW()-16)</f>
        <v/>
      </c>
      <c r="B107" s="83" t="str">
        <f aca="false">IF($A107="","",INDEX('قيود اليومية'!$B$11:$B$1010,MATCH($A107,'قيود اليومية'!$O$11:$O$1010,0)))</f>
        <v/>
      </c>
      <c r="C107" s="84" t="str">
        <f aca="false">IF($A107="","",INDEX('قيود اليومية'!$A$11:$A$1010,MATCH($A107,'قيود اليومية'!$O$11:$O$1010,0)))</f>
        <v/>
      </c>
      <c r="D107" s="51" t="str">
        <f aca="false">IF($A107="","",INDEX('قيود اليومية'!$E$11:$E$1010,MATCH($A107,'قيود اليومية'!$O$11:$O$1010,0))&amp;"")</f>
        <v/>
      </c>
      <c r="E107" s="51" t="str">
        <f aca="false">IF($A107="","",INDEX('قيود اليومية'!$F$11:$F$1010,MATCH($A107,'قيود اليومية'!$O$11:$O$1010,0))&amp;"")</f>
        <v/>
      </c>
      <c r="F107" s="85" t="str">
        <f aca="false">IF($A107="","",INDEX('قيود اليومية'!$G$11:$G$1010,MATCH($A107,'قيود اليومية'!$O$11:$O$1010,0)))</f>
        <v/>
      </c>
      <c r="G107" s="85" t="str">
        <f aca="false">IF($A107="","",INDEX('قيود اليومية'!$H$11:$H$1010,MATCH($A107,'قيود اليومية'!$O$11:$O$1010,0)))</f>
        <v/>
      </c>
      <c r="H107" s="63" t="str">
        <f aca="false">IF($A107="","",N(H106)+IF($C$8&lt;&gt;"" ,IF(LEFT($C$8,4)="دائن",G107-F107,F107-G107),0))</f>
        <v/>
      </c>
    </row>
    <row r="108" customFormat="false" ht="15" hidden="false" customHeight="false" outlineLevel="0" collapsed="false">
      <c r="A108" s="82" t="str">
        <f aca="false">IF(ROW()-16&gt;COUNT('قيود اليومية'!$O$11:$O$1010),"",ROW()-16)</f>
        <v/>
      </c>
      <c r="B108" s="83" t="str">
        <f aca="false">IF($A108="","",INDEX('قيود اليومية'!$B$11:$B$1010,MATCH($A108,'قيود اليومية'!$O$11:$O$1010,0)))</f>
        <v/>
      </c>
      <c r="C108" s="84" t="str">
        <f aca="false">IF($A108="","",INDEX('قيود اليومية'!$A$11:$A$1010,MATCH($A108,'قيود اليومية'!$O$11:$O$1010,0)))</f>
        <v/>
      </c>
      <c r="D108" s="51" t="str">
        <f aca="false">IF($A108="","",INDEX('قيود اليومية'!$E$11:$E$1010,MATCH($A108,'قيود اليومية'!$O$11:$O$1010,0))&amp;"")</f>
        <v/>
      </c>
      <c r="E108" s="51" t="str">
        <f aca="false">IF($A108="","",INDEX('قيود اليومية'!$F$11:$F$1010,MATCH($A108,'قيود اليومية'!$O$11:$O$1010,0))&amp;"")</f>
        <v/>
      </c>
      <c r="F108" s="85" t="str">
        <f aca="false">IF($A108="","",INDEX('قيود اليومية'!$G$11:$G$1010,MATCH($A108,'قيود اليومية'!$O$11:$O$1010,0)))</f>
        <v/>
      </c>
      <c r="G108" s="85" t="str">
        <f aca="false">IF($A108="","",INDEX('قيود اليومية'!$H$11:$H$1010,MATCH($A108,'قيود اليومية'!$O$11:$O$1010,0)))</f>
        <v/>
      </c>
      <c r="H108" s="63" t="str">
        <f aca="false">IF($A108="","",N(H107)+IF($C$8&lt;&gt;"" ,IF(LEFT($C$8,4)="دائن",G108-F108,F108-G108),0))</f>
        <v/>
      </c>
    </row>
    <row r="109" customFormat="false" ht="15" hidden="false" customHeight="false" outlineLevel="0" collapsed="false">
      <c r="A109" s="82" t="str">
        <f aca="false">IF(ROW()-16&gt;COUNT('قيود اليومية'!$O$11:$O$1010),"",ROW()-16)</f>
        <v/>
      </c>
      <c r="B109" s="83" t="str">
        <f aca="false">IF($A109="","",INDEX('قيود اليومية'!$B$11:$B$1010,MATCH($A109,'قيود اليومية'!$O$11:$O$1010,0)))</f>
        <v/>
      </c>
      <c r="C109" s="84" t="str">
        <f aca="false">IF($A109="","",INDEX('قيود اليومية'!$A$11:$A$1010,MATCH($A109,'قيود اليومية'!$O$11:$O$1010,0)))</f>
        <v/>
      </c>
      <c r="D109" s="51" t="str">
        <f aca="false">IF($A109="","",INDEX('قيود اليومية'!$E$11:$E$1010,MATCH($A109,'قيود اليومية'!$O$11:$O$1010,0))&amp;"")</f>
        <v/>
      </c>
      <c r="E109" s="51" t="str">
        <f aca="false">IF($A109="","",INDEX('قيود اليومية'!$F$11:$F$1010,MATCH($A109,'قيود اليومية'!$O$11:$O$1010,0))&amp;"")</f>
        <v/>
      </c>
      <c r="F109" s="85" t="str">
        <f aca="false">IF($A109="","",INDEX('قيود اليومية'!$G$11:$G$1010,MATCH($A109,'قيود اليومية'!$O$11:$O$1010,0)))</f>
        <v/>
      </c>
      <c r="G109" s="85" t="str">
        <f aca="false">IF($A109="","",INDEX('قيود اليومية'!$H$11:$H$1010,MATCH($A109,'قيود اليومية'!$O$11:$O$1010,0)))</f>
        <v/>
      </c>
      <c r="H109" s="63" t="str">
        <f aca="false">IF($A109="","",N(H108)+IF($C$8&lt;&gt;"" ,IF(LEFT($C$8,4)="دائن",G109-F109,F109-G109),0))</f>
        <v/>
      </c>
    </row>
    <row r="110" customFormat="false" ht="15" hidden="false" customHeight="false" outlineLevel="0" collapsed="false">
      <c r="A110" s="82" t="str">
        <f aca="false">IF(ROW()-16&gt;COUNT('قيود اليومية'!$O$11:$O$1010),"",ROW()-16)</f>
        <v/>
      </c>
      <c r="B110" s="83" t="str">
        <f aca="false">IF($A110="","",INDEX('قيود اليومية'!$B$11:$B$1010,MATCH($A110,'قيود اليومية'!$O$11:$O$1010,0)))</f>
        <v/>
      </c>
      <c r="C110" s="84" t="str">
        <f aca="false">IF($A110="","",INDEX('قيود اليومية'!$A$11:$A$1010,MATCH($A110,'قيود اليومية'!$O$11:$O$1010,0)))</f>
        <v/>
      </c>
      <c r="D110" s="51" t="str">
        <f aca="false">IF($A110="","",INDEX('قيود اليومية'!$E$11:$E$1010,MATCH($A110,'قيود اليومية'!$O$11:$O$1010,0))&amp;"")</f>
        <v/>
      </c>
      <c r="E110" s="51" t="str">
        <f aca="false">IF($A110="","",INDEX('قيود اليومية'!$F$11:$F$1010,MATCH($A110,'قيود اليومية'!$O$11:$O$1010,0))&amp;"")</f>
        <v/>
      </c>
      <c r="F110" s="85" t="str">
        <f aca="false">IF($A110="","",INDEX('قيود اليومية'!$G$11:$G$1010,MATCH($A110,'قيود اليومية'!$O$11:$O$1010,0)))</f>
        <v/>
      </c>
      <c r="G110" s="85" t="str">
        <f aca="false">IF($A110="","",INDEX('قيود اليومية'!$H$11:$H$1010,MATCH($A110,'قيود اليومية'!$O$11:$O$1010,0)))</f>
        <v/>
      </c>
      <c r="H110" s="63" t="str">
        <f aca="false">IF($A110="","",N(H109)+IF($C$8&lt;&gt;"" ,IF(LEFT($C$8,4)="دائن",G110-F110,F110-G110),0))</f>
        <v/>
      </c>
    </row>
    <row r="111" customFormat="false" ht="15" hidden="false" customHeight="false" outlineLevel="0" collapsed="false">
      <c r="A111" s="82" t="str">
        <f aca="false">IF(ROW()-16&gt;COUNT('قيود اليومية'!$O$11:$O$1010),"",ROW()-16)</f>
        <v/>
      </c>
      <c r="B111" s="83" t="str">
        <f aca="false">IF($A111="","",INDEX('قيود اليومية'!$B$11:$B$1010,MATCH($A111,'قيود اليومية'!$O$11:$O$1010,0)))</f>
        <v/>
      </c>
      <c r="C111" s="84" t="str">
        <f aca="false">IF($A111="","",INDEX('قيود اليومية'!$A$11:$A$1010,MATCH($A111,'قيود اليومية'!$O$11:$O$1010,0)))</f>
        <v/>
      </c>
      <c r="D111" s="51" t="str">
        <f aca="false">IF($A111="","",INDEX('قيود اليومية'!$E$11:$E$1010,MATCH($A111,'قيود اليومية'!$O$11:$O$1010,0))&amp;"")</f>
        <v/>
      </c>
      <c r="E111" s="51" t="str">
        <f aca="false">IF($A111="","",INDEX('قيود اليومية'!$F$11:$F$1010,MATCH($A111,'قيود اليومية'!$O$11:$O$1010,0))&amp;"")</f>
        <v/>
      </c>
      <c r="F111" s="85" t="str">
        <f aca="false">IF($A111="","",INDEX('قيود اليومية'!$G$11:$G$1010,MATCH($A111,'قيود اليومية'!$O$11:$O$1010,0)))</f>
        <v/>
      </c>
      <c r="G111" s="85" t="str">
        <f aca="false">IF($A111="","",INDEX('قيود اليومية'!$H$11:$H$1010,MATCH($A111,'قيود اليومية'!$O$11:$O$1010,0)))</f>
        <v/>
      </c>
      <c r="H111" s="63" t="str">
        <f aca="false">IF($A111="","",N(H110)+IF($C$8&lt;&gt;"" ,IF(LEFT($C$8,4)="دائن",G111-F111,F111-G111),0))</f>
        <v/>
      </c>
    </row>
    <row r="112" customFormat="false" ht="15" hidden="false" customHeight="false" outlineLevel="0" collapsed="false">
      <c r="A112" s="82" t="str">
        <f aca="false">IF(ROW()-16&gt;COUNT('قيود اليومية'!$O$11:$O$1010),"",ROW()-16)</f>
        <v/>
      </c>
      <c r="B112" s="83" t="str">
        <f aca="false">IF($A112="","",INDEX('قيود اليومية'!$B$11:$B$1010,MATCH($A112,'قيود اليومية'!$O$11:$O$1010,0)))</f>
        <v/>
      </c>
      <c r="C112" s="84" t="str">
        <f aca="false">IF($A112="","",INDEX('قيود اليومية'!$A$11:$A$1010,MATCH($A112,'قيود اليومية'!$O$11:$O$1010,0)))</f>
        <v/>
      </c>
      <c r="D112" s="51" t="str">
        <f aca="false">IF($A112="","",INDEX('قيود اليومية'!$E$11:$E$1010,MATCH($A112,'قيود اليومية'!$O$11:$O$1010,0))&amp;"")</f>
        <v/>
      </c>
      <c r="E112" s="51" t="str">
        <f aca="false">IF($A112="","",INDEX('قيود اليومية'!$F$11:$F$1010,MATCH($A112,'قيود اليومية'!$O$11:$O$1010,0))&amp;"")</f>
        <v/>
      </c>
      <c r="F112" s="85" t="str">
        <f aca="false">IF($A112="","",INDEX('قيود اليومية'!$G$11:$G$1010,MATCH($A112,'قيود اليومية'!$O$11:$O$1010,0)))</f>
        <v/>
      </c>
      <c r="G112" s="85" t="str">
        <f aca="false">IF($A112="","",INDEX('قيود اليومية'!$H$11:$H$1010,MATCH($A112,'قيود اليومية'!$O$11:$O$1010,0)))</f>
        <v/>
      </c>
      <c r="H112" s="63" t="str">
        <f aca="false">IF($A112="","",N(H111)+IF($C$8&lt;&gt;"" ,IF(LEFT($C$8,4)="دائن",G112-F112,F112-G112),0))</f>
        <v/>
      </c>
    </row>
    <row r="113" customFormat="false" ht="15" hidden="false" customHeight="false" outlineLevel="0" collapsed="false">
      <c r="A113" s="82" t="str">
        <f aca="false">IF(ROW()-16&gt;COUNT('قيود اليومية'!$O$11:$O$1010),"",ROW()-16)</f>
        <v/>
      </c>
      <c r="B113" s="83" t="str">
        <f aca="false">IF($A113="","",INDEX('قيود اليومية'!$B$11:$B$1010,MATCH($A113,'قيود اليومية'!$O$11:$O$1010,0)))</f>
        <v/>
      </c>
      <c r="C113" s="84" t="str">
        <f aca="false">IF($A113="","",INDEX('قيود اليومية'!$A$11:$A$1010,MATCH($A113,'قيود اليومية'!$O$11:$O$1010,0)))</f>
        <v/>
      </c>
      <c r="D113" s="51" t="str">
        <f aca="false">IF($A113="","",INDEX('قيود اليومية'!$E$11:$E$1010,MATCH($A113,'قيود اليومية'!$O$11:$O$1010,0))&amp;"")</f>
        <v/>
      </c>
      <c r="E113" s="51" t="str">
        <f aca="false">IF($A113="","",INDEX('قيود اليومية'!$F$11:$F$1010,MATCH($A113,'قيود اليومية'!$O$11:$O$1010,0))&amp;"")</f>
        <v/>
      </c>
      <c r="F113" s="85" t="str">
        <f aca="false">IF($A113="","",INDEX('قيود اليومية'!$G$11:$G$1010,MATCH($A113,'قيود اليومية'!$O$11:$O$1010,0)))</f>
        <v/>
      </c>
      <c r="G113" s="85" t="str">
        <f aca="false">IF($A113="","",INDEX('قيود اليومية'!$H$11:$H$1010,MATCH($A113,'قيود اليومية'!$O$11:$O$1010,0)))</f>
        <v/>
      </c>
      <c r="H113" s="63" t="str">
        <f aca="false">IF($A113="","",N(H112)+IF($C$8&lt;&gt;"" ,IF(LEFT($C$8,4)="دائن",G113-F113,F113-G113),0))</f>
        <v/>
      </c>
    </row>
    <row r="114" customFormat="false" ht="15" hidden="false" customHeight="false" outlineLevel="0" collapsed="false">
      <c r="A114" s="82" t="str">
        <f aca="false">IF(ROW()-16&gt;COUNT('قيود اليومية'!$O$11:$O$1010),"",ROW()-16)</f>
        <v/>
      </c>
      <c r="B114" s="83" t="str">
        <f aca="false">IF($A114="","",INDEX('قيود اليومية'!$B$11:$B$1010,MATCH($A114,'قيود اليومية'!$O$11:$O$1010,0)))</f>
        <v/>
      </c>
      <c r="C114" s="84" t="str">
        <f aca="false">IF($A114="","",INDEX('قيود اليومية'!$A$11:$A$1010,MATCH($A114,'قيود اليومية'!$O$11:$O$1010,0)))</f>
        <v/>
      </c>
      <c r="D114" s="51" t="str">
        <f aca="false">IF($A114="","",INDEX('قيود اليومية'!$E$11:$E$1010,MATCH($A114,'قيود اليومية'!$O$11:$O$1010,0))&amp;"")</f>
        <v/>
      </c>
      <c r="E114" s="51" t="str">
        <f aca="false">IF($A114="","",INDEX('قيود اليومية'!$F$11:$F$1010,MATCH($A114,'قيود اليومية'!$O$11:$O$1010,0))&amp;"")</f>
        <v/>
      </c>
      <c r="F114" s="85" t="str">
        <f aca="false">IF($A114="","",INDEX('قيود اليومية'!$G$11:$G$1010,MATCH($A114,'قيود اليومية'!$O$11:$O$1010,0)))</f>
        <v/>
      </c>
      <c r="G114" s="85" t="str">
        <f aca="false">IF($A114="","",INDEX('قيود اليومية'!$H$11:$H$1010,MATCH($A114,'قيود اليومية'!$O$11:$O$1010,0)))</f>
        <v/>
      </c>
      <c r="H114" s="63" t="str">
        <f aca="false">IF($A114="","",N(H113)+IF($C$8&lt;&gt;"" ,IF(LEFT($C$8,4)="دائن",G114-F114,F114-G114),0))</f>
        <v/>
      </c>
    </row>
    <row r="115" customFormat="false" ht="15" hidden="false" customHeight="false" outlineLevel="0" collapsed="false">
      <c r="A115" s="82" t="str">
        <f aca="false">IF(ROW()-16&gt;COUNT('قيود اليومية'!$O$11:$O$1010),"",ROW()-16)</f>
        <v/>
      </c>
      <c r="B115" s="83" t="str">
        <f aca="false">IF($A115="","",INDEX('قيود اليومية'!$B$11:$B$1010,MATCH($A115,'قيود اليومية'!$O$11:$O$1010,0)))</f>
        <v/>
      </c>
      <c r="C115" s="84" t="str">
        <f aca="false">IF($A115="","",INDEX('قيود اليومية'!$A$11:$A$1010,MATCH($A115,'قيود اليومية'!$O$11:$O$1010,0)))</f>
        <v/>
      </c>
      <c r="D115" s="51" t="str">
        <f aca="false">IF($A115="","",INDEX('قيود اليومية'!$E$11:$E$1010,MATCH($A115,'قيود اليومية'!$O$11:$O$1010,0))&amp;"")</f>
        <v/>
      </c>
      <c r="E115" s="51" t="str">
        <f aca="false">IF($A115="","",INDEX('قيود اليومية'!$F$11:$F$1010,MATCH($A115,'قيود اليومية'!$O$11:$O$1010,0))&amp;"")</f>
        <v/>
      </c>
      <c r="F115" s="85" t="str">
        <f aca="false">IF($A115="","",INDEX('قيود اليومية'!$G$11:$G$1010,MATCH($A115,'قيود اليومية'!$O$11:$O$1010,0)))</f>
        <v/>
      </c>
      <c r="G115" s="85" t="str">
        <f aca="false">IF($A115="","",INDEX('قيود اليومية'!$H$11:$H$1010,MATCH($A115,'قيود اليومية'!$O$11:$O$1010,0)))</f>
        <v/>
      </c>
      <c r="H115" s="63" t="str">
        <f aca="false">IF($A115="","",N(H114)+IF($C$8&lt;&gt;"" ,IF(LEFT($C$8,4)="دائن",G115-F115,F115-G115),0))</f>
        <v/>
      </c>
    </row>
    <row r="116" customFormat="false" ht="15" hidden="false" customHeight="false" outlineLevel="0" collapsed="false">
      <c r="A116" s="82" t="str">
        <f aca="false">IF(ROW()-16&gt;COUNT('قيود اليومية'!$O$11:$O$1010),"",ROW()-16)</f>
        <v/>
      </c>
      <c r="B116" s="83" t="str">
        <f aca="false">IF($A116="","",INDEX('قيود اليومية'!$B$11:$B$1010,MATCH($A116,'قيود اليومية'!$O$11:$O$1010,0)))</f>
        <v/>
      </c>
      <c r="C116" s="84" t="str">
        <f aca="false">IF($A116="","",INDEX('قيود اليومية'!$A$11:$A$1010,MATCH($A116,'قيود اليومية'!$O$11:$O$1010,0)))</f>
        <v/>
      </c>
      <c r="D116" s="51" t="str">
        <f aca="false">IF($A116="","",INDEX('قيود اليومية'!$E$11:$E$1010,MATCH($A116,'قيود اليومية'!$O$11:$O$1010,0))&amp;"")</f>
        <v/>
      </c>
      <c r="E116" s="51" t="str">
        <f aca="false">IF($A116="","",INDEX('قيود اليومية'!$F$11:$F$1010,MATCH($A116,'قيود اليومية'!$O$11:$O$1010,0))&amp;"")</f>
        <v/>
      </c>
      <c r="F116" s="85" t="str">
        <f aca="false">IF($A116="","",INDEX('قيود اليومية'!$G$11:$G$1010,MATCH($A116,'قيود اليومية'!$O$11:$O$1010,0)))</f>
        <v/>
      </c>
      <c r="G116" s="85" t="str">
        <f aca="false">IF($A116="","",INDEX('قيود اليومية'!$H$11:$H$1010,MATCH($A116,'قيود اليومية'!$O$11:$O$1010,0)))</f>
        <v/>
      </c>
      <c r="H116" s="63" t="str">
        <f aca="false">IF($A116="","",N(H115)+IF($C$8&lt;&gt;"" ,IF(LEFT($C$8,4)="دائن",G116-F116,F116-G116),0))</f>
        <v/>
      </c>
    </row>
    <row r="117" customFormat="false" ht="15" hidden="false" customHeight="false" outlineLevel="0" collapsed="false">
      <c r="A117" s="82" t="str">
        <f aca="false">IF(ROW()-16&gt;COUNT('قيود اليومية'!$O$11:$O$1010),"",ROW()-16)</f>
        <v/>
      </c>
      <c r="B117" s="83" t="str">
        <f aca="false">IF($A117="","",INDEX('قيود اليومية'!$B$11:$B$1010,MATCH($A117,'قيود اليومية'!$O$11:$O$1010,0)))</f>
        <v/>
      </c>
      <c r="C117" s="84" t="str">
        <f aca="false">IF($A117="","",INDEX('قيود اليومية'!$A$11:$A$1010,MATCH($A117,'قيود اليومية'!$O$11:$O$1010,0)))</f>
        <v/>
      </c>
      <c r="D117" s="51" t="str">
        <f aca="false">IF($A117="","",INDEX('قيود اليومية'!$E$11:$E$1010,MATCH($A117,'قيود اليومية'!$O$11:$O$1010,0))&amp;"")</f>
        <v/>
      </c>
      <c r="E117" s="51" t="str">
        <f aca="false">IF($A117="","",INDEX('قيود اليومية'!$F$11:$F$1010,MATCH($A117,'قيود اليومية'!$O$11:$O$1010,0))&amp;"")</f>
        <v/>
      </c>
      <c r="F117" s="85" t="str">
        <f aca="false">IF($A117="","",INDEX('قيود اليومية'!$G$11:$G$1010,MATCH($A117,'قيود اليومية'!$O$11:$O$1010,0)))</f>
        <v/>
      </c>
      <c r="G117" s="85" t="str">
        <f aca="false">IF($A117="","",INDEX('قيود اليومية'!$H$11:$H$1010,MATCH($A117,'قيود اليومية'!$O$11:$O$1010,0)))</f>
        <v/>
      </c>
      <c r="H117" s="63" t="str">
        <f aca="false">IF($A117="","",N(H116)+IF($C$8&lt;&gt;"" ,IF(LEFT($C$8,4)="دائن",G117-F117,F117-G117),0))</f>
        <v/>
      </c>
    </row>
    <row r="118" customFormat="false" ht="15" hidden="false" customHeight="false" outlineLevel="0" collapsed="false">
      <c r="A118" s="82" t="str">
        <f aca="false">IF(ROW()-16&gt;COUNT('قيود اليومية'!$O$11:$O$1010),"",ROW()-16)</f>
        <v/>
      </c>
      <c r="B118" s="83" t="str">
        <f aca="false">IF($A118="","",INDEX('قيود اليومية'!$B$11:$B$1010,MATCH($A118,'قيود اليومية'!$O$11:$O$1010,0)))</f>
        <v/>
      </c>
      <c r="C118" s="84" t="str">
        <f aca="false">IF($A118="","",INDEX('قيود اليومية'!$A$11:$A$1010,MATCH($A118,'قيود اليومية'!$O$11:$O$1010,0)))</f>
        <v/>
      </c>
      <c r="D118" s="51" t="str">
        <f aca="false">IF($A118="","",INDEX('قيود اليومية'!$E$11:$E$1010,MATCH($A118,'قيود اليومية'!$O$11:$O$1010,0))&amp;"")</f>
        <v/>
      </c>
      <c r="E118" s="51" t="str">
        <f aca="false">IF($A118="","",INDEX('قيود اليومية'!$F$11:$F$1010,MATCH($A118,'قيود اليومية'!$O$11:$O$1010,0))&amp;"")</f>
        <v/>
      </c>
      <c r="F118" s="85" t="str">
        <f aca="false">IF($A118="","",INDEX('قيود اليومية'!$G$11:$G$1010,MATCH($A118,'قيود اليومية'!$O$11:$O$1010,0)))</f>
        <v/>
      </c>
      <c r="G118" s="85" t="str">
        <f aca="false">IF($A118="","",INDEX('قيود اليومية'!$H$11:$H$1010,MATCH($A118,'قيود اليومية'!$O$11:$O$1010,0)))</f>
        <v/>
      </c>
      <c r="H118" s="63" t="str">
        <f aca="false">IF($A118="","",N(H117)+IF($C$8&lt;&gt;"" ,IF(LEFT($C$8,4)="دائن",G118-F118,F118-G118),0))</f>
        <v/>
      </c>
    </row>
    <row r="119" customFormat="false" ht="15" hidden="false" customHeight="false" outlineLevel="0" collapsed="false">
      <c r="A119" s="82" t="str">
        <f aca="false">IF(ROW()-16&gt;COUNT('قيود اليومية'!$O$11:$O$1010),"",ROW()-16)</f>
        <v/>
      </c>
      <c r="B119" s="83" t="str">
        <f aca="false">IF($A119="","",INDEX('قيود اليومية'!$B$11:$B$1010,MATCH($A119,'قيود اليومية'!$O$11:$O$1010,0)))</f>
        <v/>
      </c>
      <c r="C119" s="84" t="str">
        <f aca="false">IF($A119="","",INDEX('قيود اليومية'!$A$11:$A$1010,MATCH($A119,'قيود اليومية'!$O$11:$O$1010,0)))</f>
        <v/>
      </c>
      <c r="D119" s="51" t="str">
        <f aca="false">IF($A119="","",INDEX('قيود اليومية'!$E$11:$E$1010,MATCH($A119,'قيود اليومية'!$O$11:$O$1010,0))&amp;"")</f>
        <v/>
      </c>
      <c r="E119" s="51" t="str">
        <f aca="false">IF($A119="","",INDEX('قيود اليومية'!$F$11:$F$1010,MATCH($A119,'قيود اليومية'!$O$11:$O$1010,0))&amp;"")</f>
        <v/>
      </c>
      <c r="F119" s="85" t="str">
        <f aca="false">IF($A119="","",INDEX('قيود اليومية'!$G$11:$G$1010,MATCH($A119,'قيود اليومية'!$O$11:$O$1010,0)))</f>
        <v/>
      </c>
      <c r="G119" s="85" t="str">
        <f aca="false">IF($A119="","",INDEX('قيود اليومية'!$H$11:$H$1010,MATCH($A119,'قيود اليومية'!$O$11:$O$1010,0)))</f>
        <v/>
      </c>
      <c r="H119" s="63" t="str">
        <f aca="false">IF($A119="","",N(H118)+IF($C$8&lt;&gt;"" ,IF(LEFT($C$8,4)="دائن",G119-F119,F119-G119),0))</f>
        <v/>
      </c>
    </row>
    <row r="120" customFormat="false" ht="15" hidden="false" customHeight="false" outlineLevel="0" collapsed="false">
      <c r="A120" s="82" t="str">
        <f aca="false">IF(ROW()-16&gt;COUNT('قيود اليومية'!$O$11:$O$1010),"",ROW()-16)</f>
        <v/>
      </c>
      <c r="B120" s="83" t="str">
        <f aca="false">IF($A120="","",INDEX('قيود اليومية'!$B$11:$B$1010,MATCH($A120,'قيود اليومية'!$O$11:$O$1010,0)))</f>
        <v/>
      </c>
      <c r="C120" s="84" t="str">
        <f aca="false">IF($A120="","",INDEX('قيود اليومية'!$A$11:$A$1010,MATCH($A120,'قيود اليومية'!$O$11:$O$1010,0)))</f>
        <v/>
      </c>
      <c r="D120" s="51" t="str">
        <f aca="false">IF($A120="","",INDEX('قيود اليومية'!$E$11:$E$1010,MATCH($A120,'قيود اليومية'!$O$11:$O$1010,0))&amp;"")</f>
        <v/>
      </c>
      <c r="E120" s="51" t="str">
        <f aca="false">IF($A120="","",INDEX('قيود اليومية'!$F$11:$F$1010,MATCH($A120,'قيود اليومية'!$O$11:$O$1010,0))&amp;"")</f>
        <v/>
      </c>
      <c r="F120" s="85" t="str">
        <f aca="false">IF($A120="","",INDEX('قيود اليومية'!$G$11:$G$1010,MATCH($A120,'قيود اليومية'!$O$11:$O$1010,0)))</f>
        <v/>
      </c>
      <c r="G120" s="85" t="str">
        <f aca="false">IF($A120="","",INDEX('قيود اليومية'!$H$11:$H$1010,MATCH($A120,'قيود اليومية'!$O$11:$O$1010,0)))</f>
        <v/>
      </c>
      <c r="H120" s="63" t="str">
        <f aca="false">IF($A120="","",N(H119)+IF($C$8&lt;&gt;"" ,IF(LEFT($C$8,4)="دائن",G120-F120,F120-G120),0))</f>
        <v/>
      </c>
    </row>
    <row r="121" customFormat="false" ht="15" hidden="false" customHeight="false" outlineLevel="0" collapsed="false">
      <c r="A121" s="82" t="str">
        <f aca="false">IF(ROW()-16&gt;COUNT('قيود اليومية'!$O$11:$O$1010),"",ROW()-16)</f>
        <v/>
      </c>
      <c r="B121" s="83" t="str">
        <f aca="false">IF($A121="","",INDEX('قيود اليومية'!$B$11:$B$1010,MATCH($A121,'قيود اليومية'!$O$11:$O$1010,0)))</f>
        <v/>
      </c>
      <c r="C121" s="84" t="str">
        <f aca="false">IF($A121="","",INDEX('قيود اليومية'!$A$11:$A$1010,MATCH($A121,'قيود اليومية'!$O$11:$O$1010,0)))</f>
        <v/>
      </c>
      <c r="D121" s="51" t="str">
        <f aca="false">IF($A121="","",INDEX('قيود اليومية'!$E$11:$E$1010,MATCH($A121,'قيود اليومية'!$O$11:$O$1010,0))&amp;"")</f>
        <v/>
      </c>
      <c r="E121" s="51" t="str">
        <f aca="false">IF($A121="","",INDEX('قيود اليومية'!$F$11:$F$1010,MATCH($A121,'قيود اليومية'!$O$11:$O$1010,0))&amp;"")</f>
        <v/>
      </c>
      <c r="F121" s="85" t="str">
        <f aca="false">IF($A121="","",INDEX('قيود اليومية'!$G$11:$G$1010,MATCH($A121,'قيود اليومية'!$O$11:$O$1010,0)))</f>
        <v/>
      </c>
      <c r="G121" s="85" t="str">
        <f aca="false">IF($A121="","",INDEX('قيود اليومية'!$H$11:$H$1010,MATCH($A121,'قيود اليومية'!$O$11:$O$1010,0)))</f>
        <v/>
      </c>
      <c r="H121" s="63" t="str">
        <f aca="false">IF($A121="","",N(H120)+IF($C$8&lt;&gt;"" ,IF(LEFT($C$8,4)="دائن",G121-F121,F121-G121),0))</f>
        <v/>
      </c>
    </row>
    <row r="122" customFormat="false" ht="15" hidden="false" customHeight="false" outlineLevel="0" collapsed="false">
      <c r="A122" s="82" t="str">
        <f aca="false">IF(ROW()-16&gt;COUNT('قيود اليومية'!$O$11:$O$1010),"",ROW()-16)</f>
        <v/>
      </c>
      <c r="B122" s="83" t="str">
        <f aca="false">IF($A122="","",INDEX('قيود اليومية'!$B$11:$B$1010,MATCH($A122,'قيود اليومية'!$O$11:$O$1010,0)))</f>
        <v/>
      </c>
      <c r="C122" s="84" t="str">
        <f aca="false">IF($A122="","",INDEX('قيود اليومية'!$A$11:$A$1010,MATCH($A122,'قيود اليومية'!$O$11:$O$1010,0)))</f>
        <v/>
      </c>
      <c r="D122" s="51" t="str">
        <f aca="false">IF($A122="","",INDEX('قيود اليومية'!$E$11:$E$1010,MATCH($A122,'قيود اليومية'!$O$11:$O$1010,0))&amp;"")</f>
        <v/>
      </c>
      <c r="E122" s="51" t="str">
        <f aca="false">IF($A122="","",INDEX('قيود اليومية'!$F$11:$F$1010,MATCH($A122,'قيود اليومية'!$O$11:$O$1010,0))&amp;"")</f>
        <v/>
      </c>
      <c r="F122" s="85" t="str">
        <f aca="false">IF($A122="","",INDEX('قيود اليومية'!$G$11:$G$1010,MATCH($A122,'قيود اليومية'!$O$11:$O$1010,0)))</f>
        <v/>
      </c>
      <c r="G122" s="85" t="str">
        <f aca="false">IF($A122="","",INDEX('قيود اليومية'!$H$11:$H$1010,MATCH($A122,'قيود اليومية'!$O$11:$O$1010,0)))</f>
        <v/>
      </c>
      <c r="H122" s="63" t="str">
        <f aca="false">IF($A122="","",N(H121)+IF($C$8&lt;&gt;"" ,IF(LEFT($C$8,4)="دائن",G122-F122,F122-G122),0))</f>
        <v/>
      </c>
    </row>
    <row r="123" customFormat="false" ht="15" hidden="false" customHeight="false" outlineLevel="0" collapsed="false">
      <c r="A123" s="82" t="str">
        <f aca="false">IF(ROW()-16&gt;COUNT('قيود اليومية'!$O$11:$O$1010),"",ROW()-16)</f>
        <v/>
      </c>
      <c r="B123" s="83" t="str">
        <f aca="false">IF($A123="","",INDEX('قيود اليومية'!$B$11:$B$1010,MATCH($A123,'قيود اليومية'!$O$11:$O$1010,0)))</f>
        <v/>
      </c>
      <c r="C123" s="84" t="str">
        <f aca="false">IF($A123="","",INDEX('قيود اليومية'!$A$11:$A$1010,MATCH($A123,'قيود اليومية'!$O$11:$O$1010,0)))</f>
        <v/>
      </c>
      <c r="D123" s="51" t="str">
        <f aca="false">IF($A123="","",INDEX('قيود اليومية'!$E$11:$E$1010,MATCH($A123,'قيود اليومية'!$O$11:$O$1010,0))&amp;"")</f>
        <v/>
      </c>
      <c r="E123" s="51" t="str">
        <f aca="false">IF($A123="","",INDEX('قيود اليومية'!$F$11:$F$1010,MATCH($A123,'قيود اليومية'!$O$11:$O$1010,0))&amp;"")</f>
        <v/>
      </c>
      <c r="F123" s="85" t="str">
        <f aca="false">IF($A123="","",INDEX('قيود اليومية'!$G$11:$G$1010,MATCH($A123,'قيود اليومية'!$O$11:$O$1010,0)))</f>
        <v/>
      </c>
      <c r="G123" s="85" t="str">
        <f aca="false">IF($A123="","",INDEX('قيود اليومية'!$H$11:$H$1010,MATCH($A123,'قيود اليومية'!$O$11:$O$1010,0)))</f>
        <v/>
      </c>
      <c r="H123" s="63" t="str">
        <f aca="false">IF($A123="","",N(H122)+IF($C$8&lt;&gt;"" ,IF(LEFT($C$8,4)="دائن",G123-F123,F123-G123),0))</f>
        <v/>
      </c>
    </row>
    <row r="124" customFormat="false" ht="15" hidden="false" customHeight="false" outlineLevel="0" collapsed="false">
      <c r="A124" s="82" t="str">
        <f aca="false">IF(ROW()-16&gt;COUNT('قيود اليومية'!$O$11:$O$1010),"",ROW()-16)</f>
        <v/>
      </c>
      <c r="B124" s="83" t="str">
        <f aca="false">IF($A124="","",INDEX('قيود اليومية'!$B$11:$B$1010,MATCH($A124,'قيود اليومية'!$O$11:$O$1010,0)))</f>
        <v/>
      </c>
      <c r="C124" s="84" t="str">
        <f aca="false">IF($A124="","",INDEX('قيود اليومية'!$A$11:$A$1010,MATCH($A124,'قيود اليومية'!$O$11:$O$1010,0)))</f>
        <v/>
      </c>
      <c r="D124" s="51" t="str">
        <f aca="false">IF($A124="","",INDEX('قيود اليومية'!$E$11:$E$1010,MATCH($A124,'قيود اليومية'!$O$11:$O$1010,0))&amp;"")</f>
        <v/>
      </c>
      <c r="E124" s="51" t="str">
        <f aca="false">IF($A124="","",INDEX('قيود اليومية'!$F$11:$F$1010,MATCH($A124,'قيود اليومية'!$O$11:$O$1010,0))&amp;"")</f>
        <v/>
      </c>
      <c r="F124" s="85" t="str">
        <f aca="false">IF($A124="","",INDEX('قيود اليومية'!$G$11:$G$1010,MATCH($A124,'قيود اليومية'!$O$11:$O$1010,0)))</f>
        <v/>
      </c>
      <c r="G124" s="85" t="str">
        <f aca="false">IF($A124="","",INDEX('قيود اليومية'!$H$11:$H$1010,MATCH($A124,'قيود اليومية'!$O$11:$O$1010,0)))</f>
        <v/>
      </c>
      <c r="H124" s="63" t="str">
        <f aca="false">IF($A124="","",N(H123)+IF($C$8&lt;&gt;"" ,IF(LEFT($C$8,4)="دائن",G124-F124,F124-G124),0))</f>
        <v/>
      </c>
    </row>
    <row r="125" customFormat="false" ht="15" hidden="false" customHeight="false" outlineLevel="0" collapsed="false">
      <c r="A125" s="82" t="str">
        <f aca="false">IF(ROW()-16&gt;COUNT('قيود اليومية'!$O$11:$O$1010),"",ROW()-16)</f>
        <v/>
      </c>
      <c r="B125" s="83" t="str">
        <f aca="false">IF($A125="","",INDEX('قيود اليومية'!$B$11:$B$1010,MATCH($A125,'قيود اليومية'!$O$11:$O$1010,0)))</f>
        <v/>
      </c>
      <c r="C125" s="84" t="str">
        <f aca="false">IF($A125="","",INDEX('قيود اليومية'!$A$11:$A$1010,MATCH($A125,'قيود اليومية'!$O$11:$O$1010,0)))</f>
        <v/>
      </c>
      <c r="D125" s="51" t="str">
        <f aca="false">IF($A125="","",INDEX('قيود اليومية'!$E$11:$E$1010,MATCH($A125,'قيود اليومية'!$O$11:$O$1010,0))&amp;"")</f>
        <v/>
      </c>
      <c r="E125" s="51" t="str">
        <f aca="false">IF($A125="","",INDEX('قيود اليومية'!$F$11:$F$1010,MATCH($A125,'قيود اليومية'!$O$11:$O$1010,0))&amp;"")</f>
        <v/>
      </c>
      <c r="F125" s="85" t="str">
        <f aca="false">IF($A125="","",INDEX('قيود اليومية'!$G$11:$G$1010,MATCH($A125,'قيود اليومية'!$O$11:$O$1010,0)))</f>
        <v/>
      </c>
      <c r="G125" s="85" t="str">
        <f aca="false">IF($A125="","",INDEX('قيود اليومية'!$H$11:$H$1010,MATCH($A125,'قيود اليومية'!$O$11:$O$1010,0)))</f>
        <v/>
      </c>
      <c r="H125" s="63" t="str">
        <f aca="false">IF($A125="","",N(H124)+IF($C$8&lt;&gt;"" ,IF(LEFT($C$8,4)="دائن",G125-F125,F125-G125),0))</f>
        <v/>
      </c>
    </row>
    <row r="126" customFormat="false" ht="15" hidden="false" customHeight="false" outlineLevel="0" collapsed="false">
      <c r="A126" s="82" t="str">
        <f aca="false">IF(ROW()-16&gt;COUNT('قيود اليومية'!$O$11:$O$1010),"",ROW()-16)</f>
        <v/>
      </c>
      <c r="B126" s="83" t="str">
        <f aca="false">IF($A126="","",INDEX('قيود اليومية'!$B$11:$B$1010,MATCH($A126,'قيود اليومية'!$O$11:$O$1010,0)))</f>
        <v/>
      </c>
      <c r="C126" s="84" t="str">
        <f aca="false">IF($A126="","",INDEX('قيود اليومية'!$A$11:$A$1010,MATCH($A126,'قيود اليومية'!$O$11:$O$1010,0)))</f>
        <v/>
      </c>
      <c r="D126" s="51" t="str">
        <f aca="false">IF($A126="","",INDEX('قيود اليومية'!$E$11:$E$1010,MATCH($A126,'قيود اليومية'!$O$11:$O$1010,0))&amp;"")</f>
        <v/>
      </c>
      <c r="E126" s="51" t="str">
        <f aca="false">IF($A126="","",INDEX('قيود اليومية'!$F$11:$F$1010,MATCH($A126,'قيود اليومية'!$O$11:$O$1010,0))&amp;"")</f>
        <v/>
      </c>
      <c r="F126" s="85" t="str">
        <f aca="false">IF($A126="","",INDEX('قيود اليومية'!$G$11:$G$1010,MATCH($A126,'قيود اليومية'!$O$11:$O$1010,0)))</f>
        <v/>
      </c>
      <c r="G126" s="85" t="str">
        <f aca="false">IF($A126="","",INDEX('قيود اليومية'!$H$11:$H$1010,MATCH($A126,'قيود اليومية'!$O$11:$O$1010,0)))</f>
        <v/>
      </c>
      <c r="H126" s="63" t="str">
        <f aca="false">IF($A126="","",N(H125)+IF($C$8&lt;&gt;"" ,IF(LEFT($C$8,4)="دائن",G126-F126,F126-G126),0))</f>
        <v/>
      </c>
    </row>
    <row r="127" customFormat="false" ht="15" hidden="false" customHeight="false" outlineLevel="0" collapsed="false">
      <c r="A127" s="82" t="str">
        <f aca="false">IF(ROW()-16&gt;COUNT('قيود اليومية'!$O$11:$O$1010),"",ROW()-16)</f>
        <v/>
      </c>
      <c r="B127" s="83" t="str">
        <f aca="false">IF($A127="","",INDEX('قيود اليومية'!$B$11:$B$1010,MATCH($A127,'قيود اليومية'!$O$11:$O$1010,0)))</f>
        <v/>
      </c>
      <c r="C127" s="84" t="str">
        <f aca="false">IF($A127="","",INDEX('قيود اليومية'!$A$11:$A$1010,MATCH($A127,'قيود اليومية'!$O$11:$O$1010,0)))</f>
        <v/>
      </c>
      <c r="D127" s="51" t="str">
        <f aca="false">IF($A127="","",INDEX('قيود اليومية'!$E$11:$E$1010,MATCH($A127,'قيود اليومية'!$O$11:$O$1010,0))&amp;"")</f>
        <v/>
      </c>
      <c r="E127" s="51" t="str">
        <f aca="false">IF($A127="","",INDEX('قيود اليومية'!$F$11:$F$1010,MATCH($A127,'قيود اليومية'!$O$11:$O$1010,0))&amp;"")</f>
        <v/>
      </c>
      <c r="F127" s="85" t="str">
        <f aca="false">IF($A127="","",INDEX('قيود اليومية'!$G$11:$G$1010,MATCH($A127,'قيود اليومية'!$O$11:$O$1010,0)))</f>
        <v/>
      </c>
      <c r="G127" s="85" t="str">
        <f aca="false">IF($A127="","",INDEX('قيود اليومية'!$H$11:$H$1010,MATCH($A127,'قيود اليومية'!$O$11:$O$1010,0)))</f>
        <v/>
      </c>
      <c r="H127" s="63" t="str">
        <f aca="false">IF($A127="","",N(H126)+IF($C$8&lt;&gt;"" ,IF(LEFT($C$8,4)="دائن",G127-F127,F127-G127),0))</f>
        <v/>
      </c>
    </row>
    <row r="128" customFormat="false" ht="15" hidden="false" customHeight="false" outlineLevel="0" collapsed="false">
      <c r="A128" s="82" t="str">
        <f aca="false">IF(ROW()-16&gt;COUNT('قيود اليومية'!$O$11:$O$1010),"",ROW()-16)</f>
        <v/>
      </c>
      <c r="B128" s="83" t="str">
        <f aca="false">IF($A128="","",INDEX('قيود اليومية'!$B$11:$B$1010,MATCH($A128,'قيود اليومية'!$O$11:$O$1010,0)))</f>
        <v/>
      </c>
      <c r="C128" s="84" t="str">
        <f aca="false">IF($A128="","",INDEX('قيود اليومية'!$A$11:$A$1010,MATCH($A128,'قيود اليومية'!$O$11:$O$1010,0)))</f>
        <v/>
      </c>
      <c r="D128" s="51" t="str">
        <f aca="false">IF($A128="","",INDEX('قيود اليومية'!$E$11:$E$1010,MATCH($A128,'قيود اليومية'!$O$11:$O$1010,0))&amp;"")</f>
        <v/>
      </c>
      <c r="E128" s="51" t="str">
        <f aca="false">IF($A128="","",INDEX('قيود اليومية'!$F$11:$F$1010,MATCH($A128,'قيود اليومية'!$O$11:$O$1010,0))&amp;"")</f>
        <v/>
      </c>
      <c r="F128" s="85" t="str">
        <f aca="false">IF($A128="","",INDEX('قيود اليومية'!$G$11:$G$1010,MATCH($A128,'قيود اليومية'!$O$11:$O$1010,0)))</f>
        <v/>
      </c>
      <c r="G128" s="85" t="str">
        <f aca="false">IF($A128="","",INDEX('قيود اليومية'!$H$11:$H$1010,MATCH($A128,'قيود اليومية'!$O$11:$O$1010,0)))</f>
        <v/>
      </c>
      <c r="H128" s="63" t="str">
        <f aca="false">IF($A128="","",N(H127)+IF($C$8&lt;&gt;"" ,IF(LEFT($C$8,4)="دائن",G128-F128,F128-G128),0))</f>
        <v/>
      </c>
    </row>
    <row r="129" customFormat="false" ht="15" hidden="false" customHeight="false" outlineLevel="0" collapsed="false">
      <c r="A129" s="82" t="str">
        <f aca="false">IF(ROW()-16&gt;COUNT('قيود اليومية'!$O$11:$O$1010),"",ROW()-16)</f>
        <v/>
      </c>
      <c r="B129" s="83" t="str">
        <f aca="false">IF($A129="","",INDEX('قيود اليومية'!$B$11:$B$1010,MATCH($A129,'قيود اليومية'!$O$11:$O$1010,0)))</f>
        <v/>
      </c>
      <c r="C129" s="84" t="str">
        <f aca="false">IF($A129="","",INDEX('قيود اليومية'!$A$11:$A$1010,MATCH($A129,'قيود اليومية'!$O$11:$O$1010,0)))</f>
        <v/>
      </c>
      <c r="D129" s="51" t="str">
        <f aca="false">IF($A129="","",INDEX('قيود اليومية'!$E$11:$E$1010,MATCH($A129,'قيود اليومية'!$O$11:$O$1010,0))&amp;"")</f>
        <v/>
      </c>
      <c r="E129" s="51" t="str">
        <f aca="false">IF($A129="","",INDEX('قيود اليومية'!$F$11:$F$1010,MATCH($A129,'قيود اليومية'!$O$11:$O$1010,0))&amp;"")</f>
        <v/>
      </c>
      <c r="F129" s="85" t="str">
        <f aca="false">IF($A129="","",INDEX('قيود اليومية'!$G$11:$G$1010,MATCH($A129,'قيود اليومية'!$O$11:$O$1010,0)))</f>
        <v/>
      </c>
      <c r="G129" s="85" t="str">
        <f aca="false">IF($A129="","",INDEX('قيود اليومية'!$H$11:$H$1010,MATCH($A129,'قيود اليومية'!$O$11:$O$1010,0)))</f>
        <v/>
      </c>
      <c r="H129" s="63" t="str">
        <f aca="false">IF($A129="","",N(H128)+IF($C$8&lt;&gt;"" ,IF(LEFT($C$8,4)="دائن",G129-F129,F129-G129),0))</f>
        <v/>
      </c>
    </row>
    <row r="130" customFormat="false" ht="15" hidden="false" customHeight="false" outlineLevel="0" collapsed="false">
      <c r="A130" s="82" t="str">
        <f aca="false">IF(ROW()-16&gt;COUNT('قيود اليومية'!$O$11:$O$1010),"",ROW()-16)</f>
        <v/>
      </c>
      <c r="B130" s="83" t="str">
        <f aca="false">IF($A130="","",INDEX('قيود اليومية'!$B$11:$B$1010,MATCH($A130,'قيود اليومية'!$O$11:$O$1010,0)))</f>
        <v/>
      </c>
      <c r="C130" s="84" t="str">
        <f aca="false">IF($A130="","",INDEX('قيود اليومية'!$A$11:$A$1010,MATCH($A130,'قيود اليومية'!$O$11:$O$1010,0)))</f>
        <v/>
      </c>
      <c r="D130" s="51" t="str">
        <f aca="false">IF($A130="","",INDEX('قيود اليومية'!$E$11:$E$1010,MATCH($A130,'قيود اليومية'!$O$11:$O$1010,0))&amp;"")</f>
        <v/>
      </c>
      <c r="E130" s="51" t="str">
        <f aca="false">IF($A130="","",INDEX('قيود اليومية'!$F$11:$F$1010,MATCH($A130,'قيود اليومية'!$O$11:$O$1010,0))&amp;"")</f>
        <v/>
      </c>
      <c r="F130" s="85" t="str">
        <f aca="false">IF($A130="","",INDEX('قيود اليومية'!$G$11:$G$1010,MATCH($A130,'قيود اليومية'!$O$11:$O$1010,0)))</f>
        <v/>
      </c>
      <c r="G130" s="85" t="str">
        <f aca="false">IF($A130="","",INDEX('قيود اليومية'!$H$11:$H$1010,MATCH($A130,'قيود اليومية'!$O$11:$O$1010,0)))</f>
        <v/>
      </c>
      <c r="H130" s="63" t="str">
        <f aca="false">IF($A130="","",N(H129)+IF($C$8&lt;&gt;"" ,IF(LEFT($C$8,4)="دائن",G130-F130,F130-G130),0))</f>
        <v/>
      </c>
    </row>
    <row r="131" customFormat="false" ht="15" hidden="false" customHeight="false" outlineLevel="0" collapsed="false">
      <c r="A131" s="82" t="str">
        <f aca="false">IF(ROW()-16&gt;COUNT('قيود اليومية'!$O$11:$O$1010),"",ROW()-16)</f>
        <v/>
      </c>
      <c r="B131" s="83" t="str">
        <f aca="false">IF($A131="","",INDEX('قيود اليومية'!$B$11:$B$1010,MATCH($A131,'قيود اليومية'!$O$11:$O$1010,0)))</f>
        <v/>
      </c>
      <c r="C131" s="84" t="str">
        <f aca="false">IF($A131="","",INDEX('قيود اليومية'!$A$11:$A$1010,MATCH($A131,'قيود اليومية'!$O$11:$O$1010,0)))</f>
        <v/>
      </c>
      <c r="D131" s="51" t="str">
        <f aca="false">IF($A131="","",INDEX('قيود اليومية'!$E$11:$E$1010,MATCH($A131,'قيود اليومية'!$O$11:$O$1010,0))&amp;"")</f>
        <v/>
      </c>
      <c r="E131" s="51" t="str">
        <f aca="false">IF($A131="","",INDEX('قيود اليومية'!$F$11:$F$1010,MATCH($A131,'قيود اليومية'!$O$11:$O$1010,0))&amp;"")</f>
        <v/>
      </c>
      <c r="F131" s="85" t="str">
        <f aca="false">IF($A131="","",INDEX('قيود اليومية'!$G$11:$G$1010,MATCH($A131,'قيود اليومية'!$O$11:$O$1010,0)))</f>
        <v/>
      </c>
      <c r="G131" s="85" t="str">
        <f aca="false">IF($A131="","",INDEX('قيود اليومية'!$H$11:$H$1010,MATCH($A131,'قيود اليومية'!$O$11:$O$1010,0)))</f>
        <v/>
      </c>
      <c r="H131" s="63" t="str">
        <f aca="false">IF($A131="","",N(H130)+IF($C$8&lt;&gt;"" ,IF(LEFT($C$8,4)="دائن",G131-F131,F131-G131),0))</f>
        <v/>
      </c>
    </row>
    <row r="132" customFormat="false" ht="15" hidden="false" customHeight="false" outlineLevel="0" collapsed="false">
      <c r="A132" s="82" t="str">
        <f aca="false">IF(ROW()-16&gt;COUNT('قيود اليومية'!$O$11:$O$1010),"",ROW()-16)</f>
        <v/>
      </c>
      <c r="B132" s="83" t="str">
        <f aca="false">IF($A132="","",INDEX('قيود اليومية'!$B$11:$B$1010,MATCH($A132,'قيود اليومية'!$O$11:$O$1010,0)))</f>
        <v/>
      </c>
      <c r="C132" s="84" t="str">
        <f aca="false">IF($A132="","",INDEX('قيود اليومية'!$A$11:$A$1010,MATCH($A132,'قيود اليومية'!$O$11:$O$1010,0)))</f>
        <v/>
      </c>
      <c r="D132" s="51" t="str">
        <f aca="false">IF($A132="","",INDEX('قيود اليومية'!$E$11:$E$1010,MATCH($A132,'قيود اليومية'!$O$11:$O$1010,0))&amp;"")</f>
        <v/>
      </c>
      <c r="E132" s="51" t="str">
        <f aca="false">IF($A132="","",INDEX('قيود اليومية'!$F$11:$F$1010,MATCH($A132,'قيود اليومية'!$O$11:$O$1010,0))&amp;"")</f>
        <v/>
      </c>
      <c r="F132" s="85" t="str">
        <f aca="false">IF($A132="","",INDEX('قيود اليومية'!$G$11:$G$1010,MATCH($A132,'قيود اليومية'!$O$11:$O$1010,0)))</f>
        <v/>
      </c>
      <c r="G132" s="85" t="str">
        <f aca="false">IF($A132="","",INDEX('قيود اليومية'!$H$11:$H$1010,MATCH($A132,'قيود اليومية'!$O$11:$O$1010,0)))</f>
        <v/>
      </c>
      <c r="H132" s="63" t="str">
        <f aca="false">IF($A132="","",N(H131)+IF($C$8&lt;&gt;"" ,IF(LEFT($C$8,4)="دائن",G132-F132,F132-G132),0))</f>
        <v/>
      </c>
    </row>
    <row r="133" customFormat="false" ht="15" hidden="false" customHeight="false" outlineLevel="0" collapsed="false">
      <c r="A133" s="82" t="str">
        <f aca="false">IF(ROW()-16&gt;COUNT('قيود اليومية'!$O$11:$O$1010),"",ROW()-16)</f>
        <v/>
      </c>
      <c r="B133" s="83" t="str">
        <f aca="false">IF($A133="","",INDEX('قيود اليومية'!$B$11:$B$1010,MATCH($A133,'قيود اليومية'!$O$11:$O$1010,0)))</f>
        <v/>
      </c>
      <c r="C133" s="84" t="str">
        <f aca="false">IF($A133="","",INDEX('قيود اليومية'!$A$11:$A$1010,MATCH($A133,'قيود اليومية'!$O$11:$O$1010,0)))</f>
        <v/>
      </c>
      <c r="D133" s="51" t="str">
        <f aca="false">IF($A133="","",INDEX('قيود اليومية'!$E$11:$E$1010,MATCH($A133,'قيود اليومية'!$O$11:$O$1010,0))&amp;"")</f>
        <v/>
      </c>
      <c r="E133" s="51" t="str">
        <f aca="false">IF($A133="","",INDEX('قيود اليومية'!$F$11:$F$1010,MATCH($A133,'قيود اليومية'!$O$11:$O$1010,0))&amp;"")</f>
        <v/>
      </c>
      <c r="F133" s="85" t="str">
        <f aca="false">IF($A133="","",INDEX('قيود اليومية'!$G$11:$G$1010,MATCH($A133,'قيود اليومية'!$O$11:$O$1010,0)))</f>
        <v/>
      </c>
      <c r="G133" s="85" t="str">
        <f aca="false">IF($A133="","",INDEX('قيود اليومية'!$H$11:$H$1010,MATCH($A133,'قيود اليومية'!$O$11:$O$1010,0)))</f>
        <v/>
      </c>
      <c r="H133" s="63" t="str">
        <f aca="false">IF($A133="","",N(H132)+IF($C$8&lt;&gt;"" ,IF(LEFT($C$8,4)="دائن",G133-F133,F133-G133),0))</f>
        <v/>
      </c>
    </row>
    <row r="134" customFormat="false" ht="15" hidden="false" customHeight="false" outlineLevel="0" collapsed="false">
      <c r="A134" s="82" t="str">
        <f aca="false">IF(ROW()-16&gt;COUNT('قيود اليومية'!$O$11:$O$1010),"",ROW()-16)</f>
        <v/>
      </c>
      <c r="B134" s="83" t="str">
        <f aca="false">IF($A134="","",INDEX('قيود اليومية'!$B$11:$B$1010,MATCH($A134,'قيود اليومية'!$O$11:$O$1010,0)))</f>
        <v/>
      </c>
      <c r="C134" s="84" t="str">
        <f aca="false">IF($A134="","",INDEX('قيود اليومية'!$A$11:$A$1010,MATCH($A134,'قيود اليومية'!$O$11:$O$1010,0)))</f>
        <v/>
      </c>
      <c r="D134" s="51" t="str">
        <f aca="false">IF($A134="","",INDEX('قيود اليومية'!$E$11:$E$1010,MATCH($A134,'قيود اليومية'!$O$11:$O$1010,0))&amp;"")</f>
        <v/>
      </c>
      <c r="E134" s="51" t="str">
        <f aca="false">IF($A134="","",INDEX('قيود اليومية'!$F$11:$F$1010,MATCH($A134,'قيود اليومية'!$O$11:$O$1010,0))&amp;"")</f>
        <v/>
      </c>
      <c r="F134" s="85" t="str">
        <f aca="false">IF($A134="","",INDEX('قيود اليومية'!$G$11:$G$1010,MATCH($A134,'قيود اليومية'!$O$11:$O$1010,0)))</f>
        <v/>
      </c>
      <c r="G134" s="85" t="str">
        <f aca="false">IF($A134="","",INDEX('قيود اليومية'!$H$11:$H$1010,MATCH($A134,'قيود اليومية'!$O$11:$O$1010,0)))</f>
        <v/>
      </c>
      <c r="H134" s="63" t="str">
        <f aca="false">IF($A134="","",N(H133)+IF($C$8&lt;&gt;"" ,IF(LEFT($C$8,4)="دائن",G134-F134,F134-G134),0))</f>
        <v/>
      </c>
    </row>
    <row r="135" customFormat="false" ht="15" hidden="false" customHeight="false" outlineLevel="0" collapsed="false">
      <c r="A135" s="82" t="str">
        <f aca="false">IF(ROW()-16&gt;COUNT('قيود اليومية'!$O$11:$O$1010),"",ROW()-16)</f>
        <v/>
      </c>
      <c r="B135" s="83" t="str">
        <f aca="false">IF($A135="","",INDEX('قيود اليومية'!$B$11:$B$1010,MATCH($A135,'قيود اليومية'!$O$11:$O$1010,0)))</f>
        <v/>
      </c>
      <c r="C135" s="84" t="str">
        <f aca="false">IF($A135="","",INDEX('قيود اليومية'!$A$11:$A$1010,MATCH($A135,'قيود اليومية'!$O$11:$O$1010,0)))</f>
        <v/>
      </c>
      <c r="D135" s="51" t="str">
        <f aca="false">IF($A135="","",INDEX('قيود اليومية'!$E$11:$E$1010,MATCH($A135,'قيود اليومية'!$O$11:$O$1010,0))&amp;"")</f>
        <v/>
      </c>
      <c r="E135" s="51" t="str">
        <f aca="false">IF($A135="","",INDEX('قيود اليومية'!$F$11:$F$1010,MATCH($A135,'قيود اليومية'!$O$11:$O$1010,0))&amp;"")</f>
        <v/>
      </c>
      <c r="F135" s="85" t="str">
        <f aca="false">IF($A135="","",INDEX('قيود اليومية'!$G$11:$G$1010,MATCH($A135,'قيود اليومية'!$O$11:$O$1010,0)))</f>
        <v/>
      </c>
      <c r="G135" s="85" t="str">
        <f aca="false">IF($A135="","",INDEX('قيود اليومية'!$H$11:$H$1010,MATCH($A135,'قيود اليومية'!$O$11:$O$1010,0)))</f>
        <v/>
      </c>
      <c r="H135" s="63" t="str">
        <f aca="false">IF($A135="","",N(H134)+IF($C$8&lt;&gt;"" ,IF(LEFT($C$8,4)="دائن",G135-F135,F135-G135),0))</f>
        <v/>
      </c>
    </row>
    <row r="136" customFormat="false" ht="15" hidden="false" customHeight="false" outlineLevel="0" collapsed="false">
      <c r="A136" s="82" t="str">
        <f aca="false">IF(ROW()-16&gt;COUNT('قيود اليومية'!$O$11:$O$1010),"",ROW()-16)</f>
        <v/>
      </c>
      <c r="B136" s="83" t="str">
        <f aca="false">IF($A136="","",INDEX('قيود اليومية'!$B$11:$B$1010,MATCH($A136,'قيود اليومية'!$O$11:$O$1010,0)))</f>
        <v/>
      </c>
      <c r="C136" s="84" t="str">
        <f aca="false">IF($A136="","",INDEX('قيود اليومية'!$A$11:$A$1010,MATCH($A136,'قيود اليومية'!$O$11:$O$1010,0)))</f>
        <v/>
      </c>
      <c r="D136" s="51" t="str">
        <f aca="false">IF($A136="","",INDEX('قيود اليومية'!$E$11:$E$1010,MATCH($A136,'قيود اليومية'!$O$11:$O$1010,0))&amp;"")</f>
        <v/>
      </c>
      <c r="E136" s="51" t="str">
        <f aca="false">IF($A136="","",INDEX('قيود اليومية'!$F$11:$F$1010,MATCH($A136,'قيود اليومية'!$O$11:$O$1010,0))&amp;"")</f>
        <v/>
      </c>
      <c r="F136" s="85" t="str">
        <f aca="false">IF($A136="","",INDEX('قيود اليومية'!$G$11:$G$1010,MATCH($A136,'قيود اليومية'!$O$11:$O$1010,0)))</f>
        <v/>
      </c>
      <c r="G136" s="85" t="str">
        <f aca="false">IF($A136="","",INDEX('قيود اليومية'!$H$11:$H$1010,MATCH($A136,'قيود اليومية'!$O$11:$O$1010,0)))</f>
        <v/>
      </c>
      <c r="H136" s="63" t="str">
        <f aca="false">IF($A136="","",N(H135)+IF($C$8&lt;&gt;"" ,IF(LEFT($C$8,4)="دائن",G136-F136,F136-G136),0))</f>
        <v/>
      </c>
    </row>
    <row r="137" customFormat="false" ht="15" hidden="false" customHeight="false" outlineLevel="0" collapsed="false">
      <c r="A137" s="82" t="str">
        <f aca="false">IF(ROW()-16&gt;COUNT('قيود اليومية'!$O$11:$O$1010),"",ROW()-16)</f>
        <v/>
      </c>
      <c r="B137" s="83" t="str">
        <f aca="false">IF($A137="","",INDEX('قيود اليومية'!$B$11:$B$1010,MATCH($A137,'قيود اليومية'!$O$11:$O$1010,0)))</f>
        <v/>
      </c>
      <c r="C137" s="84" t="str">
        <f aca="false">IF($A137="","",INDEX('قيود اليومية'!$A$11:$A$1010,MATCH($A137,'قيود اليومية'!$O$11:$O$1010,0)))</f>
        <v/>
      </c>
      <c r="D137" s="51" t="str">
        <f aca="false">IF($A137="","",INDEX('قيود اليومية'!$E$11:$E$1010,MATCH($A137,'قيود اليومية'!$O$11:$O$1010,0))&amp;"")</f>
        <v/>
      </c>
      <c r="E137" s="51" t="str">
        <f aca="false">IF($A137="","",INDEX('قيود اليومية'!$F$11:$F$1010,MATCH($A137,'قيود اليومية'!$O$11:$O$1010,0))&amp;"")</f>
        <v/>
      </c>
      <c r="F137" s="85" t="str">
        <f aca="false">IF($A137="","",INDEX('قيود اليومية'!$G$11:$G$1010,MATCH($A137,'قيود اليومية'!$O$11:$O$1010,0)))</f>
        <v/>
      </c>
      <c r="G137" s="85" t="str">
        <f aca="false">IF($A137="","",INDEX('قيود اليومية'!$H$11:$H$1010,MATCH($A137,'قيود اليومية'!$O$11:$O$1010,0)))</f>
        <v/>
      </c>
      <c r="H137" s="63" t="str">
        <f aca="false">IF($A137="","",N(H136)+IF($C$8&lt;&gt;"" ,IF(LEFT($C$8,4)="دائن",G137-F137,F137-G137),0))</f>
        <v/>
      </c>
    </row>
    <row r="138" customFormat="false" ht="15" hidden="false" customHeight="false" outlineLevel="0" collapsed="false">
      <c r="A138" s="82" t="str">
        <f aca="false">IF(ROW()-16&gt;COUNT('قيود اليومية'!$O$11:$O$1010),"",ROW()-16)</f>
        <v/>
      </c>
      <c r="B138" s="83" t="str">
        <f aca="false">IF($A138="","",INDEX('قيود اليومية'!$B$11:$B$1010,MATCH($A138,'قيود اليومية'!$O$11:$O$1010,0)))</f>
        <v/>
      </c>
      <c r="C138" s="84" t="str">
        <f aca="false">IF($A138="","",INDEX('قيود اليومية'!$A$11:$A$1010,MATCH($A138,'قيود اليومية'!$O$11:$O$1010,0)))</f>
        <v/>
      </c>
      <c r="D138" s="51" t="str">
        <f aca="false">IF($A138="","",INDEX('قيود اليومية'!$E$11:$E$1010,MATCH($A138,'قيود اليومية'!$O$11:$O$1010,0))&amp;"")</f>
        <v/>
      </c>
      <c r="E138" s="51" t="str">
        <f aca="false">IF($A138="","",INDEX('قيود اليومية'!$F$11:$F$1010,MATCH($A138,'قيود اليومية'!$O$11:$O$1010,0))&amp;"")</f>
        <v/>
      </c>
      <c r="F138" s="85" t="str">
        <f aca="false">IF($A138="","",INDEX('قيود اليومية'!$G$11:$G$1010,MATCH($A138,'قيود اليومية'!$O$11:$O$1010,0)))</f>
        <v/>
      </c>
      <c r="G138" s="85" t="str">
        <f aca="false">IF($A138="","",INDEX('قيود اليومية'!$H$11:$H$1010,MATCH($A138,'قيود اليومية'!$O$11:$O$1010,0)))</f>
        <v/>
      </c>
      <c r="H138" s="63" t="str">
        <f aca="false">IF($A138="","",N(H137)+IF($C$8&lt;&gt;"" ,IF(LEFT($C$8,4)="دائن",G138-F138,F138-G138),0))</f>
        <v/>
      </c>
    </row>
    <row r="139" customFormat="false" ht="15" hidden="false" customHeight="false" outlineLevel="0" collapsed="false">
      <c r="A139" s="82" t="str">
        <f aca="false">IF(ROW()-16&gt;COUNT('قيود اليومية'!$O$11:$O$1010),"",ROW()-16)</f>
        <v/>
      </c>
      <c r="B139" s="83" t="str">
        <f aca="false">IF($A139="","",INDEX('قيود اليومية'!$B$11:$B$1010,MATCH($A139,'قيود اليومية'!$O$11:$O$1010,0)))</f>
        <v/>
      </c>
      <c r="C139" s="84" t="str">
        <f aca="false">IF($A139="","",INDEX('قيود اليومية'!$A$11:$A$1010,MATCH($A139,'قيود اليومية'!$O$11:$O$1010,0)))</f>
        <v/>
      </c>
      <c r="D139" s="51" t="str">
        <f aca="false">IF($A139="","",INDEX('قيود اليومية'!$E$11:$E$1010,MATCH($A139,'قيود اليومية'!$O$11:$O$1010,0))&amp;"")</f>
        <v/>
      </c>
      <c r="E139" s="51" t="str">
        <f aca="false">IF($A139="","",INDEX('قيود اليومية'!$F$11:$F$1010,MATCH($A139,'قيود اليومية'!$O$11:$O$1010,0))&amp;"")</f>
        <v/>
      </c>
      <c r="F139" s="85" t="str">
        <f aca="false">IF($A139="","",INDEX('قيود اليومية'!$G$11:$G$1010,MATCH($A139,'قيود اليومية'!$O$11:$O$1010,0)))</f>
        <v/>
      </c>
      <c r="G139" s="85" t="str">
        <f aca="false">IF($A139="","",INDEX('قيود اليومية'!$H$11:$H$1010,MATCH($A139,'قيود اليومية'!$O$11:$O$1010,0)))</f>
        <v/>
      </c>
      <c r="H139" s="63" t="str">
        <f aca="false">IF($A139="","",N(H138)+IF($C$8&lt;&gt;"" ,IF(LEFT($C$8,4)="دائن",G139-F139,F139-G139),0))</f>
        <v/>
      </c>
    </row>
    <row r="140" customFormat="false" ht="15" hidden="false" customHeight="false" outlineLevel="0" collapsed="false">
      <c r="A140" s="82" t="str">
        <f aca="false">IF(ROW()-16&gt;COUNT('قيود اليومية'!$O$11:$O$1010),"",ROW()-16)</f>
        <v/>
      </c>
      <c r="B140" s="83" t="str">
        <f aca="false">IF($A140="","",INDEX('قيود اليومية'!$B$11:$B$1010,MATCH($A140,'قيود اليومية'!$O$11:$O$1010,0)))</f>
        <v/>
      </c>
      <c r="C140" s="84" t="str">
        <f aca="false">IF($A140="","",INDEX('قيود اليومية'!$A$11:$A$1010,MATCH($A140,'قيود اليومية'!$O$11:$O$1010,0)))</f>
        <v/>
      </c>
      <c r="D140" s="51" t="str">
        <f aca="false">IF($A140="","",INDEX('قيود اليومية'!$E$11:$E$1010,MATCH($A140,'قيود اليومية'!$O$11:$O$1010,0))&amp;"")</f>
        <v/>
      </c>
      <c r="E140" s="51" t="str">
        <f aca="false">IF($A140="","",INDEX('قيود اليومية'!$F$11:$F$1010,MATCH($A140,'قيود اليومية'!$O$11:$O$1010,0))&amp;"")</f>
        <v/>
      </c>
      <c r="F140" s="85" t="str">
        <f aca="false">IF($A140="","",INDEX('قيود اليومية'!$G$11:$G$1010,MATCH($A140,'قيود اليومية'!$O$11:$O$1010,0)))</f>
        <v/>
      </c>
      <c r="G140" s="85" t="str">
        <f aca="false">IF($A140="","",INDEX('قيود اليومية'!$H$11:$H$1010,MATCH($A140,'قيود اليومية'!$O$11:$O$1010,0)))</f>
        <v/>
      </c>
      <c r="H140" s="63" t="str">
        <f aca="false">IF($A140="","",N(H139)+IF($C$8&lt;&gt;"" ,IF(LEFT($C$8,4)="دائن",G140-F140,F140-G140),0))</f>
        <v/>
      </c>
    </row>
    <row r="141" customFormat="false" ht="15" hidden="false" customHeight="false" outlineLevel="0" collapsed="false">
      <c r="A141" s="82" t="str">
        <f aca="false">IF(ROW()-16&gt;COUNT('قيود اليومية'!$O$11:$O$1010),"",ROW()-16)</f>
        <v/>
      </c>
      <c r="B141" s="83" t="str">
        <f aca="false">IF($A141="","",INDEX('قيود اليومية'!$B$11:$B$1010,MATCH($A141,'قيود اليومية'!$O$11:$O$1010,0)))</f>
        <v/>
      </c>
      <c r="C141" s="84" t="str">
        <f aca="false">IF($A141="","",INDEX('قيود اليومية'!$A$11:$A$1010,MATCH($A141,'قيود اليومية'!$O$11:$O$1010,0)))</f>
        <v/>
      </c>
      <c r="D141" s="51" t="str">
        <f aca="false">IF($A141="","",INDEX('قيود اليومية'!$E$11:$E$1010,MATCH($A141,'قيود اليومية'!$O$11:$O$1010,0))&amp;"")</f>
        <v/>
      </c>
      <c r="E141" s="51" t="str">
        <f aca="false">IF($A141="","",INDEX('قيود اليومية'!$F$11:$F$1010,MATCH($A141,'قيود اليومية'!$O$11:$O$1010,0))&amp;"")</f>
        <v/>
      </c>
      <c r="F141" s="85" t="str">
        <f aca="false">IF($A141="","",INDEX('قيود اليومية'!$G$11:$G$1010,MATCH($A141,'قيود اليومية'!$O$11:$O$1010,0)))</f>
        <v/>
      </c>
      <c r="G141" s="85" t="str">
        <f aca="false">IF($A141="","",INDEX('قيود اليومية'!$H$11:$H$1010,MATCH($A141,'قيود اليومية'!$O$11:$O$1010,0)))</f>
        <v/>
      </c>
      <c r="H141" s="63" t="str">
        <f aca="false">IF($A141="","",N(H140)+IF($C$8&lt;&gt;"" ,IF(LEFT($C$8,4)="دائن",G141-F141,F141-G141),0))</f>
        <v/>
      </c>
    </row>
    <row r="142" customFormat="false" ht="15" hidden="false" customHeight="false" outlineLevel="0" collapsed="false">
      <c r="A142" s="82" t="str">
        <f aca="false">IF(ROW()-16&gt;COUNT('قيود اليومية'!$O$11:$O$1010),"",ROW()-16)</f>
        <v/>
      </c>
      <c r="B142" s="83" t="str">
        <f aca="false">IF($A142="","",INDEX('قيود اليومية'!$B$11:$B$1010,MATCH($A142,'قيود اليومية'!$O$11:$O$1010,0)))</f>
        <v/>
      </c>
      <c r="C142" s="84" t="str">
        <f aca="false">IF($A142="","",INDEX('قيود اليومية'!$A$11:$A$1010,MATCH($A142,'قيود اليومية'!$O$11:$O$1010,0)))</f>
        <v/>
      </c>
      <c r="D142" s="51" t="str">
        <f aca="false">IF($A142="","",INDEX('قيود اليومية'!$E$11:$E$1010,MATCH($A142,'قيود اليومية'!$O$11:$O$1010,0))&amp;"")</f>
        <v/>
      </c>
      <c r="E142" s="51" t="str">
        <f aca="false">IF($A142="","",INDEX('قيود اليومية'!$F$11:$F$1010,MATCH($A142,'قيود اليومية'!$O$11:$O$1010,0))&amp;"")</f>
        <v/>
      </c>
      <c r="F142" s="85" t="str">
        <f aca="false">IF($A142="","",INDEX('قيود اليومية'!$G$11:$G$1010,MATCH($A142,'قيود اليومية'!$O$11:$O$1010,0)))</f>
        <v/>
      </c>
      <c r="G142" s="85" t="str">
        <f aca="false">IF($A142="","",INDEX('قيود اليومية'!$H$11:$H$1010,MATCH($A142,'قيود اليومية'!$O$11:$O$1010,0)))</f>
        <v/>
      </c>
      <c r="H142" s="63" t="str">
        <f aca="false">IF($A142="","",N(H141)+IF($C$8&lt;&gt;"" ,IF(LEFT($C$8,4)="دائن",G142-F142,F142-G142),0))</f>
        <v/>
      </c>
    </row>
    <row r="143" customFormat="false" ht="15" hidden="false" customHeight="false" outlineLevel="0" collapsed="false">
      <c r="A143" s="82" t="str">
        <f aca="false">IF(ROW()-16&gt;COUNT('قيود اليومية'!$O$11:$O$1010),"",ROW()-16)</f>
        <v/>
      </c>
      <c r="B143" s="83" t="str">
        <f aca="false">IF($A143="","",INDEX('قيود اليومية'!$B$11:$B$1010,MATCH($A143,'قيود اليومية'!$O$11:$O$1010,0)))</f>
        <v/>
      </c>
      <c r="C143" s="84" t="str">
        <f aca="false">IF($A143="","",INDEX('قيود اليومية'!$A$11:$A$1010,MATCH($A143,'قيود اليومية'!$O$11:$O$1010,0)))</f>
        <v/>
      </c>
      <c r="D143" s="51" t="str">
        <f aca="false">IF($A143="","",INDEX('قيود اليومية'!$E$11:$E$1010,MATCH($A143,'قيود اليومية'!$O$11:$O$1010,0))&amp;"")</f>
        <v/>
      </c>
      <c r="E143" s="51" t="str">
        <f aca="false">IF($A143="","",INDEX('قيود اليومية'!$F$11:$F$1010,MATCH($A143,'قيود اليومية'!$O$11:$O$1010,0))&amp;"")</f>
        <v/>
      </c>
      <c r="F143" s="85" t="str">
        <f aca="false">IF($A143="","",INDEX('قيود اليومية'!$G$11:$G$1010,MATCH($A143,'قيود اليومية'!$O$11:$O$1010,0)))</f>
        <v/>
      </c>
      <c r="G143" s="85" t="str">
        <f aca="false">IF($A143="","",INDEX('قيود اليومية'!$H$11:$H$1010,MATCH($A143,'قيود اليومية'!$O$11:$O$1010,0)))</f>
        <v/>
      </c>
      <c r="H143" s="63" t="str">
        <f aca="false">IF($A143="","",N(H142)+IF($C$8&lt;&gt;"" ,IF(LEFT($C$8,4)="دائن",G143-F143,F143-G143),0))</f>
        <v/>
      </c>
    </row>
    <row r="144" customFormat="false" ht="15" hidden="false" customHeight="false" outlineLevel="0" collapsed="false">
      <c r="A144" s="82" t="str">
        <f aca="false">IF(ROW()-16&gt;COUNT('قيود اليومية'!$O$11:$O$1010),"",ROW()-16)</f>
        <v/>
      </c>
      <c r="B144" s="83" t="str">
        <f aca="false">IF($A144="","",INDEX('قيود اليومية'!$B$11:$B$1010,MATCH($A144,'قيود اليومية'!$O$11:$O$1010,0)))</f>
        <v/>
      </c>
      <c r="C144" s="84" t="str">
        <f aca="false">IF($A144="","",INDEX('قيود اليومية'!$A$11:$A$1010,MATCH($A144,'قيود اليومية'!$O$11:$O$1010,0)))</f>
        <v/>
      </c>
      <c r="D144" s="51" t="str">
        <f aca="false">IF($A144="","",INDEX('قيود اليومية'!$E$11:$E$1010,MATCH($A144,'قيود اليومية'!$O$11:$O$1010,0))&amp;"")</f>
        <v/>
      </c>
      <c r="E144" s="51" t="str">
        <f aca="false">IF($A144="","",INDEX('قيود اليومية'!$F$11:$F$1010,MATCH($A144,'قيود اليومية'!$O$11:$O$1010,0))&amp;"")</f>
        <v/>
      </c>
      <c r="F144" s="85" t="str">
        <f aca="false">IF($A144="","",INDEX('قيود اليومية'!$G$11:$G$1010,MATCH($A144,'قيود اليومية'!$O$11:$O$1010,0)))</f>
        <v/>
      </c>
      <c r="G144" s="85" t="str">
        <f aca="false">IF($A144="","",INDEX('قيود اليومية'!$H$11:$H$1010,MATCH($A144,'قيود اليومية'!$O$11:$O$1010,0)))</f>
        <v/>
      </c>
      <c r="H144" s="63" t="str">
        <f aca="false">IF($A144="","",N(H143)+IF($C$8&lt;&gt;"" ,IF(LEFT($C$8,4)="دائن",G144-F144,F144-G144),0))</f>
        <v/>
      </c>
    </row>
    <row r="145" customFormat="false" ht="15" hidden="false" customHeight="false" outlineLevel="0" collapsed="false">
      <c r="A145" s="82" t="str">
        <f aca="false">IF(ROW()-16&gt;COUNT('قيود اليومية'!$O$11:$O$1010),"",ROW()-16)</f>
        <v/>
      </c>
      <c r="B145" s="83" t="str">
        <f aca="false">IF($A145="","",INDEX('قيود اليومية'!$B$11:$B$1010,MATCH($A145,'قيود اليومية'!$O$11:$O$1010,0)))</f>
        <v/>
      </c>
      <c r="C145" s="84" t="str">
        <f aca="false">IF($A145="","",INDEX('قيود اليومية'!$A$11:$A$1010,MATCH($A145,'قيود اليومية'!$O$11:$O$1010,0)))</f>
        <v/>
      </c>
      <c r="D145" s="51" t="str">
        <f aca="false">IF($A145="","",INDEX('قيود اليومية'!$E$11:$E$1010,MATCH($A145,'قيود اليومية'!$O$11:$O$1010,0))&amp;"")</f>
        <v/>
      </c>
      <c r="E145" s="51" t="str">
        <f aca="false">IF($A145="","",INDEX('قيود اليومية'!$F$11:$F$1010,MATCH($A145,'قيود اليومية'!$O$11:$O$1010,0))&amp;"")</f>
        <v/>
      </c>
      <c r="F145" s="85" t="str">
        <f aca="false">IF($A145="","",INDEX('قيود اليومية'!$G$11:$G$1010,MATCH($A145,'قيود اليومية'!$O$11:$O$1010,0)))</f>
        <v/>
      </c>
      <c r="G145" s="85" t="str">
        <f aca="false">IF($A145="","",INDEX('قيود اليومية'!$H$11:$H$1010,MATCH($A145,'قيود اليومية'!$O$11:$O$1010,0)))</f>
        <v/>
      </c>
      <c r="H145" s="63" t="str">
        <f aca="false">IF($A145="","",N(H144)+IF($C$8&lt;&gt;"" ,IF(LEFT($C$8,4)="دائن",G145-F145,F145-G145),0))</f>
        <v/>
      </c>
    </row>
    <row r="146" customFormat="false" ht="15" hidden="false" customHeight="false" outlineLevel="0" collapsed="false">
      <c r="A146" s="82" t="str">
        <f aca="false">IF(ROW()-16&gt;COUNT('قيود اليومية'!$O$11:$O$1010),"",ROW()-16)</f>
        <v/>
      </c>
      <c r="B146" s="83" t="str">
        <f aca="false">IF($A146="","",INDEX('قيود اليومية'!$B$11:$B$1010,MATCH($A146,'قيود اليومية'!$O$11:$O$1010,0)))</f>
        <v/>
      </c>
      <c r="C146" s="84" t="str">
        <f aca="false">IF($A146="","",INDEX('قيود اليومية'!$A$11:$A$1010,MATCH($A146,'قيود اليومية'!$O$11:$O$1010,0)))</f>
        <v/>
      </c>
      <c r="D146" s="51" t="str">
        <f aca="false">IF($A146="","",INDEX('قيود اليومية'!$E$11:$E$1010,MATCH($A146,'قيود اليومية'!$O$11:$O$1010,0))&amp;"")</f>
        <v/>
      </c>
      <c r="E146" s="51" t="str">
        <f aca="false">IF($A146="","",INDEX('قيود اليومية'!$F$11:$F$1010,MATCH($A146,'قيود اليومية'!$O$11:$O$1010,0))&amp;"")</f>
        <v/>
      </c>
      <c r="F146" s="85" t="str">
        <f aca="false">IF($A146="","",INDEX('قيود اليومية'!$G$11:$G$1010,MATCH($A146,'قيود اليومية'!$O$11:$O$1010,0)))</f>
        <v/>
      </c>
      <c r="G146" s="85" t="str">
        <f aca="false">IF($A146="","",INDEX('قيود اليومية'!$H$11:$H$1010,MATCH($A146,'قيود اليومية'!$O$11:$O$1010,0)))</f>
        <v/>
      </c>
      <c r="H146" s="63" t="str">
        <f aca="false">IF($A146="","",N(H145)+IF($C$8&lt;&gt;"" ,IF(LEFT($C$8,4)="دائن",G146-F146,F146-G146),0))</f>
        <v/>
      </c>
    </row>
    <row r="147" customFormat="false" ht="15" hidden="false" customHeight="false" outlineLevel="0" collapsed="false">
      <c r="A147" s="82" t="str">
        <f aca="false">IF(ROW()-16&gt;COUNT('قيود اليومية'!$O$11:$O$1010),"",ROW()-16)</f>
        <v/>
      </c>
      <c r="B147" s="83" t="str">
        <f aca="false">IF($A147="","",INDEX('قيود اليومية'!$B$11:$B$1010,MATCH($A147,'قيود اليومية'!$O$11:$O$1010,0)))</f>
        <v/>
      </c>
      <c r="C147" s="84" t="str">
        <f aca="false">IF($A147="","",INDEX('قيود اليومية'!$A$11:$A$1010,MATCH($A147,'قيود اليومية'!$O$11:$O$1010,0)))</f>
        <v/>
      </c>
      <c r="D147" s="51" t="str">
        <f aca="false">IF($A147="","",INDEX('قيود اليومية'!$E$11:$E$1010,MATCH($A147,'قيود اليومية'!$O$11:$O$1010,0))&amp;"")</f>
        <v/>
      </c>
      <c r="E147" s="51" t="str">
        <f aca="false">IF($A147="","",INDEX('قيود اليومية'!$F$11:$F$1010,MATCH($A147,'قيود اليومية'!$O$11:$O$1010,0))&amp;"")</f>
        <v/>
      </c>
      <c r="F147" s="85" t="str">
        <f aca="false">IF($A147="","",INDEX('قيود اليومية'!$G$11:$G$1010,MATCH($A147,'قيود اليومية'!$O$11:$O$1010,0)))</f>
        <v/>
      </c>
      <c r="G147" s="85" t="str">
        <f aca="false">IF($A147="","",INDEX('قيود اليومية'!$H$11:$H$1010,MATCH($A147,'قيود اليومية'!$O$11:$O$1010,0)))</f>
        <v/>
      </c>
      <c r="H147" s="63" t="str">
        <f aca="false">IF($A147="","",N(H146)+IF($C$8&lt;&gt;"" ,IF(LEFT($C$8,4)="دائن",G147-F147,F147-G147),0))</f>
        <v/>
      </c>
    </row>
    <row r="148" customFormat="false" ht="15" hidden="false" customHeight="false" outlineLevel="0" collapsed="false">
      <c r="A148" s="82" t="str">
        <f aca="false">IF(ROW()-16&gt;COUNT('قيود اليومية'!$O$11:$O$1010),"",ROW()-16)</f>
        <v/>
      </c>
      <c r="B148" s="83" t="str">
        <f aca="false">IF($A148="","",INDEX('قيود اليومية'!$B$11:$B$1010,MATCH($A148,'قيود اليومية'!$O$11:$O$1010,0)))</f>
        <v/>
      </c>
      <c r="C148" s="84" t="str">
        <f aca="false">IF($A148="","",INDEX('قيود اليومية'!$A$11:$A$1010,MATCH($A148,'قيود اليومية'!$O$11:$O$1010,0)))</f>
        <v/>
      </c>
      <c r="D148" s="51" t="str">
        <f aca="false">IF($A148="","",INDEX('قيود اليومية'!$E$11:$E$1010,MATCH($A148,'قيود اليومية'!$O$11:$O$1010,0))&amp;"")</f>
        <v/>
      </c>
      <c r="E148" s="51" t="str">
        <f aca="false">IF($A148="","",INDEX('قيود اليومية'!$F$11:$F$1010,MATCH($A148,'قيود اليومية'!$O$11:$O$1010,0))&amp;"")</f>
        <v/>
      </c>
      <c r="F148" s="85" t="str">
        <f aca="false">IF($A148="","",INDEX('قيود اليومية'!$G$11:$G$1010,MATCH($A148,'قيود اليومية'!$O$11:$O$1010,0)))</f>
        <v/>
      </c>
      <c r="G148" s="85" t="str">
        <f aca="false">IF($A148="","",INDEX('قيود اليومية'!$H$11:$H$1010,MATCH($A148,'قيود اليومية'!$O$11:$O$1010,0)))</f>
        <v/>
      </c>
      <c r="H148" s="63" t="str">
        <f aca="false">IF($A148="","",N(H147)+IF($C$8&lt;&gt;"" ,IF(LEFT($C$8,4)="دائن",G148-F148,F148-G148),0))</f>
        <v/>
      </c>
    </row>
    <row r="149" customFormat="false" ht="15" hidden="false" customHeight="false" outlineLevel="0" collapsed="false">
      <c r="A149" s="82" t="str">
        <f aca="false">IF(ROW()-16&gt;COUNT('قيود اليومية'!$O$11:$O$1010),"",ROW()-16)</f>
        <v/>
      </c>
      <c r="B149" s="83" t="str">
        <f aca="false">IF($A149="","",INDEX('قيود اليومية'!$B$11:$B$1010,MATCH($A149,'قيود اليومية'!$O$11:$O$1010,0)))</f>
        <v/>
      </c>
      <c r="C149" s="84" t="str">
        <f aca="false">IF($A149="","",INDEX('قيود اليومية'!$A$11:$A$1010,MATCH($A149,'قيود اليومية'!$O$11:$O$1010,0)))</f>
        <v/>
      </c>
      <c r="D149" s="51" t="str">
        <f aca="false">IF($A149="","",INDEX('قيود اليومية'!$E$11:$E$1010,MATCH($A149,'قيود اليومية'!$O$11:$O$1010,0))&amp;"")</f>
        <v/>
      </c>
      <c r="E149" s="51" t="str">
        <f aca="false">IF($A149="","",INDEX('قيود اليومية'!$F$11:$F$1010,MATCH($A149,'قيود اليومية'!$O$11:$O$1010,0))&amp;"")</f>
        <v/>
      </c>
      <c r="F149" s="85" t="str">
        <f aca="false">IF($A149="","",INDEX('قيود اليومية'!$G$11:$G$1010,MATCH($A149,'قيود اليومية'!$O$11:$O$1010,0)))</f>
        <v/>
      </c>
      <c r="G149" s="85" t="str">
        <f aca="false">IF($A149="","",INDEX('قيود اليومية'!$H$11:$H$1010,MATCH($A149,'قيود اليومية'!$O$11:$O$1010,0)))</f>
        <v/>
      </c>
      <c r="H149" s="63" t="str">
        <f aca="false">IF($A149="","",N(H148)+IF($C$8&lt;&gt;"" ,IF(LEFT($C$8,4)="دائن",G149-F149,F149-G149),0))</f>
        <v/>
      </c>
    </row>
    <row r="150" customFormat="false" ht="15" hidden="false" customHeight="false" outlineLevel="0" collapsed="false">
      <c r="A150" s="82" t="str">
        <f aca="false">IF(ROW()-16&gt;COUNT('قيود اليومية'!$O$11:$O$1010),"",ROW()-16)</f>
        <v/>
      </c>
      <c r="B150" s="83" t="str">
        <f aca="false">IF($A150="","",INDEX('قيود اليومية'!$B$11:$B$1010,MATCH($A150,'قيود اليومية'!$O$11:$O$1010,0)))</f>
        <v/>
      </c>
      <c r="C150" s="84" t="str">
        <f aca="false">IF($A150="","",INDEX('قيود اليومية'!$A$11:$A$1010,MATCH($A150,'قيود اليومية'!$O$11:$O$1010,0)))</f>
        <v/>
      </c>
      <c r="D150" s="51" t="str">
        <f aca="false">IF($A150="","",INDEX('قيود اليومية'!$E$11:$E$1010,MATCH($A150,'قيود اليومية'!$O$11:$O$1010,0))&amp;"")</f>
        <v/>
      </c>
      <c r="E150" s="51" t="str">
        <f aca="false">IF($A150="","",INDEX('قيود اليومية'!$F$11:$F$1010,MATCH($A150,'قيود اليومية'!$O$11:$O$1010,0))&amp;"")</f>
        <v/>
      </c>
      <c r="F150" s="85" t="str">
        <f aca="false">IF($A150="","",INDEX('قيود اليومية'!$G$11:$G$1010,MATCH($A150,'قيود اليومية'!$O$11:$O$1010,0)))</f>
        <v/>
      </c>
      <c r="G150" s="85" t="str">
        <f aca="false">IF($A150="","",INDEX('قيود اليومية'!$H$11:$H$1010,MATCH($A150,'قيود اليومية'!$O$11:$O$1010,0)))</f>
        <v/>
      </c>
      <c r="H150" s="63" t="str">
        <f aca="false">IF($A150="","",N(H149)+IF($C$8&lt;&gt;"" ,IF(LEFT($C$8,4)="دائن",G150-F150,F150-G150),0))</f>
        <v/>
      </c>
    </row>
    <row r="151" customFormat="false" ht="15" hidden="false" customHeight="false" outlineLevel="0" collapsed="false">
      <c r="A151" s="82" t="str">
        <f aca="false">IF(ROW()-16&gt;COUNT('قيود اليومية'!$O$11:$O$1010),"",ROW()-16)</f>
        <v/>
      </c>
      <c r="B151" s="83" t="str">
        <f aca="false">IF($A151="","",INDEX('قيود اليومية'!$B$11:$B$1010,MATCH($A151,'قيود اليومية'!$O$11:$O$1010,0)))</f>
        <v/>
      </c>
      <c r="C151" s="84" t="str">
        <f aca="false">IF($A151="","",INDEX('قيود اليومية'!$A$11:$A$1010,MATCH($A151,'قيود اليومية'!$O$11:$O$1010,0)))</f>
        <v/>
      </c>
      <c r="D151" s="51" t="str">
        <f aca="false">IF($A151="","",INDEX('قيود اليومية'!$E$11:$E$1010,MATCH($A151,'قيود اليومية'!$O$11:$O$1010,0))&amp;"")</f>
        <v/>
      </c>
      <c r="E151" s="51" t="str">
        <f aca="false">IF($A151="","",INDEX('قيود اليومية'!$F$11:$F$1010,MATCH($A151,'قيود اليومية'!$O$11:$O$1010,0))&amp;"")</f>
        <v/>
      </c>
      <c r="F151" s="85" t="str">
        <f aca="false">IF($A151="","",INDEX('قيود اليومية'!$G$11:$G$1010,MATCH($A151,'قيود اليومية'!$O$11:$O$1010,0)))</f>
        <v/>
      </c>
      <c r="G151" s="85" t="str">
        <f aca="false">IF($A151="","",INDEX('قيود اليومية'!$H$11:$H$1010,MATCH($A151,'قيود اليومية'!$O$11:$O$1010,0)))</f>
        <v/>
      </c>
      <c r="H151" s="63" t="str">
        <f aca="false">IF($A151="","",N(H150)+IF($C$8&lt;&gt;"" ,IF(LEFT($C$8,4)="دائن",G151-F151,F151-G151),0))</f>
        <v/>
      </c>
    </row>
    <row r="152" customFormat="false" ht="15" hidden="false" customHeight="false" outlineLevel="0" collapsed="false">
      <c r="A152" s="82" t="str">
        <f aca="false">IF(ROW()-16&gt;COUNT('قيود اليومية'!$O$11:$O$1010),"",ROW()-16)</f>
        <v/>
      </c>
      <c r="B152" s="83" t="str">
        <f aca="false">IF($A152="","",INDEX('قيود اليومية'!$B$11:$B$1010,MATCH($A152,'قيود اليومية'!$O$11:$O$1010,0)))</f>
        <v/>
      </c>
      <c r="C152" s="84" t="str">
        <f aca="false">IF($A152="","",INDEX('قيود اليومية'!$A$11:$A$1010,MATCH($A152,'قيود اليومية'!$O$11:$O$1010,0)))</f>
        <v/>
      </c>
      <c r="D152" s="51" t="str">
        <f aca="false">IF($A152="","",INDEX('قيود اليومية'!$E$11:$E$1010,MATCH($A152,'قيود اليومية'!$O$11:$O$1010,0))&amp;"")</f>
        <v/>
      </c>
      <c r="E152" s="51" t="str">
        <f aca="false">IF($A152="","",INDEX('قيود اليومية'!$F$11:$F$1010,MATCH($A152,'قيود اليومية'!$O$11:$O$1010,0))&amp;"")</f>
        <v/>
      </c>
      <c r="F152" s="85" t="str">
        <f aca="false">IF($A152="","",INDEX('قيود اليومية'!$G$11:$G$1010,MATCH($A152,'قيود اليومية'!$O$11:$O$1010,0)))</f>
        <v/>
      </c>
      <c r="G152" s="85" t="str">
        <f aca="false">IF($A152="","",INDEX('قيود اليومية'!$H$11:$H$1010,MATCH($A152,'قيود اليومية'!$O$11:$O$1010,0)))</f>
        <v/>
      </c>
      <c r="H152" s="63" t="str">
        <f aca="false">IF($A152="","",N(H151)+IF($C$8&lt;&gt;"" ,IF(LEFT($C$8,4)="دائن",G152-F152,F152-G152),0))</f>
        <v/>
      </c>
    </row>
    <row r="153" customFormat="false" ht="15" hidden="false" customHeight="false" outlineLevel="0" collapsed="false">
      <c r="A153" s="82" t="str">
        <f aca="false">IF(ROW()-16&gt;COUNT('قيود اليومية'!$O$11:$O$1010),"",ROW()-16)</f>
        <v/>
      </c>
      <c r="B153" s="83" t="str">
        <f aca="false">IF($A153="","",INDEX('قيود اليومية'!$B$11:$B$1010,MATCH($A153,'قيود اليومية'!$O$11:$O$1010,0)))</f>
        <v/>
      </c>
      <c r="C153" s="84" t="str">
        <f aca="false">IF($A153="","",INDEX('قيود اليومية'!$A$11:$A$1010,MATCH($A153,'قيود اليومية'!$O$11:$O$1010,0)))</f>
        <v/>
      </c>
      <c r="D153" s="51" t="str">
        <f aca="false">IF($A153="","",INDEX('قيود اليومية'!$E$11:$E$1010,MATCH($A153,'قيود اليومية'!$O$11:$O$1010,0))&amp;"")</f>
        <v/>
      </c>
      <c r="E153" s="51" t="str">
        <f aca="false">IF($A153="","",INDEX('قيود اليومية'!$F$11:$F$1010,MATCH($A153,'قيود اليومية'!$O$11:$O$1010,0))&amp;"")</f>
        <v/>
      </c>
      <c r="F153" s="85" t="str">
        <f aca="false">IF($A153="","",INDEX('قيود اليومية'!$G$11:$G$1010,MATCH($A153,'قيود اليومية'!$O$11:$O$1010,0)))</f>
        <v/>
      </c>
      <c r="G153" s="85" t="str">
        <f aca="false">IF($A153="","",INDEX('قيود اليومية'!$H$11:$H$1010,MATCH($A153,'قيود اليومية'!$O$11:$O$1010,0)))</f>
        <v/>
      </c>
      <c r="H153" s="63" t="str">
        <f aca="false">IF($A153="","",N(H152)+IF($C$8&lt;&gt;"" ,IF(LEFT($C$8,4)="دائن",G153-F153,F153-G153),0))</f>
        <v/>
      </c>
    </row>
    <row r="154" customFormat="false" ht="15" hidden="false" customHeight="false" outlineLevel="0" collapsed="false">
      <c r="A154" s="82" t="str">
        <f aca="false">IF(ROW()-16&gt;COUNT('قيود اليومية'!$O$11:$O$1010),"",ROW()-16)</f>
        <v/>
      </c>
      <c r="B154" s="83" t="str">
        <f aca="false">IF($A154="","",INDEX('قيود اليومية'!$B$11:$B$1010,MATCH($A154,'قيود اليومية'!$O$11:$O$1010,0)))</f>
        <v/>
      </c>
      <c r="C154" s="84" t="str">
        <f aca="false">IF($A154="","",INDEX('قيود اليومية'!$A$11:$A$1010,MATCH($A154,'قيود اليومية'!$O$11:$O$1010,0)))</f>
        <v/>
      </c>
      <c r="D154" s="51" t="str">
        <f aca="false">IF($A154="","",INDEX('قيود اليومية'!$E$11:$E$1010,MATCH($A154,'قيود اليومية'!$O$11:$O$1010,0))&amp;"")</f>
        <v/>
      </c>
      <c r="E154" s="51" t="str">
        <f aca="false">IF($A154="","",INDEX('قيود اليومية'!$F$11:$F$1010,MATCH($A154,'قيود اليومية'!$O$11:$O$1010,0))&amp;"")</f>
        <v/>
      </c>
      <c r="F154" s="85" t="str">
        <f aca="false">IF($A154="","",INDEX('قيود اليومية'!$G$11:$G$1010,MATCH($A154,'قيود اليومية'!$O$11:$O$1010,0)))</f>
        <v/>
      </c>
      <c r="G154" s="85" t="str">
        <f aca="false">IF($A154="","",INDEX('قيود اليومية'!$H$11:$H$1010,MATCH($A154,'قيود اليومية'!$O$11:$O$1010,0)))</f>
        <v/>
      </c>
      <c r="H154" s="63" t="str">
        <f aca="false">IF($A154="","",N(H153)+IF($C$8&lt;&gt;"" ,IF(LEFT($C$8,4)="دائن",G154-F154,F154-G154),0))</f>
        <v/>
      </c>
    </row>
    <row r="155" customFormat="false" ht="15" hidden="false" customHeight="false" outlineLevel="0" collapsed="false">
      <c r="A155" s="82" t="str">
        <f aca="false">IF(ROW()-16&gt;COUNT('قيود اليومية'!$O$11:$O$1010),"",ROW()-16)</f>
        <v/>
      </c>
      <c r="B155" s="83" t="str">
        <f aca="false">IF($A155="","",INDEX('قيود اليومية'!$B$11:$B$1010,MATCH($A155,'قيود اليومية'!$O$11:$O$1010,0)))</f>
        <v/>
      </c>
      <c r="C155" s="84" t="str">
        <f aca="false">IF($A155="","",INDEX('قيود اليومية'!$A$11:$A$1010,MATCH($A155,'قيود اليومية'!$O$11:$O$1010,0)))</f>
        <v/>
      </c>
      <c r="D155" s="51" t="str">
        <f aca="false">IF($A155="","",INDEX('قيود اليومية'!$E$11:$E$1010,MATCH($A155,'قيود اليومية'!$O$11:$O$1010,0))&amp;"")</f>
        <v/>
      </c>
      <c r="E155" s="51" t="str">
        <f aca="false">IF($A155="","",INDEX('قيود اليومية'!$F$11:$F$1010,MATCH($A155,'قيود اليومية'!$O$11:$O$1010,0))&amp;"")</f>
        <v/>
      </c>
      <c r="F155" s="85" t="str">
        <f aca="false">IF($A155="","",INDEX('قيود اليومية'!$G$11:$G$1010,MATCH($A155,'قيود اليومية'!$O$11:$O$1010,0)))</f>
        <v/>
      </c>
      <c r="G155" s="85" t="str">
        <f aca="false">IF($A155="","",INDEX('قيود اليومية'!$H$11:$H$1010,MATCH($A155,'قيود اليومية'!$O$11:$O$1010,0)))</f>
        <v/>
      </c>
      <c r="H155" s="63" t="str">
        <f aca="false">IF($A155="","",N(H154)+IF($C$8&lt;&gt;"" ,IF(LEFT($C$8,4)="دائن",G155-F155,F155-G155),0))</f>
        <v/>
      </c>
    </row>
    <row r="156" customFormat="false" ht="15" hidden="false" customHeight="false" outlineLevel="0" collapsed="false">
      <c r="A156" s="82" t="str">
        <f aca="false">IF(ROW()-16&gt;COUNT('قيود اليومية'!$O$11:$O$1010),"",ROW()-16)</f>
        <v/>
      </c>
      <c r="B156" s="83" t="str">
        <f aca="false">IF($A156="","",INDEX('قيود اليومية'!$B$11:$B$1010,MATCH($A156,'قيود اليومية'!$O$11:$O$1010,0)))</f>
        <v/>
      </c>
      <c r="C156" s="84" t="str">
        <f aca="false">IF($A156="","",INDEX('قيود اليومية'!$A$11:$A$1010,MATCH($A156,'قيود اليومية'!$O$11:$O$1010,0)))</f>
        <v/>
      </c>
      <c r="D156" s="51" t="str">
        <f aca="false">IF($A156="","",INDEX('قيود اليومية'!$E$11:$E$1010,MATCH($A156,'قيود اليومية'!$O$11:$O$1010,0))&amp;"")</f>
        <v/>
      </c>
      <c r="E156" s="51" t="str">
        <f aca="false">IF($A156="","",INDEX('قيود اليومية'!$F$11:$F$1010,MATCH($A156,'قيود اليومية'!$O$11:$O$1010,0))&amp;"")</f>
        <v/>
      </c>
      <c r="F156" s="85" t="str">
        <f aca="false">IF($A156="","",INDEX('قيود اليومية'!$G$11:$G$1010,MATCH($A156,'قيود اليومية'!$O$11:$O$1010,0)))</f>
        <v/>
      </c>
      <c r="G156" s="85" t="str">
        <f aca="false">IF($A156="","",INDEX('قيود اليومية'!$H$11:$H$1010,MATCH($A156,'قيود اليومية'!$O$11:$O$1010,0)))</f>
        <v/>
      </c>
      <c r="H156" s="63" t="str">
        <f aca="false">IF($A156="","",N(H155)+IF($C$8&lt;&gt;"" ,IF(LEFT($C$8,4)="دائن",G156-F156,F156-G156),0))</f>
        <v/>
      </c>
    </row>
    <row r="157" customFormat="false" ht="15" hidden="false" customHeight="false" outlineLevel="0" collapsed="false">
      <c r="A157" s="82" t="str">
        <f aca="false">IF(ROW()-16&gt;COUNT('قيود اليومية'!$O$11:$O$1010),"",ROW()-16)</f>
        <v/>
      </c>
      <c r="B157" s="83" t="str">
        <f aca="false">IF($A157="","",INDEX('قيود اليومية'!$B$11:$B$1010,MATCH($A157,'قيود اليومية'!$O$11:$O$1010,0)))</f>
        <v/>
      </c>
      <c r="C157" s="84" t="str">
        <f aca="false">IF($A157="","",INDEX('قيود اليومية'!$A$11:$A$1010,MATCH($A157,'قيود اليومية'!$O$11:$O$1010,0)))</f>
        <v/>
      </c>
      <c r="D157" s="51" t="str">
        <f aca="false">IF($A157="","",INDEX('قيود اليومية'!$E$11:$E$1010,MATCH($A157,'قيود اليومية'!$O$11:$O$1010,0))&amp;"")</f>
        <v/>
      </c>
      <c r="E157" s="51" t="str">
        <f aca="false">IF($A157="","",INDEX('قيود اليومية'!$F$11:$F$1010,MATCH($A157,'قيود اليومية'!$O$11:$O$1010,0))&amp;"")</f>
        <v/>
      </c>
      <c r="F157" s="85" t="str">
        <f aca="false">IF($A157="","",INDEX('قيود اليومية'!$G$11:$G$1010,MATCH($A157,'قيود اليومية'!$O$11:$O$1010,0)))</f>
        <v/>
      </c>
      <c r="G157" s="85" t="str">
        <f aca="false">IF($A157="","",INDEX('قيود اليومية'!$H$11:$H$1010,MATCH($A157,'قيود اليومية'!$O$11:$O$1010,0)))</f>
        <v/>
      </c>
      <c r="H157" s="63" t="str">
        <f aca="false">IF($A157="","",N(H156)+IF($C$8&lt;&gt;"" ,IF(LEFT($C$8,4)="دائن",G157-F157,F157-G157),0))</f>
        <v/>
      </c>
    </row>
    <row r="158" customFormat="false" ht="15" hidden="false" customHeight="false" outlineLevel="0" collapsed="false">
      <c r="A158" s="82" t="str">
        <f aca="false">IF(ROW()-16&gt;COUNT('قيود اليومية'!$O$11:$O$1010),"",ROW()-16)</f>
        <v/>
      </c>
      <c r="B158" s="83" t="str">
        <f aca="false">IF($A158="","",INDEX('قيود اليومية'!$B$11:$B$1010,MATCH($A158,'قيود اليومية'!$O$11:$O$1010,0)))</f>
        <v/>
      </c>
      <c r="C158" s="84" t="str">
        <f aca="false">IF($A158="","",INDEX('قيود اليومية'!$A$11:$A$1010,MATCH($A158,'قيود اليومية'!$O$11:$O$1010,0)))</f>
        <v/>
      </c>
      <c r="D158" s="51" t="str">
        <f aca="false">IF($A158="","",INDEX('قيود اليومية'!$E$11:$E$1010,MATCH($A158,'قيود اليومية'!$O$11:$O$1010,0))&amp;"")</f>
        <v/>
      </c>
      <c r="E158" s="51" t="str">
        <f aca="false">IF($A158="","",INDEX('قيود اليومية'!$F$11:$F$1010,MATCH($A158,'قيود اليومية'!$O$11:$O$1010,0))&amp;"")</f>
        <v/>
      </c>
      <c r="F158" s="85" t="str">
        <f aca="false">IF($A158="","",INDEX('قيود اليومية'!$G$11:$G$1010,MATCH($A158,'قيود اليومية'!$O$11:$O$1010,0)))</f>
        <v/>
      </c>
      <c r="G158" s="85" t="str">
        <f aca="false">IF($A158="","",INDEX('قيود اليومية'!$H$11:$H$1010,MATCH($A158,'قيود اليومية'!$O$11:$O$1010,0)))</f>
        <v/>
      </c>
      <c r="H158" s="63" t="str">
        <f aca="false">IF($A158="","",N(H157)+IF($C$8&lt;&gt;"" ,IF(LEFT($C$8,4)="دائن",G158-F158,F158-G158),0))</f>
        <v/>
      </c>
    </row>
    <row r="159" customFormat="false" ht="15" hidden="false" customHeight="false" outlineLevel="0" collapsed="false">
      <c r="A159" s="82" t="str">
        <f aca="false">IF(ROW()-16&gt;COUNT('قيود اليومية'!$O$11:$O$1010),"",ROW()-16)</f>
        <v/>
      </c>
      <c r="B159" s="83" t="str">
        <f aca="false">IF($A159="","",INDEX('قيود اليومية'!$B$11:$B$1010,MATCH($A159,'قيود اليومية'!$O$11:$O$1010,0)))</f>
        <v/>
      </c>
      <c r="C159" s="84" t="str">
        <f aca="false">IF($A159="","",INDEX('قيود اليومية'!$A$11:$A$1010,MATCH($A159,'قيود اليومية'!$O$11:$O$1010,0)))</f>
        <v/>
      </c>
      <c r="D159" s="51" t="str">
        <f aca="false">IF($A159="","",INDEX('قيود اليومية'!$E$11:$E$1010,MATCH($A159,'قيود اليومية'!$O$11:$O$1010,0))&amp;"")</f>
        <v/>
      </c>
      <c r="E159" s="51" t="str">
        <f aca="false">IF($A159="","",INDEX('قيود اليومية'!$F$11:$F$1010,MATCH($A159,'قيود اليومية'!$O$11:$O$1010,0))&amp;"")</f>
        <v/>
      </c>
      <c r="F159" s="85" t="str">
        <f aca="false">IF($A159="","",INDEX('قيود اليومية'!$G$11:$G$1010,MATCH($A159,'قيود اليومية'!$O$11:$O$1010,0)))</f>
        <v/>
      </c>
      <c r="G159" s="85" t="str">
        <f aca="false">IF($A159="","",INDEX('قيود اليومية'!$H$11:$H$1010,MATCH($A159,'قيود اليومية'!$O$11:$O$1010,0)))</f>
        <v/>
      </c>
      <c r="H159" s="63" t="str">
        <f aca="false">IF($A159="","",N(H158)+IF($C$8&lt;&gt;"" ,IF(LEFT($C$8,4)="دائن",G159-F159,F159-G159),0))</f>
        <v/>
      </c>
    </row>
    <row r="160" customFormat="false" ht="15" hidden="false" customHeight="false" outlineLevel="0" collapsed="false">
      <c r="A160" s="82" t="str">
        <f aca="false">IF(ROW()-16&gt;COUNT('قيود اليومية'!$O$11:$O$1010),"",ROW()-16)</f>
        <v/>
      </c>
      <c r="B160" s="83" t="str">
        <f aca="false">IF($A160="","",INDEX('قيود اليومية'!$B$11:$B$1010,MATCH($A160,'قيود اليومية'!$O$11:$O$1010,0)))</f>
        <v/>
      </c>
      <c r="C160" s="84" t="str">
        <f aca="false">IF($A160="","",INDEX('قيود اليومية'!$A$11:$A$1010,MATCH($A160,'قيود اليومية'!$O$11:$O$1010,0)))</f>
        <v/>
      </c>
      <c r="D160" s="51" t="str">
        <f aca="false">IF($A160="","",INDEX('قيود اليومية'!$E$11:$E$1010,MATCH($A160,'قيود اليومية'!$O$11:$O$1010,0))&amp;"")</f>
        <v/>
      </c>
      <c r="E160" s="51" t="str">
        <f aca="false">IF($A160="","",INDEX('قيود اليومية'!$F$11:$F$1010,MATCH($A160,'قيود اليومية'!$O$11:$O$1010,0))&amp;"")</f>
        <v/>
      </c>
      <c r="F160" s="85" t="str">
        <f aca="false">IF($A160="","",INDEX('قيود اليومية'!$G$11:$G$1010,MATCH($A160,'قيود اليومية'!$O$11:$O$1010,0)))</f>
        <v/>
      </c>
      <c r="G160" s="85" t="str">
        <f aca="false">IF($A160="","",INDEX('قيود اليومية'!$H$11:$H$1010,MATCH($A160,'قيود اليومية'!$O$11:$O$1010,0)))</f>
        <v/>
      </c>
      <c r="H160" s="63" t="str">
        <f aca="false">IF($A160="","",N(H159)+IF($C$8&lt;&gt;"" ,IF(LEFT($C$8,4)="دائن",G160-F160,F160-G160),0))</f>
        <v/>
      </c>
    </row>
    <row r="161" customFormat="false" ht="15" hidden="false" customHeight="false" outlineLevel="0" collapsed="false">
      <c r="A161" s="82" t="str">
        <f aca="false">IF(ROW()-16&gt;COUNT('قيود اليومية'!$O$11:$O$1010),"",ROW()-16)</f>
        <v/>
      </c>
      <c r="B161" s="83" t="str">
        <f aca="false">IF($A161="","",INDEX('قيود اليومية'!$B$11:$B$1010,MATCH($A161,'قيود اليومية'!$O$11:$O$1010,0)))</f>
        <v/>
      </c>
      <c r="C161" s="84" t="str">
        <f aca="false">IF($A161="","",INDEX('قيود اليومية'!$A$11:$A$1010,MATCH($A161,'قيود اليومية'!$O$11:$O$1010,0)))</f>
        <v/>
      </c>
      <c r="D161" s="51" t="str">
        <f aca="false">IF($A161="","",INDEX('قيود اليومية'!$E$11:$E$1010,MATCH($A161,'قيود اليومية'!$O$11:$O$1010,0))&amp;"")</f>
        <v/>
      </c>
      <c r="E161" s="51" t="str">
        <f aca="false">IF($A161="","",INDEX('قيود اليومية'!$F$11:$F$1010,MATCH($A161,'قيود اليومية'!$O$11:$O$1010,0))&amp;"")</f>
        <v/>
      </c>
      <c r="F161" s="85" t="str">
        <f aca="false">IF($A161="","",INDEX('قيود اليومية'!$G$11:$G$1010,MATCH($A161,'قيود اليومية'!$O$11:$O$1010,0)))</f>
        <v/>
      </c>
      <c r="G161" s="85" t="str">
        <f aca="false">IF($A161="","",INDEX('قيود اليومية'!$H$11:$H$1010,MATCH($A161,'قيود اليومية'!$O$11:$O$1010,0)))</f>
        <v/>
      </c>
      <c r="H161" s="63" t="str">
        <f aca="false">IF($A161="","",N(H160)+IF($C$8&lt;&gt;"" ,IF(LEFT($C$8,4)="دائن",G161-F161,F161-G161),0))</f>
        <v/>
      </c>
    </row>
    <row r="162" customFormat="false" ht="15" hidden="false" customHeight="false" outlineLevel="0" collapsed="false">
      <c r="A162" s="82" t="str">
        <f aca="false">IF(ROW()-16&gt;COUNT('قيود اليومية'!$O$11:$O$1010),"",ROW()-16)</f>
        <v/>
      </c>
      <c r="B162" s="83" t="str">
        <f aca="false">IF($A162="","",INDEX('قيود اليومية'!$B$11:$B$1010,MATCH($A162,'قيود اليومية'!$O$11:$O$1010,0)))</f>
        <v/>
      </c>
      <c r="C162" s="84" t="str">
        <f aca="false">IF($A162="","",INDEX('قيود اليومية'!$A$11:$A$1010,MATCH($A162,'قيود اليومية'!$O$11:$O$1010,0)))</f>
        <v/>
      </c>
      <c r="D162" s="51" t="str">
        <f aca="false">IF($A162="","",INDEX('قيود اليومية'!$E$11:$E$1010,MATCH($A162,'قيود اليومية'!$O$11:$O$1010,0))&amp;"")</f>
        <v/>
      </c>
      <c r="E162" s="51" t="str">
        <f aca="false">IF($A162="","",INDEX('قيود اليومية'!$F$11:$F$1010,MATCH($A162,'قيود اليومية'!$O$11:$O$1010,0))&amp;"")</f>
        <v/>
      </c>
      <c r="F162" s="85" t="str">
        <f aca="false">IF($A162="","",INDEX('قيود اليومية'!$G$11:$G$1010,MATCH($A162,'قيود اليومية'!$O$11:$O$1010,0)))</f>
        <v/>
      </c>
      <c r="G162" s="85" t="str">
        <f aca="false">IF($A162="","",INDEX('قيود اليومية'!$H$11:$H$1010,MATCH($A162,'قيود اليومية'!$O$11:$O$1010,0)))</f>
        <v/>
      </c>
      <c r="H162" s="63" t="str">
        <f aca="false">IF($A162="","",N(H161)+IF($C$8&lt;&gt;"" ,IF(LEFT($C$8,4)="دائن",G162-F162,F162-G162),0))</f>
        <v/>
      </c>
    </row>
    <row r="163" customFormat="false" ht="15" hidden="false" customHeight="false" outlineLevel="0" collapsed="false">
      <c r="A163" s="82" t="str">
        <f aca="false">IF(ROW()-16&gt;COUNT('قيود اليومية'!$O$11:$O$1010),"",ROW()-16)</f>
        <v/>
      </c>
      <c r="B163" s="83" t="str">
        <f aca="false">IF($A163="","",INDEX('قيود اليومية'!$B$11:$B$1010,MATCH($A163,'قيود اليومية'!$O$11:$O$1010,0)))</f>
        <v/>
      </c>
      <c r="C163" s="84" t="str">
        <f aca="false">IF($A163="","",INDEX('قيود اليومية'!$A$11:$A$1010,MATCH($A163,'قيود اليومية'!$O$11:$O$1010,0)))</f>
        <v/>
      </c>
      <c r="D163" s="51" t="str">
        <f aca="false">IF($A163="","",INDEX('قيود اليومية'!$E$11:$E$1010,MATCH($A163,'قيود اليومية'!$O$11:$O$1010,0))&amp;"")</f>
        <v/>
      </c>
      <c r="E163" s="51" t="str">
        <f aca="false">IF($A163="","",INDEX('قيود اليومية'!$F$11:$F$1010,MATCH($A163,'قيود اليومية'!$O$11:$O$1010,0))&amp;"")</f>
        <v/>
      </c>
      <c r="F163" s="85" t="str">
        <f aca="false">IF($A163="","",INDEX('قيود اليومية'!$G$11:$G$1010,MATCH($A163,'قيود اليومية'!$O$11:$O$1010,0)))</f>
        <v/>
      </c>
      <c r="G163" s="85" t="str">
        <f aca="false">IF($A163="","",INDEX('قيود اليومية'!$H$11:$H$1010,MATCH($A163,'قيود اليومية'!$O$11:$O$1010,0)))</f>
        <v/>
      </c>
      <c r="H163" s="63" t="str">
        <f aca="false">IF($A163="","",N(H162)+IF($C$8&lt;&gt;"" ,IF(LEFT($C$8,4)="دائن",G163-F163,F163-G163),0))</f>
        <v/>
      </c>
    </row>
    <row r="164" customFormat="false" ht="15" hidden="false" customHeight="false" outlineLevel="0" collapsed="false">
      <c r="A164" s="82" t="str">
        <f aca="false">IF(ROW()-16&gt;COUNT('قيود اليومية'!$O$11:$O$1010),"",ROW()-16)</f>
        <v/>
      </c>
      <c r="B164" s="83" t="str">
        <f aca="false">IF($A164="","",INDEX('قيود اليومية'!$B$11:$B$1010,MATCH($A164,'قيود اليومية'!$O$11:$O$1010,0)))</f>
        <v/>
      </c>
      <c r="C164" s="84" t="str">
        <f aca="false">IF($A164="","",INDEX('قيود اليومية'!$A$11:$A$1010,MATCH($A164,'قيود اليومية'!$O$11:$O$1010,0)))</f>
        <v/>
      </c>
      <c r="D164" s="51" t="str">
        <f aca="false">IF($A164="","",INDEX('قيود اليومية'!$E$11:$E$1010,MATCH($A164,'قيود اليومية'!$O$11:$O$1010,0))&amp;"")</f>
        <v/>
      </c>
      <c r="E164" s="51" t="str">
        <f aca="false">IF($A164="","",INDEX('قيود اليومية'!$F$11:$F$1010,MATCH($A164,'قيود اليومية'!$O$11:$O$1010,0))&amp;"")</f>
        <v/>
      </c>
      <c r="F164" s="85" t="str">
        <f aca="false">IF($A164="","",INDEX('قيود اليومية'!$G$11:$G$1010,MATCH($A164,'قيود اليومية'!$O$11:$O$1010,0)))</f>
        <v/>
      </c>
      <c r="G164" s="85" t="str">
        <f aca="false">IF($A164="","",INDEX('قيود اليومية'!$H$11:$H$1010,MATCH($A164,'قيود اليومية'!$O$11:$O$1010,0)))</f>
        <v/>
      </c>
      <c r="H164" s="63" t="str">
        <f aca="false">IF($A164="","",N(H163)+IF($C$8&lt;&gt;"" ,IF(LEFT($C$8,4)="دائن",G164-F164,F164-G164),0))</f>
        <v/>
      </c>
    </row>
    <row r="165" customFormat="false" ht="15" hidden="false" customHeight="false" outlineLevel="0" collapsed="false">
      <c r="A165" s="82" t="str">
        <f aca="false">IF(ROW()-16&gt;COUNT('قيود اليومية'!$O$11:$O$1010),"",ROW()-16)</f>
        <v/>
      </c>
      <c r="B165" s="83" t="str">
        <f aca="false">IF($A165="","",INDEX('قيود اليومية'!$B$11:$B$1010,MATCH($A165,'قيود اليومية'!$O$11:$O$1010,0)))</f>
        <v/>
      </c>
      <c r="C165" s="84" t="str">
        <f aca="false">IF($A165="","",INDEX('قيود اليومية'!$A$11:$A$1010,MATCH($A165,'قيود اليومية'!$O$11:$O$1010,0)))</f>
        <v/>
      </c>
      <c r="D165" s="51" t="str">
        <f aca="false">IF($A165="","",INDEX('قيود اليومية'!$E$11:$E$1010,MATCH($A165,'قيود اليومية'!$O$11:$O$1010,0))&amp;"")</f>
        <v/>
      </c>
      <c r="E165" s="51" t="str">
        <f aca="false">IF($A165="","",INDEX('قيود اليومية'!$F$11:$F$1010,MATCH($A165,'قيود اليومية'!$O$11:$O$1010,0))&amp;"")</f>
        <v/>
      </c>
      <c r="F165" s="85" t="str">
        <f aca="false">IF($A165="","",INDEX('قيود اليومية'!$G$11:$G$1010,MATCH($A165,'قيود اليومية'!$O$11:$O$1010,0)))</f>
        <v/>
      </c>
      <c r="G165" s="85" t="str">
        <f aca="false">IF($A165="","",INDEX('قيود اليومية'!$H$11:$H$1010,MATCH($A165,'قيود اليومية'!$O$11:$O$1010,0)))</f>
        <v/>
      </c>
      <c r="H165" s="63" t="str">
        <f aca="false">IF($A165="","",N(H164)+IF($C$8&lt;&gt;"" ,IF(LEFT($C$8,4)="دائن",G165-F165,F165-G165),0))</f>
        <v/>
      </c>
    </row>
    <row r="166" customFormat="false" ht="15" hidden="false" customHeight="false" outlineLevel="0" collapsed="false">
      <c r="A166" s="82" t="str">
        <f aca="false">IF(ROW()-16&gt;COUNT('قيود اليومية'!$O$11:$O$1010),"",ROW()-16)</f>
        <v/>
      </c>
      <c r="B166" s="83" t="str">
        <f aca="false">IF($A166="","",INDEX('قيود اليومية'!$B$11:$B$1010,MATCH($A166,'قيود اليومية'!$O$11:$O$1010,0)))</f>
        <v/>
      </c>
      <c r="C166" s="84" t="str">
        <f aca="false">IF($A166="","",INDEX('قيود اليومية'!$A$11:$A$1010,MATCH($A166,'قيود اليومية'!$O$11:$O$1010,0)))</f>
        <v/>
      </c>
      <c r="D166" s="51" t="str">
        <f aca="false">IF($A166="","",INDEX('قيود اليومية'!$E$11:$E$1010,MATCH($A166,'قيود اليومية'!$O$11:$O$1010,0))&amp;"")</f>
        <v/>
      </c>
      <c r="E166" s="51" t="str">
        <f aca="false">IF($A166="","",INDEX('قيود اليومية'!$F$11:$F$1010,MATCH($A166,'قيود اليومية'!$O$11:$O$1010,0))&amp;"")</f>
        <v/>
      </c>
      <c r="F166" s="85" t="str">
        <f aca="false">IF($A166="","",INDEX('قيود اليومية'!$G$11:$G$1010,MATCH($A166,'قيود اليومية'!$O$11:$O$1010,0)))</f>
        <v/>
      </c>
      <c r="G166" s="85" t="str">
        <f aca="false">IF($A166="","",INDEX('قيود اليومية'!$H$11:$H$1010,MATCH($A166,'قيود اليومية'!$O$11:$O$1010,0)))</f>
        <v/>
      </c>
      <c r="H166" s="63" t="str">
        <f aca="false">IF($A166="","",N(H165)+IF($C$8&lt;&gt;"" ,IF(LEFT($C$8,4)="دائن",G166-F166,F166-G166),0))</f>
        <v/>
      </c>
    </row>
    <row r="167" customFormat="false" ht="15" hidden="false" customHeight="false" outlineLevel="0" collapsed="false">
      <c r="A167" s="82" t="str">
        <f aca="false">IF(ROW()-16&gt;COUNT('قيود اليومية'!$O$11:$O$1010),"",ROW()-16)</f>
        <v/>
      </c>
      <c r="B167" s="83" t="str">
        <f aca="false">IF($A167="","",INDEX('قيود اليومية'!$B$11:$B$1010,MATCH($A167,'قيود اليومية'!$O$11:$O$1010,0)))</f>
        <v/>
      </c>
      <c r="C167" s="84" t="str">
        <f aca="false">IF($A167="","",INDEX('قيود اليومية'!$A$11:$A$1010,MATCH($A167,'قيود اليومية'!$O$11:$O$1010,0)))</f>
        <v/>
      </c>
      <c r="D167" s="51" t="str">
        <f aca="false">IF($A167="","",INDEX('قيود اليومية'!$E$11:$E$1010,MATCH($A167,'قيود اليومية'!$O$11:$O$1010,0))&amp;"")</f>
        <v/>
      </c>
      <c r="E167" s="51" t="str">
        <f aca="false">IF($A167="","",INDEX('قيود اليومية'!$F$11:$F$1010,MATCH($A167,'قيود اليومية'!$O$11:$O$1010,0))&amp;"")</f>
        <v/>
      </c>
      <c r="F167" s="85" t="str">
        <f aca="false">IF($A167="","",INDEX('قيود اليومية'!$G$11:$G$1010,MATCH($A167,'قيود اليومية'!$O$11:$O$1010,0)))</f>
        <v/>
      </c>
      <c r="G167" s="85" t="str">
        <f aca="false">IF($A167="","",INDEX('قيود اليومية'!$H$11:$H$1010,MATCH($A167,'قيود اليومية'!$O$11:$O$1010,0)))</f>
        <v/>
      </c>
      <c r="H167" s="63" t="str">
        <f aca="false">IF($A167="","",N(H166)+IF($C$8&lt;&gt;"" ,IF(LEFT($C$8,4)="دائن",G167-F167,F167-G167),0))</f>
        <v/>
      </c>
    </row>
    <row r="168" customFormat="false" ht="15" hidden="false" customHeight="false" outlineLevel="0" collapsed="false">
      <c r="A168" s="82" t="str">
        <f aca="false">IF(ROW()-16&gt;COUNT('قيود اليومية'!$O$11:$O$1010),"",ROW()-16)</f>
        <v/>
      </c>
      <c r="B168" s="83" t="str">
        <f aca="false">IF($A168="","",INDEX('قيود اليومية'!$B$11:$B$1010,MATCH($A168,'قيود اليومية'!$O$11:$O$1010,0)))</f>
        <v/>
      </c>
      <c r="C168" s="84" t="str">
        <f aca="false">IF($A168="","",INDEX('قيود اليومية'!$A$11:$A$1010,MATCH($A168,'قيود اليومية'!$O$11:$O$1010,0)))</f>
        <v/>
      </c>
      <c r="D168" s="51" t="str">
        <f aca="false">IF($A168="","",INDEX('قيود اليومية'!$E$11:$E$1010,MATCH($A168,'قيود اليومية'!$O$11:$O$1010,0))&amp;"")</f>
        <v/>
      </c>
      <c r="E168" s="51" t="str">
        <f aca="false">IF($A168="","",INDEX('قيود اليومية'!$F$11:$F$1010,MATCH($A168,'قيود اليومية'!$O$11:$O$1010,0))&amp;"")</f>
        <v/>
      </c>
      <c r="F168" s="85" t="str">
        <f aca="false">IF($A168="","",INDEX('قيود اليومية'!$G$11:$G$1010,MATCH($A168,'قيود اليومية'!$O$11:$O$1010,0)))</f>
        <v/>
      </c>
      <c r="G168" s="85" t="str">
        <f aca="false">IF($A168="","",INDEX('قيود اليومية'!$H$11:$H$1010,MATCH($A168,'قيود اليومية'!$O$11:$O$1010,0)))</f>
        <v/>
      </c>
      <c r="H168" s="63" t="str">
        <f aca="false">IF($A168="","",N(H167)+IF($C$8&lt;&gt;"" ,IF(LEFT($C$8,4)="دائن",G168-F168,F168-G168),0))</f>
        <v/>
      </c>
    </row>
    <row r="169" customFormat="false" ht="15" hidden="false" customHeight="false" outlineLevel="0" collapsed="false">
      <c r="A169" s="82" t="str">
        <f aca="false">IF(ROW()-16&gt;COUNT('قيود اليومية'!$O$11:$O$1010),"",ROW()-16)</f>
        <v/>
      </c>
      <c r="B169" s="83" t="str">
        <f aca="false">IF($A169="","",INDEX('قيود اليومية'!$B$11:$B$1010,MATCH($A169,'قيود اليومية'!$O$11:$O$1010,0)))</f>
        <v/>
      </c>
      <c r="C169" s="84" t="str">
        <f aca="false">IF($A169="","",INDEX('قيود اليومية'!$A$11:$A$1010,MATCH($A169,'قيود اليومية'!$O$11:$O$1010,0)))</f>
        <v/>
      </c>
      <c r="D169" s="51" t="str">
        <f aca="false">IF($A169="","",INDEX('قيود اليومية'!$E$11:$E$1010,MATCH($A169,'قيود اليومية'!$O$11:$O$1010,0))&amp;"")</f>
        <v/>
      </c>
      <c r="E169" s="51" t="str">
        <f aca="false">IF($A169="","",INDEX('قيود اليومية'!$F$11:$F$1010,MATCH($A169,'قيود اليومية'!$O$11:$O$1010,0))&amp;"")</f>
        <v/>
      </c>
      <c r="F169" s="85" t="str">
        <f aca="false">IF($A169="","",INDEX('قيود اليومية'!$G$11:$G$1010,MATCH($A169,'قيود اليومية'!$O$11:$O$1010,0)))</f>
        <v/>
      </c>
      <c r="G169" s="85" t="str">
        <f aca="false">IF($A169="","",INDEX('قيود اليومية'!$H$11:$H$1010,MATCH($A169,'قيود اليومية'!$O$11:$O$1010,0)))</f>
        <v/>
      </c>
      <c r="H169" s="63" t="str">
        <f aca="false">IF($A169="","",N(H168)+IF($C$8&lt;&gt;"" ,IF(LEFT($C$8,4)="دائن",G169-F169,F169-G169),0))</f>
        <v/>
      </c>
    </row>
    <row r="170" customFormat="false" ht="15" hidden="false" customHeight="false" outlineLevel="0" collapsed="false">
      <c r="A170" s="82" t="str">
        <f aca="false">IF(ROW()-16&gt;COUNT('قيود اليومية'!$O$11:$O$1010),"",ROW()-16)</f>
        <v/>
      </c>
      <c r="B170" s="83" t="str">
        <f aca="false">IF($A170="","",INDEX('قيود اليومية'!$B$11:$B$1010,MATCH($A170,'قيود اليومية'!$O$11:$O$1010,0)))</f>
        <v/>
      </c>
      <c r="C170" s="84" t="str">
        <f aca="false">IF($A170="","",INDEX('قيود اليومية'!$A$11:$A$1010,MATCH($A170,'قيود اليومية'!$O$11:$O$1010,0)))</f>
        <v/>
      </c>
      <c r="D170" s="51" t="str">
        <f aca="false">IF($A170="","",INDEX('قيود اليومية'!$E$11:$E$1010,MATCH($A170,'قيود اليومية'!$O$11:$O$1010,0))&amp;"")</f>
        <v/>
      </c>
      <c r="E170" s="51" t="str">
        <f aca="false">IF($A170="","",INDEX('قيود اليومية'!$F$11:$F$1010,MATCH($A170,'قيود اليومية'!$O$11:$O$1010,0))&amp;"")</f>
        <v/>
      </c>
      <c r="F170" s="85" t="str">
        <f aca="false">IF($A170="","",INDEX('قيود اليومية'!$G$11:$G$1010,MATCH($A170,'قيود اليومية'!$O$11:$O$1010,0)))</f>
        <v/>
      </c>
      <c r="G170" s="85" t="str">
        <f aca="false">IF($A170="","",INDEX('قيود اليومية'!$H$11:$H$1010,MATCH($A170,'قيود اليومية'!$O$11:$O$1010,0)))</f>
        <v/>
      </c>
      <c r="H170" s="63" t="str">
        <f aca="false">IF($A170="","",N(H169)+IF($C$8&lt;&gt;"" ,IF(LEFT($C$8,4)="دائن",G170-F170,F170-G170),0))</f>
        <v/>
      </c>
    </row>
    <row r="171" customFormat="false" ht="15" hidden="false" customHeight="false" outlineLevel="0" collapsed="false">
      <c r="A171" s="82" t="str">
        <f aca="false">IF(ROW()-16&gt;COUNT('قيود اليومية'!$O$11:$O$1010),"",ROW()-16)</f>
        <v/>
      </c>
      <c r="B171" s="83" t="str">
        <f aca="false">IF($A171="","",INDEX('قيود اليومية'!$B$11:$B$1010,MATCH($A171,'قيود اليومية'!$O$11:$O$1010,0)))</f>
        <v/>
      </c>
      <c r="C171" s="84" t="str">
        <f aca="false">IF($A171="","",INDEX('قيود اليومية'!$A$11:$A$1010,MATCH($A171,'قيود اليومية'!$O$11:$O$1010,0)))</f>
        <v/>
      </c>
      <c r="D171" s="51" t="str">
        <f aca="false">IF($A171="","",INDEX('قيود اليومية'!$E$11:$E$1010,MATCH($A171,'قيود اليومية'!$O$11:$O$1010,0))&amp;"")</f>
        <v/>
      </c>
      <c r="E171" s="51" t="str">
        <f aca="false">IF($A171="","",INDEX('قيود اليومية'!$F$11:$F$1010,MATCH($A171,'قيود اليومية'!$O$11:$O$1010,0))&amp;"")</f>
        <v/>
      </c>
      <c r="F171" s="85" t="str">
        <f aca="false">IF($A171="","",INDEX('قيود اليومية'!$G$11:$G$1010,MATCH($A171,'قيود اليومية'!$O$11:$O$1010,0)))</f>
        <v/>
      </c>
      <c r="G171" s="85" t="str">
        <f aca="false">IF($A171="","",INDEX('قيود اليومية'!$H$11:$H$1010,MATCH($A171,'قيود اليومية'!$O$11:$O$1010,0)))</f>
        <v/>
      </c>
      <c r="H171" s="63" t="str">
        <f aca="false">IF($A171="","",N(H170)+IF($C$8&lt;&gt;"" ,IF(LEFT($C$8,4)="دائن",G171-F171,F171-G171),0))</f>
        <v/>
      </c>
    </row>
    <row r="172" customFormat="false" ht="15" hidden="false" customHeight="false" outlineLevel="0" collapsed="false">
      <c r="A172" s="82" t="str">
        <f aca="false">IF(ROW()-16&gt;COUNT('قيود اليومية'!$O$11:$O$1010),"",ROW()-16)</f>
        <v/>
      </c>
      <c r="B172" s="83" t="str">
        <f aca="false">IF($A172="","",INDEX('قيود اليومية'!$B$11:$B$1010,MATCH($A172,'قيود اليومية'!$O$11:$O$1010,0)))</f>
        <v/>
      </c>
      <c r="C172" s="84" t="str">
        <f aca="false">IF($A172="","",INDEX('قيود اليومية'!$A$11:$A$1010,MATCH($A172,'قيود اليومية'!$O$11:$O$1010,0)))</f>
        <v/>
      </c>
      <c r="D172" s="51" t="str">
        <f aca="false">IF($A172="","",INDEX('قيود اليومية'!$E$11:$E$1010,MATCH($A172,'قيود اليومية'!$O$11:$O$1010,0))&amp;"")</f>
        <v/>
      </c>
      <c r="E172" s="51" t="str">
        <f aca="false">IF($A172="","",INDEX('قيود اليومية'!$F$11:$F$1010,MATCH($A172,'قيود اليومية'!$O$11:$O$1010,0))&amp;"")</f>
        <v/>
      </c>
      <c r="F172" s="85" t="str">
        <f aca="false">IF($A172="","",INDEX('قيود اليومية'!$G$11:$G$1010,MATCH($A172,'قيود اليومية'!$O$11:$O$1010,0)))</f>
        <v/>
      </c>
      <c r="G172" s="85" t="str">
        <f aca="false">IF($A172="","",INDEX('قيود اليومية'!$H$11:$H$1010,MATCH($A172,'قيود اليومية'!$O$11:$O$1010,0)))</f>
        <v/>
      </c>
      <c r="H172" s="63" t="str">
        <f aca="false">IF($A172="","",N(H171)+IF($C$8&lt;&gt;"" ,IF(LEFT($C$8,4)="دائن",G172-F172,F172-G172),0))</f>
        <v/>
      </c>
    </row>
    <row r="173" customFormat="false" ht="15" hidden="false" customHeight="false" outlineLevel="0" collapsed="false">
      <c r="A173" s="82" t="str">
        <f aca="false">IF(ROW()-16&gt;COUNT('قيود اليومية'!$O$11:$O$1010),"",ROW()-16)</f>
        <v/>
      </c>
      <c r="B173" s="83" t="str">
        <f aca="false">IF($A173="","",INDEX('قيود اليومية'!$B$11:$B$1010,MATCH($A173,'قيود اليومية'!$O$11:$O$1010,0)))</f>
        <v/>
      </c>
      <c r="C173" s="84" t="str">
        <f aca="false">IF($A173="","",INDEX('قيود اليومية'!$A$11:$A$1010,MATCH($A173,'قيود اليومية'!$O$11:$O$1010,0)))</f>
        <v/>
      </c>
      <c r="D173" s="51" t="str">
        <f aca="false">IF($A173="","",INDEX('قيود اليومية'!$E$11:$E$1010,MATCH($A173,'قيود اليومية'!$O$11:$O$1010,0))&amp;"")</f>
        <v/>
      </c>
      <c r="E173" s="51" t="str">
        <f aca="false">IF($A173="","",INDEX('قيود اليومية'!$F$11:$F$1010,MATCH($A173,'قيود اليومية'!$O$11:$O$1010,0))&amp;"")</f>
        <v/>
      </c>
      <c r="F173" s="85" t="str">
        <f aca="false">IF($A173="","",INDEX('قيود اليومية'!$G$11:$G$1010,MATCH($A173,'قيود اليومية'!$O$11:$O$1010,0)))</f>
        <v/>
      </c>
      <c r="G173" s="85" t="str">
        <f aca="false">IF($A173="","",INDEX('قيود اليومية'!$H$11:$H$1010,MATCH($A173,'قيود اليومية'!$O$11:$O$1010,0)))</f>
        <v/>
      </c>
      <c r="H173" s="63" t="str">
        <f aca="false">IF($A173="","",N(H172)+IF($C$8&lt;&gt;"" ,IF(LEFT($C$8,4)="دائن",G173-F173,F173-G173),0))</f>
        <v/>
      </c>
    </row>
    <row r="174" customFormat="false" ht="15" hidden="false" customHeight="false" outlineLevel="0" collapsed="false">
      <c r="A174" s="82" t="str">
        <f aca="false">IF(ROW()-16&gt;COUNT('قيود اليومية'!$O$11:$O$1010),"",ROW()-16)</f>
        <v/>
      </c>
      <c r="B174" s="83" t="str">
        <f aca="false">IF($A174="","",INDEX('قيود اليومية'!$B$11:$B$1010,MATCH($A174,'قيود اليومية'!$O$11:$O$1010,0)))</f>
        <v/>
      </c>
      <c r="C174" s="84" t="str">
        <f aca="false">IF($A174="","",INDEX('قيود اليومية'!$A$11:$A$1010,MATCH($A174,'قيود اليومية'!$O$11:$O$1010,0)))</f>
        <v/>
      </c>
      <c r="D174" s="51" t="str">
        <f aca="false">IF($A174="","",INDEX('قيود اليومية'!$E$11:$E$1010,MATCH($A174,'قيود اليومية'!$O$11:$O$1010,0))&amp;"")</f>
        <v/>
      </c>
      <c r="E174" s="51" t="str">
        <f aca="false">IF($A174="","",INDEX('قيود اليومية'!$F$11:$F$1010,MATCH($A174,'قيود اليومية'!$O$11:$O$1010,0))&amp;"")</f>
        <v/>
      </c>
      <c r="F174" s="85" t="str">
        <f aca="false">IF($A174="","",INDEX('قيود اليومية'!$G$11:$G$1010,MATCH($A174,'قيود اليومية'!$O$11:$O$1010,0)))</f>
        <v/>
      </c>
      <c r="G174" s="85" t="str">
        <f aca="false">IF($A174="","",INDEX('قيود اليومية'!$H$11:$H$1010,MATCH($A174,'قيود اليومية'!$O$11:$O$1010,0)))</f>
        <v/>
      </c>
      <c r="H174" s="63" t="str">
        <f aca="false">IF($A174="","",N(H173)+IF($C$8&lt;&gt;"" ,IF(LEFT($C$8,4)="دائن",G174-F174,F174-G174),0))</f>
        <v/>
      </c>
    </row>
    <row r="175" customFormat="false" ht="15" hidden="false" customHeight="false" outlineLevel="0" collapsed="false">
      <c r="A175" s="82" t="str">
        <f aca="false">IF(ROW()-16&gt;COUNT('قيود اليومية'!$O$11:$O$1010),"",ROW()-16)</f>
        <v/>
      </c>
      <c r="B175" s="83" t="str">
        <f aca="false">IF($A175="","",INDEX('قيود اليومية'!$B$11:$B$1010,MATCH($A175,'قيود اليومية'!$O$11:$O$1010,0)))</f>
        <v/>
      </c>
      <c r="C175" s="84" t="str">
        <f aca="false">IF($A175="","",INDEX('قيود اليومية'!$A$11:$A$1010,MATCH($A175,'قيود اليومية'!$O$11:$O$1010,0)))</f>
        <v/>
      </c>
      <c r="D175" s="51" t="str">
        <f aca="false">IF($A175="","",INDEX('قيود اليومية'!$E$11:$E$1010,MATCH($A175,'قيود اليومية'!$O$11:$O$1010,0))&amp;"")</f>
        <v/>
      </c>
      <c r="E175" s="51" t="str">
        <f aca="false">IF($A175="","",INDEX('قيود اليومية'!$F$11:$F$1010,MATCH($A175,'قيود اليومية'!$O$11:$O$1010,0))&amp;"")</f>
        <v/>
      </c>
      <c r="F175" s="85" t="str">
        <f aca="false">IF($A175="","",INDEX('قيود اليومية'!$G$11:$G$1010,MATCH($A175,'قيود اليومية'!$O$11:$O$1010,0)))</f>
        <v/>
      </c>
      <c r="G175" s="85" t="str">
        <f aca="false">IF($A175="","",INDEX('قيود اليومية'!$H$11:$H$1010,MATCH($A175,'قيود اليومية'!$O$11:$O$1010,0)))</f>
        <v/>
      </c>
      <c r="H175" s="63" t="str">
        <f aca="false">IF($A175="","",N(H174)+IF($C$8&lt;&gt;"" ,IF(LEFT($C$8,4)="دائن",G175-F175,F175-G175),0))</f>
        <v/>
      </c>
    </row>
    <row r="176" customFormat="false" ht="15" hidden="false" customHeight="false" outlineLevel="0" collapsed="false">
      <c r="A176" s="82" t="str">
        <f aca="false">IF(ROW()-16&gt;COUNT('قيود اليومية'!$O$11:$O$1010),"",ROW()-16)</f>
        <v/>
      </c>
      <c r="B176" s="83" t="str">
        <f aca="false">IF($A176="","",INDEX('قيود اليومية'!$B$11:$B$1010,MATCH($A176,'قيود اليومية'!$O$11:$O$1010,0)))</f>
        <v/>
      </c>
      <c r="C176" s="84" t="str">
        <f aca="false">IF($A176="","",INDEX('قيود اليومية'!$A$11:$A$1010,MATCH($A176,'قيود اليومية'!$O$11:$O$1010,0)))</f>
        <v/>
      </c>
      <c r="D176" s="51" t="str">
        <f aca="false">IF($A176="","",INDEX('قيود اليومية'!$E$11:$E$1010,MATCH($A176,'قيود اليومية'!$O$11:$O$1010,0))&amp;"")</f>
        <v/>
      </c>
      <c r="E176" s="51" t="str">
        <f aca="false">IF($A176="","",INDEX('قيود اليومية'!$F$11:$F$1010,MATCH($A176,'قيود اليومية'!$O$11:$O$1010,0))&amp;"")</f>
        <v/>
      </c>
      <c r="F176" s="85" t="str">
        <f aca="false">IF($A176="","",INDEX('قيود اليومية'!$G$11:$G$1010,MATCH($A176,'قيود اليومية'!$O$11:$O$1010,0)))</f>
        <v/>
      </c>
      <c r="G176" s="85" t="str">
        <f aca="false">IF($A176="","",INDEX('قيود اليومية'!$H$11:$H$1010,MATCH($A176,'قيود اليومية'!$O$11:$O$1010,0)))</f>
        <v/>
      </c>
      <c r="H176" s="63" t="str">
        <f aca="false">IF($A176="","",N(H175)+IF($C$8&lt;&gt;"" ,IF(LEFT($C$8,4)="دائن",G176-F176,F176-G176),0))</f>
        <v/>
      </c>
    </row>
    <row r="177" customFormat="false" ht="15" hidden="false" customHeight="false" outlineLevel="0" collapsed="false">
      <c r="A177" s="82" t="str">
        <f aca="false">IF(ROW()-16&gt;COUNT('قيود اليومية'!$O$11:$O$1010),"",ROW()-16)</f>
        <v/>
      </c>
      <c r="B177" s="83" t="str">
        <f aca="false">IF($A177="","",INDEX('قيود اليومية'!$B$11:$B$1010,MATCH($A177,'قيود اليومية'!$O$11:$O$1010,0)))</f>
        <v/>
      </c>
      <c r="C177" s="84" t="str">
        <f aca="false">IF($A177="","",INDEX('قيود اليومية'!$A$11:$A$1010,MATCH($A177,'قيود اليومية'!$O$11:$O$1010,0)))</f>
        <v/>
      </c>
      <c r="D177" s="51" t="str">
        <f aca="false">IF($A177="","",INDEX('قيود اليومية'!$E$11:$E$1010,MATCH($A177,'قيود اليومية'!$O$11:$O$1010,0))&amp;"")</f>
        <v/>
      </c>
      <c r="E177" s="51" t="str">
        <f aca="false">IF($A177="","",INDEX('قيود اليومية'!$F$11:$F$1010,MATCH($A177,'قيود اليومية'!$O$11:$O$1010,0))&amp;"")</f>
        <v/>
      </c>
      <c r="F177" s="85" t="str">
        <f aca="false">IF($A177="","",INDEX('قيود اليومية'!$G$11:$G$1010,MATCH($A177,'قيود اليومية'!$O$11:$O$1010,0)))</f>
        <v/>
      </c>
      <c r="G177" s="85" t="str">
        <f aca="false">IF($A177="","",INDEX('قيود اليومية'!$H$11:$H$1010,MATCH($A177,'قيود اليومية'!$O$11:$O$1010,0)))</f>
        <v/>
      </c>
      <c r="H177" s="63" t="str">
        <f aca="false">IF($A177="","",N(H176)+IF($C$8&lt;&gt;"" ,IF(LEFT($C$8,4)="دائن",G177-F177,F177-G177),0))</f>
        <v/>
      </c>
    </row>
    <row r="178" customFormat="false" ht="15" hidden="false" customHeight="false" outlineLevel="0" collapsed="false">
      <c r="A178" s="82" t="str">
        <f aca="false">IF(ROW()-16&gt;COUNT('قيود اليومية'!$O$11:$O$1010),"",ROW()-16)</f>
        <v/>
      </c>
      <c r="B178" s="83" t="str">
        <f aca="false">IF($A178="","",INDEX('قيود اليومية'!$B$11:$B$1010,MATCH($A178,'قيود اليومية'!$O$11:$O$1010,0)))</f>
        <v/>
      </c>
      <c r="C178" s="84" t="str">
        <f aca="false">IF($A178="","",INDEX('قيود اليومية'!$A$11:$A$1010,MATCH($A178,'قيود اليومية'!$O$11:$O$1010,0)))</f>
        <v/>
      </c>
      <c r="D178" s="51" t="str">
        <f aca="false">IF($A178="","",INDEX('قيود اليومية'!$E$11:$E$1010,MATCH($A178,'قيود اليومية'!$O$11:$O$1010,0))&amp;"")</f>
        <v/>
      </c>
      <c r="E178" s="51" t="str">
        <f aca="false">IF($A178="","",INDEX('قيود اليومية'!$F$11:$F$1010,MATCH($A178,'قيود اليومية'!$O$11:$O$1010,0))&amp;"")</f>
        <v/>
      </c>
      <c r="F178" s="85" t="str">
        <f aca="false">IF($A178="","",INDEX('قيود اليومية'!$G$11:$G$1010,MATCH($A178,'قيود اليومية'!$O$11:$O$1010,0)))</f>
        <v/>
      </c>
      <c r="G178" s="85" t="str">
        <f aca="false">IF($A178="","",INDEX('قيود اليومية'!$H$11:$H$1010,MATCH($A178,'قيود اليومية'!$O$11:$O$1010,0)))</f>
        <v/>
      </c>
      <c r="H178" s="63" t="str">
        <f aca="false">IF($A178="","",N(H177)+IF($C$8&lt;&gt;"" ,IF(LEFT($C$8,4)="دائن",G178-F178,F178-G178),0))</f>
        <v/>
      </c>
    </row>
    <row r="179" customFormat="false" ht="15" hidden="false" customHeight="false" outlineLevel="0" collapsed="false">
      <c r="A179" s="82" t="str">
        <f aca="false">IF(ROW()-16&gt;COUNT('قيود اليومية'!$O$11:$O$1010),"",ROW()-16)</f>
        <v/>
      </c>
      <c r="B179" s="83" t="str">
        <f aca="false">IF($A179="","",INDEX('قيود اليومية'!$B$11:$B$1010,MATCH($A179,'قيود اليومية'!$O$11:$O$1010,0)))</f>
        <v/>
      </c>
      <c r="C179" s="84" t="str">
        <f aca="false">IF($A179="","",INDEX('قيود اليومية'!$A$11:$A$1010,MATCH($A179,'قيود اليومية'!$O$11:$O$1010,0)))</f>
        <v/>
      </c>
      <c r="D179" s="51" t="str">
        <f aca="false">IF($A179="","",INDEX('قيود اليومية'!$E$11:$E$1010,MATCH($A179,'قيود اليومية'!$O$11:$O$1010,0))&amp;"")</f>
        <v/>
      </c>
      <c r="E179" s="51" t="str">
        <f aca="false">IF($A179="","",INDEX('قيود اليومية'!$F$11:$F$1010,MATCH($A179,'قيود اليومية'!$O$11:$O$1010,0))&amp;"")</f>
        <v/>
      </c>
      <c r="F179" s="85" t="str">
        <f aca="false">IF($A179="","",INDEX('قيود اليومية'!$G$11:$G$1010,MATCH($A179,'قيود اليومية'!$O$11:$O$1010,0)))</f>
        <v/>
      </c>
      <c r="G179" s="85" t="str">
        <f aca="false">IF($A179="","",INDEX('قيود اليومية'!$H$11:$H$1010,MATCH($A179,'قيود اليومية'!$O$11:$O$1010,0)))</f>
        <v/>
      </c>
      <c r="H179" s="63" t="str">
        <f aca="false">IF($A179="","",N(H178)+IF($C$8&lt;&gt;"" ,IF(LEFT($C$8,4)="دائن",G179-F179,F179-G179),0))</f>
        <v/>
      </c>
    </row>
    <row r="180" customFormat="false" ht="15" hidden="false" customHeight="false" outlineLevel="0" collapsed="false">
      <c r="A180" s="82" t="str">
        <f aca="false">IF(ROW()-16&gt;COUNT('قيود اليومية'!$O$11:$O$1010),"",ROW()-16)</f>
        <v/>
      </c>
      <c r="B180" s="83" t="str">
        <f aca="false">IF($A180="","",INDEX('قيود اليومية'!$B$11:$B$1010,MATCH($A180,'قيود اليومية'!$O$11:$O$1010,0)))</f>
        <v/>
      </c>
      <c r="C180" s="84" t="str">
        <f aca="false">IF($A180="","",INDEX('قيود اليومية'!$A$11:$A$1010,MATCH($A180,'قيود اليومية'!$O$11:$O$1010,0)))</f>
        <v/>
      </c>
      <c r="D180" s="51" t="str">
        <f aca="false">IF($A180="","",INDEX('قيود اليومية'!$E$11:$E$1010,MATCH($A180,'قيود اليومية'!$O$11:$O$1010,0))&amp;"")</f>
        <v/>
      </c>
      <c r="E180" s="51" t="str">
        <f aca="false">IF($A180="","",INDEX('قيود اليومية'!$F$11:$F$1010,MATCH($A180,'قيود اليومية'!$O$11:$O$1010,0))&amp;"")</f>
        <v/>
      </c>
      <c r="F180" s="85" t="str">
        <f aca="false">IF($A180="","",INDEX('قيود اليومية'!$G$11:$G$1010,MATCH($A180,'قيود اليومية'!$O$11:$O$1010,0)))</f>
        <v/>
      </c>
      <c r="G180" s="85" t="str">
        <f aca="false">IF($A180="","",INDEX('قيود اليومية'!$H$11:$H$1010,MATCH($A180,'قيود اليومية'!$O$11:$O$1010,0)))</f>
        <v/>
      </c>
      <c r="H180" s="63" t="str">
        <f aca="false">IF($A180="","",N(H179)+IF($C$8&lt;&gt;"" ,IF(LEFT($C$8,4)="دائن",G180-F180,F180-G180),0))</f>
        <v/>
      </c>
    </row>
    <row r="181" customFormat="false" ht="15" hidden="false" customHeight="false" outlineLevel="0" collapsed="false">
      <c r="A181" s="82" t="str">
        <f aca="false">IF(ROW()-16&gt;COUNT('قيود اليومية'!$O$11:$O$1010),"",ROW()-16)</f>
        <v/>
      </c>
      <c r="B181" s="83" t="str">
        <f aca="false">IF($A181="","",INDEX('قيود اليومية'!$B$11:$B$1010,MATCH($A181,'قيود اليومية'!$O$11:$O$1010,0)))</f>
        <v/>
      </c>
      <c r="C181" s="84" t="str">
        <f aca="false">IF($A181="","",INDEX('قيود اليومية'!$A$11:$A$1010,MATCH($A181,'قيود اليومية'!$O$11:$O$1010,0)))</f>
        <v/>
      </c>
      <c r="D181" s="51" t="str">
        <f aca="false">IF($A181="","",INDEX('قيود اليومية'!$E$11:$E$1010,MATCH($A181,'قيود اليومية'!$O$11:$O$1010,0))&amp;"")</f>
        <v/>
      </c>
      <c r="E181" s="51" t="str">
        <f aca="false">IF($A181="","",INDEX('قيود اليومية'!$F$11:$F$1010,MATCH($A181,'قيود اليومية'!$O$11:$O$1010,0))&amp;"")</f>
        <v/>
      </c>
      <c r="F181" s="85" t="str">
        <f aca="false">IF($A181="","",INDEX('قيود اليومية'!$G$11:$G$1010,MATCH($A181,'قيود اليومية'!$O$11:$O$1010,0)))</f>
        <v/>
      </c>
      <c r="G181" s="85" t="str">
        <f aca="false">IF($A181="","",INDEX('قيود اليومية'!$H$11:$H$1010,MATCH($A181,'قيود اليومية'!$O$11:$O$1010,0)))</f>
        <v/>
      </c>
      <c r="H181" s="63" t="str">
        <f aca="false">IF($A181="","",N(H180)+IF($C$8&lt;&gt;"" ,IF(LEFT($C$8,4)="دائن",G181-F181,F181-G181),0))</f>
        <v/>
      </c>
    </row>
    <row r="182" customFormat="false" ht="15" hidden="false" customHeight="false" outlineLevel="0" collapsed="false">
      <c r="A182" s="82" t="str">
        <f aca="false">IF(ROW()-16&gt;COUNT('قيود اليومية'!$O$11:$O$1010),"",ROW()-16)</f>
        <v/>
      </c>
      <c r="B182" s="83" t="str">
        <f aca="false">IF($A182="","",INDEX('قيود اليومية'!$B$11:$B$1010,MATCH($A182,'قيود اليومية'!$O$11:$O$1010,0)))</f>
        <v/>
      </c>
      <c r="C182" s="84" t="str">
        <f aca="false">IF($A182="","",INDEX('قيود اليومية'!$A$11:$A$1010,MATCH($A182,'قيود اليومية'!$O$11:$O$1010,0)))</f>
        <v/>
      </c>
      <c r="D182" s="51" t="str">
        <f aca="false">IF($A182="","",INDEX('قيود اليومية'!$E$11:$E$1010,MATCH($A182,'قيود اليومية'!$O$11:$O$1010,0))&amp;"")</f>
        <v/>
      </c>
      <c r="E182" s="51" t="str">
        <f aca="false">IF($A182="","",INDEX('قيود اليومية'!$F$11:$F$1010,MATCH($A182,'قيود اليومية'!$O$11:$O$1010,0))&amp;"")</f>
        <v/>
      </c>
      <c r="F182" s="85" t="str">
        <f aca="false">IF($A182="","",INDEX('قيود اليومية'!$G$11:$G$1010,MATCH($A182,'قيود اليومية'!$O$11:$O$1010,0)))</f>
        <v/>
      </c>
      <c r="G182" s="85" t="str">
        <f aca="false">IF($A182="","",INDEX('قيود اليومية'!$H$11:$H$1010,MATCH($A182,'قيود اليومية'!$O$11:$O$1010,0)))</f>
        <v/>
      </c>
      <c r="H182" s="63" t="str">
        <f aca="false">IF($A182="","",N(H181)+IF($C$8&lt;&gt;"" ,IF(LEFT($C$8,4)="دائن",G182-F182,F182-G182),0))</f>
        <v/>
      </c>
    </row>
    <row r="183" customFormat="false" ht="15" hidden="false" customHeight="false" outlineLevel="0" collapsed="false">
      <c r="A183" s="82" t="str">
        <f aca="false">IF(ROW()-16&gt;COUNT('قيود اليومية'!$O$11:$O$1010),"",ROW()-16)</f>
        <v/>
      </c>
      <c r="B183" s="83" t="str">
        <f aca="false">IF($A183="","",INDEX('قيود اليومية'!$B$11:$B$1010,MATCH($A183,'قيود اليومية'!$O$11:$O$1010,0)))</f>
        <v/>
      </c>
      <c r="C183" s="84" t="str">
        <f aca="false">IF($A183="","",INDEX('قيود اليومية'!$A$11:$A$1010,MATCH($A183,'قيود اليومية'!$O$11:$O$1010,0)))</f>
        <v/>
      </c>
      <c r="D183" s="51" t="str">
        <f aca="false">IF($A183="","",INDEX('قيود اليومية'!$E$11:$E$1010,MATCH($A183,'قيود اليومية'!$O$11:$O$1010,0))&amp;"")</f>
        <v/>
      </c>
      <c r="E183" s="51" t="str">
        <f aca="false">IF($A183="","",INDEX('قيود اليومية'!$F$11:$F$1010,MATCH($A183,'قيود اليومية'!$O$11:$O$1010,0))&amp;"")</f>
        <v/>
      </c>
      <c r="F183" s="85" t="str">
        <f aca="false">IF($A183="","",INDEX('قيود اليومية'!$G$11:$G$1010,MATCH($A183,'قيود اليومية'!$O$11:$O$1010,0)))</f>
        <v/>
      </c>
      <c r="G183" s="85" t="str">
        <f aca="false">IF($A183="","",INDEX('قيود اليومية'!$H$11:$H$1010,MATCH($A183,'قيود اليومية'!$O$11:$O$1010,0)))</f>
        <v/>
      </c>
      <c r="H183" s="63" t="str">
        <f aca="false">IF($A183="","",N(H182)+IF($C$8&lt;&gt;"" ,IF(LEFT($C$8,4)="دائن",G183-F183,F183-G183),0))</f>
        <v/>
      </c>
    </row>
    <row r="184" customFormat="false" ht="15" hidden="false" customHeight="false" outlineLevel="0" collapsed="false">
      <c r="A184" s="82" t="str">
        <f aca="false">IF(ROW()-16&gt;COUNT('قيود اليومية'!$O$11:$O$1010),"",ROW()-16)</f>
        <v/>
      </c>
      <c r="B184" s="83" t="str">
        <f aca="false">IF($A184="","",INDEX('قيود اليومية'!$B$11:$B$1010,MATCH($A184,'قيود اليومية'!$O$11:$O$1010,0)))</f>
        <v/>
      </c>
      <c r="C184" s="84" t="str">
        <f aca="false">IF($A184="","",INDEX('قيود اليومية'!$A$11:$A$1010,MATCH($A184,'قيود اليومية'!$O$11:$O$1010,0)))</f>
        <v/>
      </c>
      <c r="D184" s="51" t="str">
        <f aca="false">IF($A184="","",INDEX('قيود اليومية'!$E$11:$E$1010,MATCH($A184,'قيود اليومية'!$O$11:$O$1010,0))&amp;"")</f>
        <v/>
      </c>
      <c r="E184" s="51" t="str">
        <f aca="false">IF($A184="","",INDEX('قيود اليومية'!$F$11:$F$1010,MATCH($A184,'قيود اليومية'!$O$11:$O$1010,0))&amp;"")</f>
        <v/>
      </c>
      <c r="F184" s="85" t="str">
        <f aca="false">IF($A184="","",INDEX('قيود اليومية'!$G$11:$G$1010,MATCH($A184,'قيود اليومية'!$O$11:$O$1010,0)))</f>
        <v/>
      </c>
      <c r="G184" s="85" t="str">
        <f aca="false">IF($A184="","",INDEX('قيود اليومية'!$H$11:$H$1010,MATCH($A184,'قيود اليومية'!$O$11:$O$1010,0)))</f>
        <v/>
      </c>
      <c r="H184" s="63" t="str">
        <f aca="false">IF($A184="","",N(H183)+IF($C$8&lt;&gt;"" ,IF(LEFT($C$8,4)="دائن",G184-F184,F184-G184),0))</f>
        <v/>
      </c>
    </row>
    <row r="185" customFormat="false" ht="15" hidden="false" customHeight="false" outlineLevel="0" collapsed="false">
      <c r="A185" s="82" t="str">
        <f aca="false">IF(ROW()-16&gt;COUNT('قيود اليومية'!$O$11:$O$1010),"",ROW()-16)</f>
        <v/>
      </c>
      <c r="B185" s="83" t="str">
        <f aca="false">IF($A185="","",INDEX('قيود اليومية'!$B$11:$B$1010,MATCH($A185,'قيود اليومية'!$O$11:$O$1010,0)))</f>
        <v/>
      </c>
      <c r="C185" s="84" t="str">
        <f aca="false">IF($A185="","",INDEX('قيود اليومية'!$A$11:$A$1010,MATCH($A185,'قيود اليومية'!$O$11:$O$1010,0)))</f>
        <v/>
      </c>
      <c r="D185" s="51" t="str">
        <f aca="false">IF($A185="","",INDEX('قيود اليومية'!$E$11:$E$1010,MATCH($A185,'قيود اليومية'!$O$11:$O$1010,0))&amp;"")</f>
        <v/>
      </c>
      <c r="E185" s="51" t="str">
        <f aca="false">IF($A185="","",INDEX('قيود اليومية'!$F$11:$F$1010,MATCH($A185,'قيود اليومية'!$O$11:$O$1010,0))&amp;"")</f>
        <v/>
      </c>
      <c r="F185" s="85" t="str">
        <f aca="false">IF($A185="","",INDEX('قيود اليومية'!$G$11:$G$1010,MATCH($A185,'قيود اليومية'!$O$11:$O$1010,0)))</f>
        <v/>
      </c>
      <c r="G185" s="85" t="str">
        <f aca="false">IF($A185="","",INDEX('قيود اليومية'!$H$11:$H$1010,MATCH($A185,'قيود اليومية'!$O$11:$O$1010,0)))</f>
        <v/>
      </c>
      <c r="H185" s="63" t="str">
        <f aca="false">IF($A185="","",N(H184)+IF($C$8&lt;&gt;"" ,IF(LEFT($C$8,4)="دائن",G185-F185,F185-G185),0))</f>
        <v/>
      </c>
    </row>
    <row r="186" customFormat="false" ht="15" hidden="false" customHeight="false" outlineLevel="0" collapsed="false">
      <c r="A186" s="82" t="str">
        <f aca="false">IF(ROW()-16&gt;COUNT('قيود اليومية'!$O$11:$O$1010),"",ROW()-16)</f>
        <v/>
      </c>
      <c r="B186" s="83" t="str">
        <f aca="false">IF($A186="","",INDEX('قيود اليومية'!$B$11:$B$1010,MATCH($A186,'قيود اليومية'!$O$11:$O$1010,0)))</f>
        <v/>
      </c>
      <c r="C186" s="84" t="str">
        <f aca="false">IF($A186="","",INDEX('قيود اليومية'!$A$11:$A$1010,MATCH($A186,'قيود اليومية'!$O$11:$O$1010,0)))</f>
        <v/>
      </c>
      <c r="D186" s="51" t="str">
        <f aca="false">IF($A186="","",INDEX('قيود اليومية'!$E$11:$E$1010,MATCH($A186,'قيود اليومية'!$O$11:$O$1010,0))&amp;"")</f>
        <v/>
      </c>
      <c r="E186" s="51" t="str">
        <f aca="false">IF($A186="","",INDEX('قيود اليومية'!$F$11:$F$1010,MATCH($A186,'قيود اليومية'!$O$11:$O$1010,0))&amp;"")</f>
        <v/>
      </c>
      <c r="F186" s="85" t="str">
        <f aca="false">IF($A186="","",INDEX('قيود اليومية'!$G$11:$G$1010,MATCH($A186,'قيود اليومية'!$O$11:$O$1010,0)))</f>
        <v/>
      </c>
      <c r="G186" s="85" t="str">
        <f aca="false">IF($A186="","",INDEX('قيود اليومية'!$H$11:$H$1010,MATCH($A186,'قيود اليومية'!$O$11:$O$1010,0)))</f>
        <v/>
      </c>
      <c r="H186" s="63" t="str">
        <f aca="false">IF($A186="","",N(H185)+IF($C$8&lt;&gt;"" ,IF(LEFT($C$8,4)="دائن",G186-F186,F186-G186),0))</f>
        <v/>
      </c>
    </row>
    <row r="187" customFormat="false" ht="15" hidden="false" customHeight="false" outlineLevel="0" collapsed="false">
      <c r="A187" s="82" t="str">
        <f aca="false">IF(ROW()-16&gt;COUNT('قيود اليومية'!$O$11:$O$1010),"",ROW()-16)</f>
        <v/>
      </c>
      <c r="B187" s="83" t="str">
        <f aca="false">IF($A187="","",INDEX('قيود اليومية'!$B$11:$B$1010,MATCH($A187,'قيود اليومية'!$O$11:$O$1010,0)))</f>
        <v/>
      </c>
      <c r="C187" s="84" t="str">
        <f aca="false">IF($A187="","",INDEX('قيود اليومية'!$A$11:$A$1010,MATCH($A187,'قيود اليومية'!$O$11:$O$1010,0)))</f>
        <v/>
      </c>
      <c r="D187" s="51" t="str">
        <f aca="false">IF($A187="","",INDEX('قيود اليومية'!$E$11:$E$1010,MATCH($A187,'قيود اليومية'!$O$11:$O$1010,0))&amp;"")</f>
        <v/>
      </c>
      <c r="E187" s="51" t="str">
        <f aca="false">IF($A187="","",INDEX('قيود اليومية'!$F$11:$F$1010,MATCH($A187,'قيود اليومية'!$O$11:$O$1010,0))&amp;"")</f>
        <v/>
      </c>
      <c r="F187" s="85" t="str">
        <f aca="false">IF($A187="","",INDEX('قيود اليومية'!$G$11:$G$1010,MATCH($A187,'قيود اليومية'!$O$11:$O$1010,0)))</f>
        <v/>
      </c>
      <c r="G187" s="85" t="str">
        <f aca="false">IF($A187="","",INDEX('قيود اليومية'!$H$11:$H$1010,MATCH($A187,'قيود اليومية'!$O$11:$O$1010,0)))</f>
        <v/>
      </c>
      <c r="H187" s="63" t="str">
        <f aca="false">IF($A187="","",N(H186)+IF($C$8&lt;&gt;"" ,IF(LEFT($C$8,4)="دائن",G187-F187,F187-G187),0))</f>
        <v/>
      </c>
    </row>
    <row r="188" customFormat="false" ht="15" hidden="false" customHeight="false" outlineLevel="0" collapsed="false">
      <c r="A188" s="82" t="str">
        <f aca="false">IF(ROW()-16&gt;COUNT('قيود اليومية'!$O$11:$O$1010),"",ROW()-16)</f>
        <v/>
      </c>
      <c r="B188" s="83" t="str">
        <f aca="false">IF($A188="","",INDEX('قيود اليومية'!$B$11:$B$1010,MATCH($A188,'قيود اليومية'!$O$11:$O$1010,0)))</f>
        <v/>
      </c>
      <c r="C188" s="84" t="str">
        <f aca="false">IF($A188="","",INDEX('قيود اليومية'!$A$11:$A$1010,MATCH($A188,'قيود اليومية'!$O$11:$O$1010,0)))</f>
        <v/>
      </c>
      <c r="D188" s="51" t="str">
        <f aca="false">IF($A188="","",INDEX('قيود اليومية'!$E$11:$E$1010,MATCH($A188,'قيود اليومية'!$O$11:$O$1010,0))&amp;"")</f>
        <v/>
      </c>
      <c r="E188" s="51" t="str">
        <f aca="false">IF($A188="","",INDEX('قيود اليومية'!$F$11:$F$1010,MATCH($A188,'قيود اليومية'!$O$11:$O$1010,0))&amp;"")</f>
        <v/>
      </c>
      <c r="F188" s="85" t="str">
        <f aca="false">IF($A188="","",INDEX('قيود اليومية'!$G$11:$G$1010,MATCH($A188,'قيود اليومية'!$O$11:$O$1010,0)))</f>
        <v/>
      </c>
      <c r="G188" s="85" t="str">
        <f aca="false">IF($A188="","",INDEX('قيود اليومية'!$H$11:$H$1010,MATCH($A188,'قيود اليومية'!$O$11:$O$1010,0)))</f>
        <v/>
      </c>
      <c r="H188" s="63" t="str">
        <f aca="false">IF($A188="","",N(H187)+IF($C$8&lt;&gt;"" ,IF(LEFT($C$8,4)="دائن",G188-F188,F188-G188),0))</f>
        <v/>
      </c>
    </row>
    <row r="189" customFormat="false" ht="15" hidden="false" customHeight="false" outlineLevel="0" collapsed="false">
      <c r="A189" s="82" t="str">
        <f aca="false">IF(ROW()-16&gt;COUNT('قيود اليومية'!$O$11:$O$1010),"",ROW()-16)</f>
        <v/>
      </c>
      <c r="B189" s="83" t="str">
        <f aca="false">IF($A189="","",INDEX('قيود اليومية'!$B$11:$B$1010,MATCH($A189,'قيود اليومية'!$O$11:$O$1010,0)))</f>
        <v/>
      </c>
      <c r="C189" s="84" t="str">
        <f aca="false">IF($A189="","",INDEX('قيود اليومية'!$A$11:$A$1010,MATCH($A189,'قيود اليومية'!$O$11:$O$1010,0)))</f>
        <v/>
      </c>
      <c r="D189" s="51" t="str">
        <f aca="false">IF($A189="","",INDEX('قيود اليومية'!$E$11:$E$1010,MATCH($A189,'قيود اليومية'!$O$11:$O$1010,0))&amp;"")</f>
        <v/>
      </c>
      <c r="E189" s="51" t="str">
        <f aca="false">IF($A189="","",INDEX('قيود اليومية'!$F$11:$F$1010,MATCH($A189,'قيود اليومية'!$O$11:$O$1010,0))&amp;"")</f>
        <v/>
      </c>
      <c r="F189" s="85" t="str">
        <f aca="false">IF($A189="","",INDEX('قيود اليومية'!$G$11:$G$1010,MATCH($A189,'قيود اليومية'!$O$11:$O$1010,0)))</f>
        <v/>
      </c>
      <c r="G189" s="85" t="str">
        <f aca="false">IF($A189="","",INDEX('قيود اليومية'!$H$11:$H$1010,MATCH($A189,'قيود اليومية'!$O$11:$O$1010,0)))</f>
        <v/>
      </c>
      <c r="H189" s="63" t="str">
        <f aca="false">IF($A189="","",N(H188)+IF($C$8&lt;&gt;"" ,IF(LEFT($C$8,4)="دائن",G189-F189,F189-G189),0))</f>
        <v/>
      </c>
    </row>
    <row r="190" customFormat="false" ht="15" hidden="false" customHeight="false" outlineLevel="0" collapsed="false">
      <c r="A190" s="82" t="str">
        <f aca="false">IF(ROW()-16&gt;COUNT('قيود اليومية'!$O$11:$O$1010),"",ROW()-16)</f>
        <v/>
      </c>
      <c r="B190" s="83" t="str">
        <f aca="false">IF($A190="","",INDEX('قيود اليومية'!$B$11:$B$1010,MATCH($A190,'قيود اليومية'!$O$11:$O$1010,0)))</f>
        <v/>
      </c>
      <c r="C190" s="84" t="str">
        <f aca="false">IF($A190="","",INDEX('قيود اليومية'!$A$11:$A$1010,MATCH($A190,'قيود اليومية'!$O$11:$O$1010,0)))</f>
        <v/>
      </c>
      <c r="D190" s="51" t="str">
        <f aca="false">IF($A190="","",INDEX('قيود اليومية'!$E$11:$E$1010,MATCH($A190,'قيود اليومية'!$O$11:$O$1010,0))&amp;"")</f>
        <v/>
      </c>
      <c r="E190" s="51" t="str">
        <f aca="false">IF($A190="","",INDEX('قيود اليومية'!$F$11:$F$1010,MATCH($A190,'قيود اليومية'!$O$11:$O$1010,0))&amp;"")</f>
        <v/>
      </c>
      <c r="F190" s="85" t="str">
        <f aca="false">IF($A190="","",INDEX('قيود اليومية'!$G$11:$G$1010,MATCH($A190,'قيود اليومية'!$O$11:$O$1010,0)))</f>
        <v/>
      </c>
      <c r="G190" s="85" t="str">
        <f aca="false">IF($A190="","",INDEX('قيود اليومية'!$H$11:$H$1010,MATCH($A190,'قيود اليومية'!$O$11:$O$1010,0)))</f>
        <v/>
      </c>
      <c r="H190" s="63" t="str">
        <f aca="false">IF($A190="","",N(H189)+IF($C$8&lt;&gt;"" ,IF(LEFT($C$8,4)="دائن",G190-F190,F190-G190),0))</f>
        <v/>
      </c>
    </row>
    <row r="191" customFormat="false" ht="15" hidden="false" customHeight="false" outlineLevel="0" collapsed="false">
      <c r="A191" s="82" t="str">
        <f aca="false">IF(ROW()-16&gt;COUNT('قيود اليومية'!$O$11:$O$1010),"",ROW()-16)</f>
        <v/>
      </c>
      <c r="B191" s="83" t="str">
        <f aca="false">IF($A191="","",INDEX('قيود اليومية'!$B$11:$B$1010,MATCH($A191,'قيود اليومية'!$O$11:$O$1010,0)))</f>
        <v/>
      </c>
      <c r="C191" s="84" t="str">
        <f aca="false">IF($A191="","",INDEX('قيود اليومية'!$A$11:$A$1010,MATCH($A191,'قيود اليومية'!$O$11:$O$1010,0)))</f>
        <v/>
      </c>
      <c r="D191" s="51" t="str">
        <f aca="false">IF($A191="","",INDEX('قيود اليومية'!$E$11:$E$1010,MATCH($A191,'قيود اليومية'!$O$11:$O$1010,0))&amp;"")</f>
        <v/>
      </c>
      <c r="E191" s="51" t="str">
        <f aca="false">IF($A191="","",INDEX('قيود اليومية'!$F$11:$F$1010,MATCH($A191,'قيود اليومية'!$O$11:$O$1010,0))&amp;"")</f>
        <v/>
      </c>
      <c r="F191" s="85" t="str">
        <f aca="false">IF($A191="","",INDEX('قيود اليومية'!$G$11:$G$1010,MATCH($A191,'قيود اليومية'!$O$11:$O$1010,0)))</f>
        <v/>
      </c>
      <c r="G191" s="85" t="str">
        <f aca="false">IF($A191="","",INDEX('قيود اليومية'!$H$11:$H$1010,MATCH($A191,'قيود اليومية'!$O$11:$O$1010,0)))</f>
        <v/>
      </c>
      <c r="H191" s="63" t="str">
        <f aca="false">IF($A191="","",N(H190)+IF($C$8&lt;&gt;"" ,IF(LEFT($C$8,4)="دائن",G191-F191,F191-G191),0))</f>
        <v/>
      </c>
    </row>
    <row r="192" customFormat="false" ht="15" hidden="false" customHeight="false" outlineLevel="0" collapsed="false">
      <c r="A192" s="82" t="str">
        <f aca="false">IF(ROW()-16&gt;COUNT('قيود اليومية'!$O$11:$O$1010),"",ROW()-16)</f>
        <v/>
      </c>
      <c r="B192" s="83" t="str">
        <f aca="false">IF($A192="","",INDEX('قيود اليومية'!$B$11:$B$1010,MATCH($A192,'قيود اليومية'!$O$11:$O$1010,0)))</f>
        <v/>
      </c>
      <c r="C192" s="84" t="str">
        <f aca="false">IF($A192="","",INDEX('قيود اليومية'!$A$11:$A$1010,MATCH($A192,'قيود اليومية'!$O$11:$O$1010,0)))</f>
        <v/>
      </c>
      <c r="D192" s="51" t="str">
        <f aca="false">IF($A192="","",INDEX('قيود اليومية'!$E$11:$E$1010,MATCH($A192,'قيود اليومية'!$O$11:$O$1010,0))&amp;"")</f>
        <v/>
      </c>
      <c r="E192" s="51" t="str">
        <f aca="false">IF($A192="","",INDEX('قيود اليومية'!$F$11:$F$1010,MATCH($A192,'قيود اليومية'!$O$11:$O$1010,0))&amp;"")</f>
        <v/>
      </c>
      <c r="F192" s="85" t="str">
        <f aca="false">IF($A192="","",INDEX('قيود اليومية'!$G$11:$G$1010,MATCH($A192,'قيود اليومية'!$O$11:$O$1010,0)))</f>
        <v/>
      </c>
      <c r="G192" s="85" t="str">
        <f aca="false">IF($A192="","",INDEX('قيود اليومية'!$H$11:$H$1010,MATCH($A192,'قيود اليومية'!$O$11:$O$1010,0)))</f>
        <v/>
      </c>
      <c r="H192" s="63" t="str">
        <f aca="false">IF($A192="","",N(H191)+IF($C$8&lt;&gt;"" ,IF(LEFT($C$8,4)="دائن",G192-F192,F192-G192),0))</f>
        <v/>
      </c>
    </row>
    <row r="193" customFormat="false" ht="15" hidden="false" customHeight="false" outlineLevel="0" collapsed="false">
      <c r="A193" s="82" t="str">
        <f aca="false">IF(ROW()-16&gt;COUNT('قيود اليومية'!$O$11:$O$1010),"",ROW()-16)</f>
        <v/>
      </c>
      <c r="B193" s="83" t="str">
        <f aca="false">IF($A193="","",INDEX('قيود اليومية'!$B$11:$B$1010,MATCH($A193,'قيود اليومية'!$O$11:$O$1010,0)))</f>
        <v/>
      </c>
      <c r="C193" s="84" t="str">
        <f aca="false">IF($A193="","",INDEX('قيود اليومية'!$A$11:$A$1010,MATCH($A193,'قيود اليومية'!$O$11:$O$1010,0)))</f>
        <v/>
      </c>
      <c r="D193" s="51" t="str">
        <f aca="false">IF($A193="","",INDEX('قيود اليومية'!$E$11:$E$1010,MATCH($A193,'قيود اليومية'!$O$11:$O$1010,0))&amp;"")</f>
        <v/>
      </c>
      <c r="E193" s="51" t="str">
        <f aca="false">IF($A193="","",INDEX('قيود اليومية'!$F$11:$F$1010,MATCH($A193,'قيود اليومية'!$O$11:$O$1010,0))&amp;"")</f>
        <v/>
      </c>
      <c r="F193" s="85" t="str">
        <f aca="false">IF($A193="","",INDEX('قيود اليومية'!$G$11:$G$1010,MATCH($A193,'قيود اليومية'!$O$11:$O$1010,0)))</f>
        <v/>
      </c>
      <c r="G193" s="85" t="str">
        <f aca="false">IF($A193="","",INDEX('قيود اليومية'!$H$11:$H$1010,MATCH($A193,'قيود اليومية'!$O$11:$O$1010,0)))</f>
        <v/>
      </c>
      <c r="H193" s="63" t="str">
        <f aca="false">IF($A193="","",N(H192)+IF($C$8&lt;&gt;"" ,IF(LEFT($C$8,4)="دائن",G193-F193,F193-G193),0))</f>
        <v/>
      </c>
    </row>
    <row r="194" customFormat="false" ht="15" hidden="false" customHeight="false" outlineLevel="0" collapsed="false">
      <c r="A194" s="82" t="str">
        <f aca="false">IF(ROW()-16&gt;COUNT('قيود اليومية'!$O$11:$O$1010),"",ROW()-16)</f>
        <v/>
      </c>
      <c r="B194" s="83" t="str">
        <f aca="false">IF($A194="","",INDEX('قيود اليومية'!$B$11:$B$1010,MATCH($A194,'قيود اليومية'!$O$11:$O$1010,0)))</f>
        <v/>
      </c>
      <c r="C194" s="84" t="str">
        <f aca="false">IF($A194="","",INDEX('قيود اليومية'!$A$11:$A$1010,MATCH($A194,'قيود اليومية'!$O$11:$O$1010,0)))</f>
        <v/>
      </c>
      <c r="D194" s="51" t="str">
        <f aca="false">IF($A194="","",INDEX('قيود اليومية'!$E$11:$E$1010,MATCH($A194,'قيود اليومية'!$O$11:$O$1010,0))&amp;"")</f>
        <v/>
      </c>
      <c r="E194" s="51" t="str">
        <f aca="false">IF($A194="","",INDEX('قيود اليومية'!$F$11:$F$1010,MATCH($A194,'قيود اليومية'!$O$11:$O$1010,0))&amp;"")</f>
        <v/>
      </c>
      <c r="F194" s="85" t="str">
        <f aca="false">IF($A194="","",INDEX('قيود اليومية'!$G$11:$G$1010,MATCH($A194,'قيود اليومية'!$O$11:$O$1010,0)))</f>
        <v/>
      </c>
      <c r="G194" s="85" t="str">
        <f aca="false">IF($A194="","",INDEX('قيود اليومية'!$H$11:$H$1010,MATCH($A194,'قيود اليومية'!$O$11:$O$1010,0)))</f>
        <v/>
      </c>
      <c r="H194" s="63" t="str">
        <f aca="false">IF($A194="","",N(H193)+IF($C$8&lt;&gt;"" ,IF(LEFT($C$8,4)="دائن",G194-F194,F194-G194),0))</f>
        <v/>
      </c>
    </row>
    <row r="195" customFormat="false" ht="15" hidden="false" customHeight="false" outlineLevel="0" collapsed="false">
      <c r="A195" s="82" t="str">
        <f aca="false">IF(ROW()-16&gt;COUNT('قيود اليومية'!$O$11:$O$1010),"",ROW()-16)</f>
        <v/>
      </c>
      <c r="B195" s="83" t="str">
        <f aca="false">IF($A195="","",INDEX('قيود اليومية'!$B$11:$B$1010,MATCH($A195,'قيود اليومية'!$O$11:$O$1010,0)))</f>
        <v/>
      </c>
      <c r="C195" s="84" t="str">
        <f aca="false">IF($A195="","",INDEX('قيود اليومية'!$A$11:$A$1010,MATCH($A195,'قيود اليومية'!$O$11:$O$1010,0)))</f>
        <v/>
      </c>
      <c r="D195" s="51" t="str">
        <f aca="false">IF($A195="","",INDEX('قيود اليومية'!$E$11:$E$1010,MATCH($A195,'قيود اليومية'!$O$11:$O$1010,0))&amp;"")</f>
        <v/>
      </c>
      <c r="E195" s="51" t="str">
        <f aca="false">IF($A195="","",INDEX('قيود اليومية'!$F$11:$F$1010,MATCH($A195,'قيود اليومية'!$O$11:$O$1010,0))&amp;"")</f>
        <v/>
      </c>
      <c r="F195" s="85" t="str">
        <f aca="false">IF($A195="","",INDEX('قيود اليومية'!$G$11:$G$1010,MATCH($A195,'قيود اليومية'!$O$11:$O$1010,0)))</f>
        <v/>
      </c>
      <c r="G195" s="85" t="str">
        <f aca="false">IF($A195="","",INDEX('قيود اليومية'!$H$11:$H$1010,MATCH($A195,'قيود اليومية'!$O$11:$O$1010,0)))</f>
        <v/>
      </c>
      <c r="H195" s="63" t="str">
        <f aca="false">IF($A195="","",N(H194)+IF($C$8&lt;&gt;"" ,IF(LEFT($C$8,4)="دائن",G195-F195,F195-G195),0))</f>
        <v/>
      </c>
    </row>
    <row r="196" customFormat="false" ht="15" hidden="false" customHeight="false" outlineLevel="0" collapsed="false">
      <c r="A196" s="82" t="str">
        <f aca="false">IF(ROW()-16&gt;COUNT('قيود اليومية'!$O$11:$O$1010),"",ROW()-16)</f>
        <v/>
      </c>
      <c r="B196" s="83" t="str">
        <f aca="false">IF($A196="","",INDEX('قيود اليومية'!$B$11:$B$1010,MATCH($A196,'قيود اليومية'!$O$11:$O$1010,0)))</f>
        <v/>
      </c>
      <c r="C196" s="84" t="str">
        <f aca="false">IF($A196="","",INDEX('قيود اليومية'!$A$11:$A$1010,MATCH($A196,'قيود اليومية'!$O$11:$O$1010,0)))</f>
        <v/>
      </c>
      <c r="D196" s="51" t="str">
        <f aca="false">IF($A196="","",INDEX('قيود اليومية'!$E$11:$E$1010,MATCH($A196,'قيود اليومية'!$O$11:$O$1010,0))&amp;"")</f>
        <v/>
      </c>
      <c r="E196" s="51" t="str">
        <f aca="false">IF($A196="","",INDEX('قيود اليومية'!$F$11:$F$1010,MATCH($A196,'قيود اليومية'!$O$11:$O$1010,0))&amp;"")</f>
        <v/>
      </c>
      <c r="F196" s="85" t="str">
        <f aca="false">IF($A196="","",INDEX('قيود اليومية'!$G$11:$G$1010,MATCH($A196,'قيود اليومية'!$O$11:$O$1010,0)))</f>
        <v/>
      </c>
      <c r="G196" s="85" t="str">
        <f aca="false">IF($A196="","",INDEX('قيود اليومية'!$H$11:$H$1010,MATCH($A196,'قيود اليومية'!$O$11:$O$1010,0)))</f>
        <v/>
      </c>
      <c r="H196" s="63" t="str">
        <f aca="false">IF($A196="","",N(H195)+IF($C$8&lt;&gt;"" ,IF(LEFT($C$8,4)="دائن",G196-F196,F196-G196),0))</f>
        <v/>
      </c>
    </row>
    <row r="197" customFormat="false" ht="15" hidden="false" customHeight="false" outlineLevel="0" collapsed="false">
      <c r="A197" s="82" t="str">
        <f aca="false">IF(ROW()-16&gt;COUNT('قيود اليومية'!$O$11:$O$1010),"",ROW()-16)</f>
        <v/>
      </c>
      <c r="B197" s="83" t="str">
        <f aca="false">IF($A197="","",INDEX('قيود اليومية'!$B$11:$B$1010,MATCH($A197,'قيود اليومية'!$O$11:$O$1010,0)))</f>
        <v/>
      </c>
      <c r="C197" s="84" t="str">
        <f aca="false">IF($A197="","",INDEX('قيود اليومية'!$A$11:$A$1010,MATCH($A197,'قيود اليومية'!$O$11:$O$1010,0)))</f>
        <v/>
      </c>
      <c r="D197" s="51" t="str">
        <f aca="false">IF($A197="","",INDEX('قيود اليومية'!$E$11:$E$1010,MATCH($A197,'قيود اليومية'!$O$11:$O$1010,0))&amp;"")</f>
        <v/>
      </c>
      <c r="E197" s="51" t="str">
        <f aca="false">IF($A197="","",INDEX('قيود اليومية'!$F$11:$F$1010,MATCH($A197,'قيود اليومية'!$O$11:$O$1010,0))&amp;"")</f>
        <v/>
      </c>
      <c r="F197" s="85" t="str">
        <f aca="false">IF($A197="","",INDEX('قيود اليومية'!$G$11:$G$1010,MATCH($A197,'قيود اليومية'!$O$11:$O$1010,0)))</f>
        <v/>
      </c>
      <c r="G197" s="85" t="str">
        <f aca="false">IF($A197="","",INDEX('قيود اليومية'!$H$11:$H$1010,MATCH($A197,'قيود اليومية'!$O$11:$O$1010,0)))</f>
        <v/>
      </c>
      <c r="H197" s="63" t="str">
        <f aca="false">IF($A197="","",N(H196)+IF($C$8&lt;&gt;"" ,IF(LEFT($C$8,4)="دائن",G197-F197,F197-G197),0))</f>
        <v/>
      </c>
    </row>
    <row r="198" customFormat="false" ht="15" hidden="false" customHeight="false" outlineLevel="0" collapsed="false">
      <c r="A198" s="82" t="str">
        <f aca="false">IF(ROW()-16&gt;COUNT('قيود اليومية'!$O$11:$O$1010),"",ROW()-16)</f>
        <v/>
      </c>
      <c r="B198" s="83" t="str">
        <f aca="false">IF($A198="","",INDEX('قيود اليومية'!$B$11:$B$1010,MATCH($A198,'قيود اليومية'!$O$11:$O$1010,0)))</f>
        <v/>
      </c>
      <c r="C198" s="84" t="str">
        <f aca="false">IF($A198="","",INDEX('قيود اليومية'!$A$11:$A$1010,MATCH($A198,'قيود اليومية'!$O$11:$O$1010,0)))</f>
        <v/>
      </c>
      <c r="D198" s="51" t="str">
        <f aca="false">IF($A198="","",INDEX('قيود اليومية'!$E$11:$E$1010,MATCH($A198,'قيود اليومية'!$O$11:$O$1010,0))&amp;"")</f>
        <v/>
      </c>
      <c r="E198" s="51" t="str">
        <f aca="false">IF($A198="","",INDEX('قيود اليومية'!$F$11:$F$1010,MATCH($A198,'قيود اليومية'!$O$11:$O$1010,0))&amp;"")</f>
        <v/>
      </c>
      <c r="F198" s="85" t="str">
        <f aca="false">IF($A198="","",INDEX('قيود اليومية'!$G$11:$G$1010,MATCH($A198,'قيود اليومية'!$O$11:$O$1010,0)))</f>
        <v/>
      </c>
      <c r="G198" s="85" t="str">
        <f aca="false">IF($A198="","",INDEX('قيود اليومية'!$H$11:$H$1010,MATCH($A198,'قيود اليومية'!$O$11:$O$1010,0)))</f>
        <v/>
      </c>
      <c r="H198" s="63" t="str">
        <f aca="false">IF($A198="","",N(H197)+IF($C$8&lt;&gt;"" ,IF(LEFT($C$8,4)="دائن",G198-F198,F198-G198),0))</f>
        <v/>
      </c>
    </row>
    <row r="199" customFormat="false" ht="15" hidden="false" customHeight="false" outlineLevel="0" collapsed="false">
      <c r="A199" s="82" t="str">
        <f aca="false">IF(ROW()-16&gt;COUNT('قيود اليومية'!$O$11:$O$1010),"",ROW()-16)</f>
        <v/>
      </c>
      <c r="B199" s="83" t="str">
        <f aca="false">IF($A199="","",INDEX('قيود اليومية'!$B$11:$B$1010,MATCH($A199,'قيود اليومية'!$O$11:$O$1010,0)))</f>
        <v/>
      </c>
      <c r="C199" s="84" t="str">
        <f aca="false">IF($A199="","",INDEX('قيود اليومية'!$A$11:$A$1010,MATCH($A199,'قيود اليومية'!$O$11:$O$1010,0)))</f>
        <v/>
      </c>
      <c r="D199" s="51" t="str">
        <f aca="false">IF($A199="","",INDEX('قيود اليومية'!$E$11:$E$1010,MATCH($A199,'قيود اليومية'!$O$11:$O$1010,0))&amp;"")</f>
        <v/>
      </c>
      <c r="E199" s="51" t="str">
        <f aca="false">IF($A199="","",INDEX('قيود اليومية'!$F$11:$F$1010,MATCH($A199,'قيود اليومية'!$O$11:$O$1010,0))&amp;"")</f>
        <v/>
      </c>
      <c r="F199" s="85" t="str">
        <f aca="false">IF($A199="","",INDEX('قيود اليومية'!$G$11:$G$1010,MATCH($A199,'قيود اليومية'!$O$11:$O$1010,0)))</f>
        <v/>
      </c>
      <c r="G199" s="85" t="str">
        <f aca="false">IF($A199="","",INDEX('قيود اليومية'!$H$11:$H$1010,MATCH($A199,'قيود اليومية'!$O$11:$O$1010,0)))</f>
        <v/>
      </c>
      <c r="H199" s="63" t="str">
        <f aca="false">IF($A199="","",N(H198)+IF($C$8&lt;&gt;"" ,IF(LEFT($C$8,4)="دائن",G199-F199,F199-G199),0))</f>
        <v/>
      </c>
    </row>
    <row r="200" customFormat="false" ht="15" hidden="false" customHeight="false" outlineLevel="0" collapsed="false">
      <c r="A200" s="82" t="str">
        <f aca="false">IF(ROW()-16&gt;COUNT('قيود اليومية'!$O$11:$O$1010),"",ROW()-16)</f>
        <v/>
      </c>
      <c r="B200" s="83" t="str">
        <f aca="false">IF($A200="","",INDEX('قيود اليومية'!$B$11:$B$1010,MATCH($A200,'قيود اليومية'!$O$11:$O$1010,0)))</f>
        <v/>
      </c>
      <c r="C200" s="84" t="str">
        <f aca="false">IF($A200="","",INDEX('قيود اليومية'!$A$11:$A$1010,MATCH($A200,'قيود اليومية'!$O$11:$O$1010,0)))</f>
        <v/>
      </c>
      <c r="D200" s="51" t="str">
        <f aca="false">IF($A200="","",INDEX('قيود اليومية'!$E$11:$E$1010,MATCH($A200,'قيود اليومية'!$O$11:$O$1010,0))&amp;"")</f>
        <v/>
      </c>
      <c r="E200" s="51" t="str">
        <f aca="false">IF($A200="","",INDEX('قيود اليومية'!$F$11:$F$1010,MATCH($A200,'قيود اليومية'!$O$11:$O$1010,0))&amp;"")</f>
        <v/>
      </c>
      <c r="F200" s="85" t="str">
        <f aca="false">IF($A200="","",INDEX('قيود اليومية'!$G$11:$G$1010,MATCH($A200,'قيود اليومية'!$O$11:$O$1010,0)))</f>
        <v/>
      </c>
      <c r="G200" s="85" t="str">
        <f aca="false">IF($A200="","",INDEX('قيود اليومية'!$H$11:$H$1010,MATCH($A200,'قيود اليومية'!$O$11:$O$1010,0)))</f>
        <v/>
      </c>
      <c r="H200" s="63" t="str">
        <f aca="false">IF($A200="","",N(H199)+IF($C$8&lt;&gt;"" ,IF(LEFT($C$8,4)="دائن",G200-F200,F200-G200),0))</f>
        <v/>
      </c>
    </row>
    <row r="201" customFormat="false" ht="15" hidden="false" customHeight="false" outlineLevel="0" collapsed="false">
      <c r="A201" s="82" t="str">
        <f aca="false">IF(ROW()-16&gt;COUNT('قيود اليومية'!$O$11:$O$1010),"",ROW()-16)</f>
        <v/>
      </c>
      <c r="B201" s="83" t="str">
        <f aca="false">IF($A201="","",INDEX('قيود اليومية'!$B$11:$B$1010,MATCH($A201,'قيود اليومية'!$O$11:$O$1010,0)))</f>
        <v/>
      </c>
      <c r="C201" s="84" t="str">
        <f aca="false">IF($A201="","",INDEX('قيود اليومية'!$A$11:$A$1010,MATCH($A201,'قيود اليومية'!$O$11:$O$1010,0)))</f>
        <v/>
      </c>
      <c r="D201" s="51" t="str">
        <f aca="false">IF($A201="","",INDEX('قيود اليومية'!$E$11:$E$1010,MATCH($A201,'قيود اليومية'!$O$11:$O$1010,0))&amp;"")</f>
        <v/>
      </c>
      <c r="E201" s="51" t="str">
        <f aca="false">IF($A201="","",INDEX('قيود اليومية'!$F$11:$F$1010,MATCH($A201,'قيود اليومية'!$O$11:$O$1010,0))&amp;"")</f>
        <v/>
      </c>
      <c r="F201" s="85" t="str">
        <f aca="false">IF($A201="","",INDEX('قيود اليومية'!$G$11:$G$1010,MATCH($A201,'قيود اليومية'!$O$11:$O$1010,0)))</f>
        <v/>
      </c>
      <c r="G201" s="85" t="str">
        <f aca="false">IF($A201="","",INDEX('قيود اليومية'!$H$11:$H$1010,MATCH($A201,'قيود اليومية'!$O$11:$O$1010,0)))</f>
        <v/>
      </c>
      <c r="H201" s="63" t="str">
        <f aca="false">IF($A201="","",N(H200)+IF($C$8&lt;&gt;"" ,IF(LEFT($C$8,4)="دائن",G201-F201,F201-G201),0))</f>
        <v/>
      </c>
    </row>
    <row r="202" customFormat="false" ht="15" hidden="false" customHeight="false" outlineLevel="0" collapsed="false">
      <c r="A202" s="82" t="str">
        <f aca="false">IF(ROW()-16&gt;COUNT('قيود اليومية'!$O$11:$O$1010),"",ROW()-16)</f>
        <v/>
      </c>
      <c r="B202" s="83" t="str">
        <f aca="false">IF($A202="","",INDEX('قيود اليومية'!$B$11:$B$1010,MATCH($A202,'قيود اليومية'!$O$11:$O$1010,0)))</f>
        <v/>
      </c>
      <c r="C202" s="84" t="str">
        <f aca="false">IF($A202="","",INDEX('قيود اليومية'!$A$11:$A$1010,MATCH($A202,'قيود اليومية'!$O$11:$O$1010,0)))</f>
        <v/>
      </c>
      <c r="D202" s="51" t="str">
        <f aca="false">IF($A202="","",INDEX('قيود اليومية'!$E$11:$E$1010,MATCH($A202,'قيود اليومية'!$O$11:$O$1010,0))&amp;"")</f>
        <v/>
      </c>
      <c r="E202" s="51" t="str">
        <f aca="false">IF($A202="","",INDEX('قيود اليومية'!$F$11:$F$1010,MATCH($A202,'قيود اليومية'!$O$11:$O$1010,0))&amp;"")</f>
        <v/>
      </c>
      <c r="F202" s="85" t="str">
        <f aca="false">IF($A202="","",INDEX('قيود اليومية'!$G$11:$G$1010,MATCH($A202,'قيود اليومية'!$O$11:$O$1010,0)))</f>
        <v/>
      </c>
      <c r="G202" s="85" t="str">
        <f aca="false">IF($A202="","",INDEX('قيود اليومية'!$H$11:$H$1010,MATCH($A202,'قيود اليومية'!$O$11:$O$1010,0)))</f>
        <v/>
      </c>
      <c r="H202" s="63" t="str">
        <f aca="false">IF($A202="","",N(H201)+IF($C$8&lt;&gt;"" ,IF(LEFT($C$8,4)="دائن",G202-F202,F202-G202),0))</f>
        <v/>
      </c>
    </row>
    <row r="203" customFormat="false" ht="15" hidden="false" customHeight="false" outlineLevel="0" collapsed="false">
      <c r="A203" s="82" t="str">
        <f aca="false">IF(ROW()-16&gt;COUNT('قيود اليومية'!$O$11:$O$1010),"",ROW()-16)</f>
        <v/>
      </c>
      <c r="B203" s="83" t="str">
        <f aca="false">IF($A203="","",INDEX('قيود اليومية'!$B$11:$B$1010,MATCH($A203,'قيود اليومية'!$O$11:$O$1010,0)))</f>
        <v/>
      </c>
      <c r="C203" s="84" t="str">
        <f aca="false">IF($A203="","",INDEX('قيود اليومية'!$A$11:$A$1010,MATCH($A203,'قيود اليومية'!$O$11:$O$1010,0)))</f>
        <v/>
      </c>
      <c r="D203" s="51" t="str">
        <f aca="false">IF($A203="","",INDEX('قيود اليومية'!$E$11:$E$1010,MATCH($A203,'قيود اليومية'!$O$11:$O$1010,0))&amp;"")</f>
        <v/>
      </c>
      <c r="E203" s="51" t="str">
        <f aca="false">IF($A203="","",INDEX('قيود اليومية'!$F$11:$F$1010,MATCH($A203,'قيود اليومية'!$O$11:$O$1010,0))&amp;"")</f>
        <v/>
      </c>
      <c r="F203" s="85" t="str">
        <f aca="false">IF($A203="","",INDEX('قيود اليومية'!$G$11:$G$1010,MATCH($A203,'قيود اليومية'!$O$11:$O$1010,0)))</f>
        <v/>
      </c>
      <c r="G203" s="85" t="str">
        <f aca="false">IF($A203="","",INDEX('قيود اليومية'!$H$11:$H$1010,MATCH($A203,'قيود اليومية'!$O$11:$O$1010,0)))</f>
        <v/>
      </c>
      <c r="H203" s="63" t="str">
        <f aca="false">IF($A203="","",N(H202)+IF($C$8&lt;&gt;"" ,IF(LEFT($C$8,4)="دائن",G203-F203,F203-G203),0))</f>
        <v/>
      </c>
    </row>
    <row r="204" customFormat="false" ht="15" hidden="false" customHeight="false" outlineLevel="0" collapsed="false">
      <c r="A204" s="82" t="str">
        <f aca="false">IF(ROW()-16&gt;COUNT('قيود اليومية'!$O$11:$O$1010),"",ROW()-16)</f>
        <v/>
      </c>
      <c r="B204" s="83" t="str">
        <f aca="false">IF($A204="","",INDEX('قيود اليومية'!$B$11:$B$1010,MATCH($A204,'قيود اليومية'!$O$11:$O$1010,0)))</f>
        <v/>
      </c>
      <c r="C204" s="84" t="str">
        <f aca="false">IF($A204="","",INDEX('قيود اليومية'!$A$11:$A$1010,MATCH($A204,'قيود اليومية'!$O$11:$O$1010,0)))</f>
        <v/>
      </c>
      <c r="D204" s="51" t="str">
        <f aca="false">IF($A204="","",INDEX('قيود اليومية'!$E$11:$E$1010,MATCH($A204,'قيود اليومية'!$O$11:$O$1010,0))&amp;"")</f>
        <v/>
      </c>
      <c r="E204" s="51" t="str">
        <f aca="false">IF($A204="","",INDEX('قيود اليومية'!$F$11:$F$1010,MATCH($A204,'قيود اليومية'!$O$11:$O$1010,0))&amp;"")</f>
        <v/>
      </c>
      <c r="F204" s="85" t="str">
        <f aca="false">IF($A204="","",INDEX('قيود اليومية'!$G$11:$G$1010,MATCH($A204,'قيود اليومية'!$O$11:$O$1010,0)))</f>
        <v/>
      </c>
      <c r="G204" s="85" t="str">
        <f aca="false">IF($A204="","",INDEX('قيود اليومية'!$H$11:$H$1010,MATCH($A204,'قيود اليومية'!$O$11:$O$1010,0)))</f>
        <v/>
      </c>
      <c r="H204" s="63" t="str">
        <f aca="false">IF($A204="","",N(H203)+IF($C$8&lt;&gt;"" ,IF(LEFT($C$8,4)="دائن",G204-F204,F204-G204),0))</f>
        <v/>
      </c>
    </row>
    <row r="205" customFormat="false" ht="15" hidden="false" customHeight="false" outlineLevel="0" collapsed="false">
      <c r="A205" s="82" t="str">
        <f aca="false">IF(ROW()-16&gt;COUNT('قيود اليومية'!$O$11:$O$1010),"",ROW()-16)</f>
        <v/>
      </c>
      <c r="B205" s="83" t="str">
        <f aca="false">IF($A205="","",INDEX('قيود اليومية'!$B$11:$B$1010,MATCH($A205,'قيود اليومية'!$O$11:$O$1010,0)))</f>
        <v/>
      </c>
      <c r="C205" s="84" t="str">
        <f aca="false">IF($A205="","",INDEX('قيود اليومية'!$A$11:$A$1010,MATCH($A205,'قيود اليومية'!$O$11:$O$1010,0)))</f>
        <v/>
      </c>
      <c r="D205" s="51" t="str">
        <f aca="false">IF($A205="","",INDEX('قيود اليومية'!$E$11:$E$1010,MATCH($A205,'قيود اليومية'!$O$11:$O$1010,0))&amp;"")</f>
        <v/>
      </c>
      <c r="E205" s="51" t="str">
        <f aca="false">IF($A205="","",INDEX('قيود اليومية'!$F$11:$F$1010,MATCH($A205,'قيود اليومية'!$O$11:$O$1010,0))&amp;"")</f>
        <v/>
      </c>
      <c r="F205" s="85" t="str">
        <f aca="false">IF($A205="","",INDEX('قيود اليومية'!$G$11:$G$1010,MATCH($A205,'قيود اليومية'!$O$11:$O$1010,0)))</f>
        <v/>
      </c>
      <c r="G205" s="85" t="str">
        <f aca="false">IF($A205="","",INDEX('قيود اليومية'!$H$11:$H$1010,MATCH($A205,'قيود اليومية'!$O$11:$O$1010,0)))</f>
        <v/>
      </c>
      <c r="H205" s="63" t="str">
        <f aca="false">IF($A205="","",N(H204)+IF($C$8&lt;&gt;"" ,IF(LEFT($C$8,4)="دائن",G205-F205,F205-G205),0))</f>
        <v/>
      </c>
    </row>
    <row r="206" customFormat="false" ht="15" hidden="false" customHeight="false" outlineLevel="0" collapsed="false">
      <c r="A206" s="82" t="str">
        <f aca="false">IF(ROW()-16&gt;COUNT('قيود اليومية'!$O$11:$O$1010),"",ROW()-16)</f>
        <v/>
      </c>
      <c r="B206" s="83" t="str">
        <f aca="false">IF($A206="","",INDEX('قيود اليومية'!$B$11:$B$1010,MATCH($A206,'قيود اليومية'!$O$11:$O$1010,0)))</f>
        <v/>
      </c>
      <c r="C206" s="84" t="str">
        <f aca="false">IF($A206="","",INDEX('قيود اليومية'!$A$11:$A$1010,MATCH($A206,'قيود اليومية'!$O$11:$O$1010,0)))</f>
        <v/>
      </c>
      <c r="D206" s="51" t="str">
        <f aca="false">IF($A206="","",INDEX('قيود اليومية'!$E$11:$E$1010,MATCH($A206,'قيود اليومية'!$O$11:$O$1010,0))&amp;"")</f>
        <v/>
      </c>
      <c r="E206" s="51" t="str">
        <f aca="false">IF($A206="","",INDEX('قيود اليومية'!$F$11:$F$1010,MATCH($A206,'قيود اليومية'!$O$11:$O$1010,0))&amp;"")</f>
        <v/>
      </c>
      <c r="F206" s="85" t="str">
        <f aca="false">IF($A206="","",INDEX('قيود اليومية'!$G$11:$G$1010,MATCH($A206,'قيود اليومية'!$O$11:$O$1010,0)))</f>
        <v/>
      </c>
      <c r="G206" s="85" t="str">
        <f aca="false">IF($A206="","",INDEX('قيود اليومية'!$H$11:$H$1010,MATCH($A206,'قيود اليومية'!$O$11:$O$1010,0)))</f>
        <v/>
      </c>
      <c r="H206" s="63" t="str">
        <f aca="false">IF($A206="","",N(H205)+IF($C$8&lt;&gt;"" ,IF(LEFT($C$8,4)="دائن",G206-F206,F206-G206),0))</f>
        <v/>
      </c>
    </row>
    <row r="207" customFormat="false" ht="15" hidden="false" customHeight="false" outlineLevel="0" collapsed="false">
      <c r="A207" s="82" t="str">
        <f aca="false">IF(ROW()-16&gt;COUNT('قيود اليومية'!$O$11:$O$1010),"",ROW()-16)</f>
        <v/>
      </c>
      <c r="B207" s="83" t="str">
        <f aca="false">IF($A207="","",INDEX('قيود اليومية'!$B$11:$B$1010,MATCH($A207,'قيود اليومية'!$O$11:$O$1010,0)))</f>
        <v/>
      </c>
      <c r="C207" s="84" t="str">
        <f aca="false">IF($A207="","",INDEX('قيود اليومية'!$A$11:$A$1010,MATCH($A207,'قيود اليومية'!$O$11:$O$1010,0)))</f>
        <v/>
      </c>
      <c r="D207" s="51" t="str">
        <f aca="false">IF($A207="","",INDEX('قيود اليومية'!$E$11:$E$1010,MATCH($A207,'قيود اليومية'!$O$11:$O$1010,0))&amp;"")</f>
        <v/>
      </c>
      <c r="E207" s="51" t="str">
        <f aca="false">IF($A207="","",INDEX('قيود اليومية'!$F$11:$F$1010,MATCH($A207,'قيود اليومية'!$O$11:$O$1010,0))&amp;"")</f>
        <v/>
      </c>
      <c r="F207" s="85" t="str">
        <f aca="false">IF($A207="","",INDEX('قيود اليومية'!$G$11:$G$1010,MATCH($A207,'قيود اليومية'!$O$11:$O$1010,0)))</f>
        <v/>
      </c>
      <c r="G207" s="85" t="str">
        <f aca="false">IF($A207="","",INDEX('قيود اليومية'!$H$11:$H$1010,MATCH($A207,'قيود اليومية'!$O$11:$O$1010,0)))</f>
        <v/>
      </c>
      <c r="H207" s="63" t="str">
        <f aca="false">IF($A207="","",N(H206)+IF($C$8&lt;&gt;"" ,IF(LEFT($C$8,4)="دائن",G207-F207,F207-G207),0))</f>
        <v/>
      </c>
    </row>
    <row r="208" customFormat="false" ht="15" hidden="false" customHeight="false" outlineLevel="0" collapsed="false">
      <c r="A208" s="82" t="str">
        <f aca="false">IF(ROW()-16&gt;COUNT('قيود اليومية'!$O$11:$O$1010),"",ROW()-16)</f>
        <v/>
      </c>
      <c r="B208" s="83" t="str">
        <f aca="false">IF($A208="","",INDEX('قيود اليومية'!$B$11:$B$1010,MATCH($A208,'قيود اليومية'!$O$11:$O$1010,0)))</f>
        <v/>
      </c>
      <c r="C208" s="84" t="str">
        <f aca="false">IF($A208="","",INDEX('قيود اليومية'!$A$11:$A$1010,MATCH($A208,'قيود اليومية'!$O$11:$O$1010,0)))</f>
        <v/>
      </c>
      <c r="D208" s="51" t="str">
        <f aca="false">IF($A208="","",INDEX('قيود اليومية'!$E$11:$E$1010,MATCH($A208,'قيود اليومية'!$O$11:$O$1010,0))&amp;"")</f>
        <v/>
      </c>
      <c r="E208" s="51" t="str">
        <f aca="false">IF($A208="","",INDEX('قيود اليومية'!$F$11:$F$1010,MATCH($A208,'قيود اليومية'!$O$11:$O$1010,0))&amp;"")</f>
        <v/>
      </c>
      <c r="F208" s="85" t="str">
        <f aca="false">IF($A208="","",INDEX('قيود اليومية'!$G$11:$G$1010,MATCH($A208,'قيود اليومية'!$O$11:$O$1010,0)))</f>
        <v/>
      </c>
      <c r="G208" s="85" t="str">
        <f aca="false">IF($A208="","",INDEX('قيود اليومية'!$H$11:$H$1010,MATCH($A208,'قيود اليومية'!$O$11:$O$1010,0)))</f>
        <v/>
      </c>
      <c r="H208" s="63" t="str">
        <f aca="false">IF($A208="","",N(H207)+IF($C$8&lt;&gt;"" ,IF(LEFT($C$8,4)="دائن",G208-F208,F208-G208),0))</f>
        <v/>
      </c>
    </row>
    <row r="209" customFormat="false" ht="15" hidden="false" customHeight="false" outlineLevel="0" collapsed="false">
      <c r="A209" s="82" t="str">
        <f aca="false">IF(ROW()-16&gt;COUNT('قيود اليومية'!$O$11:$O$1010),"",ROW()-16)</f>
        <v/>
      </c>
      <c r="B209" s="83" t="str">
        <f aca="false">IF($A209="","",INDEX('قيود اليومية'!$B$11:$B$1010,MATCH($A209,'قيود اليومية'!$O$11:$O$1010,0)))</f>
        <v/>
      </c>
      <c r="C209" s="84" t="str">
        <f aca="false">IF($A209="","",INDEX('قيود اليومية'!$A$11:$A$1010,MATCH($A209,'قيود اليومية'!$O$11:$O$1010,0)))</f>
        <v/>
      </c>
      <c r="D209" s="51" t="str">
        <f aca="false">IF($A209="","",INDEX('قيود اليومية'!$E$11:$E$1010,MATCH($A209,'قيود اليومية'!$O$11:$O$1010,0))&amp;"")</f>
        <v/>
      </c>
      <c r="E209" s="51" t="str">
        <f aca="false">IF($A209="","",INDEX('قيود اليومية'!$F$11:$F$1010,MATCH($A209,'قيود اليومية'!$O$11:$O$1010,0))&amp;"")</f>
        <v/>
      </c>
      <c r="F209" s="85" t="str">
        <f aca="false">IF($A209="","",INDEX('قيود اليومية'!$G$11:$G$1010,MATCH($A209,'قيود اليومية'!$O$11:$O$1010,0)))</f>
        <v/>
      </c>
      <c r="G209" s="85" t="str">
        <f aca="false">IF($A209="","",INDEX('قيود اليومية'!$H$11:$H$1010,MATCH($A209,'قيود اليومية'!$O$11:$O$1010,0)))</f>
        <v/>
      </c>
      <c r="H209" s="63" t="str">
        <f aca="false">IF($A209="","",N(H208)+IF($C$8&lt;&gt;"" ,IF(LEFT($C$8,4)="دائن",G209-F209,F209-G209),0))</f>
        <v/>
      </c>
    </row>
    <row r="210" customFormat="false" ht="15" hidden="false" customHeight="false" outlineLevel="0" collapsed="false">
      <c r="A210" s="82" t="str">
        <f aca="false">IF(ROW()-16&gt;COUNT('قيود اليومية'!$O$11:$O$1010),"",ROW()-16)</f>
        <v/>
      </c>
      <c r="B210" s="83" t="str">
        <f aca="false">IF($A210="","",INDEX('قيود اليومية'!$B$11:$B$1010,MATCH($A210,'قيود اليومية'!$O$11:$O$1010,0)))</f>
        <v/>
      </c>
      <c r="C210" s="84" t="str">
        <f aca="false">IF($A210="","",INDEX('قيود اليومية'!$A$11:$A$1010,MATCH($A210,'قيود اليومية'!$O$11:$O$1010,0)))</f>
        <v/>
      </c>
      <c r="D210" s="51" t="str">
        <f aca="false">IF($A210="","",INDEX('قيود اليومية'!$E$11:$E$1010,MATCH($A210,'قيود اليومية'!$O$11:$O$1010,0))&amp;"")</f>
        <v/>
      </c>
      <c r="E210" s="51" t="str">
        <f aca="false">IF($A210="","",INDEX('قيود اليومية'!$F$11:$F$1010,MATCH($A210,'قيود اليومية'!$O$11:$O$1010,0))&amp;"")</f>
        <v/>
      </c>
      <c r="F210" s="85" t="str">
        <f aca="false">IF($A210="","",INDEX('قيود اليومية'!$G$11:$G$1010,MATCH($A210,'قيود اليومية'!$O$11:$O$1010,0)))</f>
        <v/>
      </c>
      <c r="G210" s="85" t="str">
        <f aca="false">IF($A210="","",INDEX('قيود اليومية'!$H$11:$H$1010,MATCH($A210,'قيود اليومية'!$O$11:$O$1010,0)))</f>
        <v/>
      </c>
      <c r="H210" s="63" t="str">
        <f aca="false">IF($A210="","",N(H209)+IF($C$8&lt;&gt;"" ,IF(LEFT($C$8,4)="دائن",G210-F210,F210-G210),0))</f>
        <v/>
      </c>
    </row>
    <row r="211" customFormat="false" ht="15" hidden="false" customHeight="false" outlineLevel="0" collapsed="false">
      <c r="A211" s="82" t="str">
        <f aca="false">IF(ROW()-16&gt;COUNT('قيود اليومية'!$O$11:$O$1010),"",ROW()-16)</f>
        <v/>
      </c>
      <c r="B211" s="83" t="str">
        <f aca="false">IF($A211="","",INDEX('قيود اليومية'!$B$11:$B$1010,MATCH($A211,'قيود اليومية'!$O$11:$O$1010,0)))</f>
        <v/>
      </c>
      <c r="C211" s="84" t="str">
        <f aca="false">IF($A211="","",INDEX('قيود اليومية'!$A$11:$A$1010,MATCH($A211,'قيود اليومية'!$O$11:$O$1010,0)))</f>
        <v/>
      </c>
      <c r="D211" s="51" t="str">
        <f aca="false">IF($A211="","",INDEX('قيود اليومية'!$E$11:$E$1010,MATCH($A211,'قيود اليومية'!$O$11:$O$1010,0))&amp;"")</f>
        <v/>
      </c>
      <c r="E211" s="51" t="str">
        <f aca="false">IF($A211="","",INDEX('قيود اليومية'!$F$11:$F$1010,MATCH($A211,'قيود اليومية'!$O$11:$O$1010,0))&amp;"")</f>
        <v/>
      </c>
      <c r="F211" s="85" t="str">
        <f aca="false">IF($A211="","",INDEX('قيود اليومية'!$G$11:$G$1010,MATCH($A211,'قيود اليومية'!$O$11:$O$1010,0)))</f>
        <v/>
      </c>
      <c r="G211" s="85" t="str">
        <f aca="false">IF($A211="","",INDEX('قيود اليومية'!$H$11:$H$1010,MATCH($A211,'قيود اليومية'!$O$11:$O$1010,0)))</f>
        <v/>
      </c>
      <c r="H211" s="63" t="str">
        <f aca="false">IF($A211="","",N(H210)+IF($C$8&lt;&gt;"" ,IF(LEFT($C$8,4)="دائن",G211-F211,F211-G211),0))</f>
        <v/>
      </c>
    </row>
    <row r="212" customFormat="false" ht="15" hidden="false" customHeight="false" outlineLevel="0" collapsed="false">
      <c r="A212" s="82" t="str">
        <f aca="false">IF(ROW()-16&gt;COUNT('قيود اليومية'!$O$11:$O$1010),"",ROW()-16)</f>
        <v/>
      </c>
      <c r="B212" s="83" t="str">
        <f aca="false">IF($A212="","",INDEX('قيود اليومية'!$B$11:$B$1010,MATCH($A212,'قيود اليومية'!$O$11:$O$1010,0)))</f>
        <v/>
      </c>
      <c r="C212" s="84" t="str">
        <f aca="false">IF($A212="","",INDEX('قيود اليومية'!$A$11:$A$1010,MATCH($A212,'قيود اليومية'!$O$11:$O$1010,0)))</f>
        <v/>
      </c>
      <c r="D212" s="51" t="str">
        <f aca="false">IF($A212="","",INDEX('قيود اليومية'!$E$11:$E$1010,MATCH($A212,'قيود اليومية'!$O$11:$O$1010,0))&amp;"")</f>
        <v/>
      </c>
      <c r="E212" s="51" t="str">
        <f aca="false">IF($A212="","",INDEX('قيود اليومية'!$F$11:$F$1010,MATCH($A212,'قيود اليومية'!$O$11:$O$1010,0))&amp;"")</f>
        <v/>
      </c>
      <c r="F212" s="85" t="str">
        <f aca="false">IF($A212="","",INDEX('قيود اليومية'!$G$11:$G$1010,MATCH($A212,'قيود اليومية'!$O$11:$O$1010,0)))</f>
        <v/>
      </c>
      <c r="G212" s="85" t="str">
        <f aca="false">IF($A212="","",INDEX('قيود اليومية'!$H$11:$H$1010,MATCH($A212,'قيود اليومية'!$O$11:$O$1010,0)))</f>
        <v/>
      </c>
      <c r="H212" s="63" t="str">
        <f aca="false">IF($A212="","",N(H211)+IF($C$8&lt;&gt;"" ,IF(LEFT($C$8,4)="دائن",G212-F212,F212-G212),0))</f>
        <v/>
      </c>
    </row>
    <row r="213" customFormat="false" ht="15" hidden="false" customHeight="false" outlineLevel="0" collapsed="false">
      <c r="A213" s="82" t="str">
        <f aca="false">IF(ROW()-16&gt;COUNT('قيود اليومية'!$O$11:$O$1010),"",ROW()-16)</f>
        <v/>
      </c>
      <c r="B213" s="83" t="str">
        <f aca="false">IF($A213="","",INDEX('قيود اليومية'!$B$11:$B$1010,MATCH($A213,'قيود اليومية'!$O$11:$O$1010,0)))</f>
        <v/>
      </c>
      <c r="C213" s="84" t="str">
        <f aca="false">IF($A213="","",INDEX('قيود اليومية'!$A$11:$A$1010,MATCH($A213,'قيود اليومية'!$O$11:$O$1010,0)))</f>
        <v/>
      </c>
      <c r="D213" s="51" t="str">
        <f aca="false">IF($A213="","",INDEX('قيود اليومية'!$E$11:$E$1010,MATCH($A213,'قيود اليومية'!$O$11:$O$1010,0))&amp;"")</f>
        <v/>
      </c>
      <c r="E213" s="51" t="str">
        <f aca="false">IF($A213="","",INDEX('قيود اليومية'!$F$11:$F$1010,MATCH($A213,'قيود اليومية'!$O$11:$O$1010,0))&amp;"")</f>
        <v/>
      </c>
      <c r="F213" s="85" t="str">
        <f aca="false">IF($A213="","",INDEX('قيود اليومية'!$G$11:$G$1010,MATCH($A213,'قيود اليومية'!$O$11:$O$1010,0)))</f>
        <v/>
      </c>
      <c r="G213" s="85" t="str">
        <f aca="false">IF($A213="","",INDEX('قيود اليومية'!$H$11:$H$1010,MATCH($A213,'قيود اليومية'!$O$11:$O$1010,0)))</f>
        <v/>
      </c>
      <c r="H213" s="63" t="str">
        <f aca="false">IF($A213="","",N(H212)+IF($C$8&lt;&gt;"" ,IF(LEFT($C$8,4)="دائن",G213-F213,F213-G213),0))</f>
        <v/>
      </c>
    </row>
    <row r="214" customFormat="false" ht="15" hidden="false" customHeight="false" outlineLevel="0" collapsed="false">
      <c r="A214" s="82" t="str">
        <f aca="false">IF(ROW()-16&gt;COUNT('قيود اليومية'!$O$11:$O$1010),"",ROW()-16)</f>
        <v/>
      </c>
      <c r="B214" s="83" t="str">
        <f aca="false">IF($A214="","",INDEX('قيود اليومية'!$B$11:$B$1010,MATCH($A214,'قيود اليومية'!$O$11:$O$1010,0)))</f>
        <v/>
      </c>
      <c r="C214" s="84" t="str">
        <f aca="false">IF($A214="","",INDEX('قيود اليومية'!$A$11:$A$1010,MATCH($A214,'قيود اليومية'!$O$11:$O$1010,0)))</f>
        <v/>
      </c>
      <c r="D214" s="51" t="str">
        <f aca="false">IF($A214="","",INDEX('قيود اليومية'!$E$11:$E$1010,MATCH($A214,'قيود اليومية'!$O$11:$O$1010,0))&amp;"")</f>
        <v/>
      </c>
      <c r="E214" s="51" t="str">
        <f aca="false">IF($A214="","",INDEX('قيود اليومية'!$F$11:$F$1010,MATCH($A214,'قيود اليومية'!$O$11:$O$1010,0))&amp;"")</f>
        <v/>
      </c>
      <c r="F214" s="85" t="str">
        <f aca="false">IF($A214="","",INDEX('قيود اليومية'!$G$11:$G$1010,MATCH($A214,'قيود اليومية'!$O$11:$O$1010,0)))</f>
        <v/>
      </c>
      <c r="G214" s="85" t="str">
        <f aca="false">IF($A214="","",INDEX('قيود اليومية'!$H$11:$H$1010,MATCH($A214,'قيود اليومية'!$O$11:$O$1010,0)))</f>
        <v/>
      </c>
      <c r="H214" s="63" t="str">
        <f aca="false">IF($A214="","",N(H213)+IF($C$8&lt;&gt;"" ,IF(LEFT($C$8,4)="دائن",G214-F214,F214-G214),0))</f>
        <v/>
      </c>
    </row>
    <row r="215" customFormat="false" ht="15" hidden="false" customHeight="false" outlineLevel="0" collapsed="false">
      <c r="A215" s="82" t="str">
        <f aca="false">IF(ROW()-16&gt;COUNT('قيود اليومية'!$O$11:$O$1010),"",ROW()-16)</f>
        <v/>
      </c>
      <c r="B215" s="83" t="str">
        <f aca="false">IF($A215="","",INDEX('قيود اليومية'!$B$11:$B$1010,MATCH($A215,'قيود اليومية'!$O$11:$O$1010,0)))</f>
        <v/>
      </c>
      <c r="C215" s="84" t="str">
        <f aca="false">IF($A215="","",INDEX('قيود اليومية'!$A$11:$A$1010,MATCH($A215,'قيود اليومية'!$O$11:$O$1010,0)))</f>
        <v/>
      </c>
      <c r="D215" s="51" t="str">
        <f aca="false">IF($A215="","",INDEX('قيود اليومية'!$E$11:$E$1010,MATCH($A215,'قيود اليومية'!$O$11:$O$1010,0))&amp;"")</f>
        <v/>
      </c>
      <c r="E215" s="51" t="str">
        <f aca="false">IF($A215="","",INDEX('قيود اليومية'!$F$11:$F$1010,MATCH($A215,'قيود اليومية'!$O$11:$O$1010,0))&amp;"")</f>
        <v/>
      </c>
      <c r="F215" s="85" t="str">
        <f aca="false">IF($A215="","",INDEX('قيود اليومية'!$G$11:$G$1010,MATCH($A215,'قيود اليومية'!$O$11:$O$1010,0)))</f>
        <v/>
      </c>
      <c r="G215" s="85" t="str">
        <f aca="false">IF($A215="","",INDEX('قيود اليومية'!$H$11:$H$1010,MATCH($A215,'قيود اليومية'!$O$11:$O$1010,0)))</f>
        <v/>
      </c>
      <c r="H215" s="63" t="str">
        <f aca="false">IF($A215="","",N(H214)+IF($C$8&lt;&gt;"" ,IF(LEFT($C$8,4)="دائن",G215-F215,F215-G215),0))</f>
        <v/>
      </c>
    </row>
    <row r="216" customFormat="false" ht="15" hidden="false" customHeight="false" outlineLevel="0" collapsed="false">
      <c r="A216" s="82" t="str">
        <f aca="false">IF(ROW()-16&gt;COUNT('قيود اليومية'!$O$11:$O$1010),"",ROW()-16)</f>
        <v/>
      </c>
      <c r="B216" s="83" t="str">
        <f aca="false">IF($A216="","",INDEX('قيود اليومية'!$B$11:$B$1010,MATCH($A216,'قيود اليومية'!$O$11:$O$1010,0)))</f>
        <v/>
      </c>
      <c r="C216" s="84" t="str">
        <f aca="false">IF($A216="","",INDEX('قيود اليومية'!$A$11:$A$1010,MATCH($A216,'قيود اليومية'!$O$11:$O$1010,0)))</f>
        <v/>
      </c>
      <c r="D216" s="51" t="str">
        <f aca="false">IF($A216="","",INDEX('قيود اليومية'!$E$11:$E$1010,MATCH($A216,'قيود اليومية'!$O$11:$O$1010,0))&amp;"")</f>
        <v/>
      </c>
      <c r="E216" s="51" t="str">
        <f aca="false">IF($A216="","",INDEX('قيود اليومية'!$F$11:$F$1010,MATCH($A216,'قيود اليومية'!$O$11:$O$1010,0))&amp;"")</f>
        <v/>
      </c>
      <c r="F216" s="85" t="str">
        <f aca="false">IF($A216="","",INDEX('قيود اليومية'!$G$11:$G$1010,MATCH($A216,'قيود اليومية'!$O$11:$O$1010,0)))</f>
        <v/>
      </c>
      <c r="G216" s="85" t="str">
        <f aca="false">IF($A216="","",INDEX('قيود اليومية'!$H$11:$H$1010,MATCH($A216,'قيود اليومية'!$O$11:$O$1010,0)))</f>
        <v/>
      </c>
      <c r="H216" s="63" t="str">
        <f aca="false">IF($A216="","",N(H215)+IF($C$8&lt;&gt;"" ,IF(LEFT($C$8,4)="دائن",G216-F216,F216-G216),0))</f>
        <v/>
      </c>
    </row>
    <row r="217" customFormat="false" ht="15" hidden="false" customHeight="false" outlineLevel="0" collapsed="false">
      <c r="A217" s="82" t="str">
        <f aca="false">IF(ROW()-16&gt;COUNT('قيود اليومية'!$O$11:$O$1010),"",ROW()-16)</f>
        <v/>
      </c>
      <c r="B217" s="83" t="str">
        <f aca="false">IF($A217="","",INDEX('قيود اليومية'!$B$11:$B$1010,MATCH($A217,'قيود اليومية'!$O$11:$O$1010,0)))</f>
        <v/>
      </c>
      <c r="C217" s="84" t="str">
        <f aca="false">IF($A217="","",INDEX('قيود اليومية'!$A$11:$A$1010,MATCH($A217,'قيود اليومية'!$O$11:$O$1010,0)))</f>
        <v/>
      </c>
      <c r="D217" s="51" t="str">
        <f aca="false">IF($A217="","",INDEX('قيود اليومية'!$E$11:$E$1010,MATCH($A217,'قيود اليومية'!$O$11:$O$1010,0))&amp;"")</f>
        <v/>
      </c>
      <c r="E217" s="51" t="str">
        <f aca="false">IF($A217="","",INDEX('قيود اليومية'!$F$11:$F$1010,MATCH($A217,'قيود اليومية'!$O$11:$O$1010,0))&amp;"")</f>
        <v/>
      </c>
      <c r="F217" s="85" t="str">
        <f aca="false">IF($A217="","",INDEX('قيود اليومية'!$G$11:$G$1010,MATCH($A217,'قيود اليومية'!$O$11:$O$1010,0)))</f>
        <v/>
      </c>
      <c r="G217" s="85" t="str">
        <f aca="false">IF($A217="","",INDEX('قيود اليومية'!$H$11:$H$1010,MATCH($A217,'قيود اليومية'!$O$11:$O$1010,0)))</f>
        <v/>
      </c>
      <c r="H217" s="63" t="str">
        <f aca="false">IF($A217="","",N(H216)+IF($C$8&lt;&gt;"" ,IF(LEFT($C$8,4)="دائن",G217-F217,F217-G217),0))</f>
        <v/>
      </c>
    </row>
    <row r="218" customFormat="false" ht="15" hidden="false" customHeight="false" outlineLevel="0" collapsed="false">
      <c r="A218" s="82" t="str">
        <f aca="false">IF(ROW()-16&gt;COUNT('قيود اليومية'!$O$11:$O$1010),"",ROW()-16)</f>
        <v/>
      </c>
      <c r="B218" s="83" t="str">
        <f aca="false">IF($A218="","",INDEX('قيود اليومية'!$B$11:$B$1010,MATCH($A218,'قيود اليومية'!$O$11:$O$1010,0)))</f>
        <v/>
      </c>
      <c r="C218" s="84" t="str">
        <f aca="false">IF($A218="","",INDEX('قيود اليومية'!$A$11:$A$1010,MATCH($A218,'قيود اليومية'!$O$11:$O$1010,0)))</f>
        <v/>
      </c>
      <c r="D218" s="51" t="str">
        <f aca="false">IF($A218="","",INDEX('قيود اليومية'!$E$11:$E$1010,MATCH($A218,'قيود اليومية'!$O$11:$O$1010,0))&amp;"")</f>
        <v/>
      </c>
      <c r="E218" s="51" t="str">
        <f aca="false">IF($A218="","",INDEX('قيود اليومية'!$F$11:$F$1010,MATCH($A218,'قيود اليومية'!$O$11:$O$1010,0))&amp;"")</f>
        <v/>
      </c>
      <c r="F218" s="85" t="str">
        <f aca="false">IF($A218="","",INDEX('قيود اليومية'!$G$11:$G$1010,MATCH($A218,'قيود اليومية'!$O$11:$O$1010,0)))</f>
        <v/>
      </c>
      <c r="G218" s="85" t="str">
        <f aca="false">IF($A218="","",INDEX('قيود اليومية'!$H$11:$H$1010,MATCH($A218,'قيود اليومية'!$O$11:$O$1010,0)))</f>
        <v/>
      </c>
      <c r="H218" s="63" t="str">
        <f aca="false">IF($A218="","",N(H217)+IF($C$8&lt;&gt;"" ,IF(LEFT($C$8,4)="دائن",G218-F218,F218-G218),0))</f>
        <v/>
      </c>
    </row>
    <row r="219" customFormat="false" ht="15" hidden="false" customHeight="false" outlineLevel="0" collapsed="false">
      <c r="A219" s="82" t="str">
        <f aca="false">IF(ROW()-16&gt;COUNT('قيود اليومية'!$O$11:$O$1010),"",ROW()-16)</f>
        <v/>
      </c>
      <c r="B219" s="83" t="str">
        <f aca="false">IF($A219="","",INDEX('قيود اليومية'!$B$11:$B$1010,MATCH($A219,'قيود اليومية'!$O$11:$O$1010,0)))</f>
        <v/>
      </c>
      <c r="C219" s="84" t="str">
        <f aca="false">IF($A219="","",INDEX('قيود اليومية'!$A$11:$A$1010,MATCH($A219,'قيود اليومية'!$O$11:$O$1010,0)))</f>
        <v/>
      </c>
      <c r="D219" s="51" t="str">
        <f aca="false">IF($A219="","",INDEX('قيود اليومية'!$E$11:$E$1010,MATCH($A219,'قيود اليومية'!$O$11:$O$1010,0))&amp;"")</f>
        <v/>
      </c>
      <c r="E219" s="51" t="str">
        <f aca="false">IF($A219="","",INDEX('قيود اليومية'!$F$11:$F$1010,MATCH($A219,'قيود اليومية'!$O$11:$O$1010,0))&amp;"")</f>
        <v/>
      </c>
      <c r="F219" s="85" t="str">
        <f aca="false">IF($A219="","",INDEX('قيود اليومية'!$G$11:$G$1010,MATCH($A219,'قيود اليومية'!$O$11:$O$1010,0)))</f>
        <v/>
      </c>
      <c r="G219" s="85" t="str">
        <f aca="false">IF($A219="","",INDEX('قيود اليومية'!$H$11:$H$1010,MATCH($A219,'قيود اليومية'!$O$11:$O$1010,0)))</f>
        <v/>
      </c>
      <c r="H219" s="63" t="str">
        <f aca="false">IF($A219="","",N(H218)+IF($C$8&lt;&gt;"" ,IF(LEFT($C$8,4)="دائن",G219-F219,F219-G219),0))</f>
        <v/>
      </c>
    </row>
    <row r="220" customFormat="false" ht="15" hidden="false" customHeight="false" outlineLevel="0" collapsed="false">
      <c r="A220" s="82" t="str">
        <f aca="false">IF(ROW()-16&gt;COUNT('قيود اليومية'!$O$11:$O$1010),"",ROW()-16)</f>
        <v/>
      </c>
      <c r="B220" s="83" t="str">
        <f aca="false">IF($A220="","",INDEX('قيود اليومية'!$B$11:$B$1010,MATCH($A220,'قيود اليومية'!$O$11:$O$1010,0)))</f>
        <v/>
      </c>
      <c r="C220" s="84" t="str">
        <f aca="false">IF($A220="","",INDEX('قيود اليومية'!$A$11:$A$1010,MATCH($A220,'قيود اليومية'!$O$11:$O$1010,0)))</f>
        <v/>
      </c>
      <c r="D220" s="51" t="str">
        <f aca="false">IF($A220="","",INDEX('قيود اليومية'!$E$11:$E$1010,MATCH($A220,'قيود اليومية'!$O$11:$O$1010,0))&amp;"")</f>
        <v/>
      </c>
      <c r="E220" s="51" t="str">
        <f aca="false">IF($A220="","",INDEX('قيود اليومية'!$F$11:$F$1010,MATCH($A220,'قيود اليومية'!$O$11:$O$1010,0))&amp;"")</f>
        <v/>
      </c>
      <c r="F220" s="85" t="str">
        <f aca="false">IF($A220="","",INDEX('قيود اليومية'!$G$11:$G$1010,MATCH($A220,'قيود اليومية'!$O$11:$O$1010,0)))</f>
        <v/>
      </c>
      <c r="G220" s="85" t="str">
        <f aca="false">IF($A220="","",INDEX('قيود اليومية'!$H$11:$H$1010,MATCH($A220,'قيود اليومية'!$O$11:$O$1010,0)))</f>
        <v/>
      </c>
      <c r="H220" s="63" t="str">
        <f aca="false">IF($A220="","",N(H219)+IF($C$8&lt;&gt;"" ,IF(LEFT($C$8,4)="دائن",G220-F220,F220-G220),0))</f>
        <v/>
      </c>
    </row>
    <row r="221" customFormat="false" ht="15" hidden="false" customHeight="false" outlineLevel="0" collapsed="false">
      <c r="A221" s="82" t="str">
        <f aca="false">IF(ROW()-16&gt;COUNT('قيود اليومية'!$O$11:$O$1010),"",ROW()-16)</f>
        <v/>
      </c>
      <c r="B221" s="83" t="str">
        <f aca="false">IF($A221="","",INDEX('قيود اليومية'!$B$11:$B$1010,MATCH($A221,'قيود اليومية'!$O$11:$O$1010,0)))</f>
        <v/>
      </c>
      <c r="C221" s="84" t="str">
        <f aca="false">IF($A221="","",INDEX('قيود اليومية'!$A$11:$A$1010,MATCH($A221,'قيود اليومية'!$O$11:$O$1010,0)))</f>
        <v/>
      </c>
      <c r="D221" s="51" t="str">
        <f aca="false">IF($A221="","",INDEX('قيود اليومية'!$E$11:$E$1010,MATCH($A221,'قيود اليومية'!$O$11:$O$1010,0))&amp;"")</f>
        <v/>
      </c>
      <c r="E221" s="51" t="str">
        <f aca="false">IF($A221="","",INDEX('قيود اليومية'!$F$11:$F$1010,MATCH($A221,'قيود اليومية'!$O$11:$O$1010,0))&amp;"")</f>
        <v/>
      </c>
      <c r="F221" s="85" t="str">
        <f aca="false">IF($A221="","",INDEX('قيود اليومية'!$G$11:$G$1010,MATCH($A221,'قيود اليومية'!$O$11:$O$1010,0)))</f>
        <v/>
      </c>
      <c r="G221" s="85" t="str">
        <f aca="false">IF($A221="","",INDEX('قيود اليومية'!$H$11:$H$1010,MATCH($A221,'قيود اليومية'!$O$11:$O$1010,0)))</f>
        <v/>
      </c>
      <c r="H221" s="63" t="str">
        <f aca="false">IF($A221="","",N(H220)+IF($C$8&lt;&gt;"" ,IF(LEFT($C$8,4)="دائن",G221-F221,F221-G221),0))</f>
        <v/>
      </c>
    </row>
    <row r="222" customFormat="false" ht="15" hidden="false" customHeight="false" outlineLevel="0" collapsed="false">
      <c r="A222" s="82" t="str">
        <f aca="false">IF(ROW()-16&gt;COUNT('قيود اليومية'!$O$11:$O$1010),"",ROW()-16)</f>
        <v/>
      </c>
      <c r="B222" s="83" t="str">
        <f aca="false">IF($A222="","",INDEX('قيود اليومية'!$B$11:$B$1010,MATCH($A222,'قيود اليومية'!$O$11:$O$1010,0)))</f>
        <v/>
      </c>
      <c r="C222" s="84" t="str">
        <f aca="false">IF($A222="","",INDEX('قيود اليومية'!$A$11:$A$1010,MATCH($A222,'قيود اليومية'!$O$11:$O$1010,0)))</f>
        <v/>
      </c>
      <c r="D222" s="51" t="str">
        <f aca="false">IF($A222="","",INDEX('قيود اليومية'!$E$11:$E$1010,MATCH($A222,'قيود اليومية'!$O$11:$O$1010,0))&amp;"")</f>
        <v/>
      </c>
      <c r="E222" s="51" t="str">
        <f aca="false">IF($A222="","",INDEX('قيود اليومية'!$F$11:$F$1010,MATCH($A222,'قيود اليومية'!$O$11:$O$1010,0))&amp;"")</f>
        <v/>
      </c>
      <c r="F222" s="85" t="str">
        <f aca="false">IF($A222="","",INDEX('قيود اليومية'!$G$11:$G$1010,MATCH($A222,'قيود اليومية'!$O$11:$O$1010,0)))</f>
        <v/>
      </c>
      <c r="G222" s="85" t="str">
        <f aca="false">IF($A222="","",INDEX('قيود اليومية'!$H$11:$H$1010,MATCH($A222,'قيود اليومية'!$O$11:$O$1010,0)))</f>
        <v/>
      </c>
      <c r="H222" s="63" t="str">
        <f aca="false">IF($A222="","",N(H221)+IF($C$8&lt;&gt;"" ,IF(LEFT($C$8,4)="دائن",G222-F222,F222-G222),0))</f>
        <v/>
      </c>
    </row>
    <row r="223" customFormat="false" ht="15" hidden="false" customHeight="false" outlineLevel="0" collapsed="false">
      <c r="A223" s="82" t="str">
        <f aca="false">IF(ROW()-16&gt;COUNT('قيود اليومية'!$O$11:$O$1010),"",ROW()-16)</f>
        <v/>
      </c>
      <c r="B223" s="83" t="str">
        <f aca="false">IF($A223="","",INDEX('قيود اليومية'!$B$11:$B$1010,MATCH($A223,'قيود اليومية'!$O$11:$O$1010,0)))</f>
        <v/>
      </c>
      <c r="C223" s="84" t="str">
        <f aca="false">IF($A223="","",INDEX('قيود اليومية'!$A$11:$A$1010,MATCH($A223,'قيود اليومية'!$O$11:$O$1010,0)))</f>
        <v/>
      </c>
      <c r="D223" s="51" t="str">
        <f aca="false">IF($A223="","",INDEX('قيود اليومية'!$E$11:$E$1010,MATCH($A223,'قيود اليومية'!$O$11:$O$1010,0))&amp;"")</f>
        <v/>
      </c>
      <c r="E223" s="51" t="str">
        <f aca="false">IF($A223="","",INDEX('قيود اليومية'!$F$11:$F$1010,MATCH($A223,'قيود اليومية'!$O$11:$O$1010,0))&amp;"")</f>
        <v/>
      </c>
      <c r="F223" s="85" t="str">
        <f aca="false">IF($A223="","",INDEX('قيود اليومية'!$G$11:$G$1010,MATCH($A223,'قيود اليومية'!$O$11:$O$1010,0)))</f>
        <v/>
      </c>
      <c r="G223" s="85" t="str">
        <f aca="false">IF($A223="","",INDEX('قيود اليومية'!$H$11:$H$1010,MATCH($A223,'قيود اليومية'!$O$11:$O$1010,0)))</f>
        <v/>
      </c>
      <c r="H223" s="63" t="str">
        <f aca="false">IF($A223="","",N(H222)+IF($C$8&lt;&gt;"" ,IF(LEFT($C$8,4)="دائن",G223-F223,F223-G223),0))</f>
        <v/>
      </c>
    </row>
    <row r="224" customFormat="false" ht="15" hidden="false" customHeight="false" outlineLevel="0" collapsed="false">
      <c r="A224" s="82" t="str">
        <f aca="false">IF(ROW()-16&gt;COUNT('قيود اليومية'!$O$11:$O$1010),"",ROW()-16)</f>
        <v/>
      </c>
      <c r="B224" s="83" t="str">
        <f aca="false">IF($A224="","",INDEX('قيود اليومية'!$B$11:$B$1010,MATCH($A224,'قيود اليومية'!$O$11:$O$1010,0)))</f>
        <v/>
      </c>
      <c r="C224" s="84" t="str">
        <f aca="false">IF($A224="","",INDEX('قيود اليومية'!$A$11:$A$1010,MATCH($A224,'قيود اليومية'!$O$11:$O$1010,0)))</f>
        <v/>
      </c>
      <c r="D224" s="51" t="str">
        <f aca="false">IF($A224="","",INDEX('قيود اليومية'!$E$11:$E$1010,MATCH($A224,'قيود اليومية'!$O$11:$O$1010,0))&amp;"")</f>
        <v/>
      </c>
      <c r="E224" s="51" t="str">
        <f aca="false">IF($A224="","",INDEX('قيود اليومية'!$F$11:$F$1010,MATCH($A224,'قيود اليومية'!$O$11:$O$1010,0))&amp;"")</f>
        <v/>
      </c>
      <c r="F224" s="85" t="str">
        <f aca="false">IF($A224="","",INDEX('قيود اليومية'!$G$11:$G$1010,MATCH($A224,'قيود اليومية'!$O$11:$O$1010,0)))</f>
        <v/>
      </c>
      <c r="G224" s="85" t="str">
        <f aca="false">IF($A224="","",INDEX('قيود اليومية'!$H$11:$H$1010,MATCH($A224,'قيود اليومية'!$O$11:$O$1010,0)))</f>
        <v/>
      </c>
      <c r="H224" s="63" t="str">
        <f aca="false">IF($A224="","",N(H223)+IF($C$8&lt;&gt;"" ,IF(LEFT($C$8,4)="دائن",G224-F224,F224-G224),0))</f>
        <v/>
      </c>
    </row>
    <row r="225" customFormat="false" ht="15" hidden="false" customHeight="false" outlineLevel="0" collapsed="false">
      <c r="A225" s="82" t="str">
        <f aca="false">IF(ROW()-16&gt;COUNT('قيود اليومية'!$O$11:$O$1010),"",ROW()-16)</f>
        <v/>
      </c>
      <c r="B225" s="83" t="str">
        <f aca="false">IF($A225="","",INDEX('قيود اليومية'!$B$11:$B$1010,MATCH($A225,'قيود اليومية'!$O$11:$O$1010,0)))</f>
        <v/>
      </c>
      <c r="C225" s="84" t="str">
        <f aca="false">IF($A225="","",INDEX('قيود اليومية'!$A$11:$A$1010,MATCH($A225,'قيود اليومية'!$O$11:$O$1010,0)))</f>
        <v/>
      </c>
      <c r="D225" s="51" t="str">
        <f aca="false">IF($A225="","",INDEX('قيود اليومية'!$E$11:$E$1010,MATCH($A225,'قيود اليومية'!$O$11:$O$1010,0))&amp;"")</f>
        <v/>
      </c>
      <c r="E225" s="51" t="str">
        <f aca="false">IF($A225="","",INDEX('قيود اليومية'!$F$11:$F$1010,MATCH($A225,'قيود اليومية'!$O$11:$O$1010,0))&amp;"")</f>
        <v/>
      </c>
      <c r="F225" s="85" t="str">
        <f aca="false">IF($A225="","",INDEX('قيود اليومية'!$G$11:$G$1010,MATCH($A225,'قيود اليومية'!$O$11:$O$1010,0)))</f>
        <v/>
      </c>
      <c r="G225" s="85" t="str">
        <f aca="false">IF($A225="","",INDEX('قيود اليومية'!$H$11:$H$1010,MATCH($A225,'قيود اليومية'!$O$11:$O$1010,0)))</f>
        <v/>
      </c>
      <c r="H225" s="63" t="str">
        <f aca="false">IF($A225="","",N(H224)+IF($C$8&lt;&gt;"" ,IF(LEFT($C$8,4)="دائن",G225-F225,F225-G225),0))</f>
        <v/>
      </c>
    </row>
    <row r="226" customFormat="false" ht="15" hidden="false" customHeight="false" outlineLevel="0" collapsed="false">
      <c r="A226" s="82" t="str">
        <f aca="false">IF(ROW()-16&gt;COUNT('قيود اليومية'!$O$11:$O$1010),"",ROW()-16)</f>
        <v/>
      </c>
      <c r="B226" s="83" t="str">
        <f aca="false">IF($A226="","",INDEX('قيود اليومية'!$B$11:$B$1010,MATCH($A226,'قيود اليومية'!$O$11:$O$1010,0)))</f>
        <v/>
      </c>
      <c r="C226" s="84" t="str">
        <f aca="false">IF($A226="","",INDEX('قيود اليومية'!$A$11:$A$1010,MATCH($A226,'قيود اليومية'!$O$11:$O$1010,0)))</f>
        <v/>
      </c>
      <c r="D226" s="51" t="str">
        <f aca="false">IF($A226="","",INDEX('قيود اليومية'!$E$11:$E$1010,MATCH($A226,'قيود اليومية'!$O$11:$O$1010,0))&amp;"")</f>
        <v/>
      </c>
      <c r="E226" s="51" t="str">
        <f aca="false">IF($A226="","",INDEX('قيود اليومية'!$F$11:$F$1010,MATCH($A226,'قيود اليومية'!$O$11:$O$1010,0))&amp;"")</f>
        <v/>
      </c>
      <c r="F226" s="85" t="str">
        <f aca="false">IF($A226="","",INDEX('قيود اليومية'!$G$11:$G$1010,MATCH($A226,'قيود اليومية'!$O$11:$O$1010,0)))</f>
        <v/>
      </c>
      <c r="G226" s="85" t="str">
        <f aca="false">IF($A226="","",INDEX('قيود اليومية'!$H$11:$H$1010,MATCH($A226,'قيود اليومية'!$O$11:$O$1010,0)))</f>
        <v/>
      </c>
      <c r="H226" s="63" t="str">
        <f aca="false">IF($A226="","",N(H225)+IF($C$8&lt;&gt;"" ,IF(LEFT($C$8,4)="دائن",G226-F226,F226-G226),0))</f>
        <v/>
      </c>
    </row>
    <row r="227" customFormat="false" ht="15" hidden="false" customHeight="false" outlineLevel="0" collapsed="false">
      <c r="A227" s="82" t="str">
        <f aca="false">IF(ROW()-16&gt;COUNT('قيود اليومية'!$O$11:$O$1010),"",ROW()-16)</f>
        <v/>
      </c>
      <c r="B227" s="83" t="str">
        <f aca="false">IF($A227="","",INDEX('قيود اليومية'!$B$11:$B$1010,MATCH($A227,'قيود اليومية'!$O$11:$O$1010,0)))</f>
        <v/>
      </c>
      <c r="C227" s="84" t="str">
        <f aca="false">IF($A227="","",INDEX('قيود اليومية'!$A$11:$A$1010,MATCH($A227,'قيود اليومية'!$O$11:$O$1010,0)))</f>
        <v/>
      </c>
      <c r="D227" s="51" t="str">
        <f aca="false">IF($A227="","",INDEX('قيود اليومية'!$E$11:$E$1010,MATCH($A227,'قيود اليومية'!$O$11:$O$1010,0))&amp;"")</f>
        <v/>
      </c>
      <c r="E227" s="51" t="str">
        <f aca="false">IF($A227="","",INDEX('قيود اليومية'!$F$11:$F$1010,MATCH($A227,'قيود اليومية'!$O$11:$O$1010,0))&amp;"")</f>
        <v/>
      </c>
      <c r="F227" s="85" t="str">
        <f aca="false">IF($A227="","",INDEX('قيود اليومية'!$G$11:$G$1010,MATCH($A227,'قيود اليومية'!$O$11:$O$1010,0)))</f>
        <v/>
      </c>
      <c r="G227" s="85" t="str">
        <f aca="false">IF($A227="","",INDEX('قيود اليومية'!$H$11:$H$1010,MATCH($A227,'قيود اليومية'!$O$11:$O$1010,0)))</f>
        <v/>
      </c>
      <c r="H227" s="63" t="str">
        <f aca="false">IF($A227="","",N(H226)+IF($C$8&lt;&gt;"" ,IF(LEFT($C$8,4)="دائن",G227-F227,F227-G227),0))</f>
        <v/>
      </c>
    </row>
    <row r="228" customFormat="false" ht="15" hidden="false" customHeight="false" outlineLevel="0" collapsed="false">
      <c r="A228" s="82" t="str">
        <f aca="false">IF(ROW()-16&gt;COUNT('قيود اليومية'!$O$11:$O$1010),"",ROW()-16)</f>
        <v/>
      </c>
      <c r="B228" s="83" t="str">
        <f aca="false">IF($A228="","",INDEX('قيود اليومية'!$B$11:$B$1010,MATCH($A228,'قيود اليومية'!$O$11:$O$1010,0)))</f>
        <v/>
      </c>
      <c r="C228" s="84" t="str">
        <f aca="false">IF($A228="","",INDEX('قيود اليومية'!$A$11:$A$1010,MATCH($A228,'قيود اليومية'!$O$11:$O$1010,0)))</f>
        <v/>
      </c>
      <c r="D228" s="51" t="str">
        <f aca="false">IF($A228="","",INDEX('قيود اليومية'!$E$11:$E$1010,MATCH($A228,'قيود اليومية'!$O$11:$O$1010,0))&amp;"")</f>
        <v/>
      </c>
      <c r="E228" s="51" t="str">
        <f aca="false">IF($A228="","",INDEX('قيود اليومية'!$F$11:$F$1010,MATCH($A228,'قيود اليومية'!$O$11:$O$1010,0))&amp;"")</f>
        <v/>
      </c>
      <c r="F228" s="85" t="str">
        <f aca="false">IF($A228="","",INDEX('قيود اليومية'!$G$11:$G$1010,MATCH($A228,'قيود اليومية'!$O$11:$O$1010,0)))</f>
        <v/>
      </c>
      <c r="G228" s="85" t="str">
        <f aca="false">IF($A228="","",INDEX('قيود اليومية'!$H$11:$H$1010,MATCH($A228,'قيود اليومية'!$O$11:$O$1010,0)))</f>
        <v/>
      </c>
      <c r="H228" s="63" t="str">
        <f aca="false">IF($A228="","",N(H227)+IF($C$8&lt;&gt;"" ,IF(LEFT($C$8,4)="دائن",G228-F228,F228-G228),0))</f>
        <v/>
      </c>
    </row>
    <row r="229" customFormat="false" ht="15" hidden="false" customHeight="false" outlineLevel="0" collapsed="false">
      <c r="A229" s="82" t="str">
        <f aca="false">IF(ROW()-16&gt;COUNT('قيود اليومية'!$O$11:$O$1010),"",ROW()-16)</f>
        <v/>
      </c>
      <c r="B229" s="83" t="str">
        <f aca="false">IF($A229="","",INDEX('قيود اليومية'!$B$11:$B$1010,MATCH($A229,'قيود اليومية'!$O$11:$O$1010,0)))</f>
        <v/>
      </c>
      <c r="C229" s="84" t="str">
        <f aca="false">IF($A229="","",INDEX('قيود اليومية'!$A$11:$A$1010,MATCH($A229,'قيود اليومية'!$O$11:$O$1010,0)))</f>
        <v/>
      </c>
      <c r="D229" s="51" t="str">
        <f aca="false">IF($A229="","",INDEX('قيود اليومية'!$E$11:$E$1010,MATCH($A229,'قيود اليومية'!$O$11:$O$1010,0))&amp;"")</f>
        <v/>
      </c>
      <c r="E229" s="51" t="str">
        <f aca="false">IF($A229="","",INDEX('قيود اليومية'!$F$11:$F$1010,MATCH($A229,'قيود اليومية'!$O$11:$O$1010,0))&amp;"")</f>
        <v/>
      </c>
      <c r="F229" s="85" t="str">
        <f aca="false">IF($A229="","",INDEX('قيود اليومية'!$G$11:$G$1010,MATCH($A229,'قيود اليومية'!$O$11:$O$1010,0)))</f>
        <v/>
      </c>
      <c r="G229" s="85" t="str">
        <f aca="false">IF($A229="","",INDEX('قيود اليومية'!$H$11:$H$1010,MATCH($A229,'قيود اليومية'!$O$11:$O$1010,0)))</f>
        <v/>
      </c>
      <c r="H229" s="63" t="str">
        <f aca="false">IF($A229="","",N(H228)+IF($C$8&lt;&gt;"" ,IF(LEFT($C$8,4)="دائن",G229-F229,F229-G229),0))</f>
        <v/>
      </c>
    </row>
    <row r="230" customFormat="false" ht="15" hidden="false" customHeight="false" outlineLevel="0" collapsed="false">
      <c r="A230" s="82" t="str">
        <f aca="false">IF(ROW()-16&gt;COUNT('قيود اليومية'!$O$11:$O$1010),"",ROW()-16)</f>
        <v/>
      </c>
      <c r="B230" s="83" t="str">
        <f aca="false">IF($A230="","",INDEX('قيود اليومية'!$B$11:$B$1010,MATCH($A230,'قيود اليومية'!$O$11:$O$1010,0)))</f>
        <v/>
      </c>
      <c r="C230" s="84" t="str">
        <f aca="false">IF($A230="","",INDEX('قيود اليومية'!$A$11:$A$1010,MATCH($A230,'قيود اليومية'!$O$11:$O$1010,0)))</f>
        <v/>
      </c>
      <c r="D230" s="51" t="str">
        <f aca="false">IF($A230="","",INDEX('قيود اليومية'!$E$11:$E$1010,MATCH($A230,'قيود اليومية'!$O$11:$O$1010,0))&amp;"")</f>
        <v/>
      </c>
      <c r="E230" s="51" t="str">
        <f aca="false">IF($A230="","",INDEX('قيود اليومية'!$F$11:$F$1010,MATCH($A230,'قيود اليومية'!$O$11:$O$1010,0))&amp;"")</f>
        <v/>
      </c>
      <c r="F230" s="85" t="str">
        <f aca="false">IF($A230="","",INDEX('قيود اليومية'!$G$11:$G$1010,MATCH($A230,'قيود اليومية'!$O$11:$O$1010,0)))</f>
        <v/>
      </c>
      <c r="G230" s="85" t="str">
        <f aca="false">IF($A230="","",INDEX('قيود اليومية'!$H$11:$H$1010,MATCH($A230,'قيود اليومية'!$O$11:$O$1010,0)))</f>
        <v/>
      </c>
      <c r="H230" s="63" t="str">
        <f aca="false">IF($A230="","",N(H229)+IF($C$8&lt;&gt;"" ,IF(LEFT($C$8,4)="دائن",G230-F230,F230-G230),0))</f>
        <v/>
      </c>
    </row>
    <row r="231" customFormat="false" ht="15" hidden="false" customHeight="false" outlineLevel="0" collapsed="false">
      <c r="A231" s="82" t="str">
        <f aca="false">IF(ROW()-16&gt;COUNT('قيود اليومية'!$O$11:$O$1010),"",ROW()-16)</f>
        <v/>
      </c>
      <c r="B231" s="83" t="str">
        <f aca="false">IF($A231="","",INDEX('قيود اليومية'!$B$11:$B$1010,MATCH($A231,'قيود اليومية'!$O$11:$O$1010,0)))</f>
        <v/>
      </c>
      <c r="C231" s="84" t="str">
        <f aca="false">IF($A231="","",INDEX('قيود اليومية'!$A$11:$A$1010,MATCH($A231,'قيود اليومية'!$O$11:$O$1010,0)))</f>
        <v/>
      </c>
      <c r="D231" s="51" t="str">
        <f aca="false">IF($A231="","",INDEX('قيود اليومية'!$E$11:$E$1010,MATCH($A231,'قيود اليومية'!$O$11:$O$1010,0))&amp;"")</f>
        <v/>
      </c>
      <c r="E231" s="51" t="str">
        <f aca="false">IF($A231="","",INDEX('قيود اليومية'!$F$11:$F$1010,MATCH($A231,'قيود اليومية'!$O$11:$O$1010,0))&amp;"")</f>
        <v/>
      </c>
      <c r="F231" s="85" t="str">
        <f aca="false">IF($A231="","",INDEX('قيود اليومية'!$G$11:$G$1010,MATCH($A231,'قيود اليومية'!$O$11:$O$1010,0)))</f>
        <v/>
      </c>
      <c r="G231" s="85" t="str">
        <f aca="false">IF($A231="","",INDEX('قيود اليومية'!$H$11:$H$1010,MATCH($A231,'قيود اليومية'!$O$11:$O$1010,0)))</f>
        <v/>
      </c>
      <c r="H231" s="63" t="str">
        <f aca="false">IF($A231="","",N(H230)+IF($C$8&lt;&gt;"" ,IF(LEFT($C$8,4)="دائن",G231-F231,F231-G231),0))</f>
        <v/>
      </c>
    </row>
    <row r="232" customFormat="false" ht="15" hidden="false" customHeight="false" outlineLevel="0" collapsed="false">
      <c r="A232" s="82" t="str">
        <f aca="false">IF(ROW()-16&gt;COUNT('قيود اليومية'!$O$11:$O$1010),"",ROW()-16)</f>
        <v/>
      </c>
      <c r="B232" s="83" t="str">
        <f aca="false">IF($A232="","",INDEX('قيود اليومية'!$B$11:$B$1010,MATCH($A232,'قيود اليومية'!$O$11:$O$1010,0)))</f>
        <v/>
      </c>
      <c r="C232" s="84" t="str">
        <f aca="false">IF($A232="","",INDEX('قيود اليومية'!$A$11:$A$1010,MATCH($A232,'قيود اليومية'!$O$11:$O$1010,0)))</f>
        <v/>
      </c>
      <c r="D232" s="51" t="str">
        <f aca="false">IF($A232="","",INDEX('قيود اليومية'!$E$11:$E$1010,MATCH($A232,'قيود اليومية'!$O$11:$O$1010,0))&amp;"")</f>
        <v/>
      </c>
      <c r="E232" s="51" t="str">
        <f aca="false">IF($A232="","",INDEX('قيود اليومية'!$F$11:$F$1010,MATCH($A232,'قيود اليومية'!$O$11:$O$1010,0))&amp;"")</f>
        <v/>
      </c>
      <c r="F232" s="85" t="str">
        <f aca="false">IF($A232="","",INDEX('قيود اليومية'!$G$11:$G$1010,MATCH($A232,'قيود اليومية'!$O$11:$O$1010,0)))</f>
        <v/>
      </c>
      <c r="G232" s="85" t="str">
        <f aca="false">IF($A232="","",INDEX('قيود اليومية'!$H$11:$H$1010,MATCH($A232,'قيود اليومية'!$O$11:$O$1010,0)))</f>
        <v/>
      </c>
      <c r="H232" s="63" t="str">
        <f aca="false">IF($A232="","",N(H231)+IF($C$8&lt;&gt;"" ,IF(LEFT($C$8,4)="دائن",G232-F232,F232-G232),0))</f>
        <v/>
      </c>
    </row>
    <row r="233" customFormat="false" ht="15" hidden="false" customHeight="false" outlineLevel="0" collapsed="false">
      <c r="A233" s="82" t="str">
        <f aca="false">IF(ROW()-16&gt;COUNT('قيود اليومية'!$O$11:$O$1010),"",ROW()-16)</f>
        <v/>
      </c>
      <c r="B233" s="83" t="str">
        <f aca="false">IF($A233="","",INDEX('قيود اليومية'!$B$11:$B$1010,MATCH($A233,'قيود اليومية'!$O$11:$O$1010,0)))</f>
        <v/>
      </c>
      <c r="C233" s="84" t="str">
        <f aca="false">IF($A233="","",INDEX('قيود اليومية'!$A$11:$A$1010,MATCH($A233,'قيود اليومية'!$O$11:$O$1010,0)))</f>
        <v/>
      </c>
      <c r="D233" s="51" t="str">
        <f aca="false">IF($A233="","",INDEX('قيود اليومية'!$E$11:$E$1010,MATCH($A233,'قيود اليومية'!$O$11:$O$1010,0))&amp;"")</f>
        <v/>
      </c>
      <c r="E233" s="51" t="str">
        <f aca="false">IF($A233="","",INDEX('قيود اليومية'!$F$11:$F$1010,MATCH($A233,'قيود اليومية'!$O$11:$O$1010,0))&amp;"")</f>
        <v/>
      </c>
      <c r="F233" s="85" t="str">
        <f aca="false">IF($A233="","",INDEX('قيود اليومية'!$G$11:$G$1010,MATCH($A233,'قيود اليومية'!$O$11:$O$1010,0)))</f>
        <v/>
      </c>
      <c r="G233" s="85" t="str">
        <f aca="false">IF($A233="","",INDEX('قيود اليومية'!$H$11:$H$1010,MATCH($A233,'قيود اليومية'!$O$11:$O$1010,0)))</f>
        <v/>
      </c>
      <c r="H233" s="63" t="str">
        <f aca="false">IF($A233="","",N(H232)+IF($C$8&lt;&gt;"" ,IF(LEFT($C$8,4)="دائن",G233-F233,F233-G233),0))</f>
        <v/>
      </c>
    </row>
    <row r="234" customFormat="false" ht="15" hidden="false" customHeight="false" outlineLevel="0" collapsed="false">
      <c r="A234" s="82" t="str">
        <f aca="false">IF(ROW()-16&gt;COUNT('قيود اليومية'!$O$11:$O$1010),"",ROW()-16)</f>
        <v/>
      </c>
      <c r="B234" s="83" t="str">
        <f aca="false">IF($A234="","",INDEX('قيود اليومية'!$B$11:$B$1010,MATCH($A234,'قيود اليومية'!$O$11:$O$1010,0)))</f>
        <v/>
      </c>
      <c r="C234" s="84" t="str">
        <f aca="false">IF($A234="","",INDEX('قيود اليومية'!$A$11:$A$1010,MATCH($A234,'قيود اليومية'!$O$11:$O$1010,0)))</f>
        <v/>
      </c>
      <c r="D234" s="51" t="str">
        <f aca="false">IF($A234="","",INDEX('قيود اليومية'!$E$11:$E$1010,MATCH($A234,'قيود اليومية'!$O$11:$O$1010,0))&amp;"")</f>
        <v/>
      </c>
      <c r="E234" s="51" t="str">
        <f aca="false">IF($A234="","",INDEX('قيود اليومية'!$F$11:$F$1010,MATCH($A234,'قيود اليومية'!$O$11:$O$1010,0))&amp;"")</f>
        <v/>
      </c>
      <c r="F234" s="85" t="str">
        <f aca="false">IF($A234="","",INDEX('قيود اليومية'!$G$11:$G$1010,MATCH($A234,'قيود اليومية'!$O$11:$O$1010,0)))</f>
        <v/>
      </c>
      <c r="G234" s="85" t="str">
        <f aca="false">IF($A234="","",INDEX('قيود اليومية'!$H$11:$H$1010,MATCH($A234,'قيود اليومية'!$O$11:$O$1010,0)))</f>
        <v/>
      </c>
      <c r="H234" s="63" t="str">
        <f aca="false">IF($A234="","",N(H233)+IF($C$8&lt;&gt;"" ,IF(LEFT($C$8,4)="دائن",G234-F234,F234-G234),0))</f>
        <v/>
      </c>
    </row>
    <row r="235" customFormat="false" ht="15" hidden="false" customHeight="false" outlineLevel="0" collapsed="false">
      <c r="A235" s="82" t="str">
        <f aca="false">IF(ROW()-16&gt;COUNT('قيود اليومية'!$O$11:$O$1010),"",ROW()-16)</f>
        <v/>
      </c>
      <c r="B235" s="83" t="str">
        <f aca="false">IF($A235="","",INDEX('قيود اليومية'!$B$11:$B$1010,MATCH($A235,'قيود اليومية'!$O$11:$O$1010,0)))</f>
        <v/>
      </c>
      <c r="C235" s="84" t="str">
        <f aca="false">IF($A235="","",INDEX('قيود اليومية'!$A$11:$A$1010,MATCH($A235,'قيود اليومية'!$O$11:$O$1010,0)))</f>
        <v/>
      </c>
      <c r="D235" s="51" t="str">
        <f aca="false">IF($A235="","",INDEX('قيود اليومية'!$E$11:$E$1010,MATCH($A235,'قيود اليومية'!$O$11:$O$1010,0))&amp;"")</f>
        <v/>
      </c>
      <c r="E235" s="51" t="str">
        <f aca="false">IF($A235="","",INDEX('قيود اليومية'!$F$11:$F$1010,MATCH($A235,'قيود اليومية'!$O$11:$O$1010,0))&amp;"")</f>
        <v/>
      </c>
      <c r="F235" s="85" t="str">
        <f aca="false">IF($A235="","",INDEX('قيود اليومية'!$G$11:$G$1010,MATCH($A235,'قيود اليومية'!$O$11:$O$1010,0)))</f>
        <v/>
      </c>
      <c r="G235" s="85" t="str">
        <f aca="false">IF($A235="","",INDEX('قيود اليومية'!$H$11:$H$1010,MATCH($A235,'قيود اليومية'!$O$11:$O$1010,0)))</f>
        <v/>
      </c>
      <c r="H235" s="63" t="str">
        <f aca="false">IF($A235="","",N(H234)+IF($C$8&lt;&gt;"" ,IF(LEFT($C$8,4)="دائن",G235-F235,F235-G235),0))</f>
        <v/>
      </c>
    </row>
    <row r="236" customFormat="false" ht="15" hidden="false" customHeight="false" outlineLevel="0" collapsed="false">
      <c r="A236" s="82" t="str">
        <f aca="false">IF(ROW()-16&gt;COUNT('قيود اليومية'!$O$11:$O$1010),"",ROW()-16)</f>
        <v/>
      </c>
      <c r="B236" s="83" t="str">
        <f aca="false">IF($A236="","",INDEX('قيود اليومية'!$B$11:$B$1010,MATCH($A236,'قيود اليومية'!$O$11:$O$1010,0)))</f>
        <v/>
      </c>
      <c r="C236" s="84" t="str">
        <f aca="false">IF($A236="","",INDEX('قيود اليومية'!$A$11:$A$1010,MATCH($A236,'قيود اليومية'!$O$11:$O$1010,0)))</f>
        <v/>
      </c>
      <c r="D236" s="51" t="str">
        <f aca="false">IF($A236="","",INDEX('قيود اليومية'!$E$11:$E$1010,MATCH($A236,'قيود اليومية'!$O$11:$O$1010,0))&amp;"")</f>
        <v/>
      </c>
      <c r="E236" s="51" t="str">
        <f aca="false">IF($A236="","",INDEX('قيود اليومية'!$F$11:$F$1010,MATCH($A236,'قيود اليومية'!$O$11:$O$1010,0))&amp;"")</f>
        <v/>
      </c>
      <c r="F236" s="85" t="str">
        <f aca="false">IF($A236="","",INDEX('قيود اليومية'!$G$11:$G$1010,MATCH($A236,'قيود اليومية'!$O$11:$O$1010,0)))</f>
        <v/>
      </c>
      <c r="G236" s="85" t="str">
        <f aca="false">IF($A236="","",INDEX('قيود اليومية'!$H$11:$H$1010,MATCH($A236,'قيود اليومية'!$O$11:$O$1010,0)))</f>
        <v/>
      </c>
      <c r="H236" s="63" t="str">
        <f aca="false">IF($A236="","",N(H235)+IF($C$8&lt;&gt;"" ,IF(LEFT($C$8,4)="دائن",G236-F236,F236-G236),0))</f>
        <v/>
      </c>
    </row>
    <row r="237" customFormat="false" ht="15" hidden="false" customHeight="false" outlineLevel="0" collapsed="false">
      <c r="A237" s="82" t="str">
        <f aca="false">IF(ROW()-16&gt;COUNT('قيود اليومية'!$O$11:$O$1010),"",ROW()-16)</f>
        <v/>
      </c>
      <c r="B237" s="83" t="str">
        <f aca="false">IF($A237="","",INDEX('قيود اليومية'!$B$11:$B$1010,MATCH($A237,'قيود اليومية'!$O$11:$O$1010,0)))</f>
        <v/>
      </c>
      <c r="C237" s="84" t="str">
        <f aca="false">IF($A237="","",INDEX('قيود اليومية'!$A$11:$A$1010,MATCH($A237,'قيود اليومية'!$O$11:$O$1010,0)))</f>
        <v/>
      </c>
      <c r="D237" s="51" t="str">
        <f aca="false">IF($A237="","",INDEX('قيود اليومية'!$E$11:$E$1010,MATCH($A237,'قيود اليومية'!$O$11:$O$1010,0))&amp;"")</f>
        <v/>
      </c>
      <c r="E237" s="51" t="str">
        <f aca="false">IF($A237="","",INDEX('قيود اليومية'!$F$11:$F$1010,MATCH($A237,'قيود اليومية'!$O$11:$O$1010,0))&amp;"")</f>
        <v/>
      </c>
      <c r="F237" s="85" t="str">
        <f aca="false">IF($A237="","",INDEX('قيود اليومية'!$G$11:$G$1010,MATCH($A237,'قيود اليومية'!$O$11:$O$1010,0)))</f>
        <v/>
      </c>
      <c r="G237" s="85" t="str">
        <f aca="false">IF($A237="","",INDEX('قيود اليومية'!$H$11:$H$1010,MATCH($A237,'قيود اليومية'!$O$11:$O$1010,0)))</f>
        <v/>
      </c>
      <c r="H237" s="63" t="str">
        <f aca="false">IF($A237="","",N(H236)+IF($C$8&lt;&gt;"" ,IF(LEFT($C$8,4)="دائن",G237-F237,F237-G237),0))</f>
        <v/>
      </c>
    </row>
    <row r="238" customFormat="false" ht="15" hidden="false" customHeight="false" outlineLevel="0" collapsed="false">
      <c r="A238" s="82" t="str">
        <f aca="false">IF(ROW()-16&gt;COUNT('قيود اليومية'!$O$11:$O$1010),"",ROW()-16)</f>
        <v/>
      </c>
      <c r="B238" s="83" t="str">
        <f aca="false">IF($A238="","",INDEX('قيود اليومية'!$B$11:$B$1010,MATCH($A238,'قيود اليومية'!$O$11:$O$1010,0)))</f>
        <v/>
      </c>
      <c r="C238" s="84" t="str">
        <f aca="false">IF($A238="","",INDEX('قيود اليومية'!$A$11:$A$1010,MATCH($A238,'قيود اليومية'!$O$11:$O$1010,0)))</f>
        <v/>
      </c>
      <c r="D238" s="51" t="str">
        <f aca="false">IF($A238="","",INDEX('قيود اليومية'!$E$11:$E$1010,MATCH($A238,'قيود اليومية'!$O$11:$O$1010,0))&amp;"")</f>
        <v/>
      </c>
      <c r="E238" s="51" t="str">
        <f aca="false">IF($A238="","",INDEX('قيود اليومية'!$F$11:$F$1010,MATCH($A238,'قيود اليومية'!$O$11:$O$1010,0))&amp;"")</f>
        <v/>
      </c>
      <c r="F238" s="85" t="str">
        <f aca="false">IF($A238="","",INDEX('قيود اليومية'!$G$11:$G$1010,MATCH($A238,'قيود اليومية'!$O$11:$O$1010,0)))</f>
        <v/>
      </c>
      <c r="G238" s="85" t="str">
        <f aca="false">IF($A238="","",INDEX('قيود اليومية'!$H$11:$H$1010,MATCH($A238,'قيود اليومية'!$O$11:$O$1010,0)))</f>
        <v/>
      </c>
      <c r="H238" s="63" t="str">
        <f aca="false">IF($A238="","",N(H237)+IF($C$8&lt;&gt;"" ,IF(LEFT($C$8,4)="دائن",G238-F238,F238-G238),0))</f>
        <v/>
      </c>
    </row>
    <row r="239" customFormat="false" ht="15" hidden="false" customHeight="false" outlineLevel="0" collapsed="false">
      <c r="A239" s="82" t="str">
        <f aca="false">IF(ROW()-16&gt;COUNT('قيود اليومية'!$O$11:$O$1010),"",ROW()-16)</f>
        <v/>
      </c>
      <c r="B239" s="83" t="str">
        <f aca="false">IF($A239="","",INDEX('قيود اليومية'!$B$11:$B$1010,MATCH($A239,'قيود اليومية'!$O$11:$O$1010,0)))</f>
        <v/>
      </c>
      <c r="C239" s="84" t="str">
        <f aca="false">IF($A239="","",INDEX('قيود اليومية'!$A$11:$A$1010,MATCH($A239,'قيود اليومية'!$O$11:$O$1010,0)))</f>
        <v/>
      </c>
      <c r="D239" s="51" t="str">
        <f aca="false">IF($A239="","",INDEX('قيود اليومية'!$E$11:$E$1010,MATCH($A239,'قيود اليومية'!$O$11:$O$1010,0))&amp;"")</f>
        <v/>
      </c>
      <c r="E239" s="51" t="str">
        <f aca="false">IF($A239="","",INDEX('قيود اليومية'!$F$11:$F$1010,MATCH($A239,'قيود اليومية'!$O$11:$O$1010,0))&amp;"")</f>
        <v/>
      </c>
      <c r="F239" s="85" t="str">
        <f aca="false">IF($A239="","",INDEX('قيود اليومية'!$G$11:$G$1010,MATCH($A239,'قيود اليومية'!$O$11:$O$1010,0)))</f>
        <v/>
      </c>
      <c r="G239" s="85" t="str">
        <f aca="false">IF($A239="","",INDEX('قيود اليومية'!$H$11:$H$1010,MATCH($A239,'قيود اليومية'!$O$11:$O$1010,0)))</f>
        <v/>
      </c>
      <c r="H239" s="63" t="str">
        <f aca="false">IF($A239="","",N(H238)+IF($C$8&lt;&gt;"" ,IF(LEFT($C$8,4)="دائن",G239-F239,F239-G239),0))</f>
        <v/>
      </c>
    </row>
    <row r="240" customFormat="false" ht="15" hidden="false" customHeight="false" outlineLevel="0" collapsed="false">
      <c r="A240" s="82" t="str">
        <f aca="false">IF(ROW()-16&gt;COUNT('قيود اليومية'!$O$11:$O$1010),"",ROW()-16)</f>
        <v/>
      </c>
      <c r="B240" s="83" t="str">
        <f aca="false">IF($A240="","",INDEX('قيود اليومية'!$B$11:$B$1010,MATCH($A240,'قيود اليومية'!$O$11:$O$1010,0)))</f>
        <v/>
      </c>
      <c r="C240" s="84" t="str">
        <f aca="false">IF($A240="","",INDEX('قيود اليومية'!$A$11:$A$1010,MATCH($A240,'قيود اليومية'!$O$11:$O$1010,0)))</f>
        <v/>
      </c>
      <c r="D240" s="51" t="str">
        <f aca="false">IF($A240="","",INDEX('قيود اليومية'!$E$11:$E$1010,MATCH($A240,'قيود اليومية'!$O$11:$O$1010,0))&amp;"")</f>
        <v/>
      </c>
      <c r="E240" s="51" t="str">
        <f aca="false">IF($A240="","",INDEX('قيود اليومية'!$F$11:$F$1010,MATCH($A240,'قيود اليومية'!$O$11:$O$1010,0))&amp;"")</f>
        <v/>
      </c>
      <c r="F240" s="85" t="str">
        <f aca="false">IF($A240="","",INDEX('قيود اليومية'!$G$11:$G$1010,MATCH($A240,'قيود اليومية'!$O$11:$O$1010,0)))</f>
        <v/>
      </c>
      <c r="G240" s="85" t="str">
        <f aca="false">IF($A240="","",INDEX('قيود اليومية'!$H$11:$H$1010,MATCH($A240,'قيود اليومية'!$O$11:$O$1010,0)))</f>
        <v/>
      </c>
      <c r="H240" s="63" t="str">
        <f aca="false">IF($A240="","",N(H239)+IF($C$8&lt;&gt;"" ,IF(LEFT($C$8,4)="دائن",G240-F240,F240-G240),0))</f>
        <v/>
      </c>
    </row>
    <row r="241" customFormat="false" ht="15" hidden="false" customHeight="false" outlineLevel="0" collapsed="false">
      <c r="A241" s="82" t="str">
        <f aca="false">IF(ROW()-16&gt;COUNT('قيود اليومية'!$O$11:$O$1010),"",ROW()-16)</f>
        <v/>
      </c>
      <c r="B241" s="83" t="str">
        <f aca="false">IF($A241="","",INDEX('قيود اليومية'!$B$11:$B$1010,MATCH($A241,'قيود اليومية'!$O$11:$O$1010,0)))</f>
        <v/>
      </c>
      <c r="C241" s="84" t="str">
        <f aca="false">IF($A241="","",INDEX('قيود اليومية'!$A$11:$A$1010,MATCH($A241,'قيود اليومية'!$O$11:$O$1010,0)))</f>
        <v/>
      </c>
      <c r="D241" s="51" t="str">
        <f aca="false">IF($A241="","",INDEX('قيود اليومية'!$E$11:$E$1010,MATCH($A241,'قيود اليومية'!$O$11:$O$1010,0))&amp;"")</f>
        <v/>
      </c>
      <c r="E241" s="51" t="str">
        <f aca="false">IF($A241="","",INDEX('قيود اليومية'!$F$11:$F$1010,MATCH($A241,'قيود اليومية'!$O$11:$O$1010,0))&amp;"")</f>
        <v/>
      </c>
      <c r="F241" s="85" t="str">
        <f aca="false">IF($A241="","",INDEX('قيود اليومية'!$G$11:$G$1010,MATCH($A241,'قيود اليومية'!$O$11:$O$1010,0)))</f>
        <v/>
      </c>
      <c r="G241" s="85" t="str">
        <f aca="false">IF($A241="","",INDEX('قيود اليومية'!$H$11:$H$1010,MATCH($A241,'قيود اليومية'!$O$11:$O$1010,0)))</f>
        <v/>
      </c>
      <c r="H241" s="63" t="str">
        <f aca="false">IF($A241="","",N(H240)+IF($C$8&lt;&gt;"" ,IF(LEFT($C$8,4)="دائن",G241-F241,F241-G241),0))</f>
        <v/>
      </c>
    </row>
    <row r="242" customFormat="false" ht="15" hidden="false" customHeight="false" outlineLevel="0" collapsed="false">
      <c r="A242" s="82" t="str">
        <f aca="false">IF(ROW()-16&gt;COUNT('قيود اليومية'!$O$11:$O$1010),"",ROW()-16)</f>
        <v/>
      </c>
      <c r="B242" s="83" t="str">
        <f aca="false">IF($A242="","",INDEX('قيود اليومية'!$B$11:$B$1010,MATCH($A242,'قيود اليومية'!$O$11:$O$1010,0)))</f>
        <v/>
      </c>
      <c r="C242" s="84" t="str">
        <f aca="false">IF($A242="","",INDEX('قيود اليومية'!$A$11:$A$1010,MATCH($A242,'قيود اليومية'!$O$11:$O$1010,0)))</f>
        <v/>
      </c>
      <c r="D242" s="51" t="str">
        <f aca="false">IF($A242="","",INDEX('قيود اليومية'!$E$11:$E$1010,MATCH($A242,'قيود اليومية'!$O$11:$O$1010,0))&amp;"")</f>
        <v/>
      </c>
      <c r="E242" s="51" t="str">
        <f aca="false">IF($A242="","",INDEX('قيود اليومية'!$F$11:$F$1010,MATCH($A242,'قيود اليومية'!$O$11:$O$1010,0))&amp;"")</f>
        <v/>
      </c>
      <c r="F242" s="85" t="str">
        <f aca="false">IF($A242="","",INDEX('قيود اليومية'!$G$11:$G$1010,MATCH($A242,'قيود اليومية'!$O$11:$O$1010,0)))</f>
        <v/>
      </c>
      <c r="G242" s="85" t="str">
        <f aca="false">IF($A242="","",INDEX('قيود اليومية'!$H$11:$H$1010,MATCH($A242,'قيود اليومية'!$O$11:$O$1010,0)))</f>
        <v/>
      </c>
      <c r="H242" s="63" t="str">
        <f aca="false">IF($A242="","",N(H241)+IF($C$8&lt;&gt;"" ,IF(LEFT($C$8,4)="دائن",G242-F242,F242-G242),0))</f>
        <v/>
      </c>
    </row>
    <row r="243" customFormat="false" ht="15" hidden="false" customHeight="false" outlineLevel="0" collapsed="false">
      <c r="A243" s="82" t="str">
        <f aca="false">IF(ROW()-16&gt;COUNT('قيود اليومية'!$O$11:$O$1010),"",ROW()-16)</f>
        <v/>
      </c>
      <c r="B243" s="83" t="str">
        <f aca="false">IF($A243="","",INDEX('قيود اليومية'!$B$11:$B$1010,MATCH($A243,'قيود اليومية'!$O$11:$O$1010,0)))</f>
        <v/>
      </c>
      <c r="C243" s="84" t="str">
        <f aca="false">IF($A243="","",INDEX('قيود اليومية'!$A$11:$A$1010,MATCH($A243,'قيود اليومية'!$O$11:$O$1010,0)))</f>
        <v/>
      </c>
      <c r="D243" s="51" t="str">
        <f aca="false">IF($A243="","",INDEX('قيود اليومية'!$E$11:$E$1010,MATCH($A243,'قيود اليومية'!$O$11:$O$1010,0))&amp;"")</f>
        <v/>
      </c>
      <c r="E243" s="51" t="str">
        <f aca="false">IF($A243="","",INDEX('قيود اليومية'!$F$11:$F$1010,MATCH($A243,'قيود اليومية'!$O$11:$O$1010,0))&amp;"")</f>
        <v/>
      </c>
      <c r="F243" s="85" t="str">
        <f aca="false">IF($A243="","",INDEX('قيود اليومية'!$G$11:$G$1010,MATCH($A243,'قيود اليومية'!$O$11:$O$1010,0)))</f>
        <v/>
      </c>
      <c r="G243" s="85" t="str">
        <f aca="false">IF($A243="","",INDEX('قيود اليومية'!$H$11:$H$1010,MATCH($A243,'قيود اليومية'!$O$11:$O$1010,0)))</f>
        <v/>
      </c>
      <c r="H243" s="63" t="str">
        <f aca="false">IF($A243="","",N(H242)+IF($C$8&lt;&gt;"" ,IF(LEFT($C$8,4)="دائن",G243-F243,F243-G243),0))</f>
        <v/>
      </c>
    </row>
    <row r="244" customFormat="false" ht="15" hidden="false" customHeight="false" outlineLevel="0" collapsed="false">
      <c r="A244" s="82" t="str">
        <f aca="false">IF(ROW()-16&gt;COUNT('قيود اليومية'!$O$11:$O$1010),"",ROW()-16)</f>
        <v/>
      </c>
      <c r="B244" s="83" t="str">
        <f aca="false">IF($A244="","",INDEX('قيود اليومية'!$B$11:$B$1010,MATCH($A244,'قيود اليومية'!$O$11:$O$1010,0)))</f>
        <v/>
      </c>
      <c r="C244" s="84" t="str">
        <f aca="false">IF($A244="","",INDEX('قيود اليومية'!$A$11:$A$1010,MATCH($A244,'قيود اليومية'!$O$11:$O$1010,0)))</f>
        <v/>
      </c>
      <c r="D244" s="51" t="str">
        <f aca="false">IF($A244="","",INDEX('قيود اليومية'!$E$11:$E$1010,MATCH($A244,'قيود اليومية'!$O$11:$O$1010,0))&amp;"")</f>
        <v/>
      </c>
      <c r="E244" s="51" t="str">
        <f aca="false">IF($A244="","",INDEX('قيود اليومية'!$F$11:$F$1010,MATCH($A244,'قيود اليومية'!$O$11:$O$1010,0))&amp;"")</f>
        <v/>
      </c>
      <c r="F244" s="85" t="str">
        <f aca="false">IF($A244="","",INDEX('قيود اليومية'!$G$11:$G$1010,MATCH($A244,'قيود اليومية'!$O$11:$O$1010,0)))</f>
        <v/>
      </c>
      <c r="G244" s="85" t="str">
        <f aca="false">IF($A244="","",INDEX('قيود اليومية'!$H$11:$H$1010,MATCH($A244,'قيود اليومية'!$O$11:$O$1010,0)))</f>
        <v/>
      </c>
      <c r="H244" s="63" t="str">
        <f aca="false">IF($A244="","",N(H243)+IF($C$8&lt;&gt;"" ,IF(LEFT($C$8,4)="دائن",G244-F244,F244-G244),0))</f>
        <v/>
      </c>
    </row>
    <row r="245" customFormat="false" ht="15" hidden="false" customHeight="false" outlineLevel="0" collapsed="false">
      <c r="A245" s="82" t="str">
        <f aca="false">IF(ROW()-16&gt;COUNT('قيود اليومية'!$O$11:$O$1010),"",ROW()-16)</f>
        <v/>
      </c>
      <c r="B245" s="83" t="str">
        <f aca="false">IF($A245="","",INDEX('قيود اليومية'!$B$11:$B$1010,MATCH($A245,'قيود اليومية'!$O$11:$O$1010,0)))</f>
        <v/>
      </c>
      <c r="C245" s="84" t="str">
        <f aca="false">IF($A245="","",INDEX('قيود اليومية'!$A$11:$A$1010,MATCH($A245,'قيود اليومية'!$O$11:$O$1010,0)))</f>
        <v/>
      </c>
      <c r="D245" s="51" t="str">
        <f aca="false">IF($A245="","",INDEX('قيود اليومية'!$E$11:$E$1010,MATCH($A245,'قيود اليومية'!$O$11:$O$1010,0))&amp;"")</f>
        <v/>
      </c>
      <c r="E245" s="51" t="str">
        <f aca="false">IF($A245="","",INDEX('قيود اليومية'!$F$11:$F$1010,MATCH($A245,'قيود اليومية'!$O$11:$O$1010,0))&amp;"")</f>
        <v/>
      </c>
      <c r="F245" s="85" t="str">
        <f aca="false">IF($A245="","",INDEX('قيود اليومية'!$G$11:$G$1010,MATCH($A245,'قيود اليومية'!$O$11:$O$1010,0)))</f>
        <v/>
      </c>
      <c r="G245" s="85" t="str">
        <f aca="false">IF($A245="","",INDEX('قيود اليومية'!$H$11:$H$1010,MATCH($A245,'قيود اليومية'!$O$11:$O$1010,0)))</f>
        <v/>
      </c>
      <c r="H245" s="63" t="str">
        <f aca="false">IF($A245="","",N(H244)+IF($C$8&lt;&gt;"" ,IF(LEFT($C$8,4)="دائن",G245-F245,F245-G245),0))</f>
        <v/>
      </c>
    </row>
    <row r="246" customFormat="false" ht="15" hidden="false" customHeight="false" outlineLevel="0" collapsed="false">
      <c r="A246" s="82" t="str">
        <f aca="false">IF(ROW()-16&gt;COUNT('قيود اليومية'!$O$11:$O$1010),"",ROW()-16)</f>
        <v/>
      </c>
      <c r="B246" s="83" t="str">
        <f aca="false">IF($A246="","",INDEX('قيود اليومية'!$B$11:$B$1010,MATCH($A246,'قيود اليومية'!$O$11:$O$1010,0)))</f>
        <v/>
      </c>
      <c r="C246" s="84" t="str">
        <f aca="false">IF($A246="","",INDEX('قيود اليومية'!$A$11:$A$1010,MATCH($A246,'قيود اليومية'!$O$11:$O$1010,0)))</f>
        <v/>
      </c>
      <c r="D246" s="51" t="str">
        <f aca="false">IF($A246="","",INDEX('قيود اليومية'!$E$11:$E$1010,MATCH($A246,'قيود اليومية'!$O$11:$O$1010,0))&amp;"")</f>
        <v/>
      </c>
      <c r="E246" s="51" t="str">
        <f aca="false">IF($A246="","",INDEX('قيود اليومية'!$F$11:$F$1010,MATCH($A246,'قيود اليومية'!$O$11:$O$1010,0))&amp;"")</f>
        <v/>
      </c>
      <c r="F246" s="85" t="str">
        <f aca="false">IF($A246="","",INDEX('قيود اليومية'!$G$11:$G$1010,MATCH($A246,'قيود اليومية'!$O$11:$O$1010,0)))</f>
        <v/>
      </c>
      <c r="G246" s="85" t="str">
        <f aca="false">IF($A246="","",INDEX('قيود اليومية'!$H$11:$H$1010,MATCH($A246,'قيود اليومية'!$O$11:$O$1010,0)))</f>
        <v/>
      </c>
      <c r="H246" s="63" t="str">
        <f aca="false">IF($A246="","",N(H245)+IF($C$8&lt;&gt;"" ,IF(LEFT($C$8,4)="دائن",G246-F246,F246-G246),0))</f>
        <v/>
      </c>
    </row>
    <row r="247" customFormat="false" ht="15" hidden="false" customHeight="false" outlineLevel="0" collapsed="false">
      <c r="A247" s="82" t="str">
        <f aca="false">IF(ROW()-16&gt;COUNT('قيود اليومية'!$O$11:$O$1010),"",ROW()-16)</f>
        <v/>
      </c>
      <c r="B247" s="83" t="str">
        <f aca="false">IF($A247="","",INDEX('قيود اليومية'!$B$11:$B$1010,MATCH($A247,'قيود اليومية'!$O$11:$O$1010,0)))</f>
        <v/>
      </c>
      <c r="C247" s="84" t="str">
        <f aca="false">IF($A247="","",INDEX('قيود اليومية'!$A$11:$A$1010,MATCH($A247,'قيود اليومية'!$O$11:$O$1010,0)))</f>
        <v/>
      </c>
      <c r="D247" s="51" t="str">
        <f aca="false">IF($A247="","",INDEX('قيود اليومية'!$E$11:$E$1010,MATCH($A247,'قيود اليومية'!$O$11:$O$1010,0))&amp;"")</f>
        <v/>
      </c>
      <c r="E247" s="51" t="str">
        <f aca="false">IF($A247="","",INDEX('قيود اليومية'!$F$11:$F$1010,MATCH($A247,'قيود اليومية'!$O$11:$O$1010,0))&amp;"")</f>
        <v/>
      </c>
      <c r="F247" s="85" t="str">
        <f aca="false">IF($A247="","",INDEX('قيود اليومية'!$G$11:$G$1010,MATCH($A247,'قيود اليومية'!$O$11:$O$1010,0)))</f>
        <v/>
      </c>
      <c r="G247" s="85" t="str">
        <f aca="false">IF($A247="","",INDEX('قيود اليومية'!$H$11:$H$1010,MATCH($A247,'قيود اليومية'!$O$11:$O$1010,0)))</f>
        <v/>
      </c>
      <c r="H247" s="63" t="str">
        <f aca="false">IF($A247="","",N(H246)+IF($C$8&lt;&gt;"" ,IF(LEFT($C$8,4)="دائن",G247-F247,F247-G247),0))</f>
        <v/>
      </c>
    </row>
    <row r="248" customFormat="false" ht="15" hidden="false" customHeight="false" outlineLevel="0" collapsed="false">
      <c r="A248" s="82" t="str">
        <f aca="false">IF(ROW()-16&gt;COUNT('قيود اليومية'!$O$11:$O$1010),"",ROW()-16)</f>
        <v/>
      </c>
      <c r="B248" s="83" t="str">
        <f aca="false">IF($A248="","",INDEX('قيود اليومية'!$B$11:$B$1010,MATCH($A248,'قيود اليومية'!$O$11:$O$1010,0)))</f>
        <v/>
      </c>
      <c r="C248" s="84" t="str">
        <f aca="false">IF($A248="","",INDEX('قيود اليومية'!$A$11:$A$1010,MATCH($A248,'قيود اليومية'!$O$11:$O$1010,0)))</f>
        <v/>
      </c>
      <c r="D248" s="51" t="str">
        <f aca="false">IF($A248="","",INDEX('قيود اليومية'!$E$11:$E$1010,MATCH($A248,'قيود اليومية'!$O$11:$O$1010,0))&amp;"")</f>
        <v/>
      </c>
      <c r="E248" s="51" t="str">
        <f aca="false">IF($A248="","",INDEX('قيود اليومية'!$F$11:$F$1010,MATCH($A248,'قيود اليومية'!$O$11:$O$1010,0))&amp;"")</f>
        <v/>
      </c>
      <c r="F248" s="85" t="str">
        <f aca="false">IF($A248="","",INDEX('قيود اليومية'!$G$11:$G$1010,MATCH($A248,'قيود اليومية'!$O$11:$O$1010,0)))</f>
        <v/>
      </c>
      <c r="G248" s="85" t="str">
        <f aca="false">IF($A248="","",INDEX('قيود اليومية'!$H$11:$H$1010,MATCH($A248,'قيود اليومية'!$O$11:$O$1010,0)))</f>
        <v/>
      </c>
      <c r="H248" s="63" t="str">
        <f aca="false">IF($A248="","",N(H247)+IF($C$8&lt;&gt;"" ,IF(LEFT($C$8,4)="دائن",G248-F248,F248-G248),0))</f>
        <v/>
      </c>
    </row>
    <row r="249" customFormat="false" ht="15" hidden="false" customHeight="false" outlineLevel="0" collapsed="false">
      <c r="A249" s="82" t="str">
        <f aca="false">IF(ROW()-16&gt;COUNT('قيود اليومية'!$O$11:$O$1010),"",ROW()-16)</f>
        <v/>
      </c>
      <c r="B249" s="83" t="str">
        <f aca="false">IF($A249="","",INDEX('قيود اليومية'!$B$11:$B$1010,MATCH($A249,'قيود اليومية'!$O$11:$O$1010,0)))</f>
        <v/>
      </c>
      <c r="C249" s="84" t="str">
        <f aca="false">IF($A249="","",INDEX('قيود اليومية'!$A$11:$A$1010,MATCH($A249,'قيود اليومية'!$O$11:$O$1010,0)))</f>
        <v/>
      </c>
      <c r="D249" s="51" t="str">
        <f aca="false">IF($A249="","",INDEX('قيود اليومية'!$E$11:$E$1010,MATCH($A249,'قيود اليومية'!$O$11:$O$1010,0))&amp;"")</f>
        <v/>
      </c>
      <c r="E249" s="51" t="str">
        <f aca="false">IF($A249="","",INDEX('قيود اليومية'!$F$11:$F$1010,MATCH($A249,'قيود اليومية'!$O$11:$O$1010,0))&amp;"")</f>
        <v/>
      </c>
      <c r="F249" s="85" t="str">
        <f aca="false">IF($A249="","",INDEX('قيود اليومية'!$G$11:$G$1010,MATCH($A249,'قيود اليومية'!$O$11:$O$1010,0)))</f>
        <v/>
      </c>
      <c r="G249" s="85" t="str">
        <f aca="false">IF($A249="","",INDEX('قيود اليومية'!$H$11:$H$1010,MATCH($A249,'قيود اليومية'!$O$11:$O$1010,0)))</f>
        <v/>
      </c>
      <c r="H249" s="63" t="str">
        <f aca="false">IF($A249="","",N(H248)+IF($C$8&lt;&gt;"" ,IF(LEFT($C$8,4)="دائن",G249-F249,F249-G249),0))</f>
        <v/>
      </c>
    </row>
    <row r="250" customFormat="false" ht="15" hidden="false" customHeight="false" outlineLevel="0" collapsed="false">
      <c r="A250" s="82" t="str">
        <f aca="false">IF(ROW()-16&gt;COUNT('قيود اليومية'!$O$11:$O$1010),"",ROW()-16)</f>
        <v/>
      </c>
      <c r="B250" s="83" t="str">
        <f aca="false">IF($A250="","",INDEX('قيود اليومية'!$B$11:$B$1010,MATCH($A250,'قيود اليومية'!$O$11:$O$1010,0)))</f>
        <v/>
      </c>
      <c r="C250" s="84" t="str">
        <f aca="false">IF($A250="","",INDEX('قيود اليومية'!$A$11:$A$1010,MATCH($A250,'قيود اليومية'!$O$11:$O$1010,0)))</f>
        <v/>
      </c>
      <c r="D250" s="51" t="str">
        <f aca="false">IF($A250="","",INDEX('قيود اليومية'!$E$11:$E$1010,MATCH($A250,'قيود اليومية'!$O$11:$O$1010,0))&amp;"")</f>
        <v/>
      </c>
      <c r="E250" s="51" t="str">
        <f aca="false">IF($A250="","",INDEX('قيود اليومية'!$F$11:$F$1010,MATCH($A250,'قيود اليومية'!$O$11:$O$1010,0))&amp;"")</f>
        <v/>
      </c>
      <c r="F250" s="85" t="str">
        <f aca="false">IF($A250="","",INDEX('قيود اليومية'!$G$11:$G$1010,MATCH($A250,'قيود اليومية'!$O$11:$O$1010,0)))</f>
        <v/>
      </c>
      <c r="G250" s="85" t="str">
        <f aca="false">IF($A250="","",INDEX('قيود اليومية'!$H$11:$H$1010,MATCH($A250,'قيود اليومية'!$O$11:$O$1010,0)))</f>
        <v/>
      </c>
      <c r="H250" s="63" t="str">
        <f aca="false">IF($A250="","",N(H249)+IF($C$8&lt;&gt;"" ,IF(LEFT($C$8,4)="دائن",G250-F250,F250-G250),0))</f>
        <v/>
      </c>
    </row>
    <row r="251" customFormat="false" ht="15" hidden="false" customHeight="false" outlineLevel="0" collapsed="false">
      <c r="A251" s="82" t="str">
        <f aca="false">IF(ROW()-16&gt;COUNT('قيود اليومية'!$O$11:$O$1010),"",ROW()-16)</f>
        <v/>
      </c>
      <c r="B251" s="83" t="str">
        <f aca="false">IF($A251="","",INDEX('قيود اليومية'!$B$11:$B$1010,MATCH($A251,'قيود اليومية'!$O$11:$O$1010,0)))</f>
        <v/>
      </c>
      <c r="C251" s="84" t="str">
        <f aca="false">IF($A251="","",INDEX('قيود اليومية'!$A$11:$A$1010,MATCH($A251,'قيود اليومية'!$O$11:$O$1010,0)))</f>
        <v/>
      </c>
      <c r="D251" s="51" t="str">
        <f aca="false">IF($A251="","",INDEX('قيود اليومية'!$E$11:$E$1010,MATCH($A251,'قيود اليومية'!$O$11:$O$1010,0))&amp;"")</f>
        <v/>
      </c>
      <c r="E251" s="51" t="str">
        <f aca="false">IF($A251="","",INDEX('قيود اليومية'!$F$11:$F$1010,MATCH($A251,'قيود اليومية'!$O$11:$O$1010,0))&amp;"")</f>
        <v/>
      </c>
      <c r="F251" s="85" t="str">
        <f aca="false">IF($A251="","",INDEX('قيود اليومية'!$G$11:$G$1010,MATCH($A251,'قيود اليومية'!$O$11:$O$1010,0)))</f>
        <v/>
      </c>
      <c r="G251" s="85" t="str">
        <f aca="false">IF($A251="","",INDEX('قيود اليومية'!$H$11:$H$1010,MATCH($A251,'قيود اليومية'!$O$11:$O$1010,0)))</f>
        <v/>
      </c>
      <c r="H251" s="63" t="str">
        <f aca="false">IF($A251="","",N(H250)+IF($C$8&lt;&gt;"" ,IF(LEFT($C$8,4)="دائن",G251-F251,F251-G251),0))</f>
        <v/>
      </c>
    </row>
    <row r="252" customFormat="false" ht="15" hidden="false" customHeight="false" outlineLevel="0" collapsed="false">
      <c r="A252" s="82" t="str">
        <f aca="false">IF(ROW()-16&gt;COUNT('قيود اليومية'!$O$11:$O$1010),"",ROW()-16)</f>
        <v/>
      </c>
      <c r="B252" s="83" t="str">
        <f aca="false">IF($A252="","",INDEX('قيود اليومية'!$B$11:$B$1010,MATCH($A252,'قيود اليومية'!$O$11:$O$1010,0)))</f>
        <v/>
      </c>
      <c r="C252" s="84" t="str">
        <f aca="false">IF($A252="","",INDEX('قيود اليومية'!$A$11:$A$1010,MATCH($A252,'قيود اليومية'!$O$11:$O$1010,0)))</f>
        <v/>
      </c>
      <c r="D252" s="51" t="str">
        <f aca="false">IF($A252="","",INDEX('قيود اليومية'!$E$11:$E$1010,MATCH($A252,'قيود اليومية'!$O$11:$O$1010,0))&amp;"")</f>
        <v/>
      </c>
      <c r="E252" s="51" t="str">
        <f aca="false">IF($A252="","",INDEX('قيود اليومية'!$F$11:$F$1010,MATCH($A252,'قيود اليومية'!$O$11:$O$1010,0))&amp;"")</f>
        <v/>
      </c>
      <c r="F252" s="85" t="str">
        <f aca="false">IF($A252="","",INDEX('قيود اليومية'!$G$11:$G$1010,MATCH($A252,'قيود اليومية'!$O$11:$O$1010,0)))</f>
        <v/>
      </c>
      <c r="G252" s="85" t="str">
        <f aca="false">IF($A252="","",INDEX('قيود اليومية'!$H$11:$H$1010,MATCH($A252,'قيود اليومية'!$O$11:$O$1010,0)))</f>
        <v/>
      </c>
      <c r="H252" s="63" t="str">
        <f aca="false">IF($A252="","",N(H251)+IF($C$8&lt;&gt;"" ,IF(LEFT($C$8,4)="دائن",G252-F252,F252-G252),0))</f>
        <v/>
      </c>
    </row>
    <row r="253" customFormat="false" ht="15" hidden="false" customHeight="false" outlineLevel="0" collapsed="false">
      <c r="A253" s="82" t="str">
        <f aca="false">IF(ROW()-16&gt;COUNT('قيود اليومية'!$O$11:$O$1010),"",ROW()-16)</f>
        <v/>
      </c>
      <c r="B253" s="83" t="str">
        <f aca="false">IF($A253="","",INDEX('قيود اليومية'!$B$11:$B$1010,MATCH($A253,'قيود اليومية'!$O$11:$O$1010,0)))</f>
        <v/>
      </c>
      <c r="C253" s="84" t="str">
        <f aca="false">IF($A253="","",INDEX('قيود اليومية'!$A$11:$A$1010,MATCH($A253,'قيود اليومية'!$O$11:$O$1010,0)))</f>
        <v/>
      </c>
      <c r="D253" s="51" t="str">
        <f aca="false">IF($A253="","",INDEX('قيود اليومية'!$E$11:$E$1010,MATCH($A253,'قيود اليومية'!$O$11:$O$1010,0))&amp;"")</f>
        <v/>
      </c>
      <c r="E253" s="51" t="str">
        <f aca="false">IF($A253="","",INDEX('قيود اليومية'!$F$11:$F$1010,MATCH($A253,'قيود اليومية'!$O$11:$O$1010,0))&amp;"")</f>
        <v/>
      </c>
      <c r="F253" s="85" t="str">
        <f aca="false">IF($A253="","",INDEX('قيود اليومية'!$G$11:$G$1010,MATCH($A253,'قيود اليومية'!$O$11:$O$1010,0)))</f>
        <v/>
      </c>
      <c r="G253" s="85" t="str">
        <f aca="false">IF($A253="","",INDEX('قيود اليومية'!$H$11:$H$1010,MATCH($A253,'قيود اليومية'!$O$11:$O$1010,0)))</f>
        <v/>
      </c>
      <c r="H253" s="63" t="str">
        <f aca="false">IF($A253="","",N(H252)+IF($C$8&lt;&gt;"" ,IF(LEFT($C$8,4)="دائن",G253-F253,F253-G253),0))</f>
        <v/>
      </c>
    </row>
    <row r="254" customFormat="false" ht="15" hidden="false" customHeight="false" outlineLevel="0" collapsed="false">
      <c r="A254" s="82" t="str">
        <f aca="false">IF(ROW()-16&gt;COUNT('قيود اليومية'!$O$11:$O$1010),"",ROW()-16)</f>
        <v/>
      </c>
      <c r="B254" s="83" t="str">
        <f aca="false">IF($A254="","",INDEX('قيود اليومية'!$B$11:$B$1010,MATCH($A254,'قيود اليومية'!$O$11:$O$1010,0)))</f>
        <v/>
      </c>
      <c r="C254" s="84" t="str">
        <f aca="false">IF($A254="","",INDEX('قيود اليومية'!$A$11:$A$1010,MATCH($A254,'قيود اليومية'!$O$11:$O$1010,0)))</f>
        <v/>
      </c>
      <c r="D254" s="51" t="str">
        <f aca="false">IF($A254="","",INDEX('قيود اليومية'!$E$11:$E$1010,MATCH($A254,'قيود اليومية'!$O$11:$O$1010,0))&amp;"")</f>
        <v/>
      </c>
      <c r="E254" s="51" t="str">
        <f aca="false">IF($A254="","",INDEX('قيود اليومية'!$F$11:$F$1010,MATCH($A254,'قيود اليومية'!$O$11:$O$1010,0))&amp;"")</f>
        <v/>
      </c>
      <c r="F254" s="85" t="str">
        <f aca="false">IF($A254="","",INDEX('قيود اليومية'!$G$11:$G$1010,MATCH($A254,'قيود اليومية'!$O$11:$O$1010,0)))</f>
        <v/>
      </c>
      <c r="G254" s="85" t="str">
        <f aca="false">IF($A254="","",INDEX('قيود اليومية'!$H$11:$H$1010,MATCH($A254,'قيود اليومية'!$O$11:$O$1010,0)))</f>
        <v/>
      </c>
      <c r="H254" s="63" t="str">
        <f aca="false">IF($A254="","",N(H253)+IF($C$8&lt;&gt;"" ,IF(LEFT($C$8,4)="دائن",G254-F254,F254-G254),0))</f>
        <v/>
      </c>
    </row>
    <row r="255" customFormat="false" ht="15" hidden="false" customHeight="false" outlineLevel="0" collapsed="false">
      <c r="A255" s="82" t="str">
        <f aca="false">IF(ROW()-16&gt;COUNT('قيود اليومية'!$O$11:$O$1010),"",ROW()-16)</f>
        <v/>
      </c>
      <c r="B255" s="83" t="str">
        <f aca="false">IF($A255="","",INDEX('قيود اليومية'!$B$11:$B$1010,MATCH($A255,'قيود اليومية'!$O$11:$O$1010,0)))</f>
        <v/>
      </c>
      <c r="C255" s="84" t="str">
        <f aca="false">IF($A255="","",INDEX('قيود اليومية'!$A$11:$A$1010,MATCH($A255,'قيود اليومية'!$O$11:$O$1010,0)))</f>
        <v/>
      </c>
      <c r="D255" s="51" t="str">
        <f aca="false">IF($A255="","",INDEX('قيود اليومية'!$E$11:$E$1010,MATCH($A255,'قيود اليومية'!$O$11:$O$1010,0))&amp;"")</f>
        <v/>
      </c>
      <c r="E255" s="51" t="str">
        <f aca="false">IF($A255="","",INDEX('قيود اليومية'!$F$11:$F$1010,MATCH($A255,'قيود اليومية'!$O$11:$O$1010,0))&amp;"")</f>
        <v/>
      </c>
      <c r="F255" s="85" t="str">
        <f aca="false">IF($A255="","",INDEX('قيود اليومية'!$G$11:$G$1010,MATCH($A255,'قيود اليومية'!$O$11:$O$1010,0)))</f>
        <v/>
      </c>
      <c r="G255" s="85" t="str">
        <f aca="false">IF($A255="","",INDEX('قيود اليومية'!$H$11:$H$1010,MATCH($A255,'قيود اليومية'!$O$11:$O$1010,0)))</f>
        <v/>
      </c>
      <c r="H255" s="63" t="str">
        <f aca="false">IF($A255="","",N(H254)+IF($C$8&lt;&gt;"" ,IF(LEFT($C$8,4)="دائن",G255-F255,F255-G255),0))</f>
        <v/>
      </c>
    </row>
    <row r="256" customFormat="false" ht="15" hidden="false" customHeight="false" outlineLevel="0" collapsed="false">
      <c r="A256" s="82" t="str">
        <f aca="false">IF(ROW()-16&gt;COUNT('قيود اليومية'!$O$11:$O$1010),"",ROW()-16)</f>
        <v/>
      </c>
      <c r="B256" s="83" t="str">
        <f aca="false">IF($A256="","",INDEX('قيود اليومية'!$B$11:$B$1010,MATCH($A256,'قيود اليومية'!$O$11:$O$1010,0)))</f>
        <v/>
      </c>
      <c r="C256" s="84" t="str">
        <f aca="false">IF($A256="","",INDEX('قيود اليومية'!$A$11:$A$1010,MATCH($A256,'قيود اليومية'!$O$11:$O$1010,0)))</f>
        <v/>
      </c>
      <c r="D256" s="51" t="str">
        <f aca="false">IF($A256="","",INDEX('قيود اليومية'!$E$11:$E$1010,MATCH($A256,'قيود اليومية'!$O$11:$O$1010,0))&amp;"")</f>
        <v/>
      </c>
      <c r="E256" s="51" t="str">
        <f aca="false">IF($A256="","",INDEX('قيود اليومية'!$F$11:$F$1010,MATCH($A256,'قيود اليومية'!$O$11:$O$1010,0))&amp;"")</f>
        <v/>
      </c>
      <c r="F256" s="85" t="str">
        <f aca="false">IF($A256="","",INDEX('قيود اليومية'!$G$11:$G$1010,MATCH($A256,'قيود اليومية'!$O$11:$O$1010,0)))</f>
        <v/>
      </c>
      <c r="G256" s="85" t="str">
        <f aca="false">IF($A256="","",INDEX('قيود اليومية'!$H$11:$H$1010,MATCH($A256,'قيود اليومية'!$O$11:$O$1010,0)))</f>
        <v/>
      </c>
      <c r="H256" s="63" t="str">
        <f aca="false">IF($A256="","",N(H255)+IF($C$8&lt;&gt;"" ,IF(LEFT($C$8,4)="دائن",G256-F256,F256-G256),0))</f>
        <v/>
      </c>
    </row>
    <row r="257" customFormat="false" ht="15" hidden="false" customHeight="false" outlineLevel="0" collapsed="false">
      <c r="A257" s="82" t="str">
        <f aca="false">IF(ROW()-16&gt;COUNT('قيود اليومية'!$O$11:$O$1010),"",ROW()-16)</f>
        <v/>
      </c>
      <c r="B257" s="83" t="str">
        <f aca="false">IF($A257="","",INDEX('قيود اليومية'!$B$11:$B$1010,MATCH($A257,'قيود اليومية'!$O$11:$O$1010,0)))</f>
        <v/>
      </c>
      <c r="C257" s="84" t="str">
        <f aca="false">IF($A257="","",INDEX('قيود اليومية'!$A$11:$A$1010,MATCH($A257,'قيود اليومية'!$O$11:$O$1010,0)))</f>
        <v/>
      </c>
      <c r="D257" s="51" t="str">
        <f aca="false">IF($A257="","",INDEX('قيود اليومية'!$E$11:$E$1010,MATCH($A257,'قيود اليومية'!$O$11:$O$1010,0))&amp;"")</f>
        <v/>
      </c>
      <c r="E257" s="51" t="str">
        <f aca="false">IF($A257="","",INDEX('قيود اليومية'!$F$11:$F$1010,MATCH($A257,'قيود اليومية'!$O$11:$O$1010,0))&amp;"")</f>
        <v/>
      </c>
      <c r="F257" s="85" t="str">
        <f aca="false">IF($A257="","",INDEX('قيود اليومية'!$G$11:$G$1010,MATCH($A257,'قيود اليومية'!$O$11:$O$1010,0)))</f>
        <v/>
      </c>
      <c r="G257" s="85" t="str">
        <f aca="false">IF($A257="","",INDEX('قيود اليومية'!$H$11:$H$1010,MATCH($A257,'قيود اليومية'!$O$11:$O$1010,0)))</f>
        <v/>
      </c>
      <c r="H257" s="63" t="str">
        <f aca="false">IF($A257="","",N(H256)+IF($C$8&lt;&gt;"" ,IF(LEFT($C$8,4)="دائن",G257-F257,F257-G257),0))</f>
        <v/>
      </c>
    </row>
    <row r="258" customFormat="false" ht="15" hidden="false" customHeight="false" outlineLevel="0" collapsed="false">
      <c r="A258" s="82" t="str">
        <f aca="false">IF(ROW()-16&gt;COUNT('قيود اليومية'!$O$11:$O$1010),"",ROW()-16)</f>
        <v/>
      </c>
      <c r="B258" s="83" t="str">
        <f aca="false">IF($A258="","",INDEX('قيود اليومية'!$B$11:$B$1010,MATCH($A258,'قيود اليومية'!$O$11:$O$1010,0)))</f>
        <v/>
      </c>
      <c r="C258" s="84" t="str">
        <f aca="false">IF($A258="","",INDEX('قيود اليومية'!$A$11:$A$1010,MATCH($A258,'قيود اليومية'!$O$11:$O$1010,0)))</f>
        <v/>
      </c>
      <c r="D258" s="51" t="str">
        <f aca="false">IF($A258="","",INDEX('قيود اليومية'!$E$11:$E$1010,MATCH($A258,'قيود اليومية'!$O$11:$O$1010,0))&amp;"")</f>
        <v/>
      </c>
      <c r="E258" s="51" t="str">
        <f aca="false">IF($A258="","",INDEX('قيود اليومية'!$F$11:$F$1010,MATCH($A258,'قيود اليومية'!$O$11:$O$1010,0))&amp;"")</f>
        <v/>
      </c>
      <c r="F258" s="85" t="str">
        <f aca="false">IF($A258="","",INDEX('قيود اليومية'!$G$11:$G$1010,MATCH($A258,'قيود اليومية'!$O$11:$O$1010,0)))</f>
        <v/>
      </c>
      <c r="G258" s="85" t="str">
        <f aca="false">IF($A258="","",INDEX('قيود اليومية'!$H$11:$H$1010,MATCH($A258,'قيود اليومية'!$O$11:$O$1010,0)))</f>
        <v/>
      </c>
      <c r="H258" s="63" t="str">
        <f aca="false">IF($A258="","",N(H257)+IF($C$8&lt;&gt;"" ,IF(LEFT($C$8,4)="دائن",G258-F258,F258-G258),0))</f>
        <v/>
      </c>
    </row>
    <row r="259" customFormat="false" ht="15" hidden="false" customHeight="false" outlineLevel="0" collapsed="false">
      <c r="A259" s="82" t="str">
        <f aca="false">IF(ROW()-16&gt;COUNT('قيود اليومية'!$O$11:$O$1010),"",ROW()-16)</f>
        <v/>
      </c>
      <c r="B259" s="83" t="str">
        <f aca="false">IF($A259="","",INDEX('قيود اليومية'!$B$11:$B$1010,MATCH($A259,'قيود اليومية'!$O$11:$O$1010,0)))</f>
        <v/>
      </c>
      <c r="C259" s="84" t="str">
        <f aca="false">IF($A259="","",INDEX('قيود اليومية'!$A$11:$A$1010,MATCH($A259,'قيود اليومية'!$O$11:$O$1010,0)))</f>
        <v/>
      </c>
      <c r="D259" s="51" t="str">
        <f aca="false">IF($A259="","",INDEX('قيود اليومية'!$E$11:$E$1010,MATCH($A259,'قيود اليومية'!$O$11:$O$1010,0))&amp;"")</f>
        <v/>
      </c>
      <c r="E259" s="51" t="str">
        <f aca="false">IF($A259="","",INDEX('قيود اليومية'!$F$11:$F$1010,MATCH($A259,'قيود اليومية'!$O$11:$O$1010,0))&amp;"")</f>
        <v/>
      </c>
      <c r="F259" s="85" t="str">
        <f aca="false">IF($A259="","",INDEX('قيود اليومية'!$G$11:$G$1010,MATCH($A259,'قيود اليومية'!$O$11:$O$1010,0)))</f>
        <v/>
      </c>
      <c r="G259" s="85" t="str">
        <f aca="false">IF($A259="","",INDEX('قيود اليومية'!$H$11:$H$1010,MATCH($A259,'قيود اليومية'!$O$11:$O$1010,0)))</f>
        <v/>
      </c>
      <c r="H259" s="63" t="str">
        <f aca="false">IF($A259="","",N(H258)+IF($C$8&lt;&gt;"" ,IF(LEFT($C$8,4)="دائن",G259-F259,F259-G259),0))</f>
        <v/>
      </c>
    </row>
    <row r="260" customFormat="false" ht="15" hidden="false" customHeight="false" outlineLevel="0" collapsed="false">
      <c r="A260" s="82" t="str">
        <f aca="false">IF(ROW()-16&gt;COUNT('قيود اليومية'!$O$11:$O$1010),"",ROW()-16)</f>
        <v/>
      </c>
      <c r="B260" s="83" t="str">
        <f aca="false">IF($A260="","",INDEX('قيود اليومية'!$B$11:$B$1010,MATCH($A260,'قيود اليومية'!$O$11:$O$1010,0)))</f>
        <v/>
      </c>
      <c r="C260" s="84" t="str">
        <f aca="false">IF($A260="","",INDEX('قيود اليومية'!$A$11:$A$1010,MATCH($A260,'قيود اليومية'!$O$11:$O$1010,0)))</f>
        <v/>
      </c>
      <c r="D260" s="51" t="str">
        <f aca="false">IF($A260="","",INDEX('قيود اليومية'!$E$11:$E$1010,MATCH($A260,'قيود اليومية'!$O$11:$O$1010,0))&amp;"")</f>
        <v/>
      </c>
      <c r="E260" s="51" t="str">
        <f aca="false">IF($A260="","",INDEX('قيود اليومية'!$F$11:$F$1010,MATCH($A260,'قيود اليومية'!$O$11:$O$1010,0))&amp;"")</f>
        <v/>
      </c>
      <c r="F260" s="85" t="str">
        <f aca="false">IF($A260="","",INDEX('قيود اليومية'!$G$11:$G$1010,MATCH($A260,'قيود اليومية'!$O$11:$O$1010,0)))</f>
        <v/>
      </c>
      <c r="G260" s="85" t="str">
        <f aca="false">IF($A260="","",INDEX('قيود اليومية'!$H$11:$H$1010,MATCH($A260,'قيود اليومية'!$O$11:$O$1010,0)))</f>
        <v/>
      </c>
      <c r="H260" s="63" t="str">
        <f aca="false">IF($A260="","",N(H259)+IF($C$8&lt;&gt;"" ,IF(LEFT($C$8,4)="دائن",G260-F260,F260-G260),0))</f>
        <v/>
      </c>
    </row>
    <row r="261" customFormat="false" ht="15" hidden="false" customHeight="false" outlineLevel="0" collapsed="false">
      <c r="A261" s="82" t="str">
        <f aca="false">IF(ROW()-16&gt;COUNT('قيود اليومية'!$O$11:$O$1010),"",ROW()-16)</f>
        <v/>
      </c>
      <c r="B261" s="83" t="str">
        <f aca="false">IF($A261="","",INDEX('قيود اليومية'!$B$11:$B$1010,MATCH($A261,'قيود اليومية'!$O$11:$O$1010,0)))</f>
        <v/>
      </c>
      <c r="C261" s="84" t="str">
        <f aca="false">IF($A261="","",INDEX('قيود اليومية'!$A$11:$A$1010,MATCH($A261,'قيود اليومية'!$O$11:$O$1010,0)))</f>
        <v/>
      </c>
      <c r="D261" s="51" t="str">
        <f aca="false">IF($A261="","",INDEX('قيود اليومية'!$E$11:$E$1010,MATCH($A261,'قيود اليومية'!$O$11:$O$1010,0))&amp;"")</f>
        <v/>
      </c>
      <c r="E261" s="51" t="str">
        <f aca="false">IF($A261="","",INDEX('قيود اليومية'!$F$11:$F$1010,MATCH($A261,'قيود اليومية'!$O$11:$O$1010,0))&amp;"")</f>
        <v/>
      </c>
      <c r="F261" s="85" t="str">
        <f aca="false">IF($A261="","",INDEX('قيود اليومية'!$G$11:$G$1010,MATCH($A261,'قيود اليومية'!$O$11:$O$1010,0)))</f>
        <v/>
      </c>
      <c r="G261" s="85" t="str">
        <f aca="false">IF($A261="","",INDEX('قيود اليومية'!$H$11:$H$1010,MATCH($A261,'قيود اليومية'!$O$11:$O$1010,0)))</f>
        <v/>
      </c>
      <c r="H261" s="63" t="str">
        <f aca="false">IF($A261="","",N(H260)+IF($C$8&lt;&gt;"" ,IF(LEFT($C$8,4)="دائن",G261-F261,F261-G261),0))</f>
        <v/>
      </c>
    </row>
    <row r="262" customFormat="false" ht="15" hidden="false" customHeight="false" outlineLevel="0" collapsed="false">
      <c r="A262" s="82" t="str">
        <f aca="false">IF(ROW()-16&gt;COUNT('قيود اليومية'!$O$11:$O$1010),"",ROW()-16)</f>
        <v/>
      </c>
      <c r="B262" s="83" t="str">
        <f aca="false">IF($A262="","",INDEX('قيود اليومية'!$B$11:$B$1010,MATCH($A262,'قيود اليومية'!$O$11:$O$1010,0)))</f>
        <v/>
      </c>
      <c r="C262" s="84" t="str">
        <f aca="false">IF($A262="","",INDEX('قيود اليومية'!$A$11:$A$1010,MATCH($A262,'قيود اليومية'!$O$11:$O$1010,0)))</f>
        <v/>
      </c>
      <c r="D262" s="51" t="str">
        <f aca="false">IF($A262="","",INDEX('قيود اليومية'!$E$11:$E$1010,MATCH($A262,'قيود اليومية'!$O$11:$O$1010,0))&amp;"")</f>
        <v/>
      </c>
      <c r="E262" s="51" t="str">
        <f aca="false">IF($A262="","",INDEX('قيود اليومية'!$F$11:$F$1010,MATCH($A262,'قيود اليومية'!$O$11:$O$1010,0))&amp;"")</f>
        <v/>
      </c>
      <c r="F262" s="85" t="str">
        <f aca="false">IF($A262="","",INDEX('قيود اليومية'!$G$11:$G$1010,MATCH($A262,'قيود اليومية'!$O$11:$O$1010,0)))</f>
        <v/>
      </c>
      <c r="G262" s="85" t="str">
        <f aca="false">IF($A262="","",INDEX('قيود اليومية'!$H$11:$H$1010,MATCH($A262,'قيود اليومية'!$O$11:$O$1010,0)))</f>
        <v/>
      </c>
      <c r="H262" s="63" t="str">
        <f aca="false">IF($A262="","",N(H261)+IF($C$8&lt;&gt;"" ,IF(LEFT($C$8,4)="دائن",G262-F262,F262-G262),0))</f>
        <v/>
      </c>
    </row>
    <row r="263" customFormat="false" ht="15" hidden="false" customHeight="false" outlineLevel="0" collapsed="false">
      <c r="A263" s="82" t="str">
        <f aca="false">IF(ROW()-16&gt;COUNT('قيود اليومية'!$O$11:$O$1010),"",ROW()-16)</f>
        <v/>
      </c>
      <c r="B263" s="83" t="str">
        <f aca="false">IF($A263="","",INDEX('قيود اليومية'!$B$11:$B$1010,MATCH($A263,'قيود اليومية'!$O$11:$O$1010,0)))</f>
        <v/>
      </c>
      <c r="C263" s="84" t="str">
        <f aca="false">IF($A263="","",INDEX('قيود اليومية'!$A$11:$A$1010,MATCH($A263,'قيود اليومية'!$O$11:$O$1010,0)))</f>
        <v/>
      </c>
      <c r="D263" s="51" t="str">
        <f aca="false">IF($A263="","",INDEX('قيود اليومية'!$E$11:$E$1010,MATCH($A263,'قيود اليومية'!$O$11:$O$1010,0))&amp;"")</f>
        <v/>
      </c>
      <c r="E263" s="51" t="str">
        <f aca="false">IF($A263="","",INDEX('قيود اليومية'!$F$11:$F$1010,MATCH($A263,'قيود اليومية'!$O$11:$O$1010,0))&amp;"")</f>
        <v/>
      </c>
      <c r="F263" s="85" t="str">
        <f aca="false">IF($A263="","",INDEX('قيود اليومية'!$G$11:$G$1010,MATCH($A263,'قيود اليومية'!$O$11:$O$1010,0)))</f>
        <v/>
      </c>
      <c r="G263" s="85" t="str">
        <f aca="false">IF($A263="","",INDEX('قيود اليومية'!$H$11:$H$1010,MATCH($A263,'قيود اليومية'!$O$11:$O$1010,0)))</f>
        <v/>
      </c>
      <c r="H263" s="63" t="str">
        <f aca="false">IF($A263="","",N(H262)+IF($C$8&lt;&gt;"" ,IF(LEFT($C$8,4)="دائن",G263-F263,F263-G263),0))</f>
        <v/>
      </c>
    </row>
    <row r="264" customFormat="false" ht="15" hidden="false" customHeight="false" outlineLevel="0" collapsed="false">
      <c r="A264" s="82" t="str">
        <f aca="false">IF(ROW()-16&gt;COUNT('قيود اليومية'!$O$11:$O$1010),"",ROW()-16)</f>
        <v/>
      </c>
      <c r="B264" s="83" t="str">
        <f aca="false">IF($A264="","",INDEX('قيود اليومية'!$B$11:$B$1010,MATCH($A264,'قيود اليومية'!$O$11:$O$1010,0)))</f>
        <v/>
      </c>
      <c r="C264" s="84" t="str">
        <f aca="false">IF($A264="","",INDEX('قيود اليومية'!$A$11:$A$1010,MATCH($A264,'قيود اليومية'!$O$11:$O$1010,0)))</f>
        <v/>
      </c>
      <c r="D264" s="51" t="str">
        <f aca="false">IF($A264="","",INDEX('قيود اليومية'!$E$11:$E$1010,MATCH($A264,'قيود اليومية'!$O$11:$O$1010,0))&amp;"")</f>
        <v/>
      </c>
      <c r="E264" s="51" t="str">
        <f aca="false">IF($A264="","",INDEX('قيود اليومية'!$F$11:$F$1010,MATCH($A264,'قيود اليومية'!$O$11:$O$1010,0))&amp;"")</f>
        <v/>
      </c>
      <c r="F264" s="85" t="str">
        <f aca="false">IF($A264="","",INDEX('قيود اليومية'!$G$11:$G$1010,MATCH($A264,'قيود اليومية'!$O$11:$O$1010,0)))</f>
        <v/>
      </c>
      <c r="G264" s="85" t="str">
        <f aca="false">IF($A264="","",INDEX('قيود اليومية'!$H$11:$H$1010,MATCH($A264,'قيود اليومية'!$O$11:$O$1010,0)))</f>
        <v/>
      </c>
      <c r="H264" s="63" t="str">
        <f aca="false">IF($A264="","",N(H263)+IF($C$8&lt;&gt;"" ,IF(LEFT($C$8,4)="دائن",G264-F264,F264-G264),0))</f>
        <v/>
      </c>
    </row>
    <row r="265" customFormat="false" ht="15" hidden="false" customHeight="false" outlineLevel="0" collapsed="false">
      <c r="A265" s="82" t="str">
        <f aca="false">IF(ROW()-16&gt;COUNT('قيود اليومية'!$O$11:$O$1010),"",ROW()-16)</f>
        <v/>
      </c>
      <c r="B265" s="83" t="str">
        <f aca="false">IF($A265="","",INDEX('قيود اليومية'!$B$11:$B$1010,MATCH($A265,'قيود اليومية'!$O$11:$O$1010,0)))</f>
        <v/>
      </c>
      <c r="C265" s="84" t="str">
        <f aca="false">IF($A265="","",INDEX('قيود اليومية'!$A$11:$A$1010,MATCH($A265,'قيود اليومية'!$O$11:$O$1010,0)))</f>
        <v/>
      </c>
      <c r="D265" s="51" t="str">
        <f aca="false">IF($A265="","",INDEX('قيود اليومية'!$E$11:$E$1010,MATCH($A265,'قيود اليومية'!$O$11:$O$1010,0))&amp;"")</f>
        <v/>
      </c>
      <c r="E265" s="51" t="str">
        <f aca="false">IF($A265="","",INDEX('قيود اليومية'!$F$11:$F$1010,MATCH($A265,'قيود اليومية'!$O$11:$O$1010,0))&amp;"")</f>
        <v/>
      </c>
      <c r="F265" s="85" t="str">
        <f aca="false">IF($A265="","",INDEX('قيود اليومية'!$G$11:$G$1010,MATCH($A265,'قيود اليومية'!$O$11:$O$1010,0)))</f>
        <v/>
      </c>
      <c r="G265" s="85" t="str">
        <f aca="false">IF($A265="","",INDEX('قيود اليومية'!$H$11:$H$1010,MATCH($A265,'قيود اليومية'!$O$11:$O$1010,0)))</f>
        <v/>
      </c>
      <c r="H265" s="63" t="str">
        <f aca="false">IF($A265="","",N(H264)+IF($C$8&lt;&gt;"" ,IF(LEFT($C$8,4)="دائن",G265-F265,F265-G265),0))</f>
        <v/>
      </c>
    </row>
    <row r="266" customFormat="false" ht="15" hidden="false" customHeight="false" outlineLevel="0" collapsed="false">
      <c r="A266" s="82" t="str">
        <f aca="false">IF(ROW()-16&gt;COUNT('قيود اليومية'!$O$11:$O$1010),"",ROW()-16)</f>
        <v/>
      </c>
      <c r="B266" s="83" t="str">
        <f aca="false">IF($A266="","",INDEX('قيود اليومية'!$B$11:$B$1010,MATCH($A266,'قيود اليومية'!$O$11:$O$1010,0)))</f>
        <v/>
      </c>
      <c r="C266" s="84" t="str">
        <f aca="false">IF($A266="","",INDEX('قيود اليومية'!$A$11:$A$1010,MATCH($A266,'قيود اليومية'!$O$11:$O$1010,0)))</f>
        <v/>
      </c>
      <c r="D266" s="51" t="str">
        <f aca="false">IF($A266="","",INDEX('قيود اليومية'!$E$11:$E$1010,MATCH($A266,'قيود اليومية'!$O$11:$O$1010,0))&amp;"")</f>
        <v/>
      </c>
      <c r="E266" s="51" t="str">
        <f aca="false">IF($A266="","",INDEX('قيود اليومية'!$F$11:$F$1010,MATCH($A266,'قيود اليومية'!$O$11:$O$1010,0))&amp;"")</f>
        <v/>
      </c>
      <c r="F266" s="85" t="str">
        <f aca="false">IF($A266="","",INDEX('قيود اليومية'!$G$11:$G$1010,MATCH($A266,'قيود اليومية'!$O$11:$O$1010,0)))</f>
        <v/>
      </c>
      <c r="G266" s="85" t="str">
        <f aca="false">IF($A266="","",INDEX('قيود اليومية'!$H$11:$H$1010,MATCH($A266,'قيود اليومية'!$O$11:$O$1010,0)))</f>
        <v/>
      </c>
      <c r="H266" s="63" t="str">
        <f aca="false">IF($A266="","",N(H265)+IF($C$8&lt;&gt;"" ,IF(LEFT($C$8,4)="دائن",G266-F266,F266-G266),0))</f>
        <v/>
      </c>
    </row>
    <row r="267" customFormat="false" ht="15" hidden="false" customHeight="false" outlineLevel="0" collapsed="false">
      <c r="A267" s="82" t="str">
        <f aca="false">IF(ROW()-16&gt;COUNT('قيود اليومية'!$O$11:$O$1010),"",ROW()-16)</f>
        <v/>
      </c>
      <c r="B267" s="83" t="str">
        <f aca="false">IF($A267="","",INDEX('قيود اليومية'!$B$11:$B$1010,MATCH($A267,'قيود اليومية'!$O$11:$O$1010,0)))</f>
        <v/>
      </c>
      <c r="C267" s="84" t="str">
        <f aca="false">IF($A267="","",INDEX('قيود اليومية'!$A$11:$A$1010,MATCH($A267,'قيود اليومية'!$O$11:$O$1010,0)))</f>
        <v/>
      </c>
      <c r="D267" s="51" t="str">
        <f aca="false">IF($A267="","",INDEX('قيود اليومية'!$E$11:$E$1010,MATCH($A267,'قيود اليومية'!$O$11:$O$1010,0))&amp;"")</f>
        <v/>
      </c>
      <c r="E267" s="51" t="str">
        <f aca="false">IF($A267="","",INDEX('قيود اليومية'!$F$11:$F$1010,MATCH($A267,'قيود اليومية'!$O$11:$O$1010,0))&amp;"")</f>
        <v/>
      </c>
      <c r="F267" s="85" t="str">
        <f aca="false">IF($A267="","",INDEX('قيود اليومية'!$G$11:$G$1010,MATCH($A267,'قيود اليومية'!$O$11:$O$1010,0)))</f>
        <v/>
      </c>
      <c r="G267" s="85" t="str">
        <f aca="false">IF($A267="","",INDEX('قيود اليومية'!$H$11:$H$1010,MATCH($A267,'قيود اليومية'!$O$11:$O$1010,0)))</f>
        <v/>
      </c>
      <c r="H267" s="63" t="str">
        <f aca="false">IF($A267="","",N(H266)+IF($C$8&lt;&gt;"" ,IF(LEFT($C$8,4)="دائن",G267-F267,F267-G267),0))</f>
        <v/>
      </c>
    </row>
    <row r="268" customFormat="false" ht="15" hidden="false" customHeight="false" outlineLevel="0" collapsed="false">
      <c r="A268" s="82" t="str">
        <f aca="false">IF(ROW()-16&gt;COUNT('قيود اليومية'!$O$11:$O$1010),"",ROW()-16)</f>
        <v/>
      </c>
      <c r="B268" s="83" t="str">
        <f aca="false">IF($A268="","",INDEX('قيود اليومية'!$B$11:$B$1010,MATCH($A268,'قيود اليومية'!$O$11:$O$1010,0)))</f>
        <v/>
      </c>
      <c r="C268" s="84" t="str">
        <f aca="false">IF($A268="","",INDEX('قيود اليومية'!$A$11:$A$1010,MATCH($A268,'قيود اليومية'!$O$11:$O$1010,0)))</f>
        <v/>
      </c>
      <c r="D268" s="51" t="str">
        <f aca="false">IF($A268="","",INDEX('قيود اليومية'!$E$11:$E$1010,MATCH($A268,'قيود اليومية'!$O$11:$O$1010,0))&amp;"")</f>
        <v/>
      </c>
      <c r="E268" s="51" t="str">
        <f aca="false">IF($A268="","",INDEX('قيود اليومية'!$F$11:$F$1010,MATCH($A268,'قيود اليومية'!$O$11:$O$1010,0))&amp;"")</f>
        <v/>
      </c>
      <c r="F268" s="85" t="str">
        <f aca="false">IF($A268="","",INDEX('قيود اليومية'!$G$11:$G$1010,MATCH($A268,'قيود اليومية'!$O$11:$O$1010,0)))</f>
        <v/>
      </c>
      <c r="G268" s="85" t="str">
        <f aca="false">IF($A268="","",INDEX('قيود اليومية'!$H$11:$H$1010,MATCH($A268,'قيود اليومية'!$O$11:$O$1010,0)))</f>
        <v/>
      </c>
      <c r="H268" s="63" t="str">
        <f aca="false">IF($A268="","",N(H267)+IF($C$8&lt;&gt;"" ,IF(LEFT($C$8,4)="دائن",G268-F268,F268-G268),0))</f>
        <v/>
      </c>
    </row>
    <row r="269" customFormat="false" ht="15" hidden="false" customHeight="false" outlineLevel="0" collapsed="false">
      <c r="A269" s="82" t="str">
        <f aca="false">IF(ROW()-16&gt;COUNT('قيود اليومية'!$O$11:$O$1010),"",ROW()-16)</f>
        <v/>
      </c>
      <c r="B269" s="83" t="str">
        <f aca="false">IF($A269="","",INDEX('قيود اليومية'!$B$11:$B$1010,MATCH($A269,'قيود اليومية'!$O$11:$O$1010,0)))</f>
        <v/>
      </c>
      <c r="C269" s="84" t="str">
        <f aca="false">IF($A269="","",INDEX('قيود اليومية'!$A$11:$A$1010,MATCH($A269,'قيود اليومية'!$O$11:$O$1010,0)))</f>
        <v/>
      </c>
      <c r="D269" s="51" t="str">
        <f aca="false">IF($A269="","",INDEX('قيود اليومية'!$E$11:$E$1010,MATCH($A269,'قيود اليومية'!$O$11:$O$1010,0))&amp;"")</f>
        <v/>
      </c>
      <c r="E269" s="51" t="str">
        <f aca="false">IF($A269="","",INDEX('قيود اليومية'!$F$11:$F$1010,MATCH($A269,'قيود اليومية'!$O$11:$O$1010,0))&amp;"")</f>
        <v/>
      </c>
      <c r="F269" s="85" t="str">
        <f aca="false">IF($A269="","",INDEX('قيود اليومية'!$G$11:$G$1010,MATCH($A269,'قيود اليومية'!$O$11:$O$1010,0)))</f>
        <v/>
      </c>
      <c r="G269" s="85" t="str">
        <f aca="false">IF($A269="","",INDEX('قيود اليومية'!$H$11:$H$1010,MATCH($A269,'قيود اليومية'!$O$11:$O$1010,0)))</f>
        <v/>
      </c>
      <c r="H269" s="63" t="str">
        <f aca="false">IF($A269="","",N(H268)+IF($C$8&lt;&gt;"" ,IF(LEFT($C$8,4)="دائن",G269-F269,F269-G269),0))</f>
        <v/>
      </c>
    </row>
    <row r="270" customFormat="false" ht="15" hidden="false" customHeight="false" outlineLevel="0" collapsed="false">
      <c r="A270" s="82" t="str">
        <f aca="false">IF(ROW()-16&gt;COUNT('قيود اليومية'!$O$11:$O$1010),"",ROW()-16)</f>
        <v/>
      </c>
      <c r="B270" s="83" t="str">
        <f aca="false">IF($A270="","",INDEX('قيود اليومية'!$B$11:$B$1010,MATCH($A270,'قيود اليومية'!$O$11:$O$1010,0)))</f>
        <v/>
      </c>
      <c r="C270" s="84" t="str">
        <f aca="false">IF($A270="","",INDEX('قيود اليومية'!$A$11:$A$1010,MATCH($A270,'قيود اليومية'!$O$11:$O$1010,0)))</f>
        <v/>
      </c>
      <c r="D270" s="51" t="str">
        <f aca="false">IF($A270="","",INDEX('قيود اليومية'!$E$11:$E$1010,MATCH($A270,'قيود اليومية'!$O$11:$O$1010,0))&amp;"")</f>
        <v/>
      </c>
      <c r="E270" s="51" t="str">
        <f aca="false">IF($A270="","",INDEX('قيود اليومية'!$F$11:$F$1010,MATCH($A270,'قيود اليومية'!$O$11:$O$1010,0))&amp;"")</f>
        <v/>
      </c>
      <c r="F270" s="85" t="str">
        <f aca="false">IF($A270="","",INDEX('قيود اليومية'!$G$11:$G$1010,MATCH($A270,'قيود اليومية'!$O$11:$O$1010,0)))</f>
        <v/>
      </c>
      <c r="G270" s="85" t="str">
        <f aca="false">IF($A270="","",INDEX('قيود اليومية'!$H$11:$H$1010,MATCH($A270,'قيود اليومية'!$O$11:$O$1010,0)))</f>
        <v/>
      </c>
      <c r="H270" s="63" t="str">
        <f aca="false">IF($A270="","",N(H269)+IF($C$8&lt;&gt;"" ,IF(LEFT($C$8,4)="دائن",G270-F270,F270-G270),0))</f>
        <v/>
      </c>
    </row>
    <row r="271" customFormat="false" ht="15" hidden="false" customHeight="false" outlineLevel="0" collapsed="false">
      <c r="A271" s="82" t="str">
        <f aca="false">IF(ROW()-16&gt;COUNT('قيود اليومية'!$O$11:$O$1010),"",ROW()-16)</f>
        <v/>
      </c>
      <c r="B271" s="83" t="str">
        <f aca="false">IF($A271="","",INDEX('قيود اليومية'!$B$11:$B$1010,MATCH($A271,'قيود اليومية'!$O$11:$O$1010,0)))</f>
        <v/>
      </c>
      <c r="C271" s="84" t="str">
        <f aca="false">IF($A271="","",INDEX('قيود اليومية'!$A$11:$A$1010,MATCH($A271,'قيود اليومية'!$O$11:$O$1010,0)))</f>
        <v/>
      </c>
      <c r="D271" s="51" t="str">
        <f aca="false">IF($A271="","",INDEX('قيود اليومية'!$E$11:$E$1010,MATCH($A271,'قيود اليومية'!$O$11:$O$1010,0))&amp;"")</f>
        <v/>
      </c>
      <c r="E271" s="51" t="str">
        <f aca="false">IF($A271="","",INDEX('قيود اليومية'!$F$11:$F$1010,MATCH($A271,'قيود اليومية'!$O$11:$O$1010,0))&amp;"")</f>
        <v/>
      </c>
      <c r="F271" s="85" t="str">
        <f aca="false">IF($A271="","",INDEX('قيود اليومية'!$G$11:$G$1010,MATCH($A271,'قيود اليومية'!$O$11:$O$1010,0)))</f>
        <v/>
      </c>
      <c r="G271" s="85" t="str">
        <f aca="false">IF($A271="","",INDEX('قيود اليومية'!$H$11:$H$1010,MATCH($A271,'قيود اليومية'!$O$11:$O$1010,0)))</f>
        <v/>
      </c>
      <c r="H271" s="63" t="str">
        <f aca="false">IF($A271="","",N(H270)+IF($C$8&lt;&gt;"" ,IF(LEFT($C$8,4)="دائن",G271-F271,F271-G271),0))</f>
        <v/>
      </c>
    </row>
    <row r="272" customFormat="false" ht="15" hidden="false" customHeight="false" outlineLevel="0" collapsed="false">
      <c r="A272" s="82" t="str">
        <f aca="false">IF(ROW()-16&gt;COUNT('قيود اليومية'!$O$11:$O$1010),"",ROW()-16)</f>
        <v/>
      </c>
      <c r="B272" s="83" t="str">
        <f aca="false">IF($A272="","",INDEX('قيود اليومية'!$B$11:$B$1010,MATCH($A272,'قيود اليومية'!$O$11:$O$1010,0)))</f>
        <v/>
      </c>
      <c r="C272" s="84" t="str">
        <f aca="false">IF($A272="","",INDEX('قيود اليومية'!$A$11:$A$1010,MATCH($A272,'قيود اليومية'!$O$11:$O$1010,0)))</f>
        <v/>
      </c>
      <c r="D272" s="51" t="str">
        <f aca="false">IF($A272="","",INDEX('قيود اليومية'!$E$11:$E$1010,MATCH($A272,'قيود اليومية'!$O$11:$O$1010,0))&amp;"")</f>
        <v/>
      </c>
      <c r="E272" s="51" t="str">
        <f aca="false">IF($A272="","",INDEX('قيود اليومية'!$F$11:$F$1010,MATCH($A272,'قيود اليومية'!$O$11:$O$1010,0))&amp;"")</f>
        <v/>
      </c>
      <c r="F272" s="85" t="str">
        <f aca="false">IF($A272="","",INDEX('قيود اليومية'!$G$11:$G$1010,MATCH($A272,'قيود اليومية'!$O$11:$O$1010,0)))</f>
        <v/>
      </c>
      <c r="G272" s="85" t="str">
        <f aca="false">IF($A272="","",INDEX('قيود اليومية'!$H$11:$H$1010,MATCH($A272,'قيود اليومية'!$O$11:$O$1010,0)))</f>
        <v/>
      </c>
      <c r="H272" s="63" t="str">
        <f aca="false">IF($A272="","",N(H271)+IF($C$8&lt;&gt;"" ,IF(LEFT($C$8,4)="دائن",G272-F272,F272-G272),0))</f>
        <v/>
      </c>
    </row>
    <row r="273" customFormat="false" ht="15" hidden="false" customHeight="false" outlineLevel="0" collapsed="false">
      <c r="A273" s="82" t="str">
        <f aca="false">IF(ROW()-16&gt;COUNT('قيود اليومية'!$O$11:$O$1010),"",ROW()-16)</f>
        <v/>
      </c>
      <c r="B273" s="83" t="str">
        <f aca="false">IF($A273="","",INDEX('قيود اليومية'!$B$11:$B$1010,MATCH($A273,'قيود اليومية'!$O$11:$O$1010,0)))</f>
        <v/>
      </c>
      <c r="C273" s="84" t="str">
        <f aca="false">IF($A273="","",INDEX('قيود اليومية'!$A$11:$A$1010,MATCH($A273,'قيود اليومية'!$O$11:$O$1010,0)))</f>
        <v/>
      </c>
      <c r="D273" s="51" t="str">
        <f aca="false">IF($A273="","",INDEX('قيود اليومية'!$E$11:$E$1010,MATCH($A273,'قيود اليومية'!$O$11:$O$1010,0))&amp;"")</f>
        <v/>
      </c>
      <c r="E273" s="51" t="str">
        <f aca="false">IF($A273="","",INDEX('قيود اليومية'!$F$11:$F$1010,MATCH($A273,'قيود اليومية'!$O$11:$O$1010,0))&amp;"")</f>
        <v/>
      </c>
      <c r="F273" s="85" t="str">
        <f aca="false">IF($A273="","",INDEX('قيود اليومية'!$G$11:$G$1010,MATCH($A273,'قيود اليومية'!$O$11:$O$1010,0)))</f>
        <v/>
      </c>
      <c r="G273" s="85" t="str">
        <f aca="false">IF($A273="","",INDEX('قيود اليومية'!$H$11:$H$1010,MATCH($A273,'قيود اليومية'!$O$11:$O$1010,0)))</f>
        <v/>
      </c>
      <c r="H273" s="63" t="str">
        <f aca="false">IF($A273="","",N(H272)+IF($C$8&lt;&gt;"" ,IF(LEFT($C$8,4)="دائن",G273-F273,F273-G273),0))</f>
        <v/>
      </c>
    </row>
    <row r="274" customFormat="false" ht="15" hidden="false" customHeight="false" outlineLevel="0" collapsed="false">
      <c r="A274" s="82" t="str">
        <f aca="false">IF(ROW()-16&gt;COUNT('قيود اليومية'!$O$11:$O$1010),"",ROW()-16)</f>
        <v/>
      </c>
      <c r="B274" s="83" t="str">
        <f aca="false">IF($A274="","",INDEX('قيود اليومية'!$B$11:$B$1010,MATCH($A274,'قيود اليومية'!$O$11:$O$1010,0)))</f>
        <v/>
      </c>
      <c r="C274" s="84" t="str">
        <f aca="false">IF($A274="","",INDEX('قيود اليومية'!$A$11:$A$1010,MATCH($A274,'قيود اليومية'!$O$11:$O$1010,0)))</f>
        <v/>
      </c>
      <c r="D274" s="51" t="str">
        <f aca="false">IF($A274="","",INDEX('قيود اليومية'!$E$11:$E$1010,MATCH($A274,'قيود اليومية'!$O$11:$O$1010,0))&amp;"")</f>
        <v/>
      </c>
      <c r="E274" s="51" t="str">
        <f aca="false">IF($A274="","",INDEX('قيود اليومية'!$F$11:$F$1010,MATCH($A274,'قيود اليومية'!$O$11:$O$1010,0))&amp;"")</f>
        <v/>
      </c>
      <c r="F274" s="85" t="str">
        <f aca="false">IF($A274="","",INDEX('قيود اليومية'!$G$11:$G$1010,MATCH($A274,'قيود اليومية'!$O$11:$O$1010,0)))</f>
        <v/>
      </c>
      <c r="G274" s="85" t="str">
        <f aca="false">IF($A274="","",INDEX('قيود اليومية'!$H$11:$H$1010,MATCH($A274,'قيود اليومية'!$O$11:$O$1010,0)))</f>
        <v/>
      </c>
      <c r="H274" s="63" t="str">
        <f aca="false">IF($A274="","",N(H273)+IF($C$8&lt;&gt;"" ,IF(LEFT($C$8,4)="دائن",G274-F274,F274-G274),0))</f>
        <v/>
      </c>
    </row>
    <row r="275" customFormat="false" ht="15" hidden="false" customHeight="false" outlineLevel="0" collapsed="false">
      <c r="A275" s="82" t="str">
        <f aca="false">IF(ROW()-16&gt;COUNT('قيود اليومية'!$O$11:$O$1010),"",ROW()-16)</f>
        <v/>
      </c>
      <c r="B275" s="83" t="str">
        <f aca="false">IF($A275="","",INDEX('قيود اليومية'!$B$11:$B$1010,MATCH($A275,'قيود اليومية'!$O$11:$O$1010,0)))</f>
        <v/>
      </c>
      <c r="C275" s="84" t="str">
        <f aca="false">IF($A275="","",INDEX('قيود اليومية'!$A$11:$A$1010,MATCH($A275,'قيود اليومية'!$O$11:$O$1010,0)))</f>
        <v/>
      </c>
      <c r="D275" s="51" t="str">
        <f aca="false">IF($A275="","",INDEX('قيود اليومية'!$E$11:$E$1010,MATCH($A275,'قيود اليومية'!$O$11:$O$1010,0))&amp;"")</f>
        <v/>
      </c>
      <c r="E275" s="51" t="str">
        <f aca="false">IF($A275="","",INDEX('قيود اليومية'!$F$11:$F$1010,MATCH($A275,'قيود اليومية'!$O$11:$O$1010,0))&amp;"")</f>
        <v/>
      </c>
      <c r="F275" s="85" t="str">
        <f aca="false">IF($A275="","",INDEX('قيود اليومية'!$G$11:$G$1010,MATCH($A275,'قيود اليومية'!$O$11:$O$1010,0)))</f>
        <v/>
      </c>
      <c r="G275" s="85" t="str">
        <f aca="false">IF($A275="","",INDEX('قيود اليومية'!$H$11:$H$1010,MATCH($A275,'قيود اليومية'!$O$11:$O$1010,0)))</f>
        <v/>
      </c>
      <c r="H275" s="63" t="str">
        <f aca="false">IF($A275="","",N(H274)+IF($C$8&lt;&gt;"" ,IF(LEFT($C$8,4)="دائن",G275-F275,F275-G275),0))</f>
        <v/>
      </c>
    </row>
    <row r="276" customFormat="false" ht="15" hidden="false" customHeight="false" outlineLevel="0" collapsed="false">
      <c r="A276" s="82" t="str">
        <f aca="false">IF(ROW()-16&gt;COUNT('قيود اليومية'!$O$11:$O$1010),"",ROW()-16)</f>
        <v/>
      </c>
      <c r="B276" s="83" t="str">
        <f aca="false">IF($A276="","",INDEX('قيود اليومية'!$B$11:$B$1010,MATCH($A276,'قيود اليومية'!$O$11:$O$1010,0)))</f>
        <v/>
      </c>
      <c r="C276" s="84" t="str">
        <f aca="false">IF($A276="","",INDEX('قيود اليومية'!$A$11:$A$1010,MATCH($A276,'قيود اليومية'!$O$11:$O$1010,0)))</f>
        <v/>
      </c>
      <c r="D276" s="51" t="str">
        <f aca="false">IF($A276="","",INDEX('قيود اليومية'!$E$11:$E$1010,MATCH($A276,'قيود اليومية'!$O$11:$O$1010,0))&amp;"")</f>
        <v/>
      </c>
      <c r="E276" s="51" t="str">
        <f aca="false">IF($A276="","",INDEX('قيود اليومية'!$F$11:$F$1010,MATCH($A276,'قيود اليومية'!$O$11:$O$1010,0))&amp;"")</f>
        <v/>
      </c>
      <c r="F276" s="85" t="str">
        <f aca="false">IF($A276="","",INDEX('قيود اليومية'!$G$11:$G$1010,MATCH($A276,'قيود اليومية'!$O$11:$O$1010,0)))</f>
        <v/>
      </c>
      <c r="G276" s="85" t="str">
        <f aca="false">IF($A276="","",INDEX('قيود اليومية'!$H$11:$H$1010,MATCH($A276,'قيود اليومية'!$O$11:$O$1010,0)))</f>
        <v/>
      </c>
      <c r="H276" s="63" t="str">
        <f aca="false">IF($A276="","",N(H275)+IF($C$8&lt;&gt;"" ,IF(LEFT($C$8,4)="دائن",G276-F276,F276-G276),0))</f>
        <v/>
      </c>
    </row>
    <row r="277" customFormat="false" ht="15" hidden="false" customHeight="false" outlineLevel="0" collapsed="false">
      <c r="A277" s="82" t="str">
        <f aca="false">IF(ROW()-16&gt;COUNT('قيود اليومية'!$O$11:$O$1010),"",ROW()-16)</f>
        <v/>
      </c>
      <c r="B277" s="83" t="str">
        <f aca="false">IF($A277="","",INDEX('قيود اليومية'!$B$11:$B$1010,MATCH($A277,'قيود اليومية'!$O$11:$O$1010,0)))</f>
        <v/>
      </c>
      <c r="C277" s="84" t="str">
        <f aca="false">IF($A277="","",INDEX('قيود اليومية'!$A$11:$A$1010,MATCH($A277,'قيود اليومية'!$O$11:$O$1010,0)))</f>
        <v/>
      </c>
      <c r="D277" s="51" t="str">
        <f aca="false">IF($A277="","",INDEX('قيود اليومية'!$E$11:$E$1010,MATCH($A277,'قيود اليومية'!$O$11:$O$1010,0))&amp;"")</f>
        <v/>
      </c>
      <c r="E277" s="51" t="str">
        <f aca="false">IF($A277="","",INDEX('قيود اليومية'!$F$11:$F$1010,MATCH($A277,'قيود اليومية'!$O$11:$O$1010,0))&amp;"")</f>
        <v/>
      </c>
      <c r="F277" s="85" t="str">
        <f aca="false">IF($A277="","",INDEX('قيود اليومية'!$G$11:$G$1010,MATCH($A277,'قيود اليومية'!$O$11:$O$1010,0)))</f>
        <v/>
      </c>
      <c r="G277" s="85" t="str">
        <f aca="false">IF($A277="","",INDEX('قيود اليومية'!$H$11:$H$1010,MATCH($A277,'قيود اليومية'!$O$11:$O$1010,0)))</f>
        <v/>
      </c>
      <c r="H277" s="63" t="str">
        <f aca="false">IF($A277="","",N(H276)+IF($C$8&lt;&gt;"" ,IF(LEFT($C$8,4)="دائن",G277-F277,F277-G277),0))</f>
        <v/>
      </c>
    </row>
    <row r="278" customFormat="false" ht="15" hidden="false" customHeight="false" outlineLevel="0" collapsed="false">
      <c r="A278" s="82" t="str">
        <f aca="false">IF(ROW()-16&gt;COUNT('قيود اليومية'!$O$11:$O$1010),"",ROW()-16)</f>
        <v/>
      </c>
      <c r="B278" s="83" t="str">
        <f aca="false">IF($A278="","",INDEX('قيود اليومية'!$B$11:$B$1010,MATCH($A278,'قيود اليومية'!$O$11:$O$1010,0)))</f>
        <v/>
      </c>
      <c r="C278" s="84" t="str">
        <f aca="false">IF($A278="","",INDEX('قيود اليومية'!$A$11:$A$1010,MATCH($A278,'قيود اليومية'!$O$11:$O$1010,0)))</f>
        <v/>
      </c>
      <c r="D278" s="51" t="str">
        <f aca="false">IF($A278="","",INDEX('قيود اليومية'!$E$11:$E$1010,MATCH($A278,'قيود اليومية'!$O$11:$O$1010,0))&amp;"")</f>
        <v/>
      </c>
      <c r="E278" s="51" t="str">
        <f aca="false">IF($A278="","",INDEX('قيود اليومية'!$F$11:$F$1010,MATCH($A278,'قيود اليومية'!$O$11:$O$1010,0))&amp;"")</f>
        <v/>
      </c>
      <c r="F278" s="85" t="str">
        <f aca="false">IF($A278="","",INDEX('قيود اليومية'!$G$11:$G$1010,MATCH($A278,'قيود اليومية'!$O$11:$O$1010,0)))</f>
        <v/>
      </c>
      <c r="G278" s="85" t="str">
        <f aca="false">IF($A278="","",INDEX('قيود اليومية'!$H$11:$H$1010,MATCH($A278,'قيود اليومية'!$O$11:$O$1010,0)))</f>
        <v/>
      </c>
      <c r="H278" s="63" t="str">
        <f aca="false">IF($A278="","",N(H277)+IF($C$8&lt;&gt;"" ,IF(LEFT($C$8,4)="دائن",G278-F278,F278-G278),0))</f>
        <v/>
      </c>
    </row>
    <row r="279" customFormat="false" ht="15" hidden="false" customHeight="false" outlineLevel="0" collapsed="false">
      <c r="A279" s="82" t="str">
        <f aca="false">IF(ROW()-16&gt;COUNT('قيود اليومية'!$O$11:$O$1010),"",ROW()-16)</f>
        <v/>
      </c>
      <c r="B279" s="83" t="str">
        <f aca="false">IF($A279="","",INDEX('قيود اليومية'!$B$11:$B$1010,MATCH($A279,'قيود اليومية'!$O$11:$O$1010,0)))</f>
        <v/>
      </c>
      <c r="C279" s="84" t="str">
        <f aca="false">IF($A279="","",INDEX('قيود اليومية'!$A$11:$A$1010,MATCH($A279,'قيود اليومية'!$O$11:$O$1010,0)))</f>
        <v/>
      </c>
      <c r="D279" s="51" t="str">
        <f aca="false">IF($A279="","",INDEX('قيود اليومية'!$E$11:$E$1010,MATCH($A279,'قيود اليومية'!$O$11:$O$1010,0))&amp;"")</f>
        <v/>
      </c>
      <c r="E279" s="51" t="str">
        <f aca="false">IF($A279="","",INDEX('قيود اليومية'!$F$11:$F$1010,MATCH($A279,'قيود اليومية'!$O$11:$O$1010,0))&amp;"")</f>
        <v/>
      </c>
      <c r="F279" s="85" t="str">
        <f aca="false">IF($A279="","",INDEX('قيود اليومية'!$G$11:$G$1010,MATCH($A279,'قيود اليومية'!$O$11:$O$1010,0)))</f>
        <v/>
      </c>
      <c r="G279" s="85" t="str">
        <f aca="false">IF($A279="","",INDEX('قيود اليومية'!$H$11:$H$1010,MATCH($A279,'قيود اليومية'!$O$11:$O$1010,0)))</f>
        <v/>
      </c>
      <c r="H279" s="63" t="str">
        <f aca="false">IF($A279="","",N(H278)+IF($C$8&lt;&gt;"" ,IF(LEFT($C$8,4)="دائن",G279-F279,F279-G279),0))</f>
        <v/>
      </c>
    </row>
    <row r="280" customFormat="false" ht="15" hidden="false" customHeight="false" outlineLevel="0" collapsed="false">
      <c r="A280" s="82" t="str">
        <f aca="false">IF(ROW()-16&gt;COUNT('قيود اليومية'!$O$11:$O$1010),"",ROW()-16)</f>
        <v/>
      </c>
      <c r="B280" s="83" t="str">
        <f aca="false">IF($A280="","",INDEX('قيود اليومية'!$B$11:$B$1010,MATCH($A280,'قيود اليومية'!$O$11:$O$1010,0)))</f>
        <v/>
      </c>
      <c r="C280" s="84" t="str">
        <f aca="false">IF($A280="","",INDEX('قيود اليومية'!$A$11:$A$1010,MATCH($A280,'قيود اليومية'!$O$11:$O$1010,0)))</f>
        <v/>
      </c>
      <c r="D280" s="51" t="str">
        <f aca="false">IF($A280="","",INDEX('قيود اليومية'!$E$11:$E$1010,MATCH($A280,'قيود اليومية'!$O$11:$O$1010,0))&amp;"")</f>
        <v/>
      </c>
      <c r="E280" s="51" t="str">
        <f aca="false">IF($A280="","",INDEX('قيود اليومية'!$F$11:$F$1010,MATCH($A280,'قيود اليومية'!$O$11:$O$1010,0))&amp;"")</f>
        <v/>
      </c>
      <c r="F280" s="85" t="str">
        <f aca="false">IF($A280="","",INDEX('قيود اليومية'!$G$11:$G$1010,MATCH($A280,'قيود اليومية'!$O$11:$O$1010,0)))</f>
        <v/>
      </c>
      <c r="G280" s="85" t="str">
        <f aca="false">IF($A280="","",INDEX('قيود اليومية'!$H$11:$H$1010,MATCH($A280,'قيود اليومية'!$O$11:$O$1010,0)))</f>
        <v/>
      </c>
      <c r="H280" s="63" t="str">
        <f aca="false">IF($A280="","",N(H279)+IF($C$8&lt;&gt;"" ,IF(LEFT($C$8,4)="دائن",G280-F280,F280-G280),0))</f>
        <v/>
      </c>
    </row>
    <row r="281" customFormat="false" ht="15" hidden="false" customHeight="false" outlineLevel="0" collapsed="false">
      <c r="A281" s="82" t="str">
        <f aca="false">IF(ROW()-16&gt;COUNT('قيود اليومية'!$O$11:$O$1010),"",ROW()-16)</f>
        <v/>
      </c>
      <c r="B281" s="83" t="str">
        <f aca="false">IF($A281="","",INDEX('قيود اليومية'!$B$11:$B$1010,MATCH($A281,'قيود اليومية'!$O$11:$O$1010,0)))</f>
        <v/>
      </c>
      <c r="C281" s="84" t="str">
        <f aca="false">IF($A281="","",INDEX('قيود اليومية'!$A$11:$A$1010,MATCH($A281,'قيود اليومية'!$O$11:$O$1010,0)))</f>
        <v/>
      </c>
      <c r="D281" s="51" t="str">
        <f aca="false">IF($A281="","",INDEX('قيود اليومية'!$E$11:$E$1010,MATCH($A281,'قيود اليومية'!$O$11:$O$1010,0))&amp;"")</f>
        <v/>
      </c>
      <c r="E281" s="51" t="str">
        <f aca="false">IF($A281="","",INDEX('قيود اليومية'!$F$11:$F$1010,MATCH($A281,'قيود اليومية'!$O$11:$O$1010,0))&amp;"")</f>
        <v/>
      </c>
      <c r="F281" s="85" t="str">
        <f aca="false">IF($A281="","",INDEX('قيود اليومية'!$G$11:$G$1010,MATCH($A281,'قيود اليومية'!$O$11:$O$1010,0)))</f>
        <v/>
      </c>
      <c r="G281" s="85" t="str">
        <f aca="false">IF($A281="","",INDEX('قيود اليومية'!$H$11:$H$1010,MATCH($A281,'قيود اليومية'!$O$11:$O$1010,0)))</f>
        <v/>
      </c>
      <c r="H281" s="63" t="str">
        <f aca="false">IF($A281="","",N(H280)+IF($C$8&lt;&gt;"" ,IF(LEFT($C$8,4)="دائن",G281-F281,F281-G281),0))</f>
        <v/>
      </c>
    </row>
    <row r="282" customFormat="false" ht="15" hidden="false" customHeight="false" outlineLevel="0" collapsed="false">
      <c r="A282" s="82" t="str">
        <f aca="false">IF(ROW()-16&gt;COUNT('قيود اليومية'!$O$11:$O$1010),"",ROW()-16)</f>
        <v/>
      </c>
      <c r="B282" s="83" t="str">
        <f aca="false">IF($A282="","",INDEX('قيود اليومية'!$B$11:$B$1010,MATCH($A282,'قيود اليومية'!$O$11:$O$1010,0)))</f>
        <v/>
      </c>
      <c r="C282" s="84" t="str">
        <f aca="false">IF($A282="","",INDEX('قيود اليومية'!$A$11:$A$1010,MATCH($A282,'قيود اليومية'!$O$11:$O$1010,0)))</f>
        <v/>
      </c>
      <c r="D282" s="51" t="str">
        <f aca="false">IF($A282="","",INDEX('قيود اليومية'!$E$11:$E$1010,MATCH($A282,'قيود اليومية'!$O$11:$O$1010,0))&amp;"")</f>
        <v/>
      </c>
      <c r="E282" s="51" t="str">
        <f aca="false">IF($A282="","",INDEX('قيود اليومية'!$F$11:$F$1010,MATCH($A282,'قيود اليومية'!$O$11:$O$1010,0))&amp;"")</f>
        <v/>
      </c>
      <c r="F282" s="85" t="str">
        <f aca="false">IF($A282="","",INDEX('قيود اليومية'!$G$11:$G$1010,MATCH($A282,'قيود اليومية'!$O$11:$O$1010,0)))</f>
        <v/>
      </c>
      <c r="G282" s="85" t="str">
        <f aca="false">IF($A282="","",INDEX('قيود اليومية'!$H$11:$H$1010,MATCH($A282,'قيود اليومية'!$O$11:$O$1010,0)))</f>
        <v/>
      </c>
      <c r="H282" s="63" t="str">
        <f aca="false">IF($A282="","",N(H281)+IF($C$8&lt;&gt;"" ,IF(LEFT($C$8,4)="دائن",G282-F282,F282-G282),0))</f>
        <v/>
      </c>
    </row>
    <row r="283" customFormat="false" ht="15" hidden="false" customHeight="false" outlineLevel="0" collapsed="false">
      <c r="A283" s="82" t="str">
        <f aca="false">IF(ROW()-16&gt;COUNT('قيود اليومية'!$O$11:$O$1010),"",ROW()-16)</f>
        <v/>
      </c>
      <c r="B283" s="83" t="str">
        <f aca="false">IF($A283="","",INDEX('قيود اليومية'!$B$11:$B$1010,MATCH($A283,'قيود اليومية'!$O$11:$O$1010,0)))</f>
        <v/>
      </c>
      <c r="C283" s="84" t="str">
        <f aca="false">IF($A283="","",INDEX('قيود اليومية'!$A$11:$A$1010,MATCH($A283,'قيود اليومية'!$O$11:$O$1010,0)))</f>
        <v/>
      </c>
      <c r="D283" s="51" t="str">
        <f aca="false">IF($A283="","",INDEX('قيود اليومية'!$E$11:$E$1010,MATCH($A283,'قيود اليومية'!$O$11:$O$1010,0))&amp;"")</f>
        <v/>
      </c>
      <c r="E283" s="51" t="str">
        <f aca="false">IF($A283="","",INDEX('قيود اليومية'!$F$11:$F$1010,MATCH($A283,'قيود اليومية'!$O$11:$O$1010,0))&amp;"")</f>
        <v/>
      </c>
      <c r="F283" s="85" t="str">
        <f aca="false">IF($A283="","",INDEX('قيود اليومية'!$G$11:$G$1010,MATCH($A283,'قيود اليومية'!$O$11:$O$1010,0)))</f>
        <v/>
      </c>
      <c r="G283" s="85" t="str">
        <f aca="false">IF($A283="","",INDEX('قيود اليومية'!$H$11:$H$1010,MATCH($A283,'قيود اليومية'!$O$11:$O$1010,0)))</f>
        <v/>
      </c>
      <c r="H283" s="63" t="str">
        <f aca="false">IF($A283="","",N(H282)+IF($C$8&lt;&gt;"" ,IF(LEFT($C$8,4)="دائن",G283-F283,F283-G283),0))</f>
        <v/>
      </c>
    </row>
    <row r="284" customFormat="false" ht="15" hidden="false" customHeight="false" outlineLevel="0" collapsed="false">
      <c r="A284" s="82" t="str">
        <f aca="false">IF(ROW()-16&gt;COUNT('قيود اليومية'!$O$11:$O$1010),"",ROW()-16)</f>
        <v/>
      </c>
      <c r="B284" s="83" t="str">
        <f aca="false">IF($A284="","",INDEX('قيود اليومية'!$B$11:$B$1010,MATCH($A284,'قيود اليومية'!$O$11:$O$1010,0)))</f>
        <v/>
      </c>
      <c r="C284" s="84" t="str">
        <f aca="false">IF($A284="","",INDEX('قيود اليومية'!$A$11:$A$1010,MATCH($A284,'قيود اليومية'!$O$11:$O$1010,0)))</f>
        <v/>
      </c>
      <c r="D284" s="51" t="str">
        <f aca="false">IF($A284="","",INDEX('قيود اليومية'!$E$11:$E$1010,MATCH($A284,'قيود اليومية'!$O$11:$O$1010,0))&amp;"")</f>
        <v/>
      </c>
      <c r="E284" s="51" t="str">
        <f aca="false">IF($A284="","",INDEX('قيود اليومية'!$F$11:$F$1010,MATCH($A284,'قيود اليومية'!$O$11:$O$1010,0))&amp;"")</f>
        <v/>
      </c>
      <c r="F284" s="85" t="str">
        <f aca="false">IF($A284="","",INDEX('قيود اليومية'!$G$11:$G$1010,MATCH($A284,'قيود اليومية'!$O$11:$O$1010,0)))</f>
        <v/>
      </c>
      <c r="G284" s="85" t="str">
        <f aca="false">IF($A284="","",INDEX('قيود اليومية'!$H$11:$H$1010,MATCH($A284,'قيود اليومية'!$O$11:$O$1010,0)))</f>
        <v/>
      </c>
      <c r="H284" s="63" t="str">
        <f aca="false">IF($A284="","",N(H283)+IF($C$8&lt;&gt;"" ,IF(LEFT($C$8,4)="دائن",G284-F284,F284-G284),0))</f>
        <v/>
      </c>
    </row>
    <row r="285" customFormat="false" ht="15" hidden="false" customHeight="false" outlineLevel="0" collapsed="false">
      <c r="A285" s="82" t="str">
        <f aca="false">IF(ROW()-16&gt;COUNT('قيود اليومية'!$O$11:$O$1010),"",ROW()-16)</f>
        <v/>
      </c>
      <c r="B285" s="83" t="str">
        <f aca="false">IF($A285="","",INDEX('قيود اليومية'!$B$11:$B$1010,MATCH($A285,'قيود اليومية'!$O$11:$O$1010,0)))</f>
        <v/>
      </c>
      <c r="C285" s="84" t="str">
        <f aca="false">IF($A285="","",INDEX('قيود اليومية'!$A$11:$A$1010,MATCH($A285,'قيود اليومية'!$O$11:$O$1010,0)))</f>
        <v/>
      </c>
      <c r="D285" s="51" t="str">
        <f aca="false">IF($A285="","",INDEX('قيود اليومية'!$E$11:$E$1010,MATCH($A285,'قيود اليومية'!$O$11:$O$1010,0))&amp;"")</f>
        <v/>
      </c>
      <c r="E285" s="51" t="str">
        <f aca="false">IF($A285="","",INDEX('قيود اليومية'!$F$11:$F$1010,MATCH($A285,'قيود اليومية'!$O$11:$O$1010,0))&amp;"")</f>
        <v/>
      </c>
      <c r="F285" s="85" t="str">
        <f aca="false">IF($A285="","",INDEX('قيود اليومية'!$G$11:$G$1010,MATCH($A285,'قيود اليومية'!$O$11:$O$1010,0)))</f>
        <v/>
      </c>
      <c r="G285" s="85" t="str">
        <f aca="false">IF($A285="","",INDEX('قيود اليومية'!$H$11:$H$1010,MATCH($A285,'قيود اليومية'!$O$11:$O$1010,0)))</f>
        <v/>
      </c>
      <c r="H285" s="63" t="str">
        <f aca="false">IF($A285="","",N(H284)+IF($C$8&lt;&gt;"" ,IF(LEFT($C$8,4)="دائن",G285-F285,F285-G285),0))</f>
        <v/>
      </c>
    </row>
    <row r="286" customFormat="false" ht="15" hidden="false" customHeight="false" outlineLevel="0" collapsed="false">
      <c r="A286" s="82" t="str">
        <f aca="false">IF(ROW()-16&gt;COUNT('قيود اليومية'!$O$11:$O$1010),"",ROW()-16)</f>
        <v/>
      </c>
      <c r="B286" s="83" t="str">
        <f aca="false">IF($A286="","",INDEX('قيود اليومية'!$B$11:$B$1010,MATCH($A286,'قيود اليومية'!$O$11:$O$1010,0)))</f>
        <v/>
      </c>
      <c r="C286" s="84" t="str">
        <f aca="false">IF($A286="","",INDEX('قيود اليومية'!$A$11:$A$1010,MATCH($A286,'قيود اليومية'!$O$11:$O$1010,0)))</f>
        <v/>
      </c>
      <c r="D286" s="51" t="str">
        <f aca="false">IF($A286="","",INDEX('قيود اليومية'!$E$11:$E$1010,MATCH($A286,'قيود اليومية'!$O$11:$O$1010,0))&amp;"")</f>
        <v/>
      </c>
      <c r="E286" s="51" t="str">
        <f aca="false">IF($A286="","",INDEX('قيود اليومية'!$F$11:$F$1010,MATCH($A286,'قيود اليومية'!$O$11:$O$1010,0))&amp;"")</f>
        <v/>
      </c>
      <c r="F286" s="85" t="str">
        <f aca="false">IF($A286="","",INDEX('قيود اليومية'!$G$11:$G$1010,MATCH($A286,'قيود اليومية'!$O$11:$O$1010,0)))</f>
        <v/>
      </c>
      <c r="G286" s="85" t="str">
        <f aca="false">IF($A286="","",INDEX('قيود اليومية'!$H$11:$H$1010,MATCH($A286,'قيود اليومية'!$O$11:$O$1010,0)))</f>
        <v/>
      </c>
      <c r="H286" s="63" t="str">
        <f aca="false">IF($A286="","",N(H285)+IF($C$8&lt;&gt;"" ,IF(LEFT($C$8,4)="دائن",G286-F286,F286-G286),0))</f>
        <v/>
      </c>
    </row>
    <row r="287" customFormat="false" ht="15" hidden="false" customHeight="false" outlineLevel="0" collapsed="false">
      <c r="A287" s="82" t="str">
        <f aca="false">IF(ROW()-16&gt;COUNT('قيود اليومية'!$O$11:$O$1010),"",ROW()-16)</f>
        <v/>
      </c>
      <c r="B287" s="83" t="str">
        <f aca="false">IF($A287="","",INDEX('قيود اليومية'!$B$11:$B$1010,MATCH($A287,'قيود اليومية'!$O$11:$O$1010,0)))</f>
        <v/>
      </c>
      <c r="C287" s="84" t="str">
        <f aca="false">IF($A287="","",INDEX('قيود اليومية'!$A$11:$A$1010,MATCH($A287,'قيود اليومية'!$O$11:$O$1010,0)))</f>
        <v/>
      </c>
      <c r="D287" s="51" t="str">
        <f aca="false">IF($A287="","",INDEX('قيود اليومية'!$E$11:$E$1010,MATCH($A287,'قيود اليومية'!$O$11:$O$1010,0))&amp;"")</f>
        <v/>
      </c>
      <c r="E287" s="51" t="str">
        <f aca="false">IF($A287="","",INDEX('قيود اليومية'!$F$11:$F$1010,MATCH($A287,'قيود اليومية'!$O$11:$O$1010,0))&amp;"")</f>
        <v/>
      </c>
      <c r="F287" s="85" t="str">
        <f aca="false">IF($A287="","",INDEX('قيود اليومية'!$G$11:$G$1010,MATCH($A287,'قيود اليومية'!$O$11:$O$1010,0)))</f>
        <v/>
      </c>
      <c r="G287" s="85" t="str">
        <f aca="false">IF($A287="","",INDEX('قيود اليومية'!$H$11:$H$1010,MATCH($A287,'قيود اليومية'!$O$11:$O$1010,0)))</f>
        <v/>
      </c>
      <c r="H287" s="63" t="str">
        <f aca="false">IF($A287="","",N(H286)+IF($C$8&lt;&gt;"" ,IF(LEFT($C$8,4)="دائن",G287-F287,F287-G287),0))</f>
        <v/>
      </c>
    </row>
    <row r="288" customFormat="false" ht="15" hidden="false" customHeight="false" outlineLevel="0" collapsed="false">
      <c r="A288" s="82" t="str">
        <f aca="false">IF(ROW()-16&gt;COUNT('قيود اليومية'!$O$11:$O$1010),"",ROW()-16)</f>
        <v/>
      </c>
      <c r="B288" s="83" t="str">
        <f aca="false">IF($A288="","",INDEX('قيود اليومية'!$B$11:$B$1010,MATCH($A288,'قيود اليومية'!$O$11:$O$1010,0)))</f>
        <v/>
      </c>
      <c r="C288" s="84" t="str">
        <f aca="false">IF($A288="","",INDEX('قيود اليومية'!$A$11:$A$1010,MATCH($A288,'قيود اليومية'!$O$11:$O$1010,0)))</f>
        <v/>
      </c>
      <c r="D288" s="51" t="str">
        <f aca="false">IF($A288="","",INDEX('قيود اليومية'!$E$11:$E$1010,MATCH($A288,'قيود اليومية'!$O$11:$O$1010,0))&amp;"")</f>
        <v/>
      </c>
      <c r="E288" s="51" t="str">
        <f aca="false">IF($A288="","",INDEX('قيود اليومية'!$F$11:$F$1010,MATCH($A288,'قيود اليومية'!$O$11:$O$1010,0))&amp;"")</f>
        <v/>
      </c>
      <c r="F288" s="85" t="str">
        <f aca="false">IF($A288="","",INDEX('قيود اليومية'!$G$11:$G$1010,MATCH($A288,'قيود اليومية'!$O$11:$O$1010,0)))</f>
        <v/>
      </c>
      <c r="G288" s="85" t="str">
        <f aca="false">IF($A288="","",INDEX('قيود اليومية'!$H$11:$H$1010,MATCH($A288,'قيود اليومية'!$O$11:$O$1010,0)))</f>
        <v/>
      </c>
      <c r="H288" s="63" t="str">
        <f aca="false">IF($A288="","",N(H287)+IF($C$8&lt;&gt;"" ,IF(LEFT($C$8,4)="دائن",G288-F288,F288-G288),0))</f>
        <v/>
      </c>
    </row>
    <row r="289" customFormat="false" ht="15" hidden="false" customHeight="false" outlineLevel="0" collapsed="false">
      <c r="A289" s="82" t="str">
        <f aca="false">IF(ROW()-16&gt;COUNT('قيود اليومية'!$O$11:$O$1010),"",ROW()-16)</f>
        <v/>
      </c>
      <c r="B289" s="83" t="str">
        <f aca="false">IF($A289="","",INDEX('قيود اليومية'!$B$11:$B$1010,MATCH($A289,'قيود اليومية'!$O$11:$O$1010,0)))</f>
        <v/>
      </c>
      <c r="C289" s="84" t="str">
        <f aca="false">IF($A289="","",INDEX('قيود اليومية'!$A$11:$A$1010,MATCH($A289,'قيود اليومية'!$O$11:$O$1010,0)))</f>
        <v/>
      </c>
      <c r="D289" s="51" t="str">
        <f aca="false">IF($A289="","",INDEX('قيود اليومية'!$E$11:$E$1010,MATCH($A289,'قيود اليومية'!$O$11:$O$1010,0))&amp;"")</f>
        <v/>
      </c>
      <c r="E289" s="51" t="str">
        <f aca="false">IF($A289="","",INDEX('قيود اليومية'!$F$11:$F$1010,MATCH($A289,'قيود اليومية'!$O$11:$O$1010,0))&amp;"")</f>
        <v/>
      </c>
      <c r="F289" s="85" t="str">
        <f aca="false">IF($A289="","",INDEX('قيود اليومية'!$G$11:$G$1010,MATCH($A289,'قيود اليومية'!$O$11:$O$1010,0)))</f>
        <v/>
      </c>
      <c r="G289" s="85" t="str">
        <f aca="false">IF($A289="","",INDEX('قيود اليومية'!$H$11:$H$1010,MATCH($A289,'قيود اليومية'!$O$11:$O$1010,0)))</f>
        <v/>
      </c>
      <c r="H289" s="63" t="str">
        <f aca="false">IF($A289="","",N(H288)+IF($C$8&lt;&gt;"" ,IF(LEFT($C$8,4)="دائن",G289-F289,F289-G289),0))</f>
        <v/>
      </c>
    </row>
    <row r="290" customFormat="false" ht="15" hidden="false" customHeight="false" outlineLevel="0" collapsed="false">
      <c r="A290" s="82" t="str">
        <f aca="false">IF(ROW()-16&gt;COUNT('قيود اليومية'!$O$11:$O$1010),"",ROW()-16)</f>
        <v/>
      </c>
      <c r="B290" s="83" t="str">
        <f aca="false">IF($A290="","",INDEX('قيود اليومية'!$B$11:$B$1010,MATCH($A290,'قيود اليومية'!$O$11:$O$1010,0)))</f>
        <v/>
      </c>
      <c r="C290" s="84" t="str">
        <f aca="false">IF($A290="","",INDEX('قيود اليومية'!$A$11:$A$1010,MATCH($A290,'قيود اليومية'!$O$11:$O$1010,0)))</f>
        <v/>
      </c>
      <c r="D290" s="51" t="str">
        <f aca="false">IF($A290="","",INDEX('قيود اليومية'!$E$11:$E$1010,MATCH($A290,'قيود اليومية'!$O$11:$O$1010,0))&amp;"")</f>
        <v/>
      </c>
      <c r="E290" s="51" t="str">
        <f aca="false">IF($A290="","",INDEX('قيود اليومية'!$F$11:$F$1010,MATCH($A290,'قيود اليومية'!$O$11:$O$1010,0))&amp;"")</f>
        <v/>
      </c>
      <c r="F290" s="85" t="str">
        <f aca="false">IF($A290="","",INDEX('قيود اليومية'!$G$11:$G$1010,MATCH($A290,'قيود اليومية'!$O$11:$O$1010,0)))</f>
        <v/>
      </c>
      <c r="G290" s="85" t="str">
        <f aca="false">IF($A290="","",INDEX('قيود اليومية'!$H$11:$H$1010,MATCH($A290,'قيود اليومية'!$O$11:$O$1010,0)))</f>
        <v/>
      </c>
      <c r="H290" s="63" t="str">
        <f aca="false">IF($A290="","",N(H289)+IF($C$8&lt;&gt;"" ,IF(LEFT($C$8,4)="دائن",G290-F290,F290-G290),0))</f>
        <v/>
      </c>
    </row>
    <row r="291" customFormat="false" ht="15" hidden="false" customHeight="false" outlineLevel="0" collapsed="false">
      <c r="A291" s="82" t="str">
        <f aca="false">IF(ROW()-16&gt;COUNT('قيود اليومية'!$O$11:$O$1010),"",ROW()-16)</f>
        <v/>
      </c>
      <c r="B291" s="83" t="str">
        <f aca="false">IF($A291="","",INDEX('قيود اليومية'!$B$11:$B$1010,MATCH($A291,'قيود اليومية'!$O$11:$O$1010,0)))</f>
        <v/>
      </c>
      <c r="C291" s="84" t="str">
        <f aca="false">IF($A291="","",INDEX('قيود اليومية'!$A$11:$A$1010,MATCH($A291,'قيود اليومية'!$O$11:$O$1010,0)))</f>
        <v/>
      </c>
      <c r="D291" s="51" t="str">
        <f aca="false">IF($A291="","",INDEX('قيود اليومية'!$E$11:$E$1010,MATCH($A291,'قيود اليومية'!$O$11:$O$1010,0))&amp;"")</f>
        <v/>
      </c>
      <c r="E291" s="51" t="str">
        <f aca="false">IF($A291="","",INDEX('قيود اليومية'!$F$11:$F$1010,MATCH($A291,'قيود اليومية'!$O$11:$O$1010,0))&amp;"")</f>
        <v/>
      </c>
      <c r="F291" s="85" t="str">
        <f aca="false">IF($A291="","",INDEX('قيود اليومية'!$G$11:$G$1010,MATCH($A291,'قيود اليومية'!$O$11:$O$1010,0)))</f>
        <v/>
      </c>
      <c r="G291" s="85" t="str">
        <f aca="false">IF($A291="","",INDEX('قيود اليومية'!$H$11:$H$1010,MATCH($A291,'قيود اليومية'!$O$11:$O$1010,0)))</f>
        <v/>
      </c>
      <c r="H291" s="63" t="str">
        <f aca="false">IF($A291="","",N(H290)+IF($C$8&lt;&gt;"" ,IF(LEFT($C$8,4)="دائن",G291-F291,F291-G291),0))</f>
        <v/>
      </c>
    </row>
    <row r="292" customFormat="false" ht="15" hidden="false" customHeight="false" outlineLevel="0" collapsed="false">
      <c r="A292" s="82" t="str">
        <f aca="false">IF(ROW()-16&gt;COUNT('قيود اليومية'!$O$11:$O$1010),"",ROW()-16)</f>
        <v/>
      </c>
      <c r="B292" s="83" t="str">
        <f aca="false">IF($A292="","",INDEX('قيود اليومية'!$B$11:$B$1010,MATCH($A292,'قيود اليومية'!$O$11:$O$1010,0)))</f>
        <v/>
      </c>
      <c r="C292" s="84" t="str">
        <f aca="false">IF($A292="","",INDEX('قيود اليومية'!$A$11:$A$1010,MATCH($A292,'قيود اليومية'!$O$11:$O$1010,0)))</f>
        <v/>
      </c>
      <c r="D292" s="51" t="str">
        <f aca="false">IF($A292="","",INDEX('قيود اليومية'!$E$11:$E$1010,MATCH($A292,'قيود اليومية'!$O$11:$O$1010,0))&amp;"")</f>
        <v/>
      </c>
      <c r="E292" s="51" t="str">
        <f aca="false">IF($A292="","",INDEX('قيود اليومية'!$F$11:$F$1010,MATCH($A292,'قيود اليومية'!$O$11:$O$1010,0))&amp;"")</f>
        <v/>
      </c>
      <c r="F292" s="85" t="str">
        <f aca="false">IF($A292="","",INDEX('قيود اليومية'!$G$11:$G$1010,MATCH($A292,'قيود اليومية'!$O$11:$O$1010,0)))</f>
        <v/>
      </c>
      <c r="G292" s="85" t="str">
        <f aca="false">IF($A292="","",INDEX('قيود اليومية'!$H$11:$H$1010,MATCH($A292,'قيود اليومية'!$O$11:$O$1010,0)))</f>
        <v/>
      </c>
      <c r="H292" s="63" t="str">
        <f aca="false">IF($A292="","",N(H291)+IF($C$8&lt;&gt;"" ,IF(LEFT($C$8,4)="دائن",G292-F292,F292-G292),0))</f>
        <v/>
      </c>
    </row>
    <row r="293" customFormat="false" ht="15" hidden="false" customHeight="false" outlineLevel="0" collapsed="false">
      <c r="A293" s="82" t="str">
        <f aca="false">IF(ROW()-16&gt;COUNT('قيود اليومية'!$O$11:$O$1010),"",ROW()-16)</f>
        <v/>
      </c>
      <c r="B293" s="83" t="str">
        <f aca="false">IF($A293="","",INDEX('قيود اليومية'!$B$11:$B$1010,MATCH($A293,'قيود اليومية'!$O$11:$O$1010,0)))</f>
        <v/>
      </c>
      <c r="C293" s="84" t="str">
        <f aca="false">IF($A293="","",INDEX('قيود اليومية'!$A$11:$A$1010,MATCH($A293,'قيود اليومية'!$O$11:$O$1010,0)))</f>
        <v/>
      </c>
      <c r="D293" s="51" t="str">
        <f aca="false">IF($A293="","",INDEX('قيود اليومية'!$E$11:$E$1010,MATCH($A293,'قيود اليومية'!$O$11:$O$1010,0))&amp;"")</f>
        <v/>
      </c>
      <c r="E293" s="51" t="str">
        <f aca="false">IF($A293="","",INDEX('قيود اليومية'!$F$11:$F$1010,MATCH($A293,'قيود اليومية'!$O$11:$O$1010,0))&amp;"")</f>
        <v/>
      </c>
      <c r="F293" s="85" t="str">
        <f aca="false">IF($A293="","",INDEX('قيود اليومية'!$G$11:$G$1010,MATCH($A293,'قيود اليومية'!$O$11:$O$1010,0)))</f>
        <v/>
      </c>
      <c r="G293" s="85" t="str">
        <f aca="false">IF($A293="","",INDEX('قيود اليومية'!$H$11:$H$1010,MATCH($A293,'قيود اليومية'!$O$11:$O$1010,0)))</f>
        <v/>
      </c>
      <c r="H293" s="63" t="str">
        <f aca="false">IF($A293="","",N(H292)+IF($C$8&lt;&gt;"" ,IF(LEFT($C$8,4)="دائن",G293-F293,F293-G293),0))</f>
        <v/>
      </c>
    </row>
    <row r="294" customFormat="false" ht="15" hidden="false" customHeight="false" outlineLevel="0" collapsed="false">
      <c r="A294" s="82" t="str">
        <f aca="false">IF(ROW()-16&gt;COUNT('قيود اليومية'!$O$11:$O$1010),"",ROW()-16)</f>
        <v/>
      </c>
      <c r="B294" s="83" t="str">
        <f aca="false">IF($A294="","",INDEX('قيود اليومية'!$B$11:$B$1010,MATCH($A294,'قيود اليومية'!$O$11:$O$1010,0)))</f>
        <v/>
      </c>
      <c r="C294" s="84" t="str">
        <f aca="false">IF($A294="","",INDEX('قيود اليومية'!$A$11:$A$1010,MATCH($A294,'قيود اليومية'!$O$11:$O$1010,0)))</f>
        <v/>
      </c>
      <c r="D294" s="51" t="str">
        <f aca="false">IF($A294="","",INDEX('قيود اليومية'!$E$11:$E$1010,MATCH($A294,'قيود اليومية'!$O$11:$O$1010,0))&amp;"")</f>
        <v/>
      </c>
      <c r="E294" s="51" t="str">
        <f aca="false">IF($A294="","",INDEX('قيود اليومية'!$F$11:$F$1010,MATCH($A294,'قيود اليومية'!$O$11:$O$1010,0))&amp;"")</f>
        <v/>
      </c>
      <c r="F294" s="85" t="str">
        <f aca="false">IF($A294="","",INDEX('قيود اليومية'!$G$11:$G$1010,MATCH($A294,'قيود اليومية'!$O$11:$O$1010,0)))</f>
        <v/>
      </c>
      <c r="G294" s="85" t="str">
        <f aca="false">IF($A294="","",INDEX('قيود اليومية'!$H$11:$H$1010,MATCH($A294,'قيود اليومية'!$O$11:$O$1010,0)))</f>
        <v/>
      </c>
      <c r="H294" s="63" t="str">
        <f aca="false">IF($A294="","",N(H293)+IF($C$8&lt;&gt;"" ,IF(LEFT($C$8,4)="دائن",G294-F294,F294-G294),0))</f>
        <v/>
      </c>
    </row>
    <row r="295" customFormat="false" ht="15" hidden="false" customHeight="false" outlineLevel="0" collapsed="false">
      <c r="A295" s="82" t="str">
        <f aca="false">IF(ROW()-16&gt;COUNT('قيود اليومية'!$O$11:$O$1010),"",ROW()-16)</f>
        <v/>
      </c>
      <c r="B295" s="83" t="str">
        <f aca="false">IF($A295="","",INDEX('قيود اليومية'!$B$11:$B$1010,MATCH($A295,'قيود اليومية'!$O$11:$O$1010,0)))</f>
        <v/>
      </c>
      <c r="C295" s="84" t="str">
        <f aca="false">IF($A295="","",INDEX('قيود اليومية'!$A$11:$A$1010,MATCH($A295,'قيود اليومية'!$O$11:$O$1010,0)))</f>
        <v/>
      </c>
      <c r="D295" s="51" t="str">
        <f aca="false">IF($A295="","",INDEX('قيود اليومية'!$E$11:$E$1010,MATCH($A295,'قيود اليومية'!$O$11:$O$1010,0))&amp;"")</f>
        <v/>
      </c>
      <c r="E295" s="51" t="str">
        <f aca="false">IF($A295="","",INDEX('قيود اليومية'!$F$11:$F$1010,MATCH($A295,'قيود اليومية'!$O$11:$O$1010,0))&amp;"")</f>
        <v/>
      </c>
      <c r="F295" s="85" t="str">
        <f aca="false">IF($A295="","",INDEX('قيود اليومية'!$G$11:$G$1010,MATCH($A295,'قيود اليومية'!$O$11:$O$1010,0)))</f>
        <v/>
      </c>
      <c r="G295" s="85" t="str">
        <f aca="false">IF($A295="","",INDEX('قيود اليومية'!$H$11:$H$1010,MATCH($A295,'قيود اليومية'!$O$11:$O$1010,0)))</f>
        <v/>
      </c>
      <c r="H295" s="63" t="str">
        <f aca="false">IF($A295="","",N(H294)+IF($C$8&lt;&gt;"" ,IF(LEFT($C$8,4)="دائن",G295-F295,F295-G295),0))</f>
        <v/>
      </c>
    </row>
    <row r="296" customFormat="false" ht="15" hidden="false" customHeight="false" outlineLevel="0" collapsed="false">
      <c r="A296" s="82" t="str">
        <f aca="false">IF(ROW()-16&gt;COUNT('قيود اليومية'!$O$11:$O$1010),"",ROW()-16)</f>
        <v/>
      </c>
      <c r="B296" s="83" t="str">
        <f aca="false">IF($A296="","",INDEX('قيود اليومية'!$B$11:$B$1010,MATCH($A296,'قيود اليومية'!$O$11:$O$1010,0)))</f>
        <v/>
      </c>
      <c r="C296" s="84" t="str">
        <f aca="false">IF($A296="","",INDEX('قيود اليومية'!$A$11:$A$1010,MATCH($A296,'قيود اليومية'!$O$11:$O$1010,0)))</f>
        <v/>
      </c>
      <c r="D296" s="51" t="str">
        <f aca="false">IF($A296="","",INDEX('قيود اليومية'!$E$11:$E$1010,MATCH($A296,'قيود اليومية'!$O$11:$O$1010,0))&amp;"")</f>
        <v/>
      </c>
      <c r="E296" s="51" t="str">
        <f aca="false">IF($A296="","",INDEX('قيود اليومية'!$F$11:$F$1010,MATCH($A296,'قيود اليومية'!$O$11:$O$1010,0))&amp;"")</f>
        <v/>
      </c>
      <c r="F296" s="85" t="str">
        <f aca="false">IF($A296="","",INDEX('قيود اليومية'!$G$11:$G$1010,MATCH($A296,'قيود اليومية'!$O$11:$O$1010,0)))</f>
        <v/>
      </c>
      <c r="G296" s="85" t="str">
        <f aca="false">IF($A296="","",INDEX('قيود اليومية'!$H$11:$H$1010,MATCH($A296,'قيود اليومية'!$O$11:$O$1010,0)))</f>
        <v/>
      </c>
      <c r="H296" s="63" t="str">
        <f aca="false">IF($A296="","",N(H295)+IF($C$8&lt;&gt;"" ,IF(LEFT($C$8,4)="دائن",G296-F296,F296-G296),0))</f>
        <v/>
      </c>
    </row>
    <row r="297" customFormat="false" ht="15" hidden="false" customHeight="false" outlineLevel="0" collapsed="false">
      <c r="A297" s="82" t="str">
        <f aca="false">IF(ROW()-16&gt;COUNT('قيود اليومية'!$O$11:$O$1010),"",ROW()-16)</f>
        <v/>
      </c>
      <c r="B297" s="83" t="str">
        <f aca="false">IF($A297="","",INDEX('قيود اليومية'!$B$11:$B$1010,MATCH($A297,'قيود اليومية'!$O$11:$O$1010,0)))</f>
        <v/>
      </c>
      <c r="C297" s="84" t="str">
        <f aca="false">IF($A297="","",INDEX('قيود اليومية'!$A$11:$A$1010,MATCH($A297,'قيود اليومية'!$O$11:$O$1010,0)))</f>
        <v/>
      </c>
      <c r="D297" s="51" t="str">
        <f aca="false">IF($A297="","",INDEX('قيود اليومية'!$E$11:$E$1010,MATCH($A297,'قيود اليومية'!$O$11:$O$1010,0))&amp;"")</f>
        <v/>
      </c>
      <c r="E297" s="51" t="str">
        <f aca="false">IF($A297="","",INDEX('قيود اليومية'!$F$11:$F$1010,MATCH($A297,'قيود اليومية'!$O$11:$O$1010,0))&amp;"")</f>
        <v/>
      </c>
      <c r="F297" s="85" t="str">
        <f aca="false">IF($A297="","",INDEX('قيود اليومية'!$G$11:$G$1010,MATCH($A297,'قيود اليومية'!$O$11:$O$1010,0)))</f>
        <v/>
      </c>
      <c r="G297" s="85" t="str">
        <f aca="false">IF($A297="","",INDEX('قيود اليومية'!$H$11:$H$1010,MATCH($A297,'قيود اليومية'!$O$11:$O$1010,0)))</f>
        <v/>
      </c>
      <c r="H297" s="63" t="str">
        <f aca="false">IF($A297="","",N(H296)+IF($C$8&lt;&gt;"" ,IF(LEFT($C$8,4)="دائن",G297-F297,F297-G297),0))</f>
        <v/>
      </c>
    </row>
    <row r="298" customFormat="false" ht="15" hidden="false" customHeight="false" outlineLevel="0" collapsed="false">
      <c r="A298" s="82" t="str">
        <f aca="false">IF(ROW()-16&gt;COUNT('قيود اليومية'!$O$11:$O$1010),"",ROW()-16)</f>
        <v/>
      </c>
      <c r="B298" s="83" t="str">
        <f aca="false">IF($A298="","",INDEX('قيود اليومية'!$B$11:$B$1010,MATCH($A298,'قيود اليومية'!$O$11:$O$1010,0)))</f>
        <v/>
      </c>
      <c r="C298" s="84" t="str">
        <f aca="false">IF($A298="","",INDEX('قيود اليومية'!$A$11:$A$1010,MATCH($A298,'قيود اليومية'!$O$11:$O$1010,0)))</f>
        <v/>
      </c>
      <c r="D298" s="51" t="str">
        <f aca="false">IF($A298="","",INDEX('قيود اليومية'!$E$11:$E$1010,MATCH($A298,'قيود اليومية'!$O$11:$O$1010,0))&amp;"")</f>
        <v/>
      </c>
      <c r="E298" s="51" t="str">
        <f aca="false">IF($A298="","",INDEX('قيود اليومية'!$F$11:$F$1010,MATCH($A298,'قيود اليومية'!$O$11:$O$1010,0))&amp;"")</f>
        <v/>
      </c>
      <c r="F298" s="85" t="str">
        <f aca="false">IF($A298="","",INDEX('قيود اليومية'!$G$11:$G$1010,MATCH($A298,'قيود اليومية'!$O$11:$O$1010,0)))</f>
        <v/>
      </c>
      <c r="G298" s="85" t="str">
        <f aca="false">IF($A298="","",INDEX('قيود اليومية'!$H$11:$H$1010,MATCH($A298,'قيود اليومية'!$O$11:$O$1010,0)))</f>
        <v/>
      </c>
      <c r="H298" s="63" t="str">
        <f aca="false">IF($A298="","",N(H297)+IF($C$8&lt;&gt;"" ,IF(LEFT($C$8,4)="دائن",G298-F298,F298-G298),0))</f>
        <v/>
      </c>
    </row>
    <row r="299" customFormat="false" ht="15" hidden="false" customHeight="false" outlineLevel="0" collapsed="false">
      <c r="A299" s="82" t="str">
        <f aca="false">IF(ROW()-16&gt;COUNT('قيود اليومية'!$O$11:$O$1010),"",ROW()-16)</f>
        <v/>
      </c>
      <c r="B299" s="83" t="str">
        <f aca="false">IF($A299="","",INDEX('قيود اليومية'!$B$11:$B$1010,MATCH($A299,'قيود اليومية'!$O$11:$O$1010,0)))</f>
        <v/>
      </c>
      <c r="C299" s="84" t="str">
        <f aca="false">IF($A299="","",INDEX('قيود اليومية'!$A$11:$A$1010,MATCH($A299,'قيود اليومية'!$O$11:$O$1010,0)))</f>
        <v/>
      </c>
      <c r="D299" s="51" t="str">
        <f aca="false">IF($A299="","",INDEX('قيود اليومية'!$E$11:$E$1010,MATCH($A299,'قيود اليومية'!$O$11:$O$1010,0))&amp;"")</f>
        <v/>
      </c>
      <c r="E299" s="51" t="str">
        <f aca="false">IF($A299="","",INDEX('قيود اليومية'!$F$11:$F$1010,MATCH($A299,'قيود اليومية'!$O$11:$O$1010,0))&amp;"")</f>
        <v/>
      </c>
      <c r="F299" s="85" t="str">
        <f aca="false">IF($A299="","",INDEX('قيود اليومية'!$G$11:$G$1010,MATCH($A299,'قيود اليومية'!$O$11:$O$1010,0)))</f>
        <v/>
      </c>
      <c r="G299" s="85" t="str">
        <f aca="false">IF($A299="","",INDEX('قيود اليومية'!$H$11:$H$1010,MATCH($A299,'قيود اليومية'!$O$11:$O$1010,0)))</f>
        <v/>
      </c>
      <c r="H299" s="63" t="str">
        <f aca="false">IF($A299="","",N(H298)+IF($C$8&lt;&gt;"" ,IF(LEFT($C$8,4)="دائن",G299-F299,F299-G299),0))</f>
        <v/>
      </c>
    </row>
    <row r="300" customFormat="false" ht="15" hidden="false" customHeight="false" outlineLevel="0" collapsed="false">
      <c r="A300" s="82" t="str">
        <f aca="false">IF(ROW()-16&gt;COUNT('قيود اليومية'!$O$11:$O$1010),"",ROW()-16)</f>
        <v/>
      </c>
      <c r="B300" s="83" t="str">
        <f aca="false">IF($A300="","",INDEX('قيود اليومية'!$B$11:$B$1010,MATCH($A300,'قيود اليومية'!$O$11:$O$1010,0)))</f>
        <v/>
      </c>
      <c r="C300" s="84" t="str">
        <f aca="false">IF($A300="","",INDEX('قيود اليومية'!$A$11:$A$1010,MATCH($A300,'قيود اليومية'!$O$11:$O$1010,0)))</f>
        <v/>
      </c>
      <c r="D300" s="51" t="str">
        <f aca="false">IF($A300="","",INDEX('قيود اليومية'!$E$11:$E$1010,MATCH($A300,'قيود اليومية'!$O$11:$O$1010,0))&amp;"")</f>
        <v/>
      </c>
      <c r="E300" s="51" t="str">
        <f aca="false">IF($A300="","",INDEX('قيود اليومية'!$F$11:$F$1010,MATCH($A300,'قيود اليومية'!$O$11:$O$1010,0))&amp;"")</f>
        <v/>
      </c>
      <c r="F300" s="85" t="str">
        <f aca="false">IF($A300="","",INDEX('قيود اليومية'!$G$11:$G$1010,MATCH($A300,'قيود اليومية'!$O$11:$O$1010,0)))</f>
        <v/>
      </c>
      <c r="G300" s="85" t="str">
        <f aca="false">IF($A300="","",INDEX('قيود اليومية'!$H$11:$H$1010,MATCH($A300,'قيود اليومية'!$O$11:$O$1010,0)))</f>
        <v/>
      </c>
      <c r="H300" s="63" t="str">
        <f aca="false">IF($A300="","",N(H299)+IF($C$8&lt;&gt;"" ,IF(LEFT($C$8,4)="دائن",G300-F300,F300-G300),0))</f>
        <v/>
      </c>
    </row>
    <row r="301" customFormat="false" ht="15" hidden="false" customHeight="false" outlineLevel="0" collapsed="false">
      <c r="A301" s="82" t="str">
        <f aca="false">IF(ROW()-16&gt;COUNT('قيود اليومية'!$O$11:$O$1010),"",ROW()-16)</f>
        <v/>
      </c>
      <c r="B301" s="83" t="str">
        <f aca="false">IF($A301="","",INDEX('قيود اليومية'!$B$11:$B$1010,MATCH($A301,'قيود اليومية'!$O$11:$O$1010,0)))</f>
        <v/>
      </c>
      <c r="C301" s="84" t="str">
        <f aca="false">IF($A301="","",INDEX('قيود اليومية'!$A$11:$A$1010,MATCH($A301,'قيود اليومية'!$O$11:$O$1010,0)))</f>
        <v/>
      </c>
      <c r="D301" s="51" t="str">
        <f aca="false">IF($A301="","",INDEX('قيود اليومية'!$E$11:$E$1010,MATCH($A301,'قيود اليومية'!$O$11:$O$1010,0))&amp;"")</f>
        <v/>
      </c>
      <c r="E301" s="51" t="str">
        <f aca="false">IF($A301="","",INDEX('قيود اليومية'!$F$11:$F$1010,MATCH($A301,'قيود اليومية'!$O$11:$O$1010,0))&amp;"")</f>
        <v/>
      </c>
      <c r="F301" s="85" t="str">
        <f aca="false">IF($A301="","",INDEX('قيود اليومية'!$G$11:$G$1010,MATCH($A301,'قيود اليومية'!$O$11:$O$1010,0)))</f>
        <v/>
      </c>
      <c r="G301" s="85" t="str">
        <f aca="false">IF($A301="","",INDEX('قيود اليومية'!$H$11:$H$1010,MATCH($A301,'قيود اليومية'!$O$11:$O$1010,0)))</f>
        <v/>
      </c>
      <c r="H301" s="63" t="str">
        <f aca="false">IF($A301="","",N(H300)+IF($C$8&lt;&gt;"" ,IF(LEFT($C$8,4)="دائن",G301-F301,F301-G301),0))</f>
        <v/>
      </c>
    </row>
    <row r="302" customFormat="false" ht="15" hidden="false" customHeight="false" outlineLevel="0" collapsed="false">
      <c r="A302" s="82" t="str">
        <f aca="false">IF(ROW()-16&gt;COUNT('قيود اليومية'!$O$11:$O$1010),"",ROW()-16)</f>
        <v/>
      </c>
      <c r="B302" s="83" t="str">
        <f aca="false">IF($A302="","",INDEX('قيود اليومية'!$B$11:$B$1010,MATCH($A302,'قيود اليومية'!$O$11:$O$1010,0)))</f>
        <v/>
      </c>
      <c r="C302" s="84" t="str">
        <f aca="false">IF($A302="","",INDEX('قيود اليومية'!$A$11:$A$1010,MATCH($A302,'قيود اليومية'!$O$11:$O$1010,0)))</f>
        <v/>
      </c>
      <c r="D302" s="51" t="str">
        <f aca="false">IF($A302="","",INDEX('قيود اليومية'!$E$11:$E$1010,MATCH($A302,'قيود اليومية'!$O$11:$O$1010,0))&amp;"")</f>
        <v/>
      </c>
      <c r="E302" s="51" t="str">
        <f aca="false">IF($A302="","",INDEX('قيود اليومية'!$F$11:$F$1010,MATCH($A302,'قيود اليومية'!$O$11:$O$1010,0))&amp;"")</f>
        <v/>
      </c>
      <c r="F302" s="85" t="str">
        <f aca="false">IF($A302="","",INDEX('قيود اليومية'!$G$11:$G$1010,MATCH($A302,'قيود اليومية'!$O$11:$O$1010,0)))</f>
        <v/>
      </c>
      <c r="G302" s="85" t="str">
        <f aca="false">IF($A302="","",INDEX('قيود اليومية'!$H$11:$H$1010,MATCH($A302,'قيود اليومية'!$O$11:$O$1010,0)))</f>
        <v/>
      </c>
      <c r="H302" s="63" t="str">
        <f aca="false">IF($A302="","",N(H301)+IF($C$8&lt;&gt;"" ,IF(LEFT($C$8,4)="دائن",G302-F302,F302-G302),0))</f>
        <v/>
      </c>
    </row>
    <row r="303" customFormat="false" ht="15" hidden="false" customHeight="false" outlineLevel="0" collapsed="false">
      <c r="A303" s="82" t="str">
        <f aca="false">IF(ROW()-16&gt;COUNT('قيود اليومية'!$O$11:$O$1010),"",ROW()-16)</f>
        <v/>
      </c>
      <c r="B303" s="83" t="str">
        <f aca="false">IF($A303="","",INDEX('قيود اليومية'!$B$11:$B$1010,MATCH($A303,'قيود اليومية'!$O$11:$O$1010,0)))</f>
        <v/>
      </c>
      <c r="C303" s="84" t="str">
        <f aca="false">IF($A303="","",INDEX('قيود اليومية'!$A$11:$A$1010,MATCH($A303,'قيود اليومية'!$O$11:$O$1010,0)))</f>
        <v/>
      </c>
      <c r="D303" s="51" t="str">
        <f aca="false">IF($A303="","",INDEX('قيود اليومية'!$E$11:$E$1010,MATCH($A303,'قيود اليومية'!$O$11:$O$1010,0))&amp;"")</f>
        <v/>
      </c>
      <c r="E303" s="51" t="str">
        <f aca="false">IF($A303="","",INDEX('قيود اليومية'!$F$11:$F$1010,MATCH($A303,'قيود اليومية'!$O$11:$O$1010,0))&amp;"")</f>
        <v/>
      </c>
      <c r="F303" s="85" t="str">
        <f aca="false">IF($A303="","",INDEX('قيود اليومية'!$G$11:$G$1010,MATCH($A303,'قيود اليومية'!$O$11:$O$1010,0)))</f>
        <v/>
      </c>
      <c r="G303" s="85" t="str">
        <f aca="false">IF($A303="","",INDEX('قيود اليومية'!$H$11:$H$1010,MATCH($A303,'قيود اليومية'!$O$11:$O$1010,0)))</f>
        <v/>
      </c>
      <c r="H303" s="63" t="str">
        <f aca="false">IF($A303="","",N(H302)+IF($C$8&lt;&gt;"" ,IF(LEFT($C$8,4)="دائن",G303-F303,F303-G303),0))</f>
        <v/>
      </c>
    </row>
    <row r="304" customFormat="false" ht="15" hidden="false" customHeight="false" outlineLevel="0" collapsed="false">
      <c r="A304" s="82" t="str">
        <f aca="false">IF(ROW()-16&gt;COUNT('قيود اليومية'!$O$11:$O$1010),"",ROW()-16)</f>
        <v/>
      </c>
      <c r="B304" s="83" t="str">
        <f aca="false">IF($A304="","",INDEX('قيود اليومية'!$B$11:$B$1010,MATCH($A304,'قيود اليومية'!$O$11:$O$1010,0)))</f>
        <v/>
      </c>
      <c r="C304" s="84" t="str">
        <f aca="false">IF($A304="","",INDEX('قيود اليومية'!$A$11:$A$1010,MATCH($A304,'قيود اليومية'!$O$11:$O$1010,0)))</f>
        <v/>
      </c>
      <c r="D304" s="51" t="str">
        <f aca="false">IF($A304="","",INDEX('قيود اليومية'!$E$11:$E$1010,MATCH($A304,'قيود اليومية'!$O$11:$O$1010,0))&amp;"")</f>
        <v/>
      </c>
      <c r="E304" s="51" t="str">
        <f aca="false">IF($A304="","",INDEX('قيود اليومية'!$F$11:$F$1010,MATCH($A304,'قيود اليومية'!$O$11:$O$1010,0))&amp;"")</f>
        <v/>
      </c>
      <c r="F304" s="85" t="str">
        <f aca="false">IF($A304="","",INDEX('قيود اليومية'!$G$11:$G$1010,MATCH($A304,'قيود اليومية'!$O$11:$O$1010,0)))</f>
        <v/>
      </c>
      <c r="G304" s="85" t="str">
        <f aca="false">IF($A304="","",INDEX('قيود اليومية'!$H$11:$H$1010,MATCH($A304,'قيود اليومية'!$O$11:$O$1010,0)))</f>
        <v/>
      </c>
      <c r="H304" s="63" t="str">
        <f aca="false">IF($A304="","",N(H303)+IF($C$8&lt;&gt;"" ,IF(LEFT($C$8,4)="دائن",G304-F304,F304-G304),0))</f>
        <v/>
      </c>
    </row>
    <row r="305" customFormat="false" ht="15" hidden="false" customHeight="false" outlineLevel="0" collapsed="false">
      <c r="A305" s="82" t="str">
        <f aca="false">IF(ROW()-16&gt;COUNT('قيود اليومية'!$O$11:$O$1010),"",ROW()-16)</f>
        <v/>
      </c>
      <c r="B305" s="83" t="str">
        <f aca="false">IF($A305="","",INDEX('قيود اليومية'!$B$11:$B$1010,MATCH($A305,'قيود اليومية'!$O$11:$O$1010,0)))</f>
        <v/>
      </c>
      <c r="C305" s="84" t="str">
        <f aca="false">IF($A305="","",INDEX('قيود اليومية'!$A$11:$A$1010,MATCH($A305,'قيود اليومية'!$O$11:$O$1010,0)))</f>
        <v/>
      </c>
      <c r="D305" s="51" t="str">
        <f aca="false">IF($A305="","",INDEX('قيود اليومية'!$E$11:$E$1010,MATCH($A305,'قيود اليومية'!$O$11:$O$1010,0))&amp;"")</f>
        <v/>
      </c>
      <c r="E305" s="51" t="str">
        <f aca="false">IF($A305="","",INDEX('قيود اليومية'!$F$11:$F$1010,MATCH($A305,'قيود اليومية'!$O$11:$O$1010,0))&amp;"")</f>
        <v/>
      </c>
      <c r="F305" s="85" t="str">
        <f aca="false">IF($A305="","",INDEX('قيود اليومية'!$G$11:$G$1010,MATCH($A305,'قيود اليومية'!$O$11:$O$1010,0)))</f>
        <v/>
      </c>
      <c r="G305" s="85" t="str">
        <f aca="false">IF($A305="","",INDEX('قيود اليومية'!$H$11:$H$1010,MATCH($A305,'قيود اليومية'!$O$11:$O$1010,0)))</f>
        <v/>
      </c>
      <c r="H305" s="63" t="str">
        <f aca="false">IF($A305="","",N(H304)+IF($C$8&lt;&gt;"" ,IF(LEFT($C$8,4)="دائن",G305-F305,F305-G305),0))</f>
        <v/>
      </c>
    </row>
    <row r="306" customFormat="false" ht="15" hidden="false" customHeight="false" outlineLevel="0" collapsed="false">
      <c r="A306" s="82" t="str">
        <f aca="false">IF(ROW()-16&gt;COUNT('قيود اليومية'!$O$11:$O$1010),"",ROW()-16)</f>
        <v/>
      </c>
      <c r="B306" s="83" t="str">
        <f aca="false">IF($A306="","",INDEX('قيود اليومية'!$B$11:$B$1010,MATCH($A306,'قيود اليومية'!$O$11:$O$1010,0)))</f>
        <v/>
      </c>
      <c r="C306" s="84" t="str">
        <f aca="false">IF($A306="","",INDEX('قيود اليومية'!$A$11:$A$1010,MATCH($A306,'قيود اليومية'!$O$11:$O$1010,0)))</f>
        <v/>
      </c>
      <c r="D306" s="51" t="str">
        <f aca="false">IF($A306="","",INDEX('قيود اليومية'!$E$11:$E$1010,MATCH($A306,'قيود اليومية'!$O$11:$O$1010,0))&amp;"")</f>
        <v/>
      </c>
      <c r="E306" s="51" t="str">
        <f aca="false">IF($A306="","",INDEX('قيود اليومية'!$F$11:$F$1010,MATCH($A306,'قيود اليومية'!$O$11:$O$1010,0))&amp;"")</f>
        <v/>
      </c>
      <c r="F306" s="85" t="str">
        <f aca="false">IF($A306="","",INDEX('قيود اليومية'!$G$11:$G$1010,MATCH($A306,'قيود اليومية'!$O$11:$O$1010,0)))</f>
        <v/>
      </c>
      <c r="G306" s="85" t="str">
        <f aca="false">IF($A306="","",INDEX('قيود اليومية'!$H$11:$H$1010,MATCH($A306,'قيود اليومية'!$O$11:$O$1010,0)))</f>
        <v/>
      </c>
      <c r="H306" s="63" t="str">
        <f aca="false">IF($A306="","",N(H305)+IF($C$8&lt;&gt;"" ,IF(LEFT($C$8,4)="دائن",G306-F306,F306-G306),0))</f>
        <v/>
      </c>
    </row>
    <row r="307" customFormat="false" ht="15" hidden="false" customHeight="false" outlineLevel="0" collapsed="false">
      <c r="A307" s="82" t="str">
        <f aca="false">IF(ROW()-16&gt;COUNT('قيود اليومية'!$O$11:$O$1010),"",ROW()-16)</f>
        <v/>
      </c>
      <c r="B307" s="83" t="str">
        <f aca="false">IF($A307="","",INDEX('قيود اليومية'!$B$11:$B$1010,MATCH($A307,'قيود اليومية'!$O$11:$O$1010,0)))</f>
        <v/>
      </c>
      <c r="C307" s="84" t="str">
        <f aca="false">IF($A307="","",INDEX('قيود اليومية'!$A$11:$A$1010,MATCH($A307,'قيود اليومية'!$O$11:$O$1010,0)))</f>
        <v/>
      </c>
      <c r="D307" s="51" t="str">
        <f aca="false">IF($A307="","",INDEX('قيود اليومية'!$E$11:$E$1010,MATCH($A307,'قيود اليومية'!$O$11:$O$1010,0))&amp;"")</f>
        <v/>
      </c>
      <c r="E307" s="51" t="str">
        <f aca="false">IF($A307="","",INDEX('قيود اليومية'!$F$11:$F$1010,MATCH($A307,'قيود اليومية'!$O$11:$O$1010,0))&amp;"")</f>
        <v/>
      </c>
      <c r="F307" s="85" t="str">
        <f aca="false">IF($A307="","",INDEX('قيود اليومية'!$G$11:$G$1010,MATCH($A307,'قيود اليومية'!$O$11:$O$1010,0)))</f>
        <v/>
      </c>
      <c r="G307" s="85" t="str">
        <f aca="false">IF($A307="","",INDEX('قيود اليومية'!$H$11:$H$1010,MATCH($A307,'قيود اليومية'!$O$11:$O$1010,0)))</f>
        <v/>
      </c>
      <c r="H307" s="63" t="str">
        <f aca="false">IF($A307="","",N(H306)+IF($C$8&lt;&gt;"" ,IF(LEFT($C$8,4)="دائن",G307-F307,F307-G307),0))</f>
        <v/>
      </c>
    </row>
    <row r="308" customFormat="false" ht="15" hidden="false" customHeight="false" outlineLevel="0" collapsed="false">
      <c r="A308" s="82" t="str">
        <f aca="false">IF(ROW()-16&gt;COUNT('قيود اليومية'!$O$11:$O$1010),"",ROW()-16)</f>
        <v/>
      </c>
      <c r="B308" s="83" t="str">
        <f aca="false">IF($A308="","",INDEX('قيود اليومية'!$B$11:$B$1010,MATCH($A308,'قيود اليومية'!$O$11:$O$1010,0)))</f>
        <v/>
      </c>
      <c r="C308" s="84" t="str">
        <f aca="false">IF($A308="","",INDEX('قيود اليومية'!$A$11:$A$1010,MATCH($A308,'قيود اليومية'!$O$11:$O$1010,0)))</f>
        <v/>
      </c>
      <c r="D308" s="51" t="str">
        <f aca="false">IF($A308="","",INDEX('قيود اليومية'!$E$11:$E$1010,MATCH($A308,'قيود اليومية'!$O$11:$O$1010,0))&amp;"")</f>
        <v/>
      </c>
      <c r="E308" s="51" t="str">
        <f aca="false">IF($A308="","",INDEX('قيود اليومية'!$F$11:$F$1010,MATCH($A308,'قيود اليومية'!$O$11:$O$1010,0))&amp;"")</f>
        <v/>
      </c>
      <c r="F308" s="85" t="str">
        <f aca="false">IF($A308="","",INDEX('قيود اليومية'!$G$11:$G$1010,MATCH($A308,'قيود اليومية'!$O$11:$O$1010,0)))</f>
        <v/>
      </c>
      <c r="G308" s="85" t="str">
        <f aca="false">IF($A308="","",INDEX('قيود اليومية'!$H$11:$H$1010,MATCH($A308,'قيود اليومية'!$O$11:$O$1010,0)))</f>
        <v/>
      </c>
      <c r="H308" s="63" t="str">
        <f aca="false">IF($A308="","",N(H307)+IF($C$8&lt;&gt;"" ,IF(LEFT($C$8,4)="دائن",G308-F308,F308-G308),0))</f>
        <v/>
      </c>
    </row>
    <row r="309" customFormat="false" ht="15" hidden="false" customHeight="false" outlineLevel="0" collapsed="false">
      <c r="A309" s="82" t="str">
        <f aca="false">IF(ROW()-16&gt;COUNT('قيود اليومية'!$O$11:$O$1010),"",ROW()-16)</f>
        <v/>
      </c>
      <c r="B309" s="83" t="str">
        <f aca="false">IF($A309="","",INDEX('قيود اليومية'!$B$11:$B$1010,MATCH($A309,'قيود اليومية'!$O$11:$O$1010,0)))</f>
        <v/>
      </c>
      <c r="C309" s="84" t="str">
        <f aca="false">IF($A309="","",INDEX('قيود اليومية'!$A$11:$A$1010,MATCH($A309,'قيود اليومية'!$O$11:$O$1010,0)))</f>
        <v/>
      </c>
      <c r="D309" s="51" t="str">
        <f aca="false">IF($A309="","",INDEX('قيود اليومية'!$E$11:$E$1010,MATCH($A309,'قيود اليومية'!$O$11:$O$1010,0))&amp;"")</f>
        <v/>
      </c>
      <c r="E309" s="51" t="str">
        <f aca="false">IF($A309="","",INDEX('قيود اليومية'!$F$11:$F$1010,MATCH($A309,'قيود اليومية'!$O$11:$O$1010,0))&amp;"")</f>
        <v/>
      </c>
      <c r="F309" s="85" t="str">
        <f aca="false">IF($A309="","",INDEX('قيود اليومية'!$G$11:$G$1010,MATCH($A309,'قيود اليومية'!$O$11:$O$1010,0)))</f>
        <v/>
      </c>
      <c r="G309" s="85" t="str">
        <f aca="false">IF($A309="","",INDEX('قيود اليومية'!$H$11:$H$1010,MATCH($A309,'قيود اليومية'!$O$11:$O$1010,0)))</f>
        <v/>
      </c>
      <c r="H309" s="63" t="str">
        <f aca="false">IF($A309="","",N(H308)+IF($C$8&lt;&gt;"" ,IF(LEFT($C$8,4)="دائن",G309-F309,F309-G309),0))</f>
        <v/>
      </c>
    </row>
    <row r="310" customFormat="false" ht="15" hidden="false" customHeight="false" outlineLevel="0" collapsed="false">
      <c r="A310" s="82" t="str">
        <f aca="false">IF(ROW()-16&gt;COUNT('قيود اليومية'!$O$11:$O$1010),"",ROW()-16)</f>
        <v/>
      </c>
      <c r="B310" s="83" t="str">
        <f aca="false">IF($A310="","",INDEX('قيود اليومية'!$B$11:$B$1010,MATCH($A310,'قيود اليومية'!$O$11:$O$1010,0)))</f>
        <v/>
      </c>
      <c r="C310" s="84" t="str">
        <f aca="false">IF($A310="","",INDEX('قيود اليومية'!$A$11:$A$1010,MATCH($A310,'قيود اليومية'!$O$11:$O$1010,0)))</f>
        <v/>
      </c>
      <c r="D310" s="51" t="str">
        <f aca="false">IF($A310="","",INDEX('قيود اليومية'!$E$11:$E$1010,MATCH($A310,'قيود اليومية'!$O$11:$O$1010,0))&amp;"")</f>
        <v/>
      </c>
      <c r="E310" s="51" t="str">
        <f aca="false">IF($A310="","",INDEX('قيود اليومية'!$F$11:$F$1010,MATCH($A310,'قيود اليومية'!$O$11:$O$1010,0))&amp;"")</f>
        <v/>
      </c>
      <c r="F310" s="85" t="str">
        <f aca="false">IF($A310="","",INDEX('قيود اليومية'!$G$11:$G$1010,MATCH($A310,'قيود اليومية'!$O$11:$O$1010,0)))</f>
        <v/>
      </c>
      <c r="G310" s="85" t="str">
        <f aca="false">IF($A310="","",INDEX('قيود اليومية'!$H$11:$H$1010,MATCH($A310,'قيود اليومية'!$O$11:$O$1010,0)))</f>
        <v/>
      </c>
      <c r="H310" s="63" t="str">
        <f aca="false">IF($A310="","",N(H309)+IF($C$8&lt;&gt;"" ,IF(LEFT($C$8,4)="دائن",G310-F310,F310-G310),0))</f>
        <v/>
      </c>
    </row>
    <row r="311" customFormat="false" ht="15" hidden="false" customHeight="false" outlineLevel="0" collapsed="false">
      <c r="A311" s="82" t="str">
        <f aca="false">IF(ROW()-16&gt;COUNT('قيود اليومية'!$O$11:$O$1010),"",ROW()-16)</f>
        <v/>
      </c>
      <c r="B311" s="83" t="str">
        <f aca="false">IF($A311="","",INDEX('قيود اليومية'!$B$11:$B$1010,MATCH($A311,'قيود اليومية'!$O$11:$O$1010,0)))</f>
        <v/>
      </c>
      <c r="C311" s="84" t="str">
        <f aca="false">IF($A311="","",INDEX('قيود اليومية'!$A$11:$A$1010,MATCH($A311,'قيود اليومية'!$O$11:$O$1010,0)))</f>
        <v/>
      </c>
      <c r="D311" s="51" t="str">
        <f aca="false">IF($A311="","",INDEX('قيود اليومية'!$E$11:$E$1010,MATCH($A311,'قيود اليومية'!$O$11:$O$1010,0))&amp;"")</f>
        <v/>
      </c>
      <c r="E311" s="51" t="str">
        <f aca="false">IF($A311="","",INDEX('قيود اليومية'!$F$11:$F$1010,MATCH($A311,'قيود اليومية'!$O$11:$O$1010,0))&amp;"")</f>
        <v/>
      </c>
      <c r="F311" s="85" t="str">
        <f aca="false">IF($A311="","",INDEX('قيود اليومية'!$G$11:$G$1010,MATCH($A311,'قيود اليومية'!$O$11:$O$1010,0)))</f>
        <v/>
      </c>
      <c r="G311" s="85" t="str">
        <f aca="false">IF($A311="","",INDEX('قيود اليومية'!$H$11:$H$1010,MATCH($A311,'قيود اليومية'!$O$11:$O$1010,0)))</f>
        <v/>
      </c>
      <c r="H311" s="63" t="str">
        <f aca="false">IF($A311="","",N(H310)+IF($C$8&lt;&gt;"" ,IF(LEFT($C$8,4)="دائن",G311-F311,F311-G311),0))</f>
        <v/>
      </c>
    </row>
    <row r="312" customFormat="false" ht="15" hidden="false" customHeight="false" outlineLevel="0" collapsed="false">
      <c r="A312" s="82" t="str">
        <f aca="false">IF(ROW()-16&gt;COUNT('قيود اليومية'!$O$11:$O$1010),"",ROW()-16)</f>
        <v/>
      </c>
      <c r="B312" s="83" t="str">
        <f aca="false">IF($A312="","",INDEX('قيود اليومية'!$B$11:$B$1010,MATCH($A312,'قيود اليومية'!$O$11:$O$1010,0)))</f>
        <v/>
      </c>
      <c r="C312" s="84" t="str">
        <f aca="false">IF($A312="","",INDEX('قيود اليومية'!$A$11:$A$1010,MATCH($A312,'قيود اليومية'!$O$11:$O$1010,0)))</f>
        <v/>
      </c>
      <c r="D312" s="51" t="str">
        <f aca="false">IF($A312="","",INDEX('قيود اليومية'!$E$11:$E$1010,MATCH($A312,'قيود اليومية'!$O$11:$O$1010,0))&amp;"")</f>
        <v/>
      </c>
      <c r="E312" s="51" t="str">
        <f aca="false">IF($A312="","",INDEX('قيود اليومية'!$F$11:$F$1010,MATCH($A312,'قيود اليومية'!$O$11:$O$1010,0))&amp;"")</f>
        <v/>
      </c>
      <c r="F312" s="85" t="str">
        <f aca="false">IF($A312="","",INDEX('قيود اليومية'!$G$11:$G$1010,MATCH($A312,'قيود اليومية'!$O$11:$O$1010,0)))</f>
        <v/>
      </c>
      <c r="G312" s="85" t="str">
        <f aca="false">IF($A312="","",INDEX('قيود اليومية'!$H$11:$H$1010,MATCH($A312,'قيود اليومية'!$O$11:$O$1010,0)))</f>
        <v/>
      </c>
      <c r="H312" s="63" t="str">
        <f aca="false">IF($A312="","",N(H311)+IF($C$8&lt;&gt;"" ,IF(LEFT($C$8,4)="دائن",G312-F312,F312-G312),0))</f>
        <v/>
      </c>
    </row>
    <row r="313" customFormat="false" ht="15" hidden="false" customHeight="false" outlineLevel="0" collapsed="false">
      <c r="A313" s="82" t="str">
        <f aca="false">IF(ROW()-16&gt;COUNT('قيود اليومية'!$O$11:$O$1010),"",ROW()-16)</f>
        <v/>
      </c>
      <c r="B313" s="83" t="str">
        <f aca="false">IF($A313="","",INDEX('قيود اليومية'!$B$11:$B$1010,MATCH($A313,'قيود اليومية'!$O$11:$O$1010,0)))</f>
        <v/>
      </c>
      <c r="C313" s="84" t="str">
        <f aca="false">IF($A313="","",INDEX('قيود اليومية'!$A$11:$A$1010,MATCH($A313,'قيود اليومية'!$O$11:$O$1010,0)))</f>
        <v/>
      </c>
      <c r="D313" s="51" t="str">
        <f aca="false">IF($A313="","",INDEX('قيود اليومية'!$E$11:$E$1010,MATCH($A313,'قيود اليومية'!$O$11:$O$1010,0))&amp;"")</f>
        <v/>
      </c>
      <c r="E313" s="51" t="str">
        <f aca="false">IF($A313="","",INDEX('قيود اليومية'!$F$11:$F$1010,MATCH($A313,'قيود اليومية'!$O$11:$O$1010,0))&amp;"")</f>
        <v/>
      </c>
      <c r="F313" s="85" t="str">
        <f aca="false">IF($A313="","",INDEX('قيود اليومية'!$G$11:$G$1010,MATCH($A313,'قيود اليومية'!$O$11:$O$1010,0)))</f>
        <v/>
      </c>
      <c r="G313" s="85" t="str">
        <f aca="false">IF($A313="","",INDEX('قيود اليومية'!$H$11:$H$1010,MATCH($A313,'قيود اليومية'!$O$11:$O$1010,0)))</f>
        <v/>
      </c>
      <c r="H313" s="63" t="str">
        <f aca="false">IF($A313="","",N(H312)+IF($C$8&lt;&gt;"" ,IF(LEFT($C$8,4)="دائن",G313-F313,F313-G313),0))</f>
        <v/>
      </c>
    </row>
    <row r="314" customFormat="false" ht="15" hidden="false" customHeight="false" outlineLevel="0" collapsed="false">
      <c r="A314" s="82" t="str">
        <f aca="false">IF(ROW()-16&gt;COUNT('قيود اليومية'!$O$11:$O$1010),"",ROW()-16)</f>
        <v/>
      </c>
      <c r="B314" s="83" t="str">
        <f aca="false">IF($A314="","",INDEX('قيود اليومية'!$B$11:$B$1010,MATCH($A314,'قيود اليومية'!$O$11:$O$1010,0)))</f>
        <v/>
      </c>
      <c r="C314" s="84" t="str">
        <f aca="false">IF($A314="","",INDEX('قيود اليومية'!$A$11:$A$1010,MATCH($A314,'قيود اليومية'!$O$11:$O$1010,0)))</f>
        <v/>
      </c>
      <c r="D314" s="51" t="str">
        <f aca="false">IF($A314="","",INDEX('قيود اليومية'!$E$11:$E$1010,MATCH($A314,'قيود اليومية'!$O$11:$O$1010,0))&amp;"")</f>
        <v/>
      </c>
      <c r="E314" s="51" t="str">
        <f aca="false">IF($A314="","",INDEX('قيود اليومية'!$F$11:$F$1010,MATCH($A314,'قيود اليومية'!$O$11:$O$1010,0))&amp;"")</f>
        <v/>
      </c>
      <c r="F314" s="85" t="str">
        <f aca="false">IF($A314="","",INDEX('قيود اليومية'!$G$11:$G$1010,MATCH($A314,'قيود اليومية'!$O$11:$O$1010,0)))</f>
        <v/>
      </c>
      <c r="G314" s="85" t="str">
        <f aca="false">IF($A314="","",INDEX('قيود اليومية'!$H$11:$H$1010,MATCH($A314,'قيود اليومية'!$O$11:$O$1010,0)))</f>
        <v/>
      </c>
      <c r="H314" s="63" t="str">
        <f aca="false">IF($A314="","",N(H313)+IF($C$8&lt;&gt;"" ,IF(LEFT($C$8,4)="دائن",G314-F314,F314-G314),0))</f>
        <v/>
      </c>
    </row>
    <row r="315" customFormat="false" ht="15" hidden="false" customHeight="false" outlineLevel="0" collapsed="false">
      <c r="A315" s="82" t="str">
        <f aca="false">IF(ROW()-16&gt;COUNT('قيود اليومية'!$O$11:$O$1010),"",ROW()-16)</f>
        <v/>
      </c>
      <c r="B315" s="83" t="str">
        <f aca="false">IF($A315="","",INDEX('قيود اليومية'!$B$11:$B$1010,MATCH($A315,'قيود اليومية'!$O$11:$O$1010,0)))</f>
        <v/>
      </c>
      <c r="C315" s="84" t="str">
        <f aca="false">IF($A315="","",INDEX('قيود اليومية'!$A$11:$A$1010,MATCH($A315,'قيود اليومية'!$O$11:$O$1010,0)))</f>
        <v/>
      </c>
      <c r="D315" s="51" t="str">
        <f aca="false">IF($A315="","",INDEX('قيود اليومية'!$E$11:$E$1010,MATCH($A315,'قيود اليومية'!$O$11:$O$1010,0))&amp;"")</f>
        <v/>
      </c>
      <c r="E315" s="51" t="str">
        <f aca="false">IF($A315="","",INDEX('قيود اليومية'!$F$11:$F$1010,MATCH($A315,'قيود اليومية'!$O$11:$O$1010,0))&amp;"")</f>
        <v/>
      </c>
      <c r="F315" s="85" t="str">
        <f aca="false">IF($A315="","",INDEX('قيود اليومية'!$G$11:$G$1010,MATCH($A315,'قيود اليومية'!$O$11:$O$1010,0)))</f>
        <v/>
      </c>
      <c r="G315" s="85" t="str">
        <f aca="false">IF($A315="","",INDEX('قيود اليومية'!$H$11:$H$1010,MATCH($A315,'قيود اليومية'!$O$11:$O$1010,0)))</f>
        <v/>
      </c>
      <c r="H315" s="63" t="str">
        <f aca="false">IF($A315="","",N(H314)+IF($C$8&lt;&gt;"" ,IF(LEFT($C$8,4)="دائن",G315-F315,F315-G315),0))</f>
        <v/>
      </c>
    </row>
    <row r="316" customFormat="false" ht="15" hidden="false" customHeight="false" outlineLevel="0" collapsed="false">
      <c r="A316" s="82" t="str">
        <f aca="false">IF(ROW()-16&gt;COUNT('قيود اليومية'!$O$11:$O$1010),"",ROW()-16)</f>
        <v/>
      </c>
      <c r="B316" s="83" t="str">
        <f aca="false">IF($A316="","",INDEX('قيود اليومية'!$B$11:$B$1010,MATCH($A316,'قيود اليومية'!$O$11:$O$1010,0)))</f>
        <v/>
      </c>
      <c r="C316" s="84" t="str">
        <f aca="false">IF($A316="","",INDEX('قيود اليومية'!$A$11:$A$1010,MATCH($A316,'قيود اليومية'!$O$11:$O$1010,0)))</f>
        <v/>
      </c>
      <c r="D316" s="51" t="str">
        <f aca="false">IF($A316="","",INDEX('قيود اليومية'!$E$11:$E$1010,MATCH($A316,'قيود اليومية'!$O$11:$O$1010,0))&amp;"")</f>
        <v/>
      </c>
      <c r="E316" s="51" t="str">
        <f aca="false">IF($A316="","",INDEX('قيود اليومية'!$F$11:$F$1010,MATCH($A316,'قيود اليومية'!$O$11:$O$1010,0))&amp;"")</f>
        <v/>
      </c>
      <c r="F316" s="85" t="str">
        <f aca="false">IF($A316="","",INDEX('قيود اليومية'!$G$11:$G$1010,MATCH($A316,'قيود اليومية'!$O$11:$O$1010,0)))</f>
        <v/>
      </c>
      <c r="G316" s="85" t="str">
        <f aca="false">IF($A316="","",INDEX('قيود اليومية'!$H$11:$H$1010,MATCH($A316,'قيود اليومية'!$O$11:$O$1010,0)))</f>
        <v/>
      </c>
      <c r="H316" s="63" t="str">
        <f aca="false">IF($A316="","",N(H315)+IF($C$8&lt;&gt;"" ,IF(LEFT($C$8,4)="دائن",G316-F316,F316-G316),0))</f>
        <v/>
      </c>
    </row>
  </sheetData>
  <mergeCells count="11">
    <mergeCell ref="A1:H1"/>
    <mergeCell ref="A2:H2"/>
    <mergeCell ref="A5:B5"/>
    <mergeCell ref="F5:G5"/>
    <mergeCell ref="A6:B6"/>
    <mergeCell ref="F6:G6"/>
    <mergeCell ref="A7:B7"/>
    <mergeCell ref="C7:D7"/>
    <mergeCell ref="A8:B8"/>
    <mergeCell ref="C8:D8"/>
    <mergeCell ref="E8:H8"/>
  </mergeCells>
  <conditionalFormatting sqref="A17:G316">
    <cfRule type="expression" priority="2" aboveAverage="0" equalAverage="0" bottom="0" percent="0" rank="0" text="" dxfId="21">
      <formula>AND($A17&lt;&gt;"",MOD($A17,2)=0)</formula>
    </cfRule>
  </conditionalFormatting>
  <dataValidations count="1">
    <dataValidation allowBlank="true" error="من فضلك اختر قيمة من القائمة المنسدلة." errorStyle="stop" errorTitle="قيمة غير مسموحة" operator="between" prompt="اختر رقم الحساب لعرض حركته" promptTitle="الحساب" showDropDown="false" showErrorMessage="true" showInputMessage="true" sqref="C6" type="list">
      <formula1>ACC_NO</formula1>
      <formula2>0</formula2>
    </dataValidation>
  </dataValidations>
  <hyperlinks>
    <hyperlink ref="A3" location="'الرئيسية'!A1" display="🏠 الرئيسية"/>
    <hyperlink ref="B3" location="'شجرة الحسابات'!A1" display="🌳 الشجرة"/>
    <hyperlink ref="C3" location="'قيود اليومية'!A1" display="✍ القيود"/>
    <hyperlink ref="D3" location="'تجميع المشروعات'!A1" display="🏗 المشروعات"/>
    <hyperlink ref="E3" location="'كشف حساب مشروع'!A1" display="📄 كشف مشروع"/>
    <hyperlink ref="F3" location="'ميزان المراجعة'!A1" display="⚖ الميزان"/>
    <hyperlink ref="G3" location="'قائمة الدخل'!A1" display="📈 الدخل"/>
    <hyperlink ref="H3" location="'المركز المالي'!A1" display="🏦 المركز المالي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true"/>
  </sheetPr>
  <dimension ref="A1:K210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6" min="3" style="0" width="18"/>
    <col collapsed="false" customWidth="true" hidden="false" outlineLevel="1" max="7" min="7" style="0" width="10"/>
    <col collapsed="false" customWidth="true" hidden="false" outlineLevel="1" max="8" min="8" style="0" width="13"/>
    <col collapsed="false" customWidth="true" hidden="false" outlineLevel="1" max="9" min="9" style="0" width="34"/>
    <col collapsed="false" customWidth="true" hidden="false" outlineLevel="1" max="10" min="10" style="0" width="12"/>
    <col collapsed="false" customWidth="true" hidden="false" outlineLevel="1" max="11" min="11" style="0" width="16"/>
  </cols>
  <sheetData>
    <row r="1" customFormat="false" ht="37.5" hidden="false" customHeight="true" outlineLevel="0" collapsed="false">
      <c r="A1" s="1" t="s">
        <v>274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tr">
        <f aca="false">الرئيسية!$C$6&amp;"   |   الفترة المنتهية في: "&amp;TEXT(الرئيسية!$C$7,"yyyy/mm/dd")&amp;"   |   المبالغ بـ "&amp;الرئيسية!$G$7</f>
        <v>شركة الإعمار الحديثة للمقاولات العامة   |   الفترة المنتهية في: 2026/03/31   |   المبالغ بـ ريال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26" t="s">
        <v>42</v>
      </c>
      <c r="B3" s="16" t="s">
        <v>149</v>
      </c>
      <c r="C3" s="16" t="s">
        <v>43</v>
      </c>
      <c r="D3" s="16" t="s">
        <v>44</v>
      </c>
      <c r="E3" s="16" t="s">
        <v>45</v>
      </c>
      <c r="F3" s="16" t="s">
        <v>46</v>
      </c>
    </row>
    <row r="4" customFormat="false" ht="7.5" hidden="false" customHeight="true" outlineLevel="0" collapsed="false"/>
    <row r="5" customFormat="false" ht="21.75" hidden="false" customHeight="true" outlineLevel="0" collapsed="false">
      <c r="A5" s="8" t="s">
        <v>15</v>
      </c>
      <c r="B5" s="8"/>
      <c r="C5" s="7" t="s">
        <v>275</v>
      </c>
      <c r="D5" s="7" t="s">
        <v>276</v>
      </c>
      <c r="E5" s="13" t="s">
        <v>277</v>
      </c>
      <c r="F5" s="13"/>
    </row>
    <row r="6" customFormat="false" ht="30" hidden="false" customHeight="true" outlineLevel="0" collapsed="false">
      <c r="A6" s="89" t="str">
        <f aca="false">IF(AND(ROUND(C209-D209,2)=0,ROUND(E209-F209,2)=0),"✔ الميزان متوازن","✖ الميزان غير متوازن")</f>
        <v>✔ الميزان متوازن</v>
      </c>
      <c r="B6" s="89"/>
      <c r="C6" s="86" t="n">
        <f aca="false">ROUND(C209-D209,2)</f>
        <v>0</v>
      </c>
      <c r="D6" s="86" t="n">
        <f aca="false">ROUND(E209-F209,2)</f>
        <v>0</v>
      </c>
      <c r="E6" s="15" t="n">
        <f aca="false">'قيود اليومية'!$I$6</f>
        <v>1</v>
      </c>
      <c r="F6" s="15"/>
    </row>
    <row r="7" customFormat="false" ht="27.75" hidden="false" customHeight="true" outlineLevel="0" collapsed="false">
      <c r="A7" s="30" t="s">
        <v>278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customFormat="false" ht="33.75" hidden="false" customHeight="true" outlineLevel="0" collapsed="false">
      <c r="A8" s="31" t="s">
        <v>58</v>
      </c>
      <c r="B8" s="31" t="s">
        <v>59</v>
      </c>
      <c r="C8" s="31" t="s">
        <v>279</v>
      </c>
      <c r="D8" s="31" t="s">
        <v>280</v>
      </c>
      <c r="E8" s="31" t="s">
        <v>281</v>
      </c>
      <c r="F8" s="31" t="s">
        <v>282</v>
      </c>
      <c r="G8" s="48" t="s">
        <v>60</v>
      </c>
      <c r="H8" s="48" t="s">
        <v>62</v>
      </c>
      <c r="I8" s="48" t="s">
        <v>283</v>
      </c>
      <c r="J8" s="48" t="s">
        <v>165</v>
      </c>
      <c r="K8" s="48" t="s">
        <v>284</v>
      </c>
    </row>
    <row r="9" customFormat="false" ht="15" hidden="false" customHeight="false" outlineLevel="0" collapsed="false">
      <c r="A9" s="90" t="n">
        <f aca="false">IF('شجرة الحسابات'!A9="","",'شجرة الحسابات'!A9)</f>
        <v>1</v>
      </c>
      <c r="B9" s="51" t="str">
        <f aca="false">IF($A9="","",'شجرة الحسابات'!B9)</f>
        <v>الأصول</v>
      </c>
      <c r="C9" s="85" t="n">
        <f aca="false">IF($A9="","",IF($G9="تحليلي",SUMIFS('قيود اليومية'!$G$11:$G$1010,'قيود اليومية'!$C$11:$C$1010,$A9,'قيود اليومية'!$I$11:$I$1010,"مرحل ✔"),SUMPRODUCT((LEFT('قيود اليومية'!$C$11:$C$1010&amp;"",LEN($A9&amp;""))=$A9&amp;"")*('قيود اليومية'!$I$11:$I$1010="مرحل ✔")*'قيود اليومية'!$G$11:$G$1010)))</f>
        <v>9943000</v>
      </c>
      <c r="D9" s="85" t="n">
        <f aca="false">IF($A9="","",IF($G9="تحليلي",SUMIFS('قيود اليومية'!$H$11:$H$1010,'قيود اليومية'!$C$11:$C$1010,$A9,'قيود اليومية'!$I$11:$I$1010,"مرحل ✔"),SUMPRODUCT((LEFT('قيود اليومية'!$C$11:$C$1010&amp;"",LEN($A9&amp;""))=$A9&amp;"")*('قيود اليومية'!$I$11:$I$1010="مرحل ✔")*'قيود اليومية'!$H$11:$H$1010)))</f>
        <v>4610700</v>
      </c>
      <c r="E9" s="91" t="n">
        <f aca="false">IF($A9="","",MAX(C9-D9,0))</f>
        <v>5332300</v>
      </c>
      <c r="F9" s="91" t="n">
        <f aca="false">IF($A9="","",MAX(D9-C9,0))</f>
        <v>0</v>
      </c>
      <c r="G9" s="55" t="str">
        <f aca="false">IF($A9="","",'شجرة الحسابات'!C9&amp;"")</f>
        <v>رئيسي</v>
      </c>
      <c r="H9" s="55" t="str">
        <f aca="false">IF($A9="","",'شجرة الحسابات'!E9&amp;"")</f>
        <v>الأصول</v>
      </c>
      <c r="I9" s="55" t="str">
        <f aca="false">IF($A9="","",'شجرة الحسابات'!H9&amp;"")</f>
        <v/>
      </c>
      <c r="J9" s="55" t="str">
        <f aca="false">IF($A9="","",'شجرة الحسابات'!I9&amp;"")</f>
        <v/>
      </c>
      <c r="K9" s="92" t="str">
        <f aca="false">IF(OR($A9="",$G9&lt;&gt;"تحليلي"),"",E9-F9)</f>
        <v/>
      </c>
    </row>
    <row r="10" customFormat="false" ht="15" hidden="false" customHeight="false" outlineLevel="0" collapsed="false">
      <c r="A10" s="90" t="n">
        <f aca="false">IF('شجرة الحسابات'!A10="","",'شجرة الحسابات'!A10)</f>
        <v>11</v>
      </c>
      <c r="B10" s="51" t="str">
        <f aca="false">IF($A10="","",'شجرة الحسابات'!B10)</f>
        <v>الأصول المتداولة</v>
      </c>
      <c r="C10" s="85" t="n">
        <f aca="false">IF($A10="","",IF($G10="تحليلي",SUMIFS('قيود اليومية'!$G$11:$G$1010,'قيود اليومية'!$C$11:$C$1010,$A10,'قيود اليومية'!$I$11:$I$1010,"مرحل ✔"),SUMPRODUCT((LEFT('قيود اليومية'!$C$11:$C$1010&amp;"",LEN($A10&amp;""))=$A10&amp;"")*('قيود اليومية'!$I$11:$I$1010="مرحل ✔")*'قيود اليومية'!$G$11:$G$1010)))</f>
        <v>8413000</v>
      </c>
      <c r="D10" s="85" t="n">
        <f aca="false">IF($A10="","",IF($G10="تحليلي",SUMIFS('قيود اليومية'!$H$11:$H$1010,'قيود اليومية'!$C$11:$C$1010,$A10,'قيود اليومية'!$I$11:$I$1010,"مرحل ✔"),SUMPRODUCT((LEFT('قيود اليومية'!$C$11:$C$1010&amp;"",LEN($A10&amp;""))=$A10&amp;"")*('قيود اليومية'!$I$11:$I$1010="مرحل ✔")*'قيود اليومية'!$H$11:$H$1010)))</f>
        <v>4575700</v>
      </c>
      <c r="E10" s="91" t="n">
        <f aca="false">IF($A10="","",MAX(C10-D10,0))</f>
        <v>3837300</v>
      </c>
      <c r="F10" s="91" t="n">
        <f aca="false">IF($A10="","",MAX(D10-C10,0))</f>
        <v>0</v>
      </c>
      <c r="G10" s="55" t="str">
        <f aca="false">IF($A10="","",'شجرة الحسابات'!C10&amp;"")</f>
        <v>فرعي</v>
      </c>
      <c r="H10" s="55" t="str">
        <f aca="false">IF($A10="","",'شجرة الحسابات'!E10&amp;"")</f>
        <v>الأصول</v>
      </c>
      <c r="I10" s="55" t="str">
        <f aca="false">IF($A10="","",'شجرة الحسابات'!H10&amp;"")</f>
        <v/>
      </c>
      <c r="J10" s="55" t="str">
        <f aca="false">IF($A10="","",'شجرة الحسابات'!I10&amp;"")</f>
        <v/>
      </c>
      <c r="K10" s="92" t="str">
        <f aca="false">IF(OR($A10="",$G10&lt;&gt;"تحليلي"),"",E10-F10)</f>
        <v/>
      </c>
    </row>
    <row r="11" customFormat="false" ht="15" hidden="false" customHeight="false" outlineLevel="0" collapsed="false">
      <c r="A11" s="90" t="n">
        <f aca="false">IF('شجرة الحسابات'!A11="","",'شجرة الحسابات'!A11)</f>
        <v>1101</v>
      </c>
      <c r="B11" s="51" t="str">
        <f aca="false">IF($A11="","",'شجرة الحسابات'!B11)</f>
        <v>الصندوق (النقدية بالخزينة)</v>
      </c>
      <c r="C11" s="85" t="n">
        <f aca="false">IF($A11="","",IF($G11="تحليلي",SUMIFS('قيود اليومية'!$G$11:$G$1010,'قيود اليومية'!$C$11:$C$1010,$A11,'قيود اليومية'!$I$11:$I$1010,"مرحل ✔"),SUMPRODUCT((LEFT('قيود اليومية'!$C$11:$C$1010&amp;"",LEN($A11&amp;""))=$A11&amp;"")*('قيود اليومية'!$I$11:$I$1010="مرحل ✔")*'قيود اليومية'!$G$11:$G$1010)))</f>
        <v>88000</v>
      </c>
      <c r="D11" s="85" t="n">
        <f aca="false">IF($A11="","",IF($G11="تحليلي",SUMIFS('قيود اليومية'!$H$11:$H$1010,'قيود اليومية'!$C$11:$C$1010,$A11,'قيود اليومية'!$I$11:$I$1010,"مرحل ✔"),SUMPRODUCT((LEFT('قيود اليومية'!$C$11:$C$1010&amp;"",LEN($A11&amp;""))=$A11&amp;"")*('قيود اليومية'!$I$11:$I$1010="مرحل ✔")*'قيود اليومية'!$H$11:$H$1010)))</f>
        <v>62500</v>
      </c>
      <c r="E11" s="91" t="n">
        <f aca="false">IF($A11="","",MAX(C11-D11,0))</f>
        <v>25500</v>
      </c>
      <c r="F11" s="91" t="n">
        <f aca="false">IF($A11="","",MAX(D11-C11,0))</f>
        <v>0</v>
      </c>
      <c r="G11" s="55" t="str">
        <f aca="false">IF($A11="","",'شجرة الحسابات'!C11&amp;"")</f>
        <v>تحليلي</v>
      </c>
      <c r="H11" s="55" t="str">
        <f aca="false">IF($A11="","",'شجرة الحسابات'!E11&amp;"")</f>
        <v>الأصول</v>
      </c>
      <c r="I11" s="55" t="str">
        <f aca="false">IF($A11="","",'شجرة الحسابات'!H11&amp;"")</f>
        <v>النقدية وما في حكمها</v>
      </c>
      <c r="J11" s="55" t="str">
        <f aca="false">IF($A11="","",'شجرة الحسابات'!I11&amp;"")</f>
        <v/>
      </c>
      <c r="K11" s="92" t="n">
        <f aca="false">IF(OR($A11="",$G11&lt;&gt;"تحليلي"),"",E11-F11)</f>
        <v>25500</v>
      </c>
    </row>
    <row r="12" customFormat="false" ht="15" hidden="false" customHeight="false" outlineLevel="0" collapsed="false">
      <c r="A12" s="90" t="n">
        <f aca="false">IF('شجرة الحسابات'!A12="","",'شجرة الحسابات'!A12)</f>
        <v>1102</v>
      </c>
      <c r="B12" s="51" t="str">
        <f aca="false">IF($A12="","",'شجرة الحسابات'!B12)</f>
        <v>البنك - الحساب الجاري</v>
      </c>
      <c r="C12" s="85" t="n">
        <f aca="false">IF($A12="","",IF($G12="تحليلي",SUMIFS('قيود اليومية'!$G$11:$G$1010,'قيود اليومية'!$C$11:$C$1010,$A12,'قيود اليومية'!$I$11:$I$1010,"مرحل ✔"),SUMPRODUCT((LEFT('قيود اليومية'!$C$11:$C$1010&amp;"",LEN($A12&amp;""))=$A12&amp;"")*('قيود اليومية'!$I$11:$I$1010="مرحل ✔")*'قيود اليومية'!$G$11:$G$1010)))</f>
        <v>5695000</v>
      </c>
      <c r="D12" s="85" t="n">
        <f aca="false">IF($A12="","",IF($G12="تحليلي",SUMIFS('قيود اليومية'!$H$11:$H$1010,'قيود اليومية'!$C$11:$C$1010,$A12,'قيود اليومية'!$I$11:$I$1010,"مرحل ✔"),SUMPRODUCT((LEFT('قيود اليومية'!$C$11:$C$1010&amp;"",LEN($A12&amp;""))=$A12&amp;"")*('قيود اليومية'!$I$11:$I$1010="مرحل ✔")*'قيود اليومية'!$H$11:$H$1010)))</f>
        <v>2828200</v>
      </c>
      <c r="E12" s="91" t="n">
        <f aca="false">IF($A12="","",MAX(C12-D12,0))</f>
        <v>2866800</v>
      </c>
      <c r="F12" s="91" t="n">
        <f aca="false">IF($A12="","",MAX(D12-C12,0))</f>
        <v>0</v>
      </c>
      <c r="G12" s="55" t="str">
        <f aca="false">IF($A12="","",'شجرة الحسابات'!C12&amp;"")</f>
        <v>تحليلي</v>
      </c>
      <c r="H12" s="55" t="str">
        <f aca="false">IF($A12="","",'شجرة الحسابات'!E12&amp;"")</f>
        <v>الأصول</v>
      </c>
      <c r="I12" s="55" t="str">
        <f aca="false">IF($A12="","",'شجرة الحسابات'!H12&amp;"")</f>
        <v>النقدية وما في حكمها</v>
      </c>
      <c r="J12" s="55" t="str">
        <f aca="false">IF($A12="","",'شجرة الحسابات'!I12&amp;"")</f>
        <v/>
      </c>
      <c r="K12" s="92" t="n">
        <f aca="false">IF(OR($A12="",$G12&lt;&gt;"تحليلي"),"",E12-F12)</f>
        <v>2866800</v>
      </c>
    </row>
    <row r="13" customFormat="false" ht="15" hidden="false" customHeight="false" outlineLevel="0" collapsed="false">
      <c r="A13" s="90" t="n">
        <f aca="false">IF('شجرة الحسابات'!A13="","",'شجرة الحسابات'!A13)</f>
        <v>1103</v>
      </c>
      <c r="B13" s="51" t="str">
        <f aca="false">IF($A13="","",'شجرة الحسابات'!B13)</f>
        <v>عملاء المقاولات</v>
      </c>
      <c r="C13" s="85" t="n">
        <f aca="false">IF($A13="","",IF($G13="تحليلي",SUMIFS('قيود اليومية'!$G$11:$G$1010,'قيود اليومية'!$C$11:$C$1010,$A13,'قيود اليومية'!$I$11:$I$1010,"مرحل ✔"),SUMPRODUCT((LEFT('قيود اليومية'!$C$11:$C$1010&amp;"",LEN($A13&amp;""))=$A13&amp;"")*('قيود اليومية'!$I$11:$I$1010="مرحل ✔")*'قيود اليومية'!$G$11:$G$1010)))</f>
        <v>2010000</v>
      </c>
      <c r="D13" s="85" t="n">
        <f aca="false">IF($A13="","",IF($G13="تحليلي",SUMIFS('قيود اليومية'!$H$11:$H$1010,'قيود اليومية'!$C$11:$C$1010,$A13,'قيود اليومية'!$I$11:$I$1010,"مرحل ✔"),SUMPRODUCT((LEFT('قيود اليومية'!$C$11:$C$1010&amp;"",LEN($A13&amp;""))=$A13&amp;"")*('قيود اليومية'!$I$11:$I$1010="مرحل ✔")*'قيود اليومية'!$H$11:$H$1010)))</f>
        <v>1625000</v>
      </c>
      <c r="E13" s="91" t="n">
        <f aca="false">IF($A13="","",MAX(C13-D13,0))</f>
        <v>385000</v>
      </c>
      <c r="F13" s="91" t="n">
        <f aca="false">IF($A13="","",MAX(D13-C13,0))</f>
        <v>0</v>
      </c>
      <c r="G13" s="55" t="str">
        <f aca="false">IF($A13="","",'شجرة الحسابات'!C13&amp;"")</f>
        <v>تحليلي</v>
      </c>
      <c r="H13" s="55" t="str">
        <f aca="false">IF($A13="","",'شجرة الحسابات'!E13&amp;"")</f>
        <v>الأصول</v>
      </c>
      <c r="I13" s="55" t="str">
        <f aca="false">IF($A13="","",'شجرة الحسابات'!H13&amp;"")</f>
        <v>عملاء المقاولات</v>
      </c>
      <c r="J13" s="55" t="str">
        <f aca="false">IF($A13="","",'شجرة الحسابات'!I13&amp;"")</f>
        <v/>
      </c>
      <c r="K13" s="92" t="n">
        <f aca="false">IF(OR($A13="",$G13&lt;&gt;"تحليلي"),"",E13-F13)</f>
        <v>385000</v>
      </c>
    </row>
    <row r="14" customFormat="false" ht="15" hidden="false" customHeight="false" outlineLevel="0" collapsed="false">
      <c r="A14" s="90" t="n">
        <f aca="false">IF('شجرة الحسابات'!A14="","",'شجرة الحسابات'!A14)</f>
        <v>1104</v>
      </c>
      <c r="B14" s="51" t="str">
        <f aca="false">IF($A14="","",'شجرة الحسابات'!B14)</f>
        <v>محتجزات ضمان لدى العملاء</v>
      </c>
      <c r="C14" s="85" t="n">
        <f aca="false">IF($A14="","",IF($G14="تحليلي",SUMIFS('قيود اليومية'!$G$11:$G$1010,'قيود اليومية'!$C$11:$C$1010,$A14,'قيود اليومية'!$I$11:$I$1010,"مرحل ✔"),SUMPRODUCT((LEFT('قيود اليومية'!$C$11:$C$1010&amp;"",LEN($A14&amp;""))=$A14&amp;"")*('قيود اليومية'!$I$11:$I$1010="مرحل ✔")*'قيود اليومية'!$G$11:$G$1010)))</f>
        <v>195000</v>
      </c>
      <c r="D14" s="85" t="n">
        <f aca="false">IF($A14="","",IF($G14="تحليلي",SUMIFS('قيود اليومية'!$H$11:$H$1010,'قيود اليومية'!$C$11:$C$1010,$A14,'قيود اليومية'!$I$11:$I$1010,"مرحل ✔"),SUMPRODUCT((LEFT('قيود اليومية'!$C$11:$C$1010&amp;"",LEN($A14&amp;""))=$A14&amp;"")*('قيود اليومية'!$I$11:$I$1010="مرحل ✔")*'قيود اليومية'!$H$11:$H$1010)))</f>
        <v>0</v>
      </c>
      <c r="E14" s="91" t="n">
        <f aca="false">IF($A14="","",MAX(C14-D14,0))</f>
        <v>195000</v>
      </c>
      <c r="F14" s="91" t="n">
        <f aca="false">IF($A14="","",MAX(D14-C14,0))</f>
        <v>0</v>
      </c>
      <c r="G14" s="55" t="str">
        <f aca="false">IF($A14="","",'شجرة الحسابات'!C14&amp;"")</f>
        <v>تحليلي</v>
      </c>
      <c r="H14" s="55" t="str">
        <f aca="false">IF($A14="","",'شجرة الحسابات'!E14&amp;"")</f>
        <v>الأصول</v>
      </c>
      <c r="I14" s="55" t="str">
        <f aca="false">IF($A14="","",'شجرة الحسابات'!H14&amp;"")</f>
        <v>محتجزات ضمان لدى العملاء</v>
      </c>
      <c r="J14" s="55" t="str">
        <f aca="false">IF($A14="","",'شجرة الحسابات'!I14&amp;"")</f>
        <v/>
      </c>
      <c r="K14" s="92" t="n">
        <f aca="false">IF(OR($A14="",$G14&lt;&gt;"تحليلي"),"",E14-F14)</f>
        <v>195000</v>
      </c>
    </row>
    <row r="15" customFormat="false" ht="15" hidden="false" customHeight="false" outlineLevel="0" collapsed="false">
      <c r="A15" s="90" t="n">
        <f aca="false">IF('شجرة الحسابات'!A15="","",'شجرة الحسابات'!A15)</f>
        <v>1105</v>
      </c>
      <c r="B15" s="51" t="str">
        <f aca="false">IF($A15="","",'شجرة الحسابات'!B15)</f>
        <v>إيرادات مستحقة - أعمال منفذة غير مفوترة</v>
      </c>
      <c r="C15" s="85" t="n">
        <f aca="false">IF($A15="","",IF($G15="تحليلي",SUMIFS('قيود اليومية'!$G$11:$G$1010,'قيود اليومية'!$C$11:$C$1010,$A15,'قيود اليومية'!$I$11:$I$1010,"مرحل ✔"),SUMPRODUCT((LEFT('قيود اليومية'!$C$11:$C$1010&amp;"",LEN($A15&amp;""))=$A15&amp;"")*('قيود اليومية'!$I$11:$I$1010="مرحل ✔")*'قيود اليومية'!$G$11:$G$1010)))</f>
        <v>180000</v>
      </c>
      <c r="D15" s="85" t="n">
        <f aca="false">IF($A15="","",IF($G15="تحليلي",SUMIFS('قيود اليومية'!$H$11:$H$1010,'قيود اليومية'!$C$11:$C$1010,$A15,'قيود اليومية'!$I$11:$I$1010,"مرحل ✔"),SUMPRODUCT((LEFT('قيود اليومية'!$C$11:$C$1010&amp;"",LEN($A15&amp;""))=$A15&amp;"")*('قيود اليومية'!$I$11:$I$1010="مرحل ✔")*'قيود اليومية'!$H$11:$H$1010)))</f>
        <v>0</v>
      </c>
      <c r="E15" s="91" t="n">
        <f aca="false">IF($A15="","",MAX(C15-D15,0))</f>
        <v>180000</v>
      </c>
      <c r="F15" s="91" t="n">
        <f aca="false">IF($A15="","",MAX(D15-C15,0))</f>
        <v>0</v>
      </c>
      <c r="G15" s="55" t="str">
        <f aca="false">IF($A15="","",'شجرة الحسابات'!C15&amp;"")</f>
        <v>تحليلي</v>
      </c>
      <c r="H15" s="55" t="str">
        <f aca="false">IF($A15="","",'شجرة الحسابات'!E15&amp;"")</f>
        <v>الأصول</v>
      </c>
      <c r="I15" s="55" t="str">
        <f aca="false">IF($A15="","",'شجرة الحسابات'!H15&amp;"")</f>
        <v>إيرادات مستحقة (أعمال منفذة غير مفوترة)</v>
      </c>
      <c r="J15" s="55" t="str">
        <f aca="false">IF($A15="","",'شجرة الحسابات'!I15&amp;"")</f>
        <v/>
      </c>
      <c r="K15" s="92" t="n">
        <f aca="false">IF(OR($A15="",$G15&lt;&gt;"تحليلي"),"",E15-F15)</f>
        <v>180000</v>
      </c>
    </row>
    <row r="16" customFormat="false" ht="15" hidden="false" customHeight="false" outlineLevel="0" collapsed="false">
      <c r="A16" s="90" t="n">
        <f aca="false">IF('شجرة الحسابات'!A16="","",'شجرة الحسابات'!A16)</f>
        <v>1106</v>
      </c>
      <c r="B16" s="51" t="str">
        <f aca="false">IF($A16="","",'شجرة الحسابات'!B16)</f>
        <v>دفعات مقدمة لمقاولي الباطن</v>
      </c>
      <c r="C16" s="85" t="n">
        <f aca="false">IF($A16="","",IF($G16="تحليلي",SUMIFS('قيود اليومية'!$G$11:$G$1010,'قيود اليومية'!$C$11:$C$1010,$A16,'قيود اليومية'!$I$11:$I$1010,"مرحل ✔"),SUMPRODUCT((LEFT('قيود اليومية'!$C$11:$C$1010&amp;"",LEN($A16&amp;""))=$A16&amp;"")*('قيود اليومية'!$I$11:$I$1010="مرحل ✔")*'قيود اليومية'!$G$11:$G$1010)))</f>
        <v>150000</v>
      </c>
      <c r="D16" s="85" t="n">
        <f aca="false">IF($A16="","",IF($G16="تحليلي",SUMIFS('قيود اليومية'!$H$11:$H$1010,'قيود اليومية'!$C$11:$C$1010,$A16,'قيود اليومية'!$I$11:$I$1010,"مرحل ✔"),SUMPRODUCT((LEFT('قيود اليومية'!$C$11:$C$1010&amp;"",LEN($A16&amp;""))=$A16&amp;"")*('قيود اليومية'!$I$11:$I$1010="مرحل ✔")*'قيود اليومية'!$H$11:$H$1010)))</f>
        <v>60000</v>
      </c>
      <c r="E16" s="91" t="n">
        <f aca="false">IF($A16="","",MAX(C16-D16,0))</f>
        <v>90000</v>
      </c>
      <c r="F16" s="91" t="n">
        <f aca="false">IF($A16="","",MAX(D16-C16,0))</f>
        <v>0</v>
      </c>
      <c r="G16" s="55" t="str">
        <f aca="false">IF($A16="","",'شجرة الحسابات'!C16&amp;"")</f>
        <v>تحليلي</v>
      </c>
      <c r="H16" s="55" t="str">
        <f aca="false">IF($A16="","",'شجرة الحسابات'!E16&amp;"")</f>
        <v>الأصول</v>
      </c>
      <c r="I16" s="55" t="str">
        <f aca="false">IF($A16="","",'شجرة الحسابات'!H16&amp;"")</f>
        <v>دفعات مقدمة وأرصدة مدينة أخرى</v>
      </c>
      <c r="J16" s="55" t="str">
        <f aca="false">IF($A16="","",'شجرة الحسابات'!I16&amp;"")</f>
        <v/>
      </c>
      <c r="K16" s="92" t="n">
        <f aca="false">IF(OR($A16="",$G16&lt;&gt;"تحليلي"),"",E16-F16)</f>
        <v>90000</v>
      </c>
    </row>
    <row r="17" customFormat="false" ht="15" hidden="false" customHeight="false" outlineLevel="0" collapsed="false">
      <c r="A17" s="90" t="n">
        <f aca="false">IF('شجرة الحسابات'!A17="","",'شجرة الحسابات'!A17)</f>
        <v>1107</v>
      </c>
      <c r="B17" s="51" t="str">
        <f aca="false">IF($A17="","",'شجرة الحسابات'!B17)</f>
        <v>مخزون مواد البناء</v>
      </c>
      <c r="C17" s="85" t="n">
        <f aca="false">IF($A17="","",IF($G17="تحليلي",SUMIFS('قيود اليومية'!$G$11:$G$1010,'قيود اليومية'!$C$11:$C$1010,$A17,'قيود اليومية'!$I$11:$I$1010,"مرحل ✔"),SUMPRODUCT((LEFT('قيود اليومية'!$C$11:$C$1010&amp;"",LEN($A17&amp;""))=$A17&amp;"")*('قيود اليومية'!$I$11:$I$1010="مرحل ✔")*'قيود اليومية'!$G$11:$G$1010)))</f>
        <v>0</v>
      </c>
      <c r="D17" s="85" t="n">
        <f aca="false">IF($A17="","",IF($G17="تحليلي",SUMIFS('قيود اليومية'!$H$11:$H$1010,'قيود اليومية'!$C$11:$C$1010,$A17,'قيود اليومية'!$I$11:$I$1010,"مرحل ✔"),SUMPRODUCT((LEFT('قيود اليومية'!$C$11:$C$1010&amp;"",LEN($A17&amp;""))=$A17&amp;"")*('قيود اليومية'!$I$11:$I$1010="مرحل ✔")*'قيود اليومية'!$H$11:$H$1010)))</f>
        <v>0</v>
      </c>
      <c r="E17" s="91" t="n">
        <f aca="false">IF($A17="","",MAX(C17-D17,0))</f>
        <v>0</v>
      </c>
      <c r="F17" s="91" t="n">
        <f aca="false">IF($A17="","",MAX(D17-C17,0))</f>
        <v>0</v>
      </c>
      <c r="G17" s="55" t="str">
        <f aca="false">IF($A17="","",'شجرة الحسابات'!C17&amp;"")</f>
        <v>تحليلي</v>
      </c>
      <c r="H17" s="55" t="str">
        <f aca="false">IF($A17="","",'شجرة الحسابات'!E17&amp;"")</f>
        <v>الأصول</v>
      </c>
      <c r="I17" s="55" t="str">
        <f aca="false">IF($A17="","",'شجرة الحسابات'!H17&amp;"")</f>
        <v>مخزون المواد</v>
      </c>
      <c r="J17" s="55" t="str">
        <f aca="false">IF($A17="","",'شجرة الحسابات'!I17&amp;"")</f>
        <v/>
      </c>
      <c r="K17" s="92" t="n">
        <f aca="false">IF(OR($A17="",$G17&lt;&gt;"تحليلي"),"",E17-F17)</f>
        <v>0</v>
      </c>
    </row>
    <row r="18" customFormat="false" ht="15" hidden="false" customHeight="false" outlineLevel="0" collapsed="false">
      <c r="A18" s="90" t="n">
        <f aca="false">IF('شجرة الحسابات'!A18="","",'شجرة الحسابات'!A18)</f>
        <v>1108</v>
      </c>
      <c r="B18" s="51" t="str">
        <f aca="false">IF($A18="","",'شجرة الحسابات'!B18)</f>
        <v>مشروعات تحت التنفيذ</v>
      </c>
      <c r="C18" s="85" t="n">
        <f aca="false">IF($A18="","",IF($G18="تحليلي",SUMIFS('قيود اليومية'!$G$11:$G$1010,'قيود اليومية'!$C$11:$C$1010,$A18,'قيود اليومية'!$I$11:$I$1010,"مرحل ✔"),SUMPRODUCT((LEFT('قيود اليومية'!$C$11:$C$1010&amp;"",LEN($A18&amp;""))=$A18&amp;"")*('قيود اليومية'!$I$11:$I$1010="مرحل ✔")*'قيود اليومية'!$G$11:$G$1010)))</f>
        <v>95000</v>
      </c>
      <c r="D18" s="85" t="n">
        <f aca="false">IF($A18="","",IF($G18="تحليلي",SUMIFS('قيود اليومية'!$H$11:$H$1010,'قيود اليومية'!$C$11:$C$1010,$A18,'قيود اليومية'!$I$11:$I$1010,"مرحل ✔"),SUMPRODUCT((LEFT('قيود اليومية'!$C$11:$C$1010&amp;"",LEN($A18&amp;""))=$A18&amp;"")*('قيود اليومية'!$I$11:$I$1010="مرحل ✔")*'قيود اليومية'!$H$11:$H$1010)))</f>
        <v>0</v>
      </c>
      <c r="E18" s="91" t="n">
        <f aca="false">IF($A18="","",MAX(C18-D18,0))</f>
        <v>95000</v>
      </c>
      <c r="F18" s="91" t="n">
        <f aca="false">IF($A18="","",MAX(D18-C18,0))</f>
        <v>0</v>
      </c>
      <c r="G18" s="55" t="str">
        <f aca="false">IF($A18="","",'شجرة الحسابات'!C18&amp;"")</f>
        <v>تحليلي</v>
      </c>
      <c r="H18" s="55" t="str">
        <f aca="false">IF($A18="","",'شجرة الحسابات'!E18&amp;"")</f>
        <v>الأصول</v>
      </c>
      <c r="I18" s="55" t="str">
        <f aca="false">IF($A18="","",'شجرة الحسابات'!H18&amp;"")</f>
        <v>مشروعات تحت التنفيذ</v>
      </c>
      <c r="J18" s="55" t="str">
        <f aca="false">IF($A18="","",'شجرة الحسابات'!I18&amp;"")</f>
        <v/>
      </c>
      <c r="K18" s="92" t="n">
        <f aca="false">IF(OR($A18="",$G18&lt;&gt;"تحليلي"),"",E18-F18)</f>
        <v>95000</v>
      </c>
    </row>
    <row r="19" customFormat="false" ht="15" hidden="false" customHeight="false" outlineLevel="0" collapsed="false">
      <c r="A19" s="90" t="n">
        <f aca="false">IF('شجرة الحسابات'!A19="","",'شجرة الحسابات'!A19)</f>
        <v>1109</v>
      </c>
      <c r="B19" s="51" t="str">
        <f aca="false">IF($A19="","",'شجرة الحسابات'!B19)</f>
        <v>مصروفات مدفوعة مقدماً</v>
      </c>
      <c r="C19" s="85" t="n">
        <f aca="false">IF($A19="","",IF($G19="تحليلي",SUMIFS('قيود اليومية'!$G$11:$G$1010,'قيود اليومية'!$C$11:$C$1010,$A19,'قيود اليومية'!$I$11:$I$1010,"مرحل ✔"),SUMPRODUCT((LEFT('قيود اليومية'!$C$11:$C$1010&amp;"",LEN($A19&amp;""))=$A19&amp;"")*('قيود اليومية'!$I$11:$I$1010="مرحل ✔")*'قيود اليومية'!$G$11:$G$1010)))</f>
        <v>0</v>
      </c>
      <c r="D19" s="85" t="n">
        <f aca="false">IF($A19="","",IF($G19="تحليلي",SUMIFS('قيود اليومية'!$H$11:$H$1010,'قيود اليومية'!$C$11:$C$1010,$A19,'قيود اليومية'!$I$11:$I$1010,"مرحل ✔"),SUMPRODUCT((LEFT('قيود اليومية'!$C$11:$C$1010&amp;"",LEN($A19&amp;""))=$A19&amp;"")*('قيود اليومية'!$I$11:$I$1010="مرحل ✔")*'قيود اليومية'!$H$11:$H$1010)))</f>
        <v>0</v>
      </c>
      <c r="E19" s="91" t="n">
        <f aca="false">IF($A19="","",MAX(C19-D19,0))</f>
        <v>0</v>
      </c>
      <c r="F19" s="91" t="n">
        <f aca="false">IF($A19="","",MAX(D19-C19,0))</f>
        <v>0</v>
      </c>
      <c r="G19" s="55" t="str">
        <f aca="false">IF($A19="","",'شجرة الحسابات'!C19&amp;"")</f>
        <v>تحليلي</v>
      </c>
      <c r="H19" s="55" t="str">
        <f aca="false">IF($A19="","",'شجرة الحسابات'!E19&amp;"")</f>
        <v>الأصول</v>
      </c>
      <c r="I19" s="55" t="str">
        <f aca="false">IF($A19="","",'شجرة الحسابات'!H19&amp;"")</f>
        <v>دفعات مقدمة وأرصدة مدينة أخرى</v>
      </c>
      <c r="J19" s="55" t="str">
        <f aca="false">IF($A19="","",'شجرة الحسابات'!I19&amp;"")</f>
        <v/>
      </c>
      <c r="K19" s="92" t="n">
        <f aca="false">IF(OR($A19="",$G19&lt;&gt;"تحليلي"),"",E19-F19)</f>
        <v>0</v>
      </c>
    </row>
    <row r="20" customFormat="false" ht="15" hidden="false" customHeight="false" outlineLevel="0" collapsed="false">
      <c r="A20" s="90" t="n">
        <f aca="false">IF('شجرة الحسابات'!A20="","",'شجرة الحسابات'!A20)</f>
        <v>1110</v>
      </c>
      <c r="B20" s="51" t="str">
        <f aca="false">IF($A20="","",'شجرة الحسابات'!B20)</f>
        <v>تأمينات خطابات الضمان</v>
      </c>
      <c r="C20" s="85" t="n">
        <f aca="false">IF($A20="","",IF($G20="تحليلي",SUMIFS('قيود اليومية'!$G$11:$G$1010,'قيود اليومية'!$C$11:$C$1010,$A20,'قيود اليومية'!$I$11:$I$1010,"مرحل ✔"),SUMPRODUCT((LEFT('قيود اليومية'!$C$11:$C$1010&amp;"",LEN($A20&amp;""))=$A20&amp;"")*('قيود اليومية'!$I$11:$I$1010="مرحل ✔")*'قيود اليومية'!$G$11:$G$1010)))</f>
        <v>0</v>
      </c>
      <c r="D20" s="85" t="n">
        <f aca="false">IF($A20="","",IF($G20="تحليلي",SUMIFS('قيود اليومية'!$H$11:$H$1010,'قيود اليومية'!$C$11:$C$1010,$A20,'قيود اليومية'!$I$11:$I$1010,"مرحل ✔"),SUMPRODUCT((LEFT('قيود اليومية'!$C$11:$C$1010&amp;"",LEN($A20&amp;""))=$A20&amp;"")*('قيود اليومية'!$I$11:$I$1010="مرحل ✔")*'قيود اليومية'!$H$11:$H$1010)))</f>
        <v>0</v>
      </c>
      <c r="E20" s="91" t="n">
        <f aca="false">IF($A20="","",MAX(C20-D20,0))</f>
        <v>0</v>
      </c>
      <c r="F20" s="91" t="n">
        <f aca="false">IF($A20="","",MAX(D20-C20,0))</f>
        <v>0</v>
      </c>
      <c r="G20" s="55" t="str">
        <f aca="false">IF($A20="","",'شجرة الحسابات'!C20&amp;"")</f>
        <v>تحليلي</v>
      </c>
      <c r="H20" s="55" t="str">
        <f aca="false">IF($A20="","",'شجرة الحسابات'!E20&amp;"")</f>
        <v>الأصول</v>
      </c>
      <c r="I20" s="55" t="str">
        <f aca="false">IF($A20="","",'شجرة الحسابات'!H20&amp;"")</f>
        <v>دفعات مقدمة وأرصدة مدينة أخرى</v>
      </c>
      <c r="J20" s="55" t="str">
        <f aca="false">IF($A20="","",'شجرة الحسابات'!I20&amp;"")</f>
        <v/>
      </c>
      <c r="K20" s="92" t="n">
        <f aca="false">IF(OR($A20="",$G20&lt;&gt;"تحليلي"),"",E20-F20)</f>
        <v>0</v>
      </c>
    </row>
    <row r="21" customFormat="false" ht="15" hidden="false" customHeight="false" outlineLevel="0" collapsed="false">
      <c r="A21" s="90" t="n">
        <f aca="false">IF('شجرة الحسابات'!A21="","",'شجرة الحسابات'!A21)</f>
        <v>12</v>
      </c>
      <c r="B21" s="51" t="str">
        <f aca="false">IF($A21="","",'شجرة الحسابات'!B21)</f>
        <v>الأصول غير المتداولة</v>
      </c>
      <c r="C21" s="85" t="n">
        <f aca="false">IF($A21="","",IF($G21="تحليلي",SUMIFS('قيود اليومية'!$G$11:$G$1010,'قيود اليومية'!$C$11:$C$1010,$A21,'قيود اليومية'!$I$11:$I$1010,"مرحل ✔"),SUMPRODUCT((LEFT('قيود اليومية'!$C$11:$C$1010&amp;"",LEN($A21&amp;""))=$A21&amp;"")*('قيود اليومية'!$I$11:$I$1010="مرحل ✔")*'قيود اليومية'!$G$11:$G$1010)))</f>
        <v>1530000</v>
      </c>
      <c r="D21" s="85" t="n">
        <f aca="false">IF($A21="","",IF($G21="تحليلي",SUMIFS('قيود اليومية'!$H$11:$H$1010,'قيود اليومية'!$C$11:$C$1010,$A21,'قيود اليومية'!$I$11:$I$1010,"مرحل ✔"),SUMPRODUCT((LEFT('قيود اليومية'!$C$11:$C$1010&amp;"",LEN($A21&amp;""))=$A21&amp;"")*('قيود اليومية'!$I$11:$I$1010="مرحل ✔")*'قيود اليومية'!$H$11:$H$1010)))</f>
        <v>35000</v>
      </c>
      <c r="E21" s="91" t="n">
        <f aca="false">IF($A21="","",MAX(C21-D21,0))</f>
        <v>1495000</v>
      </c>
      <c r="F21" s="91" t="n">
        <f aca="false">IF($A21="","",MAX(D21-C21,0))</f>
        <v>0</v>
      </c>
      <c r="G21" s="55" t="str">
        <f aca="false">IF($A21="","",'شجرة الحسابات'!C21&amp;"")</f>
        <v>فرعي</v>
      </c>
      <c r="H21" s="55" t="str">
        <f aca="false">IF($A21="","",'شجرة الحسابات'!E21&amp;"")</f>
        <v>الأصول</v>
      </c>
      <c r="I21" s="55" t="str">
        <f aca="false">IF($A21="","",'شجرة الحسابات'!H21&amp;"")</f>
        <v/>
      </c>
      <c r="J21" s="55" t="str">
        <f aca="false">IF($A21="","",'شجرة الحسابات'!I21&amp;"")</f>
        <v/>
      </c>
      <c r="K21" s="92" t="str">
        <f aca="false">IF(OR($A21="",$G21&lt;&gt;"تحليلي"),"",E21-F21)</f>
        <v/>
      </c>
    </row>
    <row r="22" customFormat="false" ht="15" hidden="false" customHeight="false" outlineLevel="0" collapsed="false">
      <c r="A22" s="90" t="n">
        <f aca="false">IF('شجرة الحسابات'!A22="","",'شجرة الحسابات'!A22)</f>
        <v>1201</v>
      </c>
      <c r="B22" s="51" t="str">
        <f aca="false">IF($A22="","",'شجرة الحسابات'!B22)</f>
        <v>المعدات والآلات الثقيلة</v>
      </c>
      <c r="C22" s="85" t="n">
        <f aca="false">IF($A22="","",IF($G22="تحليلي",SUMIFS('قيود اليومية'!$G$11:$G$1010,'قيود اليومية'!$C$11:$C$1010,$A22,'قيود اليومية'!$I$11:$I$1010,"مرحل ✔"),SUMPRODUCT((LEFT('قيود اليومية'!$C$11:$C$1010&amp;"",LEN($A22&amp;""))=$A22&amp;"")*('قيود اليومية'!$I$11:$I$1010="مرحل ✔")*'قيود اليومية'!$G$11:$G$1010)))</f>
        <v>1200000</v>
      </c>
      <c r="D22" s="85" t="n">
        <f aca="false">IF($A22="","",IF($G22="تحليلي",SUMIFS('قيود اليومية'!$H$11:$H$1010,'قيود اليومية'!$C$11:$C$1010,$A22,'قيود اليومية'!$I$11:$I$1010,"مرحل ✔"),SUMPRODUCT((LEFT('قيود اليومية'!$C$11:$C$1010&amp;"",LEN($A22&amp;""))=$A22&amp;"")*('قيود اليومية'!$I$11:$I$1010="مرحل ✔")*'قيود اليومية'!$H$11:$H$1010)))</f>
        <v>0</v>
      </c>
      <c r="E22" s="91" t="n">
        <f aca="false">IF($A22="","",MAX(C22-D22,0))</f>
        <v>1200000</v>
      </c>
      <c r="F22" s="91" t="n">
        <f aca="false">IF($A22="","",MAX(D22-C22,0))</f>
        <v>0</v>
      </c>
      <c r="G22" s="55" t="str">
        <f aca="false">IF($A22="","",'شجرة الحسابات'!C22&amp;"")</f>
        <v>تحليلي</v>
      </c>
      <c r="H22" s="55" t="str">
        <f aca="false">IF($A22="","",'شجرة الحسابات'!E22&amp;"")</f>
        <v>الأصول</v>
      </c>
      <c r="I22" s="55" t="str">
        <f aca="false">IF($A22="","",'شجرة الحسابات'!H22&amp;"")</f>
        <v>الممتلكات والمعدات - بالتكلفة</v>
      </c>
      <c r="J22" s="55" t="str">
        <f aca="false">IF($A22="","",'شجرة الحسابات'!I22&amp;"")</f>
        <v/>
      </c>
      <c r="K22" s="92" t="n">
        <f aca="false">IF(OR($A22="",$G22&lt;&gt;"تحليلي"),"",E22-F22)</f>
        <v>1200000</v>
      </c>
    </row>
    <row r="23" customFormat="false" ht="15" hidden="false" customHeight="false" outlineLevel="0" collapsed="false">
      <c r="A23" s="90" t="n">
        <f aca="false">IF('شجرة الحسابات'!A23="","",'شجرة الحسابات'!A23)</f>
        <v>1202</v>
      </c>
      <c r="B23" s="51" t="str">
        <f aca="false">IF($A23="","",'شجرة الحسابات'!B23)</f>
        <v>السيارات ووسائل النقل</v>
      </c>
      <c r="C23" s="85" t="n">
        <f aca="false">IF($A23="","",IF($G23="تحليلي",SUMIFS('قيود اليومية'!$G$11:$G$1010,'قيود اليومية'!$C$11:$C$1010,$A23,'قيود اليومية'!$I$11:$I$1010,"مرحل ✔"),SUMPRODUCT((LEFT('قيود اليومية'!$C$11:$C$1010&amp;"",LEN($A23&amp;""))=$A23&amp;"")*('قيود اليومية'!$I$11:$I$1010="مرحل ✔")*'قيود اليومية'!$G$11:$G$1010)))</f>
        <v>250000</v>
      </c>
      <c r="D23" s="85" t="n">
        <f aca="false">IF($A23="","",IF($G23="تحليلي",SUMIFS('قيود اليومية'!$H$11:$H$1010,'قيود اليومية'!$C$11:$C$1010,$A23,'قيود اليومية'!$I$11:$I$1010,"مرحل ✔"),SUMPRODUCT((LEFT('قيود اليومية'!$C$11:$C$1010&amp;"",LEN($A23&amp;""))=$A23&amp;"")*('قيود اليومية'!$I$11:$I$1010="مرحل ✔")*'قيود اليومية'!$H$11:$H$1010)))</f>
        <v>0</v>
      </c>
      <c r="E23" s="91" t="n">
        <f aca="false">IF($A23="","",MAX(C23-D23,0))</f>
        <v>250000</v>
      </c>
      <c r="F23" s="91" t="n">
        <f aca="false">IF($A23="","",MAX(D23-C23,0))</f>
        <v>0</v>
      </c>
      <c r="G23" s="55" t="str">
        <f aca="false">IF($A23="","",'شجرة الحسابات'!C23&amp;"")</f>
        <v>تحليلي</v>
      </c>
      <c r="H23" s="55" t="str">
        <f aca="false">IF($A23="","",'شجرة الحسابات'!E23&amp;"")</f>
        <v>الأصول</v>
      </c>
      <c r="I23" s="55" t="str">
        <f aca="false">IF($A23="","",'شجرة الحسابات'!H23&amp;"")</f>
        <v>الممتلكات والمعدات - بالتكلفة</v>
      </c>
      <c r="J23" s="55" t="str">
        <f aca="false">IF($A23="","",'شجرة الحسابات'!I23&amp;"")</f>
        <v/>
      </c>
      <c r="K23" s="92" t="n">
        <f aca="false">IF(OR($A23="",$G23&lt;&gt;"تحليلي"),"",E23-F23)</f>
        <v>250000</v>
      </c>
    </row>
    <row r="24" customFormat="false" ht="15" hidden="false" customHeight="false" outlineLevel="0" collapsed="false">
      <c r="A24" s="90" t="n">
        <f aca="false">IF('شجرة الحسابات'!A24="","",'شجرة الحسابات'!A24)</f>
        <v>1203</v>
      </c>
      <c r="B24" s="51" t="str">
        <f aca="false">IF($A24="","",'شجرة الحسابات'!B24)</f>
        <v>الأثاث والتجهيزات المكتبية</v>
      </c>
      <c r="C24" s="85" t="n">
        <f aca="false">IF($A24="","",IF($G24="تحليلي",SUMIFS('قيود اليومية'!$G$11:$G$1010,'قيود اليومية'!$C$11:$C$1010,$A24,'قيود اليومية'!$I$11:$I$1010,"مرحل ✔"),SUMPRODUCT((LEFT('قيود اليومية'!$C$11:$C$1010&amp;"",LEN($A24&amp;""))=$A24&amp;"")*('قيود اليومية'!$I$11:$I$1010="مرحل ✔")*'قيود اليومية'!$G$11:$G$1010)))</f>
        <v>80000</v>
      </c>
      <c r="D24" s="85" t="n">
        <f aca="false">IF($A24="","",IF($G24="تحليلي",SUMIFS('قيود اليومية'!$H$11:$H$1010,'قيود اليومية'!$C$11:$C$1010,$A24,'قيود اليومية'!$I$11:$I$1010,"مرحل ✔"),SUMPRODUCT((LEFT('قيود اليومية'!$C$11:$C$1010&amp;"",LEN($A24&amp;""))=$A24&amp;"")*('قيود اليومية'!$I$11:$I$1010="مرحل ✔")*'قيود اليومية'!$H$11:$H$1010)))</f>
        <v>0</v>
      </c>
      <c r="E24" s="91" t="n">
        <f aca="false">IF($A24="","",MAX(C24-D24,0))</f>
        <v>80000</v>
      </c>
      <c r="F24" s="91" t="n">
        <f aca="false">IF($A24="","",MAX(D24-C24,0))</f>
        <v>0</v>
      </c>
      <c r="G24" s="55" t="str">
        <f aca="false">IF($A24="","",'شجرة الحسابات'!C24&amp;"")</f>
        <v>تحليلي</v>
      </c>
      <c r="H24" s="55" t="str">
        <f aca="false">IF($A24="","",'شجرة الحسابات'!E24&amp;"")</f>
        <v>الأصول</v>
      </c>
      <c r="I24" s="55" t="str">
        <f aca="false">IF($A24="","",'شجرة الحسابات'!H24&amp;"")</f>
        <v>الممتلكات والمعدات - بالتكلفة</v>
      </c>
      <c r="J24" s="55" t="str">
        <f aca="false">IF($A24="","",'شجرة الحسابات'!I24&amp;"")</f>
        <v/>
      </c>
      <c r="K24" s="92" t="n">
        <f aca="false">IF(OR($A24="",$G24&lt;&gt;"تحليلي"),"",E24-F24)</f>
        <v>80000</v>
      </c>
    </row>
    <row r="25" customFormat="false" ht="15" hidden="false" customHeight="false" outlineLevel="0" collapsed="false">
      <c r="A25" s="90" t="n">
        <f aca="false">IF('شجرة الحسابات'!A25="","",'شجرة الحسابات'!A25)</f>
        <v>1204</v>
      </c>
      <c r="B25" s="51" t="str">
        <f aca="false">IF($A25="","",'شجرة الحسابات'!B25)</f>
        <v>مجمع إهلاك الأصول الثابتة</v>
      </c>
      <c r="C25" s="85" t="n">
        <f aca="false">IF($A25="","",IF($G25="تحليلي",SUMIFS('قيود اليومية'!$G$11:$G$1010,'قيود اليومية'!$C$11:$C$1010,$A25,'قيود اليومية'!$I$11:$I$1010,"مرحل ✔"),SUMPRODUCT((LEFT('قيود اليومية'!$C$11:$C$1010&amp;"",LEN($A25&amp;""))=$A25&amp;"")*('قيود اليومية'!$I$11:$I$1010="مرحل ✔")*'قيود اليومية'!$G$11:$G$1010)))</f>
        <v>0</v>
      </c>
      <c r="D25" s="85" t="n">
        <f aca="false">IF($A25="","",IF($G25="تحليلي",SUMIFS('قيود اليومية'!$H$11:$H$1010,'قيود اليومية'!$C$11:$C$1010,$A25,'قيود اليومية'!$I$11:$I$1010,"مرحل ✔"),SUMPRODUCT((LEFT('قيود اليومية'!$C$11:$C$1010&amp;"",LEN($A25&amp;""))=$A25&amp;"")*('قيود اليومية'!$I$11:$I$1010="مرحل ✔")*'قيود اليومية'!$H$11:$H$1010)))</f>
        <v>35000</v>
      </c>
      <c r="E25" s="91" t="n">
        <f aca="false">IF($A25="","",MAX(C25-D25,0))</f>
        <v>0</v>
      </c>
      <c r="F25" s="91" t="n">
        <f aca="false">IF($A25="","",MAX(D25-C25,0))</f>
        <v>35000</v>
      </c>
      <c r="G25" s="55" t="str">
        <f aca="false">IF($A25="","",'شجرة الحسابات'!C25&amp;"")</f>
        <v>تحليلي</v>
      </c>
      <c r="H25" s="55" t="str">
        <f aca="false">IF($A25="","",'شجرة الحسابات'!E25&amp;"")</f>
        <v>الأصول</v>
      </c>
      <c r="I25" s="55" t="str">
        <f aca="false">IF($A25="","",'شجرة الحسابات'!H25&amp;"")</f>
        <v>مجمع الإهلاك</v>
      </c>
      <c r="J25" s="55" t="str">
        <f aca="false">IF($A25="","",'شجرة الحسابات'!I25&amp;"")</f>
        <v/>
      </c>
      <c r="K25" s="92" t="n">
        <f aca="false">IF(OR($A25="",$G25&lt;&gt;"تحليلي"),"",E25-F25)</f>
        <v>-35000</v>
      </c>
    </row>
    <row r="26" customFormat="false" ht="15" hidden="false" customHeight="false" outlineLevel="0" collapsed="false">
      <c r="A26" s="90" t="n">
        <f aca="false">IF('شجرة الحسابات'!A26="","",'شجرة الحسابات'!A26)</f>
        <v>2</v>
      </c>
      <c r="B26" s="51" t="str">
        <f aca="false">IF($A26="","",'شجرة الحسابات'!B26)</f>
        <v>الخصوم</v>
      </c>
      <c r="C26" s="85" t="n">
        <f aca="false">IF($A26="","",IF($G26="تحليلي",SUMIFS('قيود اليومية'!$G$11:$G$1010,'قيود اليومية'!$C$11:$C$1010,$A26,'قيود اليومية'!$I$11:$I$1010,"مرحل ✔"),SUMPRODUCT((LEFT('قيود اليومية'!$C$11:$C$1010&amp;"",LEN($A26&amp;""))=$A26&amp;"")*('قيود اليومية'!$I$11:$I$1010="مرحل ✔")*'قيود اليومية'!$G$11:$G$1010)))</f>
        <v>1215000</v>
      </c>
      <c r="D26" s="85" t="n">
        <f aca="false">IF($A26="","",IF($G26="تحليلي",SUMIFS('قيود اليومية'!$H$11:$H$1010,'قيود اليومية'!$C$11:$C$1010,$A26,'قيود اليومية'!$I$11:$I$1010,"مرحل ✔"),SUMPRODUCT((LEFT('قيود اليومية'!$C$11:$C$1010&amp;"",LEN($A26&amp;""))=$A26&amp;"")*('قيود اليومية'!$I$11:$I$1010="مرحل ✔")*'قيود اليومية'!$H$11:$H$1010)))</f>
        <v>3080000</v>
      </c>
      <c r="E26" s="91" t="n">
        <f aca="false">IF($A26="","",MAX(C26-D26,0))</f>
        <v>0</v>
      </c>
      <c r="F26" s="91" t="n">
        <f aca="false">IF($A26="","",MAX(D26-C26,0))</f>
        <v>1865000</v>
      </c>
      <c r="G26" s="55" t="str">
        <f aca="false">IF($A26="","",'شجرة الحسابات'!C26&amp;"")</f>
        <v>رئيسي</v>
      </c>
      <c r="H26" s="55" t="str">
        <f aca="false">IF($A26="","",'شجرة الحسابات'!E26&amp;"")</f>
        <v>الخصوم</v>
      </c>
      <c r="I26" s="55" t="str">
        <f aca="false">IF($A26="","",'شجرة الحسابات'!H26&amp;"")</f>
        <v/>
      </c>
      <c r="J26" s="55" t="str">
        <f aca="false">IF($A26="","",'شجرة الحسابات'!I26&amp;"")</f>
        <v/>
      </c>
      <c r="K26" s="92" t="str">
        <f aca="false">IF(OR($A26="",$G26&lt;&gt;"تحليلي"),"",E26-F26)</f>
        <v/>
      </c>
    </row>
    <row r="27" customFormat="false" ht="15" hidden="false" customHeight="false" outlineLevel="0" collapsed="false">
      <c r="A27" s="90" t="n">
        <f aca="false">IF('شجرة الحسابات'!A27="","",'شجرة الحسابات'!A27)</f>
        <v>21</v>
      </c>
      <c r="B27" s="51" t="str">
        <f aca="false">IF($A27="","",'شجرة الحسابات'!B27)</f>
        <v>الخصوم المتداولة</v>
      </c>
      <c r="C27" s="85" t="n">
        <f aca="false">IF($A27="","",IF($G27="تحليلي",SUMIFS('قيود اليومية'!$G$11:$G$1010,'قيود اليومية'!$C$11:$C$1010,$A27,'قيود اليومية'!$I$11:$I$1010,"مرحل ✔"),SUMPRODUCT((LEFT('قيود اليومية'!$C$11:$C$1010&amp;"",LEN($A27&amp;""))=$A27&amp;"")*('قيود اليومية'!$I$11:$I$1010="مرحل ✔")*'قيود اليومية'!$G$11:$G$1010)))</f>
        <v>1215000</v>
      </c>
      <c r="D27" s="85" t="n">
        <f aca="false">IF($A27="","",IF($G27="تحليلي",SUMIFS('قيود اليومية'!$H$11:$H$1010,'قيود اليومية'!$C$11:$C$1010,$A27,'قيود اليومية'!$I$11:$I$1010,"مرحل ✔"),SUMPRODUCT((LEFT('قيود اليومية'!$C$11:$C$1010&amp;"",LEN($A27&amp;""))=$A27&amp;"")*('قيود اليومية'!$I$11:$I$1010="مرحل ✔")*'قيود اليومية'!$H$11:$H$1010)))</f>
        <v>2580000</v>
      </c>
      <c r="E27" s="91" t="n">
        <f aca="false">IF($A27="","",MAX(C27-D27,0))</f>
        <v>0</v>
      </c>
      <c r="F27" s="91" t="n">
        <f aca="false">IF($A27="","",MAX(D27-C27,0))</f>
        <v>1365000</v>
      </c>
      <c r="G27" s="55" t="str">
        <f aca="false">IF($A27="","",'شجرة الحسابات'!C27&amp;"")</f>
        <v>فرعي</v>
      </c>
      <c r="H27" s="55" t="str">
        <f aca="false">IF($A27="","",'شجرة الحسابات'!E27&amp;"")</f>
        <v>الخصوم</v>
      </c>
      <c r="I27" s="55" t="str">
        <f aca="false">IF($A27="","",'شجرة الحسابات'!H27&amp;"")</f>
        <v/>
      </c>
      <c r="J27" s="55" t="str">
        <f aca="false">IF($A27="","",'شجرة الحسابات'!I27&amp;"")</f>
        <v/>
      </c>
      <c r="K27" s="92" t="str">
        <f aca="false">IF(OR($A27="",$G27&lt;&gt;"تحليلي"),"",E27-F27)</f>
        <v/>
      </c>
    </row>
    <row r="28" customFormat="false" ht="15" hidden="false" customHeight="false" outlineLevel="0" collapsed="false">
      <c r="A28" s="90" t="n">
        <f aca="false">IF('شجرة الحسابات'!A28="","",'شجرة الحسابات'!A28)</f>
        <v>2101</v>
      </c>
      <c r="B28" s="51" t="str">
        <f aca="false">IF($A28="","",'شجرة الحسابات'!B28)</f>
        <v>الموردون</v>
      </c>
      <c r="C28" s="85" t="n">
        <f aca="false">IF($A28="","",IF($G28="تحليلي",SUMIFS('قيود اليومية'!$G$11:$G$1010,'قيود اليومية'!$C$11:$C$1010,$A28,'قيود اليومية'!$I$11:$I$1010,"مرحل ✔"),SUMPRODUCT((LEFT('قيود اليومية'!$C$11:$C$1010&amp;"",LEN($A28&amp;""))=$A28&amp;"")*('قيود اليومية'!$I$11:$I$1010="مرحل ✔")*'قيود اليومية'!$G$11:$G$1010)))</f>
        <v>500000</v>
      </c>
      <c r="D28" s="85" t="n">
        <f aca="false">IF($A28="","",IF($G28="تحليلي",SUMIFS('قيود اليومية'!$H$11:$H$1010,'قيود اليومية'!$C$11:$C$1010,$A28,'قيود اليومية'!$I$11:$I$1010,"مرحل ✔"),SUMPRODUCT((LEFT('قيود اليومية'!$C$11:$C$1010&amp;"",LEN($A28&amp;""))=$A28&amp;"")*('قيود اليومية'!$I$11:$I$1010="مرحل ✔")*'قيود اليومية'!$H$11:$H$1010)))</f>
        <v>680000</v>
      </c>
      <c r="E28" s="91" t="n">
        <f aca="false">IF($A28="","",MAX(C28-D28,0))</f>
        <v>0</v>
      </c>
      <c r="F28" s="91" t="n">
        <f aca="false">IF($A28="","",MAX(D28-C28,0))</f>
        <v>180000</v>
      </c>
      <c r="G28" s="55" t="str">
        <f aca="false">IF($A28="","",'شجرة الحسابات'!C28&amp;"")</f>
        <v>تحليلي</v>
      </c>
      <c r="H28" s="55" t="str">
        <f aca="false">IF($A28="","",'شجرة الحسابات'!E28&amp;"")</f>
        <v>الخصوم</v>
      </c>
      <c r="I28" s="55" t="str">
        <f aca="false">IF($A28="","",'شجرة الحسابات'!H28&amp;"")</f>
        <v>الموردون</v>
      </c>
      <c r="J28" s="55" t="str">
        <f aca="false">IF($A28="","",'شجرة الحسابات'!I28&amp;"")</f>
        <v/>
      </c>
      <c r="K28" s="92" t="n">
        <f aca="false">IF(OR($A28="",$G28&lt;&gt;"تحليلي"),"",E28-F28)</f>
        <v>-180000</v>
      </c>
    </row>
    <row r="29" customFormat="false" ht="15" hidden="false" customHeight="false" outlineLevel="0" collapsed="false">
      <c r="A29" s="90" t="n">
        <f aca="false">IF('شجرة الحسابات'!A29="","",'شجرة الحسابات'!A29)</f>
        <v>2102</v>
      </c>
      <c r="B29" s="51" t="str">
        <f aca="false">IF($A29="","",'شجرة الحسابات'!B29)</f>
        <v>مقاولو الباطن</v>
      </c>
      <c r="C29" s="85" t="n">
        <f aca="false">IF($A29="","",IF($G29="تحليلي",SUMIFS('قيود اليومية'!$G$11:$G$1010,'قيود اليومية'!$C$11:$C$1010,$A29,'قيود اليومية'!$I$11:$I$1010,"مرحل ✔"),SUMPRODUCT((LEFT('قيود اليومية'!$C$11:$C$1010&amp;"",LEN($A29&amp;""))=$A29&amp;"")*('قيود اليومية'!$I$11:$I$1010="مرحل ✔")*'قيود اليومية'!$G$11:$G$1010)))</f>
        <v>400000</v>
      </c>
      <c r="D29" s="85" t="n">
        <f aca="false">IF($A29="","",IF($G29="تحليلي",SUMIFS('قيود اليومية'!$H$11:$H$1010,'قيود اليومية'!$C$11:$C$1010,$A29,'قيود اليومية'!$I$11:$I$1010,"مرحل ✔"),SUMPRODUCT((LEFT('قيود اليومية'!$C$11:$C$1010&amp;"",LEN($A29&amp;""))=$A29&amp;"")*('قيود اليومية'!$I$11:$I$1010="مرحل ✔")*'قيود اليومية'!$H$11:$H$1010)))</f>
        <v>747500</v>
      </c>
      <c r="E29" s="91" t="n">
        <f aca="false">IF($A29="","",MAX(C29-D29,0))</f>
        <v>0</v>
      </c>
      <c r="F29" s="91" t="n">
        <f aca="false">IF($A29="","",MAX(D29-C29,0))</f>
        <v>347500</v>
      </c>
      <c r="G29" s="55" t="str">
        <f aca="false">IF($A29="","",'شجرة الحسابات'!C29&amp;"")</f>
        <v>تحليلي</v>
      </c>
      <c r="H29" s="55" t="str">
        <f aca="false">IF($A29="","",'شجرة الحسابات'!E29&amp;"")</f>
        <v>الخصوم</v>
      </c>
      <c r="I29" s="55" t="str">
        <f aca="false">IF($A29="","",'شجرة الحسابات'!H29&amp;"")</f>
        <v>مقاولو الباطن</v>
      </c>
      <c r="J29" s="55" t="str">
        <f aca="false">IF($A29="","",'شجرة الحسابات'!I29&amp;"")</f>
        <v/>
      </c>
      <c r="K29" s="92" t="n">
        <f aca="false">IF(OR($A29="",$G29&lt;&gt;"تحليلي"),"",E29-F29)</f>
        <v>-347500</v>
      </c>
    </row>
    <row r="30" customFormat="false" ht="15" hidden="false" customHeight="false" outlineLevel="0" collapsed="false">
      <c r="A30" s="90" t="n">
        <f aca="false">IF('شجرة الحسابات'!A30="","",'شجرة الحسابات'!A30)</f>
        <v>2103</v>
      </c>
      <c r="B30" s="51" t="str">
        <f aca="false">IF($A30="","",'شجرة الحسابات'!B30)</f>
        <v>محتجزات ضمان مقاولي الباطن</v>
      </c>
      <c r="C30" s="85" t="n">
        <f aca="false">IF($A30="","",IF($G30="تحليلي",SUMIFS('قيود اليومية'!$G$11:$G$1010,'قيود اليومية'!$C$11:$C$1010,$A30,'قيود اليومية'!$I$11:$I$1010,"مرحل ✔"),SUMPRODUCT((LEFT('قيود اليومية'!$C$11:$C$1010&amp;"",LEN($A30&amp;""))=$A30&amp;"")*('قيود اليومية'!$I$11:$I$1010="مرحل ✔")*'قيود اليومية'!$G$11:$G$1010)))</f>
        <v>0</v>
      </c>
      <c r="D30" s="85" t="n">
        <f aca="false">IF($A30="","",IF($G30="تحليلي",SUMIFS('قيود اليومية'!$H$11:$H$1010,'قيود اليومية'!$C$11:$C$1010,$A30,'قيود اليومية'!$I$11:$I$1010,"مرحل ✔"),SUMPRODUCT((LEFT('قيود اليومية'!$C$11:$C$1010&amp;"",LEN($A30&amp;""))=$A30&amp;"")*('قيود اليومية'!$I$11:$I$1010="مرحل ✔")*'قيود اليومية'!$H$11:$H$1010)))</f>
        <v>42500</v>
      </c>
      <c r="E30" s="91" t="n">
        <f aca="false">IF($A30="","",MAX(C30-D30,0))</f>
        <v>0</v>
      </c>
      <c r="F30" s="91" t="n">
        <f aca="false">IF($A30="","",MAX(D30-C30,0))</f>
        <v>42500</v>
      </c>
      <c r="G30" s="55" t="str">
        <f aca="false">IF($A30="","",'شجرة الحسابات'!C30&amp;"")</f>
        <v>تحليلي</v>
      </c>
      <c r="H30" s="55" t="str">
        <f aca="false">IF($A30="","",'شجرة الحسابات'!E30&amp;"")</f>
        <v>الخصوم</v>
      </c>
      <c r="I30" s="55" t="str">
        <f aca="false">IF($A30="","",'شجرة الحسابات'!H30&amp;"")</f>
        <v>محتجزات ضمان مقاولي الباطن</v>
      </c>
      <c r="J30" s="55" t="str">
        <f aca="false">IF($A30="","",'شجرة الحسابات'!I30&amp;"")</f>
        <v/>
      </c>
      <c r="K30" s="92" t="n">
        <f aca="false">IF(OR($A30="",$G30&lt;&gt;"تحليلي"),"",E30-F30)</f>
        <v>-42500</v>
      </c>
    </row>
    <row r="31" customFormat="false" ht="15" hidden="false" customHeight="false" outlineLevel="0" collapsed="false">
      <c r="A31" s="90" t="n">
        <f aca="false">IF('شجرة الحسابات'!A31="","",'شجرة الحسابات'!A31)</f>
        <v>2104</v>
      </c>
      <c r="B31" s="51" t="str">
        <f aca="false">IF($A31="","",'شجرة الحسابات'!B31)</f>
        <v>دفعات مقدمة من العملاء</v>
      </c>
      <c r="C31" s="85" t="n">
        <f aca="false">IF($A31="","",IF($G31="تحليلي",SUMIFS('قيود اليومية'!$G$11:$G$1010,'قيود اليومية'!$C$11:$C$1010,$A31,'قيود اليومية'!$I$11:$I$1010,"مرحل ✔"),SUMPRODUCT((LEFT('قيود اليومية'!$C$11:$C$1010&amp;"",LEN($A31&amp;""))=$A31&amp;"")*('قيود اليومية'!$I$11:$I$1010="مرحل ✔")*'قيود اليومية'!$G$11:$G$1010)))</f>
        <v>315000</v>
      </c>
      <c r="D31" s="85" t="n">
        <f aca="false">IF($A31="","",IF($G31="تحليلي",SUMIFS('قيود اليومية'!$H$11:$H$1010,'قيود اليومية'!$C$11:$C$1010,$A31,'قيود اليومية'!$I$11:$I$1010,"مرحل ✔"),SUMPRODUCT((LEFT('قيود اليومية'!$C$11:$C$1010&amp;"",LEN($A31&amp;""))=$A31&amp;"")*('قيود اليومية'!$I$11:$I$1010="مرحل ✔")*'قيود اليومية'!$H$11:$H$1010)))</f>
        <v>1070000</v>
      </c>
      <c r="E31" s="91" t="n">
        <f aca="false">IF($A31="","",MAX(C31-D31,0))</f>
        <v>0</v>
      </c>
      <c r="F31" s="91" t="n">
        <f aca="false">IF($A31="","",MAX(D31-C31,0))</f>
        <v>755000</v>
      </c>
      <c r="G31" s="55" t="str">
        <f aca="false">IF($A31="","",'شجرة الحسابات'!C31&amp;"")</f>
        <v>تحليلي</v>
      </c>
      <c r="H31" s="55" t="str">
        <f aca="false">IF($A31="","",'شجرة الحسابات'!E31&amp;"")</f>
        <v>الخصوم</v>
      </c>
      <c r="I31" s="55" t="str">
        <f aca="false">IF($A31="","",'شجرة الحسابات'!H31&amp;"")</f>
        <v>دفعات مقدمة من العملاء</v>
      </c>
      <c r="J31" s="55" t="str">
        <f aca="false">IF($A31="","",'شجرة الحسابات'!I31&amp;"")</f>
        <v/>
      </c>
      <c r="K31" s="92" t="n">
        <f aca="false">IF(OR($A31="",$G31&lt;&gt;"تحليلي"),"",E31-F31)</f>
        <v>-755000</v>
      </c>
    </row>
    <row r="32" customFormat="false" ht="15" hidden="false" customHeight="false" outlineLevel="0" collapsed="false">
      <c r="A32" s="90" t="n">
        <f aca="false">IF('شجرة الحسابات'!A32="","",'شجرة الحسابات'!A32)</f>
        <v>2105</v>
      </c>
      <c r="B32" s="51" t="str">
        <f aca="false">IF($A32="","",'شجرة الحسابات'!B32)</f>
        <v>مصروفات مستحقة</v>
      </c>
      <c r="C32" s="85" t="n">
        <f aca="false">IF($A32="","",IF($G32="تحليلي",SUMIFS('قيود اليومية'!$G$11:$G$1010,'قيود اليومية'!$C$11:$C$1010,$A32,'قيود اليومية'!$I$11:$I$1010,"مرحل ✔"),SUMPRODUCT((LEFT('قيود اليومية'!$C$11:$C$1010&amp;"",LEN($A32&amp;""))=$A32&amp;"")*('قيود اليومية'!$I$11:$I$1010="مرحل ✔")*'قيود اليومية'!$G$11:$G$1010)))</f>
        <v>0</v>
      </c>
      <c r="D32" s="85" t="n">
        <f aca="false">IF($A32="","",IF($G32="تحليلي",SUMIFS('قيود اليومية'!$H$11:$H$1010,'قيود اليومية'!$C$11:$C$1010,$A32,'قيود اليومية'!$I$11:$I$1010,"مرحل ✔"),SUMPRODUCT((LEFT('قيود اليومية'!$C$11:$C$1010&amp;"",LEN($A32&amp;""))=$A32&amp;"")*('قيود اليومية'!$I$11:$I$1010="مرحل ✔")*'قيود اليومية'!$H$11:$H$1010)))</f>
        <v>0</v>
      </c>
      <c r="E32" s="91" t="n">
        <f aca="false">IF($A32="","",MAX(C32-D32,0))</f>
        <v>0</v>
      </c>
      <c r="F32" s="91" t="n">
        <f aca="false">IF($A32="","",MAX(D32-C32,0))</f>
        <v>0</v>
      </c>
      <c r="G32" s="55" t="str">
        <f aca="false">IF($A32="","",'شجرة الحسابات'!C32&amp;"")</f>
        <v>تحليلي</v>
      </c>
      <c r="H32" s="55" t="str">
        <f aca="false">IF($A32="","",'شجرة الحسابات'!E32&amp;"")</f>
        <v>الخصوم</v>
      </c>
      <c r="I32" s="55" t="str">
        <f aca="false">IF($A32="","",'شجرة الحسابات'!H32&amp;"")</f>
        <v>مصروفات مستحقة وأرصدة دائنة أخرى</v>
      </c>
      <c r="J32" s="55" t="str">
        <f aca="false">IF($A32="","",'شجرة الحسابات'!I32&amp;"")</f>
        <v/>
      </c>
      <c r="K32" s="92" t="n">
        <f aca="false">IF(OR($A32="",$G32&lt;&gt;"تحليلي"),"",E32-F32)</f>
        <v>0</v>
      </c>
    </row>
    <row r="33" customFormat="false" ht="15" hidden="false" customHeight="false" outlineLevel="0" collapsed="false">
      <c r="A33" s="90" t="n">
        <f aca="false">IF('شجرة الحسابات'!A33="","",'شجرة الحسابات'!A33)</f>
        <v>2106</v>
      </c>
      <c r="B33" s="51" t="str">
        <f aca="false">IF($A33="","",'شجرة الحسابات'!B33)</f>
        <v>رواتب وأجور مستحقة</v>
      </c>
      <c r="C33" s="85" t="n">
        <f aca="false">IF($A33="","",IF($G33="تحليلي",SUMIFS('قيود اليومية'!$G$11:$G$1010,'قيود اليومية'!$C$11:$C$1010,$A33,'قيود اليومية'!$I$11:$I$1010,"مرحل ✔"),SUMPRODUCT((LEFT('قيود اليومية'!$C$11:$C$1010&amp;"",LEN($A33&amp;""))=$A33&amp;"")*('قيود اليومية'!$I$11:$I$1010="مرحل ✔")*'قيود اليومية'!$G$11:$G$1010)))</f>
        <v>0</v>
      </c>
      <c r="D33" s="85" t="n">
        <f aca="false">IF($A33="","",IF($G33="تحليلي",SUMIFS('قيود اليومية'!$H$11:$H$1010,'قيود اليومية'!$C$11:$C$1010,$A33,'قيود اليومية'!$I$11:$I$1010,"مرحل ✔"),SUMPRODUCT((LEFT('قيود اليومية'!$C$11:$C$1010&amp;"",LEN($A33&amp;""))=$A33&amp;"")*('قيود اليومية'!$I$11:$I$1010="مرحل ✔")*'قيود اليومية'!$H$11:$H$1010)))</f>
        <v>40000</v>
      </c>
      <c r="E33" s="91" t="n">
        <f aca="false">IF($A33="","",MAX(C33-D33,0))</f>
        <v>0</v>
      </c>
      <c r="F33" s="91" t="n">
        <f aca="false">IF($A33="","",MAX(D33-C33,0))</f>
        <v>40000</v>
      </c>
      <c r="G33" s="55" t="str">
        <f aca="false">IF($A33="","",'شجرة الحسابات'!C33&amp;"")</f>
        <v>تحليلي</v>
      </c>
      <c r="H33" s="55" t="str">
        <f aca="false">IF($A33="","",'شجرة الحسابات'!E33&amp;"")</f>
        <v>الخصوم</v>
      </c>
      <c r="I33" s="55" t="str">
        <f aca="false">IF($A33="","",'شجرة الحسابات'!H33&amp;"")</f>
        <v>مصروفات مستحقة وأرصدة دائنة أخرى</v>
      </c>
      <c r="J33" s="55" t="str">
        <f aca="false">IF($A33="","",'شجرة الحسابات'!I33&amp;"")</f>
        <v/>
      </c>
      <c r="K33" s="92" t="n">
        <f aca="false">IF(OR($A33="",$G33&lt;&gt;"تحليلي"),"",E33-F33)</f>
        <v>-40000</v>
      </c>
    </row>
    <row r="34" customFormat="false" ht="15" hidden="false" customHeight="false" outlineLevel="0" collapsed="false">
      <c r="A34" s="90" t="n">
        <f aca="false">IF('شجرة الحسابات'!A34="","",'شجرة الحسابات'!A34)</f>
        <v>22</v>
      </c>
      <c r="B34" s="51" t="str">
        <f aca="false">IF($A34="","",'شجرة الحسابات'!B34)</f>
        <v>الخصوم غير المتداولة</v>
      </c>
      <c r="C34" s="85" t="n">
        <f aca="false">IF($A34="","",IF($G34="تحليلي",SUMIFS('قيود اليومية'!$G$11:$G$1010,'قيود اليومية'!$C$11:$C$1010,$A34,'قيود اليومية'!$I$11:$I$1010,"مرحل ✔"),SUMPRODUCT((LEFT('قيود اليومية'!$C$11:$C$1010&amp;"",LEN($A34&amp;""))=$A34&amp;"")*('قيود اليومية'!$I$11:$I$1010="مرحل ✔")*'قيود اليومية'!$G$11:$G$1010)))</f>
        <v>0</v>
      </c>
      <c r="D34" s="85" t="n">
        <f aca="false">IF($A34="","",IF($G34="تحليلي",SUMIFS('قيود اليومية'!$H$11:$H$1010,'قيود اليومية'!$C$11:$C$1010,$A34,'قيود اليومية'!$I$11:$I$1010,"مرحل ✔"),SUMPRODUCT((LEFT('قيود اليومية'!$C$11:$C$1010&amp;"",LEN($A34&amp;""))=$A34&amp;"")*('قيود اليومية'!$I$11:$I$1010="مرحل ✔")*'قيود اليومية'!$H$11:$H$1010)))</f>
        <v>500000</v>
      </c>
      <c r="E34" s="91" t="n">
        <f aca="false">IF($A34="","",MAX(C34-D34,0))</f>
        <v>0</v>
      </c>
      <c r="F34" s="91" t="n">
        <f aca="false">IF($A34="","",MAX(D34-C34,0))</f>
        <v>500000</v>
      </c>
      <c r="G34" s="55" t="str">
        <f aca="false">IF($A34="","",'شجرة الحسابات'!C34&amp;"")</f>
        <v>فرعي</v>
      </c>
      <c r="H34" s="55" t="str">
        <f aca="false">IF($A34="","",'شجرة الحسابات'!E34&amp;"")</f>
        <v>الخصوم</v>
      </c>
      <c r="I34" s="55" t="str">
        <f aca="false">IF($A34="","",'شجرة الحسابات'!H34&amp;"")</f>
        <v/>
      </c>
      <c r="J34" s="55" t="str">
        <f aca="false">IF($A34="","",'شجرة الحسابات'!I34&amp;"")</f>
        <v/>
      </c>
      <c r="K34" s="92" t="str">
        <f aca="false">IF(OR($A34="",$G34&lt;&gt;"تحليلي"),"",E34-F34)</f>
        <v/>
      </c>
    </row>
    <row r="35" customFormat="false" ht="15" hidden="false" customHeight="false" outlineLevel="0" collapsed="false">
      <c r="A35" s="90" t="n">
        <f aca="false">IF('شجرة الحسابات'!A35="","",'شجرة الحسابات'!A35)</f>
        <v>2201</v>
      </c>
      <c r="B35" s="51" t="str">
        <f aca="false">IF($A35="","",'شجرة الحسابات'!B35)</f>
        <v>قروض بنكية طويلة الأجل</v>
      </c>
      <c r="C35" s="85" t="n">
        <f aca="false">IF($A35="","",IF($G35="تحليلي",SUMIFS('قيود اليومية'!$G$11:$G$1010,'قيود اليومية'!$C$11:$C$1010,$A35,'قيود اليومية'!$I$11:$I$1010,"مرحل ✔"),SUMPRODUCT((LEFT('قيود اليومية'!$C$11:$C$1010&amp;"",LEN($A35&amp;""))=$A35&amp;"")*('قيود اليومية'!$I$11:$I$1010="مرحل ✔")*'قيود اليومية'!$G$11:$G$1010)))</f>
        <v>0</v>
      </c>
      <c r="D35" s="85" t="n">
        <f aca="false">IF($A35="","",IF($G35="تحليلي",SUMIFS('قيود اليومية'!$H$11:$H$1010,'قيود اليومية'!$C$11:$C$1010,$A35,'قيود اليومية'!$I$11:$I$1010,"مرحل ✔"),SUMPRODUCT((LEFT('قيود اليومية'!$C$11:$C$1010&amp;"",LEN($A35&amp;""))=$A35&amp;"")*('قيود اليومية'!$I$11:$I$1010="مرحل ✔")*'قيود اليومية'!$H$11:$H$1010)))</f>
        <v>500000</v>
      </c>
      <c r="E35" s="91" t="n">
        <f aca="false">IF($A35="","",MAX(C35-D35,0))</f>
        <v>0</v>
      </c>
      <c r="F35" s="91" t="n">
        <f aca="false">IF($A35="","",MAX(D35-C35,0))</f>
        <v>500000</v>
      </c>
      <c r="G35" s="55" t="str">
        <f aca="false">IF($A35="","",'شجرة الحسابات'!C35&amp;"")</f>
        <v>تحليلي</v>
      </c>
      <c r="H35" s="55" t="str">
        <f aca="false">IF($A35="","",'شجرة الحسابات'!E35&amp;"")</f>
        <v>الخصوم</v>
      </c>
      <c r="I35" s="55" t="str">
        <f aca="false">IF($A35="","",'شجرة الحسابات'!H35&amp;"")</f>
        <v>قروض طويلة الأجل</v>
      </c>
      <c r="J35" s="55" t="str">
        <f aca="false">IF($A35="","",'شجرة الحسابات'!I35&amp;"")</f>
        <v/>
      </c>
      <c r="K35" s="92" t="n">
        <f aca="false">IF(OR($A35="",$G35&lt;&gt;"تحليلي"),"",E35-F35)</f>
        <v>-500000</v>
      </c>
    </row>
    <row r="36" customFormat="false" ht="15" hidden="false" customHeight="false" outlineLevel="0" collapsed="false">
      <c r="A36" s="90" t="n">
        <f aca="false">IF('شجرة الحسابات'!A36="","",'شجرة الحسابات'!A36)</f>
        <v>2202</v>
      </c>
      <c r="B36" s="51" t="str">
        <f aca="false">IF($A36="","",'شجرة الحسابات'!B36)</f>
        <v>مخصص مكافأة نهاية الخدمة</v>
      </c>
      <c r="C36" s="85" t="n">
        <f aca="false">IF($A36="","",IF($G36="تحليلي",SUMIFS('قيود اليومية'!$G$11:$G$1010,'قيود اليومية'!$C$11:$C$1010,$A36,'قيود اليومية'!$I$11:$I$1010,"مرحل ✔"),SUMPRODUCT((LEFT('قيود اليومية'!$C$11:$C$1010&amp;"",LEN($A36&amp;""))=$A36&amp;"")*('قيود اليومية'!$I$11:$I$1010="مرحل ✔")*'قيود اليومية'!$G$11:$G$1010)))</f>
        <v>0</v>
      </c>
      <c r="D36" s="85" t="n">
        <f aca="false">IF($A36="","",IF($G36="تحليلي",SUMIFS('قيود اليومية'!$H$11:$H$1010,'قيود اليومية'!$C$11:$C$1010,$A36,'قيود اليومية'!$I$11:$I$1010,"مرحل ✔"),SUMPRODUCT((LEFT('قيود اليومية'!$C$11:$C$1010&amp;"",LEN($A36&amp;""))=$A36&amp;"")*('قيود اليومية'!$I$11:$I$1010="مرحل ✔")*'قيود اليومية'!$H$11:$H$1010)))</f>
        <v>0</v>
      </c>
      <c r="E36" s="91" t="n">
        <f aca="false">IF($A36="","",MAX(C36-D36,0))</f>
        <v>0</v>
      </c>
      <c r="F36" s="91" t="n">
        <f aca="false">IF($A36="","",MAX(D36-C36,0))</f>
        <v>0</v>
      </c>
      <c r="G36" s="55" t="str">
        <f aca="false">IF($A36="","",'شجرة الحسابات'!C36&amp;"")</f>
        <v>تحليلي</v>
      </c>
      <c r="H36" s="55" t="str">
        <f aca="false">IF($A36="","",'شجرة الحسابات'!E36&amp;"")</f>
        <v>الخصوم</v>
      </c>
      <c r="I36" s="55" t="str">
        <f aca="false">IF($A36="","",'شجرة الحسابات'!H36&amp;"")</f>
        <v>مخصص مكافأة نهاية الخدمة</v>
      </c>
      <c r="J36" s="55" t="str">
        <f aca="false">IF($A36="","",'شجرة الحسابات'!I36&amp;"")</f>
        <v/>
      </c>
      <c r="K36" s="92" t="n">
        <f aca="false">IF(OR($A36="",$G36&lt;&gt;"تحليلي"),"",E36-F36)</f>
        <v>0</v>
      </c>
    </row>
    <row r="37" customFormat="false" ht="15" hidden="false" customHeight="false" outlineLevel="0" collapsed="false">
      <c r="A37" s="90" t="n">
        <f aca="false">IF('شجرة الحسابات'!A37="","",'شجرة الحسابات'!A37)</f>
        <v>3</v>
      </c>
      <c r="B37" s="51" t="str">
        <f aca="false">IF($A37="","",'شجرة الحسابات'!B37)</f>
        <v>حقوق الملكية</v>
      </c>
      <c r="C37" s="85" t="n">
        <f aca="false">IF($A37="","",IF($G37="تحليلي",SUMIFS('قيود اليومية'!$G$11:$G$1010,'قيود اليومية'!$C$11:$C$1010,$A37,'قيود اليومية'!$I$11:$I$1010,"مرحل ✔"),SUMPRODUCT((LEFT('قيود اليومية'!$C$11:$C$1010&amp;"",LEN($A37&amp;""))=$A37&amp;"")*('قيود اليومية'!$I$11:$I$1010="مرحل ✔")*'قيود اليومية'!$G$11:$G$1010)))</f>
        <v>40000</v>
      </c>
      <c r="D37" s="85" t="n">
        <f aca="false">IF($A37="","",IF($G37="تحليلي",SUMIFS('قيود اليومية'!$H$11:$H$1010,'قيود اليومية'!$C$11:$C$1010,$A37,'قيود اليومية'!$I$11:$I$1010,"مرحل ✔"),SUMPRODUCT((LEFT('قيود اليومية'!$C$11:$C$1010&amp;"",LEN($A37&amp;""))=$A37&amp;"")*('قيود اليومية'!$I$11:$I$1010="مرحل ✔")*'قيود اليومية'!$H$11:$H$1010)))</f>
        <v>3000000</v>
      </c>
      <c r="E37" s="91" t="n">
        <f aca="false">IF($A37="","",MAX(C37-D37,0))</f>
        <v>0</v>
      </c>
      <c r="F37" s="91" t="n">
        <f aca="false">IF($A37="","",MAX(D37-C37,0))</f>
        <v>2960000</v>
      </c>
      <c r="G37" s="55" t="str">
        <f aca="false">IF($A37="","",'شجرة الحسابات'!C37&amp;"")</f>
        <v>رئيسي</v>
      </c>
      <c r="H37" s="55" t="str">
        <f aca="false">IF($A37="","",'شجرة الحسابات'!E37&amp;"")</f>
        <v>حقوق الملكية</v>
      </c>
      <c r="I37" s="55" t="str">
        <f aca="false">IF($A37="","",'شجرة الحسابات'!H37&amp;"")</f>
        <v/>
      </c>
      <c r="J37" s="55" t="str">
        <f aca="false">IF($A37="","",'شجرة الحسابات'!I37&amp;"")</f>
        <v/>
      </c>
      <c r="K37" s="92" t="str">
        <f aca="false">IF(OR($A37="",$G37&lt;&gt;"تحليلي"),"",E37-F37)</f>
        <v/>
      </c>
    </row>
    <row r="38" customFormat="false" ht="15" hidden="false" customHeight="false" outlineLevel="0" collapsed="false">
      <c r="A38" s="90" t="n">
        <f aca="false">IF('شجرة الحسابات'!A38="","",'شجرة الحسابات'!A38)</f>
        <v>31</v>
      </c>
      <c r="B38" s="51" t="str">
        <f aca="false">IF($A38="","",'شجرة الحسابات'!B38)</f>
        <v>رأس المال والاحتياطيات</v>
      </c>
      <c r="C38" s="85" t="n">
        <f aca="false">IF($A38="","",IF($G38="تحليلي",SUMIFS('قيود اليومية'!$G$11:$G$1010,'قيود اليومية'!$C$11:$C$1010,$A38,'قيود اليومية'!$I$11:$I$1010,"مرحل ✔"),SUMPRODUCT((LEFT('قيود اليومية'!$C$11:$C$1010&amp;"",LEN($A38&amp;""))=$A38&amp;"")*('قيود اليومية'!$I$11:$I$1010="مرحل ✔")*'قيود اليومية'!$G$11:$G$1010)))</f>
        <v>40000</v>
      </c>
      <c r="D38" s="85" t="n">
        <f aca="false">IF($A38="","",IF($G38="تحليلي",SUMIFS('قيود اليومية'!$H$11:$H$1010,'قيود اليومية'!$C$11:$C$1010,$A38,'قيود اليومية'!$I$11:$I$1010,"مرحل ✔"),SUMPRODUCT((LEFT('قيود اليومية'!$C$11:$C$1010&amp;"",LEN($A38&amp;""))=$A38&amp;"")*('قيود اليومية'!$I$11:$I$1010="مرحل ✔")*'قيود اليومية'!$H$11:$H$1010)))</f>
        <v>3000000</v>
      </c>
      <c r="E38" s="91" t="n">
        <f aca="false">IF($A38="","",MAX(C38-D38,0))</f>
        <v>0</v>
      </c>
      <c r="F38" s="91" t="n">
        <f aca="false">IF($A38="","",MAX(D38-C38,0))</f>
        <v>2960000</v>
      </c>
      <c r="G38" s="55" t="str">
        <f aca="false">IF($A38="","",'شجرة الحسابات'!C38&amp;"")</f>
        <v>فرعي</v>
      </c>
      <c r="H38" s="55" t="str">
        <f aca="false">IF($A38="","",'شجرة الحسابات'!E38&amp;"")</f>
        <v>حقوق الملكية</v>
      </c>
      <c r="I38" s="55" t="str">
        <f aca="false">IF($A38="","",'شجرة الحسابات'!H38&amp;"")</f>
        <v/>
      </c>
      <c r="J38" s="55" t="str">
        <f aca="false">IF($A38="","",'شجرة الحسابات'!I38&amp;"")</f>
        <v/>
      </c>
      <c r="K38" s="92" t="str">
        <f aca="false">IF(OR($A38="",$G38&lt;&gt;"تحليلي"),"",E38-F38)</f>
        <v/>
      </c>
    </row>
    <row r="39" customFormat="false" ht="15" hidden="false" customHeight="false" outlineLevel="0" collapsed="false">
      <c r="A39" s="90" t="n">
        <f aca="false">IF('شجرة الحسابات'!A39="","",'شجرة الحسابات'!A39)</f>
        <v>3101</v>
      </c>
      <c r="B39" s="51" t="str">
        <f aca="false">IF($A39="","",'شجرة الحسابات'!B39)</f>
        <v>رأس المال المدفوع</v>
      </c>
      <c r="C39" s="85" t="n">
        <f aca="false">IF($A39="","",IF($G39="تحليلي",SUMIFS('قيود اليومية'!$G$11:$G$1010,'قيود اليومية'!$C$11:$C$1010,$A39,'قيود اليومية'!$I$11:$I$1010,"مرحل ✔"),SUMPRODUCT((LEFT('قيود اليومية'!$C$11:$C$1010&amp;"",LEN($A39&amp;""))=$A39&amp;"")*('قيود اليومية'!$I$11:$I$1010="مرحل ✔")*'قيود اليومية'!$G$11:$G$1010)))</f>
        <v>0</v>
      </c>
      <c r="D39" s="85" t="n">
        <f aca="false">IF($A39="","",IF($G39="تحليلي",SUMIFS('قيود اليومية'!$H$11:$H$1010,'قيود اليومية'!$C$11:$C$1010,$A39,'قيود اليومية'!$I$11:$I$1010,"مرحل ✔"),SUMPRODUCT((LEFT('قيود اليومية'!$C$11:$C$1010&amp;"",LEN($A39&amp;""))=$A39&amp;"")*('قيود اليومية'!$I$11:$I$1010="مرحل ✔")*'قيود اليومية'!$H$11:$H$1010)))</f>
        <v>3000000</v>
      </c>
      <c r="E39" s="91" t="n">
        <f aca="false">IF($A39="","",MAX(C39-D39,0))</f>
        <v>0</v>
      </c>
      <c r="F39" s="91" t="n">
        <f aca="false">IF($A39="","",MAX(D39-C39,0))</f>
        <v>3000000</v>
      </c>
      <c r="G39" s="55" t="str">
        <f aca="false">IF($A39="","",'شجرة الحسابات'!C39&amp;"")</f>
        <v>تحليلي</v>
      </c>
      <c r="H39" s="55" t="str">
        <f aca="false">IF($A39="","",'شجرة الحسابات'!E39&amp;"")</f>
        <v>حقوق الملكية</v>
      </c>
      <c r="I39" s="55" t="str">
        <f aca="false">IF($A39="","",'شجرة الحسابات'!H39&amp;"")</f>
        <v>رأس المال</v>
      </c>
      <c r="J39" s="55" t="str">
        <f aca="false">IF($A39="","",'شجرة الحسابات'!I39&amp;"")</f>
        <v/>
      </c>
      <c r="K39" s="92" t="n">
        <f aca="false">IF(OR($A39="",$G39&lt;&gt;"تحليلي"),"",E39-F39)</f>
        <v>-3000000</v>
      </c>
    </row>
    <row r="40" customFormat="false" ht="15" hidden="false" customHeight="false" outlineLevel="0" collapsed="false">
      <c r="A40" s="90" t="n">
        <f aca="false">IF('شجرة الحسابات'!A40="","",'شجرة الحسابات'!A40)</f>
        <v>3102</v>
      </c>
      <c r="B40" s="51" t="str">
        <f aca="false">IF($A40="","",'شجرة الحسابات'!B40)</f>
        <v>الاحتياطي النظامي</v>
      </c>
      <c r="C40" s="85" t="n">
        <f aca="false">IF($A40="","",IF($G40="تحليلي",SUMIFS('قيود اليومية'!$G$11:$G$1010,'قيود اليومية'!$C$11:$C$1010,$A40,'قيود اليومية'!$I$11:$I$1010,"مرحل ✔"),SUMPRODUCT((LEFT('قيود اليومية'!$C$11:$C$1010&amp;"",LEN($A40&amp;""))=$A40&amp;"")*('قيود اليومية'!$I$11:$I$1010="مرحل ✔")*'قيود اليومية'!$G$11:$G$1010)))</f>
        <v>0</v>
      </c>
      <c r="D40" s="85" t="n">
        <f aca="false">IF($A40="","",IF($G40="تحليلي",SUMIFS('قيود اليومية'!$H$11:$H$1010,'قيود اليومية'!$C$11:$C$1010,$A40,'قيود اليومية'!$I$11:$I$1010,"مرحل ✔"),SUMPRODUCT((LEFT('قيود اليومية'!$C$11:$C$1010&amp;"",LEN($A40&amp;""))=$A40&amp;"")*('قيود اليومية'!$I$11:$I$1010="مرحل ✔")*'قيود اليومية'!$H$11:$H$1010)))</f>
        <v>0</v>
      </c>
      <c r="E40" s="91" t="n">
        <f aca="false">IF($A40="","",MAX(C40-D40,0))</f>
        <v>0</v>
      </c>
      <c r="F40" s="91" t="n">
        <f aca="false">IF($A40="","",MAX(D40-C40,0))</f>
        <v>0</v>
      </c>
      <c r="G40" s="55" t="str">
        <f aca="false">IF($A40="","",'شجرة الحسابات'!C40&amp;"")</f>
        <v>تحليلي</v>
      </c>
      <c r="H40" s="55" t="str">
        <f aca="false">IF($A40="","",'شجرة الحسابات'!E40&amp;"")</f>
        <v>حقوق الملكية</v>
      </c>
      <c r="I40" s="55" t="str">
        <f aca="false">IF($A40="","",'شجرة الحسابات'!H40&amp;"")</f>
        <v>الاحتياطيات</v>
      </c>
      <c r="J40" s="55" t="str">
        <f aca="false">IF($A40="","",'شجرة الحسابات'!I40&amp;"")</f>
        <v/>
      </c>
      <c r="K40" s="92" t="n">
        <f aca="false">IF(OR($A40="",$G40&lt;&gt;"تحليلي"),"",E40-F40)</f>
        <v>0</v>
      </c>
    </row>
    <row r="41" customFormat="false" ht="15" hidden="false" customHeight="false" outlineLevel="0" collapsed="false">
      <c r="A41" s="90" t="n">
        <f aca="false">IF('شجرة الحسابات'!A41="","",'شجرة الحسابات'!A41)</f>
        <v>3103</v>
      </c>
      <c r="B41" s="51" t="str">
        <f aca="false">IF($A41="","",'شجرة الحسابات'!B41)</f>
        <v>الأرباح المحتجزة</v>
      </c>
      <c r="C41" s="85" t="n">
        <f aca="false">IF($A41="","",IF($G41="تحليلي",SUMIFS('قيود اليومية'!$G$11:$G$1010,'قيود اليومية'!$C$11:$C$1010,$A41,'قيود اليومية'!$I$11:$I$1010,"مرحل ✔"),SUMPRODUCT((LEFT('قيود اليومية'!$C$11:$C$1010&amp;"",LEN($A41&amp;""))=$A41&amp;"")*('قيود اليومية'!$I$11:$I$1010="مرحل ✔")*'قيود اليومية'!$G$11:$G$1010)))</f>
        <v>0</v>
      </c>
      <c r="D41" s="85" t="n">
        <f aca="false">IF($A41="","",IF($G41="تحليلي",SUMIFS('قيود اليومية'!$H$11:$H$1010,'قيود اليومية'!$C$11:$C$1010,$A41,'قيود اليومية'!$I$11:$I$1010,"مرحل ✔"),SUMPRODUCT((LEFT('قيود اليومية'!$C$11:$C$1010&amp;"",LEN($A41&amp;""))=$A41&amp;"")*('قيود اليومية'!$I$11:$I$1010="مرحل ✔")*'قيود اليومية'!$H$11:$H$1010)))</f>
        <v>0</v>
      </c>
      <c r="E41" s="91" t="n">
        <f aca="false">IF($A41="","",MAX(C41-D41,0))</f>
        <v>0</v>
      </c>
      <c r="F41" s="91" t="n">
        <f aca="false">IF($A41="","",MAX(D41-C41,0))</f>
        <v>0</v>
      </c>
      <c r="G41" s="55" t="str">
        <f aca="false">IF($A41="","",'شجرة الحسابات'!C41&amp;"")</f>
        <v>تحليلي</v>
      </c>
      <c r="H41" s="55" t="str">
        <f aca="false">IF($A41="","",'شجرة الحسابات'!E41&amp;"")</f>
        <v>حقوق الملكية</v>
      </c>
      <c r="I41" s="55" t="str">
        <f aca="false">IF($A41="","",'شجرة الحسابات'!H41&amp;"")</f>
        <v>الأرباح المحتجزة</v>
      </c>
      <c r="J41" s="55" t="str">
        <f aca="false">IF($A41="","",'شجرة الحسابات'!I41&amp;"")</f>
        <v/>
      </c>
      <c r="K41" s="92" t="n">
        <f aca="false">IF(OR($A41="",$G41&lt;&gt;"تحليلي"),"",E41-F41)</f>
        <v>0</v>
      </c>
    </row>
    <row r="42" customFormat="false" ht="15" hidden="false" customHeight="false" outlineLevel="0" collapsed="false">
      <c r="A42" s="90" t="n">
        <f aca="false">IF('شجرة الحسابات'!A42="","",'شجرة الحسابات'!A42)</f>
        <v>3104</v>
      </c>
      <c r="B42" s="51" t="str">
        <f aca="false">IF($A42="","",'شجرة الحسابات'!B42)</f>
        <v>جاري الشركاء (مسحوبات)</v>
      </c>
      <c r="C42" s="85" t="n">
        <f aca="false">IF($A42="","",IF($G42="تحليلي",SUMIFS('قيود اليومية'!$G$11:$G$1010,'قيود اليومية'!$C$11:$C$1010,$A42,'قيود اليومية'!$I$11:$I$1010,"مرحل ✔"),SUMPRODUCT((LEFT('قيود اليومية'!$C$11:$C$1010&amp;"",LEN($A42&amp;""))=$A42&amp;"")*('قيود اليومية'!$I$11:$I$1010="مرحل ✔")*'قيود اليومية'!$G$11:$G$1010)))</f>
        <v>40000</v>
      </c>
      <c r="D42" s="85" t="n">
        <f aca="false">IF($A42="","",IF($G42="تحليلي",SUMIFS('قيود اليومية'!$H$11:$H$1010,'قيود اليومية'!$C$11:$C$1010,$A42,'قيود اليومية'!$I$11:$I$1010,"مرحل ✔"),SUMPRODUCT((LEFT('قيود اليومية'!$C$11:$C$1010&amp;"",LEN($A42&amp;""))=$A42&amp;"")*('قيود اليومية'!$I$11:$I$1010="مرحل ✔")*'قيود اليومية'!$H$11:$H$1010)))</f>
        <v>0</v>
      </c>
      <c r="E42" s="91" t="n">
        <f aca="false">IF($A42="","",MAX(C42-D42,0))</f>
        <v>40000</v>
      </c>
      <c r="F42" s="91" t="n">
        <f aca="false">IF($A42="","",MAX(D42-C42,0))</f>
        <v>0</v>
      </c>
      <c r="G42" s="55" t="str">
        <f aca="false">IF($A42="","",'شجرة الحسابات'!C42&amp;"")</f>
        <v>تحليلي</v>
      </c>
      <c r="H42" s="55" t="str">
        <f aca="false">IF($A42="","",'شجرة الحسابات'!E42&amp;"")</f>
        <v>حقوق الملكية</v>
      </c>
      <c r="I42" s="55" t="str">
        <f aca="false">IF($A42="","",'شجرة الحسابات'!H42&amp;"")</f>
        <v>جاري الشركاء</v>
      </c>
      <c r="J42" s="55" t="str">
        <f aca="false">IF($A42="","",'شجرة الحسابات'!I42&amp;"")</f>
        <v/>
      </c>
      <c r="K42" s="92" t="n">
        <f aca="false">IF(OR($A42="",$G42&lt;&gt;"تحليلي"),"",E42-F42)</f>
        <v>40000</v>
      </c>
    </row>
    <row r="43" customFormat="false" ht="15" hidden="false" customHeight="false" outlineLevel="0" collapsed="false">
      <c r="A43" s="90" t="n">
        <f aca="false">IF('شجرة الحسابات'!A43="","",'شجرة الحسابات'!A43)</f>
        <v>4</v>
      </c>
      <c r="B43" s="51" t="str">
        <f aca="false">IF($A43="","",'شجرة الحسابات'!B43)</f>
        <v>الإيرادات</v>
      </c>
      <c r="C43" s="85" t="n">
        <f aca="false">IF($A43="","",IF($G43="تحليلي",SUMIFS('قيود اليومية'!$G$11:$G$1010,'قيود اليومية'!$C$11:$C$1010,$A43,'قيود اليومية'!$I$11:$I$1010,"مرحل ✔"),SUMPRODUCT((LEFT('قيود اليومية'!$C$11:$C$1010&amp;"",LEN($A43&amp;""))=$A43&amp;"")*('قيود اليومية'!$I$11:$I$1010="مرحل ✔")*'قيود اليومية'!$G$11:$G$1010)))</f>
        <v>0</v>
      </c>
      <c r="D43" s="85" t="n">
        <f aca="false">IF($A43="","",IF($G43="تحليلي",SUMIFS('قيود اليومية'!$H$11:$H$1010,'قيود اليومية'!$C$11:$C$1010,$A43,'قيود اليومية'!$I$11:$I$1010,"مرحل ✔"),SUMPRODUCT((LEFT('قيود اليومية'!$C$11:$C$1010&amp;"",LEN($A43&amp;""))=$A43&amp;"")*('قيود اليومية'!$I$11:$I$1010="مرحل ✔")*'قيود اليومية'!$H$11:$H$1010)))</f>
        <v>2708000</v>
      </c>
      <c r="E43" s="91" t="n">
        <f aca="false">IF($A43="","",MAX(C43-D43,0))</f>
        <v>0</v>
      </c>
      <c r="F43" s="91" t="n">
        <f aca="false">IF($A43="","",MAX(D43-C43,0))</f>
        <v>2708000</v>
      </c>
      <c r="G43" s="55" t="str">
        <f aca="false">IF($A43="","",'شجرة الحسابات'!C43&amp;"")</f>
        <v>رئيسي</v>
      </c>
      <c r="H43" s="55" t="str">
        <f aca="false">IF($A43="","",'شجرة الحسابات'!E43&amp;"")</f>
        <v>الإيرادات</v>
      </c>
      <c r="I43" s="55" t="str">
        <f aca="false">IF($A43="","",'شجرة الحسابات'!H43&amp;"")</f>
        <v/>
      </c>
      <c r="J43" s="55" t="str">
        <f aca="false">IF($A43="","",'شجرة الحسابات'!I43&amp;"")</f>
        <v/>
      </c>
      <c r="K43" s="92" t="str">
        <f aca="false">IF(OR($A43="",$G43&lt;&gt;"تحليلي"),"",E43-F43)</f>
        <v/>
      </c>
    </row>
    <row r="44" customFormat="false" ht="15" hidden="false" customHeight="false" outlineLevel="0" collapsed="false">
      <c r="A44" s="90" t="n">
        <f aca="false">IF('شجرة الحسابات'!A44="","",'شجرة الحسابات'!A44)</f>
        <v>41</v>
      </c>
      <c r="B44" s="51" t="str">
        <f aca="false">IF($A44="","",'شجرة الحسابات'!B44)</f>
        <v>إيرادات العقود</v>
      </c>
      <c r="C44" s="85" t="n">
        <f aca="false">IF($A44="","",IF($G44="تحليلي",SUMIFS('قيود اليومية'!$G$11:$G$1010,'قيود اليومية'!$C$11:$C$1010,$A44,'قيود اليومية'!$I$11:$I$1010,"مرحل ✔"),SUMPRODUCT((LEFT('قيود اليومية'!$C$11:$C$1010&amp;"",LEN($A44&amp;""))=$A44&amp;"")*('قيود اليومية'!$I$11:$I$1010="مرحل ✔")*'قيود اليومية'!$G$11:$G$1010)))</f>
        <v>0</v>
      </c>
      <c r="D44" s="85" t="n">
        <f aca="false">IF($A44="","",IF($G44="تحليلي",SUMIFS('قيود اليومية'!$H$11:$H$1010,'قيود اليومية'!$C$11:$C$1010,$A44,'قيود اليومية'!$I$11:$I$1010,"مرحل ✔"),SUMPRODUCT((LEFT('قيود اليومية'!$C$11:$C$1010&amp;"",LEN($A44&amp;""))=$A44&amp;"")*('قيود اليومية'!$I$11:$I$1010="مرحل ✔")*'قيود اليومية'!$H$11:$H$1010)))</f>
        <v>2700000</v>
      </c>
      <c r="E44" s="91" t="n">
        <f aca="false">IF($A44="","",MAX(C44-D44,0))</f>
        <v>0</v>
      </c>
      <c r="F44" s="91" t="n">
        <f aca="false">IF($A44="","",MAX(D44-C44,0))</f>
        <v>2700000</v>
      </c>
      <c r="G44" s="55" t="str">
        <f aca="false">IF($A44="","",'شجرة الحسابات'!C44&amp;"")</f>
        <v>فرعي</v>
      </c>
      <c r="H44" s="55" t="str">
        <f aca="false">IF($A44="","",'شجرة الحسابات'!E44&amp;"")</f>
        <v>الإيرادات</v>
      </c>
      <c r="I44" s="55" t="str">
        <f aca="false">IF($A44="","",'شجرة الحسابات'!H44&amp;"")</f>
        <v/>
      </c>
      <c r="J44" s="55" t="str">
        <f aca="false">IF($A44="","",'شجرة الحسابات'!I44&amp;"")</f>
        <v/>
      </c>
      <c r="K44" s="92" t="str">
        <f aca="false">IF(OR($A44="",$G44&lt;&gt;"تحليلي"),"",E44-F44)</f>
        <v/>
      </c>
    </row>
    <row r="45" customFormat="false" ht="15" hidden="false" customHeight="false" outlineLevel="0" collapsed="false">
      <c r="A45" s="90" t="n">
        <f aca="false">IF('شجرة الحسابات'!A45="","",'شجرة الحسابات'!A45)</f>
        <v>4101</v>
      </c>
      <c r="B45" s="51" t="str">
        <f aca="false">IF($A45="","",'شجرة الحسابات'!B45)</f>
        <v>إيرادات المستخلصات</v>
      </c>
      <c r="C45" s="85" t="n">
        <f aca="false">IF($A45="","",IF($G45="تحليلي",SUMIFS('قيود اليومية'!$G$11:$G$1010,'قيود اليومية'!$C$11:$C$1010,$A45,'قيود اليومية'!$I$11:$I$1010,"مرحل ✔"),SUMPRODUCT((LEFT('قيود اليومية'!$C$11:$C$1010&amp;"",LEN($A45&amp;""))=$A45&amp;"")*('قيود اليومية'!$I$11:$I$1010="مرحل ✔")*'قيود اليومية'!$G$11:$G$1010)))</f>
        <v>0</v>
      </c>
      <c r="D45" s="85" t="n">
        <f aca="false">IF($A45="","",IF($G45="تحليلي",SUMIFS('قيود اليومية'!$H$11:$H$1010,'قيود اليومية'!$C$11:$C$1010,$A45,'قيود اليومية'!$I$11:$I$1010,"مرحل ✔"),SUMPRODUCT((LEFT('قيود اليومية'!$C$11:$C$1010&amp;"",LEN($A45&amp;""))=$A45&amp;"")*('قيود اليومية'!$I$11:$I$1010="مرحل ✔")*'قيود اليومية'!$H$11:$H$1010)))</f>
        <v>2580000</v>
      </c>
      <c r="E45" s="91" t="n">
        <f aca="false">IF($A45="","",MAX(C45-D45,0))</f>
        <v>0</v>
      </c>
      <c r="F45" s="91" t="n">
        <f aca="false">IF($A45="","",MAX(D45-C45,0))</f>
        <v>2580000</v>
      </c>
      <c r="G45" s="55" t="str">
        <f aca="false">IF($A45="","",'شجرة الحسابات'!C45&amp;"")</f>
        <v>تحليلي</v>
      </c>
      <c r="H45" s="55" t="str">
        <f aca="false">IF($A45="","",'شجرة الحسابات'!E45&amp;"")</f>
        <v>الإيرادات</v>
      </c>
      <c r="I45" s="55" t="str">
        <f aca="false">IF($A45="","",'شجرة الحسابات'!H45&amp;"")</f>
        <v>إيرادات العقود</v>
      </c>
      <c r="J45" s="55" t="str">
        <f aca="false">IF($A45="","",'شجرة الحسابات'!I45&amp;"")</f>
        <v/>
      </c>
      <c r="K45" s="92" t="n">
        <f aca="false">IF(OR($A45="",$G45&lt;&gt;"تحليلي"),"",E45-F45)</f>
        <v>-2580000</v>
      </c>
    </row>
    <row r="46" customFormat="false" ht="15" hidden="false" customHeight="false" outlineLevel="0" collapsed="false">
      <c r="A46" s="90" t="n">
        <f aca="false">IF('شجرة الحسابات'!A46="","",'شجرة الحسابات'!A46)</f>
        <v>4102</v>
      </c>
      <c r="B46" s="51" t="str">
        <f aca="false">IF($A46="","",'شجرة الحسابات'!B46)</f>
        <v>إيرادات أعمال إضافية وأوامر تغيير</v>
      </c>
      <c r="C46" s="85" t="n">
        <f aca="false">IF($A46="","",IF($G46="تحليلي",SUMIFS('قيود اليومية'!$G$11:$G$1010,'قيود اليومية'!$C$11:$C$1010,$A46,'قيود اليومية'!$I$11:$I$1010,"مرحل ✔"),SUMPRODUCT((LEFT('قيود اليومية'!$C$11:$C$1010&amp;"",LEN($A46&amp;""))=$A46&amp;"")*('قيود اليومية'!$I$11:$I$1010="مرحل ✔")*'قيود اليومية'!$G$11:$G$1010)))</f>
        <v>0</v>
      </c>
      <c r="D46" s="85" t="n">
        <f aca="false">IF($A46="","",IF($G46="تحليلي",SUMIFS('قيود اليومية'!$H$11:$H$1010,'قيود اليومية'!$C$11:$C$1010,$A46,'قيود اليومية'!$I$11:$I$1010,"مرحل ✔"),SUMPRODUCT((LEFT('قيود اليومية'!$C$11:$C$1010&amp;"",LEN($A46&amp;""))=$A46&amp;"")*('قيود اليومية'!$I$11:$I$1010="مرحل ✔")*'قيود اليومية'!$H$11:$H$1010)))</f>
        <v>120000</v>
      </c>
      <c r="E46" s="91" t="n">
        <f aca="false">IF($A46="","",MAX(C46-D46,0))</f>
        <v>0</v>
      </c>
      <c r="F46" s="91" t="n">
        <f aca="false">IF($A46="","",MAX(D46-C46,0))</f>
        <v>120000</v>
      </c>
      <c r="G46" s="55" t="str">
        <f aca="false">IF($A46="","",'شجرة الحسابات'!C46&amp;"")</f>
        <v>تحليلي</v>
      </c>
      <c r="H46" s="55" t="str">
        <f aca="false">IF($A46="","",'شجرة الحسابات'!E46&amp;"")</f>
        <v>الإيرادات</v>
      </c>
      <c r="I46" s="55" t="str">
        <f aca="false">IF($A46="","",'شجرة الحسابات'!H46&amp;"")</f>
        <v>إيرادات العقود</v>
      </c>
      <c r="J46" s="55" t="str">
        <f aca="false">IF($A46="","",'شجرة الحسابات'!I46&amp;"")</f>
        <v/>
      </c>
      <c r="K46" s="92" t="n">
        <f aca="false">IF(OR($A46="",$G46&lt;&gt;"تحليلي"),"",E46-F46)</f>
        <v>-120000</v>
      </c>
    </row>
    <row r="47" customFormat="false" ht="15" hidden="false" customHeight="false" outlineLevel="0" collapsed="false">
      <c r="A47" s="90" t="n">
        <f aca="false">IF('شجرة الحسابات'!A47="","",'شجرة الحسابات'!A47)</f>
        <v>42</v>
      </c>
      <c r="B47" s="51" t="str">
        <f aca="false">IF($A47="","",'شجرة الحسابات'!B47)</f>
        <v>إيرادات أخرى</v>
      </c>
      <c r="C47" s="85" t="n">
        <f aca="false">IF($A47="","",IF($G47="تحليلي",SUMIFS('قيود اليومية'!$G$11:$G$1010,'قيود اليومية'!$C$11:$C$1010,$A47,'قيود اليومية'!$I$11:$I$1010,"مرحل ✔"),SUMPRODUCT((LEFT('قيود اليومية'!$C$11:$C$1010&amp;"",LEN($A47&amp;""))=$A47&amp;"")*('قيود اليومية'!$I$11:$I$1010="مرحل ✔")*'قيود اليومية'!$G$11:$G$1010)))</f>
        <v>0</v>
      </c>
      <c r="D47" s="85" t="n">
        <f aca="false">IF($A47="","",IF($G47="تحليلي",SUMIFS('قيود اليومية'!$H$11:$H$1010,'قيود اليومية'!$C$11:$C$1010,$A47,'قيود اليومية'!$I$11:$I$1010,"مرحل ✔"),SUMPRODUCT((LEFT('قيود اليومية'!$C$11:$C$1010&amp;"",LEN($A47&amp;""))=$A47&amp;"")*('قيود اليومية'!$I$11:$I$1010="مرحل ✔")*'قيود اليومية'!$H$11:$H$1010)))</f>
        <v>8000</v>
      </c>
      <c r="E47" s="91" t="n">
        <f aca="false">IF($A47="","",MAX(C47-D47,0))</f>
        <v>0</v>
      </c>
      <c r="F47" s="91" t="n">
        <f aca="false">IF($A47="","",MAX(D47-C47,0))</f>
        <v>8000</v>
      </c>
      <c r="G47" s="55" t="str">
        <f aca="false">IF($A47="","",'شجرة الحسابات'!C47&amp;"")</f>
        <v>فرعي</v>
      </c>
      <c r="H47" s="55" t="str">
        <f aca="false">IF($A47="","",'شجرة الحسابات'!E47&amp;"")</f>
        <v>الإيرادات</v>
      </c>
      <c r="I47" s="55" t="str">
        <f aca="false">IF($A47="","",'شجرة الحسابات'!H47&amp;"")</f>
        <v/>
      </c>
      <c r="J47" s="55" t="str">
        <f aca="false">IF($A47="","",'شجرة الحسابات'!I47&amp;"")</f>
        <v/>
      </c>
      <c r="K47" s="92" t="str">
        <f aca="false">IF(OR($A47="",$G47&lt;&gt;"تحليلي"),"",E47-F47)</f>
        <v/>
      </c>
    </row>
    <row r="48" customFormat="false" ht="15" hidden="false" customHeight="false" outlineLevel="0" collapsed="false">
      <c r="A48" s="90" t="n">
        <f aca="false">IF('شجرة الحسابات'!A48="","",'شجرة الحسابات'!A48)</f>
        <v>4201</v>
      </c>
      <c r="B48" s="51" t="str">
        <f aca="false">IF($A48="","",'شجرة الحسابات'!B48)</f>
        <v>إيرادات متنوعة (بيع خردة ومخلفات)</v>
      </c>
      <c r="C48" s="85" t="n">
        <f aca="false">IF($A48="","",IF($G48="تحليلي",SUMIFS('قيود اليومية'!$G$11:$G$1010,'قيود اليومية'!$C$11:$C$1010,$A48,'قيود اليومية'!$I$11:$I$1010,"مرحل ✔"),SUMPRODUCT((LEFT('قيود اليومية'!$C$11:$C$1010&amp;"",LEN($A48&amp;""))=$A48&amp;"")*('قيود اليومية'!$I$11:$I$1010="مرحل ✔")*'قيود اليومية'!$G$11:$G$1010)))</f>
        <v>0</v>
      </c>
      <c r="D48" s="85" t="n">
        <f aca="false">IF($A48="","",IF($G48="تحليلي",SUMIFS('قيود اليومية'!$H$11:$H$1010,'قيود اليومية'!$C$11:$C$1010,$A48,'قيود اليومية'!$I$11:$I$1010,"مرحل ✔"),SUMPRODUCT((LEFT('قيود اليومية'!$C$11:$C$1010&amp;"",LEN($A48&amp;""))=$A48&amp;"")*('قيود اليومية'!$I$11:$I$1010="مرحل ✔")*'قيود اليومية'!$H$11:$H$1010)))</f>
        <v>8000</v>
      </c>
      <c r="E48" s="91" t="n">
        <f aca="false">IF($A48="","",MAX(C48-D48,0))</f>
        <v>0</v>
      </c>
      <c r="F48" s="91" t="n">
        <f aca="false">IF($A48="","",MAX(D48-C48,0))</f>
        <v>8000</v>
      </c>
      <c r="G48" s="55" t="str">
        <f aca="false">IF($A48="","",'شجرة الحسابات'!C48&amp;"")</f>
        <v>تحليلي</v>
      </c>
      <c r="H48" s="55" t="str">
        <f aca="false">IF($A48="","",'شجرة الحسابات'!E48&amp;"")</f>
        <v>الإيرادات</v>
      </c>
      <c r="I48" s="55" t="str">
        <f aca="false">IF($A48="","",'شجرة الحسابات'!H48&amp;"")</f>
        <v>إيرادات أخرى</v>
      </c>
      <c r="J48" s="55" t="str">
        <f aca="false">IF($A48="","",'شجرة الحسابات'!I48&amp;"")</f>
        <v/>
      </c>
      <c r="K48" s="92" t="n">
        <f aca="false">IF(OR($A48="",$G48&lt;&gt;"تحليلي"),"",E48-F48)</f>
        <v>-8000</v>
      </c>
    </row>
    <row r="49" customFormat="false" ht="15" hidden="false" customHeight="false" outlineLevel="0" collapsed="false">
      <c r="A49" s="90" t="n">
        <f aca="false">IF('شجرة الحسابات'!A49="","",'شجرة الحسابات'!A49)</f>
        <v>5</v>
      </c>
      <c r="B49" s="51" t="str">
        <f aca="false">IF($A49="","",'شجرة الحسابات'!B49)</f>
        <v>تكاليف العقود</v>
      </c>
      <c r="C49" s="85" t="n">
        <f aca="false">IF($A49="","",IF($G49="تحليلي",SUMIFS('قيود اليومية'!$G$11:$G$1010,'قيود اليومية'!$C$11:$C$1010,$A49,'قيود اليومية'!$I$11:$I$1010,"مرحل ✔"),SUMPRODUCT((LEFT('قيود اليومية'!$C$11:$C$1010&amp;"",LEN($A49&amp;""))=$A49&amp;"")*('قيود اليومية'!$I$11:$I$1010="مرحل ✔")*'قيود اليومية'!$G$11:$G$1010)))</f>
        <v>2075000</v>
      </c>
      <c r="D49" s="85" t="n">
        <f aca="false">IF($A49="","",IF($G49="تحليلي",SUMIFS('قيود اليومية'!$H$11:$H$1010,'قيود اليومية'!$C$11:$C$1010,$A49,'قيود اليومية'!$I$11:$I$1010,"مرحل ✔"),SUMPRODUCT((LEFT('قيود اليومية'!$C$11:$C$1010&amp;"",LEN($A49&amp;""))=$A49&amp;"")*('قيود اليومية'!$I$11:$I$1010="مرحل ✔")*'قيود اليومية'!$H$11:$H$1010)))</f>
        <v>0</v>
      </c>
      <c r="E49" s="91" t="n">
        <f aca="false">IF($A49="","",MAX(C49-D49,0))</f>
        <v>2075000</v>
      </c>
      <c r="F49" s="91" t="n">
        <f aca="false">IF($A49="","",MAX(D49-C49,0))</f>
        <v>0</v>
      </c>
      <c r="G49" s="55" t="str">
        <f aca="false">IF($A49="","",'شجرة الحسابات'!C49&amp;"")</f>
        <v>رئيسي</v>
      </c>
      <c r="H49" s="55" t="str">
        <f aca="false">IF($A49="","",'شجرة الحسابات'!E49&amp;"")</f>
        <v>المصروفات</v>
      </c>
      <c r="I49" s="55" t="str">
        <f aca="false">IF($A49="","",'شجرة الحسابات'!H49&amp;"")</f>
        <v/>
      </c>
      <c r="J49" s="55" t="str">
        <f aca="false">IF($A49="","",'شجرة الحسابات'!I49&amp;"")</f>
        <v/>
      </c>
      <c r="K49" s="92" t="str">
        <f aca="false">IF(OR($A49="",$G49&lt;&gt;"تحليلي"),"",E49-F49)</f>
        <v/>
      </c>
    </row>
    <row r="50" customFormat="false" ht="15" hidden="false" customHeight="false" outlineLevel="0" collapsed="false">
      <c r="A50" s="90" t="n">
        <f aca="false">IF('شجرة الحسابات'!A50="","",'شجرة الحسابات'!A50)</f>
        <v>51</v>
      </c>
      <c r="B50" s="51" t="str">
        <f aca="false">IF($A50="","",'شجرة الحسابات'!B50)</f>
        <v>التكاليف المباشرة للمشروعات</v>
      </c>
      <c r="C50" s="85" t="n">
        <f aca="false">IF($A50="","",IF($G50="تحليلي",SUMIFS('قيود اليومية'!$G$11:$G$1010,'قيود اليومية'!$C$11:$C$1010,$A50,'قيود اليومية'!$I$11:$I$1010,"مرحل ✔"),SUMPRODUCT((LEFT('قيود اليومية'!$C$11:$C$1010&amp;"",LEN($A50&amp;""))=$A50&amp;"")*('قيود اليومية'!$I$11:$I$1010="مرحل ✔")*'قيود اليومية'!$G$11:$G$1010)))</f>
        <v>2075000</v>
      </c>
      <c r="D50" s="85" t="n">
        <f aca="false">IF($A50="","",IF($G50="تحليلي",SUMIFS('قيود اليومية'!$H$11:$H$1010,'قيود اليومية'!$C$11:$C$1010,$A50,'قيود اليومية'!$I$11:$I$1010,"مرحل ✔"),SUMPRODUCT((LEFT('قيود اليومية'!$C$11:$C$1010&amp;"",LEN($A50&amp;""))=$A50&amp;"")*('قيود اليومية'!$I$11:$I$1010="مرحل ✔")*'قيود اليومية'!$H$11:$H$1010)))</f>
        <v>0</v>
      </c>
      <c r="E50" s="91" t="n">
        <f aca="false">IF($A50="","",MAX(C50-D50,0))</f>
        <v>2075000</v>
      </c>
      <c r="F50" s="91" t="n">
        <f aca="false">IF($A50="","",MAX(D50-C50,0))</f>
        <v>0</v>
      </c>
      <c r="G50" s="55" t="str">
        <f aca="false">IF($A50="","",'شجرة الحسابات'!C50&amp;"")</f>
        <v>فرعي</v>
      </c>
      <c r="H50" s="55" t="str">
        <f aca="false">IF($A50="","",'شجرة الحسابات'!E50&amp;"")</f>
        <v>المصروفات</v>
      </c>
      <c r="I50" s="55" t="str">
        <f aca="false">IF($A50="","",'شجرة الحسابات'!H50&amp;"")</f>
        <v/>
      </c>
      <c r="J50" s="55" t="str">
        <f aca="false">IF($A50="","",'شجرة الحسابات'!I50&amp;"")</f>
        <v/>
      </c>
      <c r="K50" s="92" t="str">
        <f aca="false">IF(OR($A50="",$G50&lt;&gt;"تحليلي"),"",E50-F50)</f>
        <v/>
      </c>
    </row>
    <row r="51" customFormat="false" ht="15" hidden="false" customHeight="false" outlineLevel="0" collapsed="false">
      <c r="A51" s="90" t="n">
        <f aca="false">IF('شجرة الحسابات'!A51="","",'شجرة الحسابات'!A51)</f>
        <v>5101</v>
      </c>
      <c r="B51" s="51" t="str">
        <f aca="false">IF($A51="","",'شجرة الحسابات'!B51)</f>
        <v>تكلفة المواد المستخدمة</v>
      </c>
      <c r="C51" s="85" t="n">
        <f aca="false">IF($A51="","",IF($G51="تحليلي",SUMIFS('قيود اليومية'!$G$11:$G$1010,'قيود اليومية'!$C$11:$C$1010,$A51,'قيود اليومية'!$I$11:$I$1010,"مرحل ✔"),SUMPRODUCT((LEFT('قيود اليومية'!$C$11:$C$1010&amp;"",LEN($A51&amp;""))=$A51&amp;"")*('قيود اليومية'!$I$11:$I$1010="مرحل ✔")*'قيود اليومية'!$G$11:$G$1010)))</f>
        <v>680000</v>
      </c>
      <c r="D51" s="85" t="n">
        <f aca="false">IF($A51="","",IF($G51="تحليلي",SUMIFS('قيود اليومية'!$H$11:$H$1010,'قيود اليومية'!$C$11:$C$1010,$A51,'قيود اليومية'!$I$11:$I$1010,"مرحل ✔"),SUMPRODUCT((LEFT('قيود اليومية'!$C$11:$C$1010&amp;"",LEN($A51&amp;""))=$A51&amp;"")*('قيود اليومية'!$I$11:$I$1010="مرحل ✔")*'قيود اليومية'!$H$11:$H$1010)))</f>
        <v>0</v>
      </c>
      <c r="E51" s="91" t="n">
        <f aca="false">IF($A51="","",MAX(C51-D51,0))</f>
        <v>680000</v>
      </c>
      <c r="F51" s="91" t="n">
        <f aca="false">IF($A51="","",MAX(D51-C51,0))</f>
        <v>0</v>
      </c>
      <c r="G51" s="55" t="str">
        <f aca="false">IF($A51="","",'شجرة الحسابات'!C51&amp;"")</f>
        <v>تحليلي</v>
      </c>
      <c r="H51" s="55" t="str">
        <f aca="false">IF($A51="","",'شجرة الحسابات'!E51&amp;"")</f>
        <v>المصروفات</v>
      </c>
      <c r="I51" s="55" t="str">
        <f aca="false">IF($A51="","",'شجرة الحسابات'!H51&amp;"")</f>
        <v>تكلفة العقود</v>
      </c>
      <c r="J51" s="55" t="str">
        <f aca="false">IF($A51="","",'شجرة الحسابات'!I51&amp;"")</f>
        <v>مواد</v>
      </c>
      <c r="K51" s="92" t="n">
        <f aca="false">IF(OR($A51="",$G51&lt;&gt;"تحليلي"),"",E51-F51)</f>
        <v>680000</v>
      </c>
    </row>
    <row r="52" customFormat="false" ht="15" hidden="false" customHeight="false" outlineLevel="0" collapsed="false">
      <c r="A52" s="90" t="n">
        <f aca="false">IF('شجرة الحسابات'!A52="","",'شجرة الحسابات'!A52)</f>
        <v>5102</v>
      </c>
      <c r="B52" s="51" t="str">
        <f aca="false">IF($A52="","",'شجرة الحسابات'!B52)</f>
        <v>أجور العمالة المباشرة</v>
      </c>
      <c r="C52" s="85" t="n">
        <f aca="false">IF($A52="","",IF($G52="تحليلي",SUMIFS('قيود اليومية'!$G$11:$G$1010,'قيود اليومية'!$C$11:$C$1010,$A52,'قيود اليومية'!$I$11:$I$1010,"مرحل ✔"),SUMPRODUCT((LEFT('قيود اليومية'!$C$11:$C$1010&amp;"",LEN($A52&amp;""))=$A52&amp;"")*('قيود اليومية'!$I$11:$I$1010="مرحل ✔")*'قيود اليومية'!$G$11:$G$1010)))</f>
        <v>340000</v>
      </c>
      <c r="D52" s="85" t="n">
        <f aca="false">IF($A52="","",IF($G52="تحليلي",SUMIFS('قيود اليومية'!$H$11:$H$1010,'قيود اليومية'!$C$11:$C$1010,$A52,'قيود اليومية'!$I$11:$I$1010,"مرحل ✔"),SUMPRODUCT((LEFT('قيود اليومية'!$C$11:$C$1010&amp;"",LEN($A52&amp;""))=$A52&amp;"")*('قيود اليومية'!$I$11:$I$1010="مرحل ✔")*'قيود اليومية'!$H$11:$H$1010)))</f>
        <v>0</v>
      </c>
      <c r="E52" s="91" t="n">
        <f aca="false">IF($A52="","",MAX(C52-D52,0))</f>
        <v>340000</v>
      </c>
      <c r="F52" s="91" t="n">
        <f aca="false">IF($A52="","",MAX(D52-C52,0))</f>
        <v>0</v>
      </c>
      <c r="G52" s="55" t="str">
        <f aca="false">IF($A52="","",'شجرة الحسابات'!C52&amp;"")</f>
        <v>تحليلي</v>
      </c>
      <c r="H52" s="55" t="str">
        <f aca="false">IF($A52="","",'شجرة الحسابات'!E52&amp;"")</f>
        <v>المصروفات</v>
      </c>
      <c r="I52" s="55" t="str">
        <f aca="false">IF($A52="","",'شجرة الحسابات'!H52&amp;"")</f>
        <v>تكلفة العقود</v>
      </c>
      <c r="J52" s="55" t="str">
        <f aca="false">IF($A52="","",'شجرة الحسابات'!I52&amp;"")</f>
        <v>أجور عمال</v>
      </c>
      <c r="K52" s="92" t="n">
        <f aca="false">IF(OR($A52="",$G52&lt;&gt;"تحليلي"),"",E52-F52)</f>
        <v>340000</v>
      </c>
    </row>
    <row r="53" customFormat="false" ht="15" hidden="false" customHeight="false" outlineLevel="0" collapsed="false">
      <c r="A53" s="90" t="n">
        <f aca="false">IF('شجرة الحسابات'!A53="","",'شجرة الحسابات'!A53)</f>
        <v>5103</v>
      </c>
      <c r="B53" s="51" t="str">
        <f aca="false">IF($A53="","",'شجرة الحسابات'!B53)</f>
        <v>تكلفة مقاولي الباطن</v>
      </c>
      <c r="C53" s="85" t="n">
        <f aca="false">IF($A53="","",IF($G53="تحليلي",SUMIFS('قيود اليومية'!$G$11:$G$1010,'قيود اليومية'!$C$11:$C$1010,$A53,'قيود اليومية'!$I$11:$I$1010,"مرحل ✔"),SUMPRODUCT((LEFT('قيود اليومية'!$C$11:$C$1010&amp;"",LEN($A53&amp;""))=$A53&amp;"")*('قيود اليومية'!$I$11:$I$1010="مرحل ✔")*'قيود اليومية'!$G$11:$G$1010)))</f>
        <v>850000</v>
      </c>
      <c r="D53" s="85" t="n">
        <f aca="false">IF($A53="","",IF($G53="تحليلي",SUMIFS('قيود اليومية'!$H$11:$H$1010,'قيود اليومية'!$C$11:$C$1010,$A53,'قيود اليومية'!$I$11:$I$1010,"مرحل ✔"),SUMPRODUCT((LEFT('قيود اليومية'!$C$11:$C$1010&amp;"",LEN($A53&amp;""))=$A53&amp;"")*('قيود اليومية'!$I$11:$I$1010="مرحل ✔")*'قيود اليومية'!$H$11:$H$1010)))</f>
        <v>0</v>
      </c>
      <c r="E53" s="91" t="n">
        <f aca="false">IF($A53="","",MAX(C53-D53,0))</f>
        <v>850000</v>
      </c>
      <c r="F53" s="91" t="n">
        <f aca="false">IF($A53="","",MAX(D53-C53,0))</f>
        <v>0</v>
      </c>
      <c r="G53" s="55" t="str">
        <f aca="false">IF($A53="","",'شجرة الحسابات'!C53&amp;"")</f>
        <v>تحليلي</v>
      </c>
      <c r="H53" s="55" t="str">
        <f aca="false">IF($A53="","",'شجرة الحسابات'!E53&amp;"")</f>
        <v>المصروفات</v>
      </c>
      <c r="I53" s="55" t="str">
        <f aca="false">IF($A53="","",'شجرة الحسابات'!H53&amp;"")</f>
        <v>تكلفة العقود</v>
      </c>
      <c r="J53" s="55" t="str">
        <f aca="false">IF($A53="","",'شجرة الحسابات'!I53&amp;"")</f>
        <v>مقاولو باطن</v>
      </c>
      <c r="K53" s="92" t="n">
        <f aca="false">IF(OR($A53="",$G53&lt;&gt;"تحليلي"),"",E53-F53)</f>
        <v>850000</v>
      </c>
    </row>
    <row r="54" customFormat="false" ht="15" hidden="false" customHeight="false" outlineLevel="0" collapsed="false">
      <c r="A54" s="90" t="n">
        <f aca="false">IF('شجرة الحسابات'!A54="","",'شجرة الحسابات'!A54)</f>
        <v>5104</v>
      </c>
      <c r="B54" s="51" t="str">
        <f aca="false">IF($A54="","",'شجرة الحسابات'!B54)</f>
        <v>إيجار وتشغيل المعدات</v>
      </c>
      <c r="C54" s="85" t="n">
        <f aca="false">IF($A54="","",IF($G54="تحليلي",SUMIFS('قيود اليومية'!$G$11:$G$1010,'قيود اليومية'!$C$11:$C$1010,$A54,'قيود اليومية'!$I$11:$I$1010,"مرحل ✔"),SUMPRODUCT((LEFT('قيود اليومية'!$C$11:$C$1010&amp;"",LEN($A54&amp;""))=$A54&amp;"")*('قيود اليومية'!$I$11:$I$1010="مرحل ✔")*'قيود اليومية'!$G$11:$G$1010)))</f>
        <v>125000</v>
      </c>
      <c r="D54" s="85" t="n">
        <f aca="false">IF($A54="","",IF($G54="تحليلي",SUMIFS('قيود اليومية'!$H$11:$H$1010,'قيود اليومية'!$C$11:$C$1010,$A54,'قيود اليومية'!$I$11:$I$1010,"مرحل ✔"),SUMPRODUCT((LEFT('قيود اليومية'!$C$11:$C$1010&amp;"",LEN($A54&amp;""))=$A54&amp;"")*('قيود اليومية'!$I$11:$I$1010="مرحل ✔")*'قيود اليومية'!$H$11:$H$1010)))</f>
        <v>0</v>
      </c>
      <c r="E54" s="91" t="n">
        <f aca="false">IF($A54="","",MAX(C54-D54,0))</f>
        <v>125000</v>
      </c>
      <c r="F54" s="91" t="n">
        <f aca="false">IF($A54="","",MAX(D54-C54,0))</f>
        <v>0</v>
      </c>
      <c r="G54" s="55" t="str">
        <f aca="false">IF($A54="","",'شجرة الحسابات'!C54&amp;"")</f>
        <v>تحليلي</v>
      </c>
      <c r="H54" s="55" t="str">
        <f aca="false">IF($A54="","",'شجرة الحسابات'!E54&amp;"")</f>
        <v>المصروفات</v>
      </c>
      <c r="I54" s="55" t="str">
        <f aca="false">IF($A54="","",'شجرة الحسابات'!H54&amp;"")</f>
        <v>تكلفة العقود</v>
      </c>
      <c r="J54" s="55" t="str">
        <f aca="false">IF($A54="","",'شجرة الحسابات'!I54&amp;"")</f>
        <v>معدات</v>
      </c>
      <c r="K54" s="92" t="n">
        <f aca="false">IF(OR($A54="",$G54&lt;&gt;"تحليلي"),"",E54-F54)</f>
        <v>125000</v>
      </c>
    </row>
    <row r="55" customFormat="false" ht="15" hidden="false" customHeight="false" outlineLevel="0" collapsed="false">
      <c r="A55" s="90" t="n">
        <f aca="false">IF('شجرة الحسابات'!A55="","",'شجرة الحسابات'!A55)</f>
        <v>5105</v>
      </c>
      <c r="B55" s="51" t="str">
        <f aca="false">IF($A55="","",'شجرة الحسابات'!B55)</f>
        <v>مصاريف الموقع الإدارية</v>
      </c>
      <c r="C55" s="85" t="n">
        <f aca="false">IF($A55="","",IF($G55="تحليلي",SUMIFS('قيود اليومية'!$G$11:$G$1010,'قيود اليومية'!$C$11:$C$1010,$A55,'قيود اليومية'!$I$11:$I$1010,"مرحل ✔"),SUMPRODUCT((LEFT('قيود اليومية'!$C$11:$C$1010&amp;"",LEN($A55&amp;""))=$A55&amp;"")*('قيود اليومية'!$I$11:$I$1010="مرحل ✔")*'قيود اليومية'!$G$11:$G$1010)))</f>
        <v>50000</v>
      </c>
      <c r="D55" s="85" t="n">
        <f aca="false">IF($A55="","",IF($G55="تحليلي",SUMIFS('قيود اليومية'!$H$11:$H$1010,'قيود اليومية'!$C$11:$C$1010,$A55,'قيود اليومية'!$I$11:$I$1010,"مرحل ✔"),SUMPRODUCT((LEFT('قيود اليومية'!$C$11:$C$1010&amp;"",LEN($A55&amp;""))=$A55&amp;"")*('قيود اليومية'!$I$11:$I$1010="مرحل ✔")*'قيود اليومية'!$H$11:$H$1010)))</f>
        <v>0</v>
      </c>
      <c r="E55" s="91" t="n">
        <f aca="false">IF($A55="","",MAX(C55-D55,0))</f>
        <v>50000</v>
      </c>
      <c r="F55" s="91" t="n">
        <f aca="false">IF($A55="","",MAX(D55-C55,0))</f>
        <v>0</v>
      </c>
      <c r="G55" s="55" t="str">
        <f aca="false">IF($A55="","",'شجرة الحسابات'!C55&amp;"")</f>
        <v>تحليلي</v>
      </c>
      <c r="H55" s="55" t="str">
        <f aca="false">IF($A55="","",'شجرة الحسابات'!E55&amp;"")</f>
        <v>المصروفات</v>
      </c>
      <c r="I55" s="55" t="str">
        <f aca="false">IF($A55="","",'شجرة الحسابات'!H55&amp;"")</f>
        <v>تكلفة العقود</v>
      </c>
      <c r="J55" s="55" t="str">
        <f aca="false">IF($A55="","",'شجرة الحسابات'!I55&amp;"")</f>
        <v>مصاريف موقع</v>
      </c>
      <c r="K55" s="92" t="n">
        <f aca="false">IF(OR($A55="",$G55&lt;&gt;"تحليلي"),"",E55-F55)</f>
        <v>50000</v>
      </c>
    </row>
    <row r="56" customFormat="false" ht="15" hidden="false" customHeight="false" outlineLevel="0" collapsed="false">
      <c r="A56" s="90" t="n">
        <f aca="false">IF('شجرة الحسابات'!A56="","",'شجرة الحسابات'!A56)</f>
        <v>5106</v>
      </c>
      <c r="B56" s="51" t="str">
        <f aca="false">IF($A56="","",'شجرة الحسابات'!B56)</f>
        <v>إهلاك معدات المشروعات</v>
      </c>
      <c r="C56" s="85" t="n">
        <f aca="false">IF($A56="","",IF($G56="تحليلي",SUMIFS('قيود اليومية'!$G$11:$G$1010,'قيود اليومية'!$C$11:$C$1010,$A56,'قيود اليومية'!$I$11:$I$1010,"مرحل ✔"),SUMPRODUCT((LEFT('قيود اليومية'!$C$11:$C$1010&amp;"",LEN($A56&amp;""))=$A56&amp;"")*('قيود اليومية'!$I$11:$I$1010="مرحل ✔")*'قيود اليومية'!$G$11:$G$1010)))</f>
        <v>30000</v>
      </c>
      <c r="D56" s="85" t="n">
        <f aca="false">IF($A56="","",IF($G56="تحليلي",SUMIFS('قيود اليومية'!$H$11:$H$1010,'قيود اليومية'!$C$11:$C$1010,$A56,'قيود اليومية'!$I$11:$I$1010,"مرحل ✔"),SUMPRODUCT((LEFT('قيود اليومية'!$C$11:$C$1010&amp;"",LEN($A56&amp;""))=$A56&amp;"")*('قيود اليومية'!$I$11:$I$1010="مرحل ✔")*'قيود اليومية'!$H$11:$H$1010)))</f>
        <v>0</v>
      </c>
      <c r="E56" s="91" t="n">
        <f aca="false">IF($A56="","",MAX(C56-D56,0))</f>
        <v>30000</v>
      </c>
      <c r="F56" s="91" t="n">
        <f aca="false">IF($A56="","",MAX(D56-C56,0))</f>
        <v>0</v>
      </c>
      <c r="G56" s="55" t="str">
        <f aca="false">IF($A56="","",'شجرة الحسابات'!C56&amp;"")</f>
        <v>تحليلي</v>
      </c>
      <c r="H56" s="55" t="str">
        <f aca="false">IF($A56="","",'شجرة الحسابات'!E56&amp;"")</f>
        <v>المصروفات</v>
      </c>
      <c r="I56" s="55" t="str">
        <f aca="false">IF($A56="","",'شجرة الحسابات'!H56&amp;"")</f>
        <v>تكلفة العقود</v>
      </c>
      <c r="J56" s="55" t="str">
        <f aca="false">IF($A56="","",'شجرة الحسابات'!I56&amp;"")</f>
        <v>معدات</v>
      </c>
      <c r="K56" s="92" t="n">
        <f aca="false">IF(OR($A56="",$G56&lt;&gt;"تحليلي"),"",E56-F56)</f>
        <v>30000</v>
      </c>
    </row>
    <row r="57" customFormat="false" ht="15" hidden="false" customHeight="false" outlineLevel="0" collapsed="false">
      <c r="A57" s="90" t="n">
        <f aca="false">IF('شجرة الحسابات'!A57="","",'شجرة الحسابات'!A57)</f>
        <v>6</v>
      </c>
      <c r="B57" s="51" t="str">
        <f aca="false">IF($A57="","",'شجرة الحسابات'!B57)</f>
        <v>المصاريف العمومية والإدارية</v>
      </c>
      <c r="C57" s="85" t="n">
        <f aca="false">IF($A57="","",IF($G57="تحليلي",SUMIFS('قيود اليومية'!$G$11:$G$1010,'قيود اليومية'!$C$11:$C$1010,$A57,'قيود اليومية'!$I$11:$I$1010,"مرحل ✔"),SUMPRODUCT((LEFT('قيود اليومية'!$C$11:$C$1010&amp;"",LEN($A57&amp;""))=$A57&amp;"")*('قيود اليومية'!$I$11:$I$1010="مرحل ✔")*'قيود اليومية'!$G$11:$G$1010)))</f>
        <v>125700</v>
      </c>
      <c r="D57" s="85" t="n">
        <f aca="false">IF($A57="","",IF($G57="تحليلي",SUMIFS('قيود اليومية'!$H$11:$H$1010,'قيود اليومية'!$C$11:$C$1010,$A57,'قيود اليومية'!$I$11:$I$1010,"مرحل ✔"),SUMPRODUCT((LEFT('قيود اليومية'!$C$11:$C$1010&amp;"",LEN($A57&amp;""))=$A57&amp;"")*('قيود اليومية'!$I$11:$I$1010="مرحل ✔")*'قيود اليومية'!$H$11:$H$1010)))</f>
        <v>0</v>
      </c>
      <c r="E57" s="91" t="n">
        <f aca="false">IF($A57="","",MAX(C57-D57,0))</f>
        <v>125700</v>
      </c>
      <c r="F57" s="91" t="n">
        <f aca="false">IF($A57="","",MAX(D57-C57,0))</f>
        <v>0</v>
      </c>
      <c r="G57" s="55" t="str">
        <f aca="false">IF($A57="","",'شجرة الحسابات'!C57&amp;"")</f>
        <v>رئيسي</v>
      </c>
      <c r="H57" s="55" t="str">
        <f aca="false">IF($A57="","",'شجرة الحسابات'!E57&amp;"")</f>
        <v>المصروفات</v>
      </c>
      <c r="I57" s="55" t="str">
        <f aca="false">IF($A57="","",'شجرة الحسابات'!H57&amp;"")</f>
        <v/>
      </c>
      <c r="J57" s="55" t="str">
        <f aca="false">IF($A57="","",'شجرة الحسابات'!I57&amp;"")</f>
        <v/>
      </c>
      <c r="K57" s="92" t="str">
        <f aca="false">IF(OR($A57="",$G57&lt;&gt;"تحليلي"),"",E57-F57)</f>
        <v/>
      </c>
    </row>
    <row r="58" customFormat="false" ht="15" hidden="false" customHeight="false" outlineLevel="0" collapsed="false">
      <c r="A58" s="90" t="n">
        <f aca="false">IF('شجرة الحسابات'!A58="","",'شجرة الحسابات'!A58)</f>
        <v>61</v>
      </c>
      <c r="B58" s="51" t="str">
        <f aca="false">IF($A58="","",'شجرة الحسابات'!B58)</f>
        <v>مصاريف الإدارة العامة</v>
      </c>
      <c r="C58" s="85" t="n">
        <f aca="false">IF($A58="","",IF($G58="تحليلي",SUMIFS('قيود اليومية'!$G$11:$G$1010,'قيود اليومية'!$C$11:$C$1010,$A58,'قيود اليومية'!$I$11:$I$1010,"مرحل ✔"),SUMPRODUCT((LEFT('قيود اليومية'!$C$11:$C$1010&amp;"",LEN($A58&amp;""))=$A58&amp;"")*('قيود اليومية'!$I$11:$I$1010="مرحل ✔")*'قيود اليومية'!$G$11:$G$1010)))</f>
        <v>125700</v>
      </c>
      <c r="D58" s="85" t="n">
        <f aca="false">IF($A58="","",IF($G58="تحليلي",SUMIFS('قيود اليومية'!$H$11:$H$1010,'قيود اليومية'!$C$11:$C$1010,$A58,'قيود اليومية'!$I$11:$I$1010,"مرحل ✔"),SUMPRODUCT((LEFT('قيود اليومية'!$C$11:$C$1010&amp;"",LEN($A58&amp;""))=$A58&amp;"")*('قيود اليومية'!$I$11:$I$1010="مرحل ✔")*'قيود اليومية'!$H$11:$H$1010)))</f>
        <v>0</v>
      </c>
      <c r="E58" s="91" t="n">
        <f aca="false">IF($A58="","",MAX(C58-D58,0))</f>
        <v>125700</v>
      </c>
      <c r="F58" s="91" t="n">
        <f aca="false">IF($A58="","",MAX(D58-C58,0))</f>
        <v>0</v>
      </c>
      <c r="G58" s="55" t="str">
        <f aca="false">IF($A58="","",'شجرة الحسابات'!C58&amp;"")</f>
        <v>فرعي</v>
      </c>
      <c r="H58" s="55" t="str">
        <f aca="false">IF($A58="","",'شجرة الحسابات'!E58&amp;"")</f>
        <v>المصروفات</v>
      </c>
      <c r="I58" s="55" t="str">
        <f aca="false">IF($A58="","",'شجرة الحسابات'!H58&amp;"")</f>
        <v/>
      </c>
      <c r="J58" s="55" t="str">
        <f aca="false">IF($A58="","",'شجرة الحسابات'!I58&amp;"")</f>
        <v/>
      </c>
      <c r="K58" s="92" t="str">
        <f aca="false">IF(OR($A58="",$G58&lt;&gt;"تحليلي"),"",E58-F58)</f>
        <v/>
      </c>
    </row>
    <row r="59" customFormat="false" ht="15" hidden="false" customHeight="false" outlineLevel="0" collapsed="false">
      <c r="A59" s="90" t="n">
        <f aca="false">IF('شجرة الحسابات'!A59="","",'شجرة الحسابات'!A59)</f>
        <v>6101</v>
      </c>
      <c r="B59" s="51" t="str">
        <f aca="false">IF($A59="","",'شجرة الحسابات'!B59)</f>
        <v>رواتب الإدارة العامة</v>
      </c>
      <c r="C59" s="85" t="n">
        <f aca="false">IF($A59="","",IF($G59="تحليلي",SUMIFS('قيود اليومية'!$G$11:$G$1010,'قيود اليومية'!$C$11:$C$1010,$A59,'قيود اليومية'!$I$11:$I$1010,"مرحل ✔"),SUMPRODUCT((LEFT('قيود اليومية'!$C$11:$C$1010&amp;"",LEN($A59&amp;""))=$A59&amp;"")*('قيود اليومية'!$I$11:$I$1010="مرحل ✔")*'قيود اليومية'!$G$11:$G$1010)))</f>
        <v>60000</v>
      </c>
      <c r="D59" s="85" t="n">
        <f aca="false">IF($A59="","",IF($G59="تحليلي",SUMIFS('قيود اليومية'!$H$11:$H$1010,'قيود اليومية'!$C$11:$C$1010,$A59,'قيود اليومية'!$I$11:$I$1010,"مرحل ✔"),SUMPRODUCT((LEFT('قيود اليومية'!$C$11:$C$1010&amp;"",LEN($A59&amp;""))=$A59&amp;"")*('قيود اليومية'!$I$11:$I$1010="مرحل ✔")*'قيود اليومية'!$H$11:$H$1010)))</f>
        <v>0</v>
      </c>
      <c r="E59" s="91" t="n">
        <f aca="false">IF($A59="","",MAX(C59-D59,0))</f>
        <v>60000</v>
      </c>
      <c r="F59" s="91" t="n">
        <f aca="false">IF($A59="","",MAX(D59-C59,0))</f>
        <v>0</v>
      </c>
      <c r="G59" s="55" t="str">
        <f aca="false">IF($A59="","",'شجرة الحسابات'!C59&amp;"")</f>
        <v>تحليلي</v>
      </c>
      <c r="H59" s="55" t="str">
        <f aca="false">IF($A59="","",'شجرة الحسابات'!E59&amp;"")</f>
        <v>المصروفات</v>
      </c>
      <c r="I59" s="55" t="str">
        <f aca="false">IF($A59="","",'شجرة الحسابات'!H59&amp;"")</f>
        <v>مصاريف عمومية وإدارية</v>
      </c>
      <c r="J59" s="55" t="str">
        <f aca="false">IF($A59="","",'شجرة الحسابات'!I59&amp;"")</f>
        <v/>
      </c>
      <c r="K59" s="92" t="n">
        <f aca="false">IF(OR($A59="",$G59&lt;&gt;"تحليلي"),"",E59-F59)</f>
        <v>60000</v>
      </c>
    </row>
    <row r="60" customFormat="false" ht="15" hidden="false" customHeight="false" outlineLevel="0" collapsed="false">
      <c r="A60" s="90" t="n">
        <f aca="false">IF('شجرة الحسابات'!A60="","",'شجرة الحسابات'!A60)</f>
        <v>6102</v>
      </c>
      <c r="B60" s="51" t="str">
        <f aca="false">IF($A60="","",'شجرة الحسابات'!B60)</f>
        <v>إيجار المكتب الرئيسي</v>
      </c>
      <c r="C60" s="85" t="n">
        <f aca="false">IF($A60="","",IF($G60="تحليلي",SUMIFS('قيود اليومية'!$G$11:$G$1010,'قيود اليومية'!$C$11:$C$1010,$A60,'قيود اليومية'!$I$11:$I$1010,"مرحل ✔"),SUMPRODUCT((LEFT('قيود اليومية'!$C$11:$C$1010&amp;"",LEN($A60&amp;""))=$A60&amp;"")*('قيود اليومية'!$I$11:$I$1010="مرحل ✔")*'قيود اليومية'!$G$11:$G$1010)))</f>
        <v>45000</v>
      </c>
      <c r="D60" s="85" t="n">
        <f aca="false">IF($A60="","",IF($G60="تحليلي",SUMIFS('قيود اليومية'!$H$11:$H$1010,'قيود اليومية'!$C$11:$C$1010,$A60,'قيود اليومية'!$I$11:$I$1010,"مرحل ✔"),SUMPRODUCT((LEFT('قيود اليومية'!$C$11:$C$1010&amp;"",LEN($A60&amp;""))=$A60&amp;"")*('قيود اليومية'!$I$11:$I$1010="مرحل ✔")*'قيود اليومية'!$H$11:$H$1010)))</f>
        <v>0</v>
      </c>
      <c r="E60" s="91" t="n">
        <f aca="false">IF($A60="","",MAX(C60-D60,0))</f>
        <v>45000</v>
      </c>
      <c r="F60" s="91" t="n">
        <f aca="false">IF($A60="","",MAX(D60-C60,0))</f>
        <v>0</v>
      </c>
      <c r="G60" s="55" t="str">
        <f aca="false">IF($A60="","",'شجرة الحسابات'!C60&amp;"")</f>
        <v>تحليلي</v>
      </c>
      <c r="H60" s="55" t="str">
        <f aca="false">IF($A60="","",'شجرة الحسابات'!E60&amp;"")</f>
        <v>المصروفات</v>
      </c>
      <c r="I60" s="55" t="str">
        <f aca="false">IF($A60="","",'شجرة الحسابات'!H60&amp;"")</f>
        <v>مصاريف عمومية وإدارية</v>
      </c>
      <c r="J60" s="55" t="str">
        <f aca="false">IF($A60="","",'شجرة الحسابات'!I60&amp;"")</f>
        <v/>
      </c>
      <c r="K60" s="92" t="n">
        <f aca="false">IF(OR($A60="",$G60&lt;&gt;"تحليلي"),"",E60-F60)</f>
        <v>45000</v>
      </c>
    </row>
    <row r="61" customFormat="false" ht="15" hidden="false" customHeight="false" outlineLevel="0" collapsed="false">
      <c r="A61" s="90" t="n">
        <f aca="false">IF('شجرة الحسابات'!A61="","",'شجرة الحسابات'!A61)</f>
        <v>6103</v>
      </c>
      <c r="B61" s="51" t="str">
        <f aca="false">IF($A61="","",'شجرة الحسابات'!B61)</f>
        <v>كهرباء ومياه واتصالات</v>
      </c>
      <c r="C61" s="85" t="n">
        <f aca="false">IF($A61="","",IF($G61="تحليلي",SUMIFS('قيود اليومية'!$G$11:$G$1010,'قيود اليومية'!$C$11:$C$1010,$A61,'قيود اليومية'!$I$11:$I$1010,"مرحل ✔"),SUMPRODUCT((LEFT('قيود اليومية'!$C$11:$C$1010&amp;"",LEN($A61&amp;""))=$A61&amp;"")*('قيود اليومية'!$I$11:$I$1010="مرحل ✔")*'قيود اليومية'!$G$11:$G$1010)))</f>
        <v>12500</v>
      </c>
      <c r="D61" s="85" t="n">
        <f aca="false">IF($A61="","",IF($G61="تحليلي",SUMIFS('قيود اليومية'!$H$11:$H$1010,'قيود اليومية'!$C$11:$C$1010,$A61,'قيود اليومية'!$I$11:$I$1010,"مرحل ✔"),SUMPRODUCT((LEFT('قيود اليومية'!$C$11:$C$1010&amp;"",LEN($A61&amp;""))=$A61&amp;"")*('قيود اليومية'!$I$11:$I$1010="مرحل ✔")*'قيود اليومية'!$H$11:$H$1010)))</f>
        <v>0</v>
      </c>
      <c r="E61" s="91" t="n">
        <f aca="false">IF($A61="","",MAX(C61-D61,0))</f>
        <v>12500</v>
      </c>
      <c r="F61" s="91" t="n">
        <f aca="false">IF($A61="","",MAX(D61-C61,0))</f>
        <v>0</v>
      </c>
      <c r="G61" s="55" t="str">
        <f aca="false">IF($A61="","",'شجرة الحسابات'!C61&amp;"")</f>
        <v>تحليلي</v>
      </c>
      <c r="H61" s="55" t="str">
        <f aca="false">IF($A61="","",'شجرة الحسابات'!E61&amp;"")</f>
        <v>المصروفات</v>
      </c>
      <c r="I61" s="55" t="str">
        <f aca="false">IF($A61="","",'شجرة الحسابات'!H61&amp;"")</f>
        <v>مصاريف عمومية وإدارية</v>
      </c>
      <c r="J61" s="55" t="str">
        <f aca="false">IF($A61="","",'شجرة الحسابات'!I61&amp;"")</f>
        <v/>
      </c>
      <c r="K61" s="92" t="n">
        <f aca="false">IF(OR($A61="",$G61&lt;&gt;"تحليلي"),"",E61-F61)</f>
        <v>12500</v>
      </c>
    </row>
    <row r="62" customFormat="false" ht="15" hidden="false" customHeight="false" outlineLevel="0" collapsed="false">
      <c r="A62" s="90" t="n">
        <f aca="false">IF('شجرة الحسابات'!A62="","",'شجرة الحسابات'!A62)</f>
        <v>6104</v>
      </c>
      <c r="B62" s="51" t="str">
        <f aca="false">IF($A62="","",'شجرة الحسابات'!B62)</f>
        <v>إهلاك الأصول الإدارية</v>
      </c>
      <c r="C62" s="85" t="n">
        <f aca="false">IF($A62="","",IF($G62="تحليلي",SUMIFS('قيود اليومية'!$G$11:$G$1010,'قيود اليومية'!$C$11:$C$1010,$A62,'قيود اليومية'!$I$11:$I$1010,"مرحل ✔"),SUMPRODUCT((LEFT('قيود اليومية'!$C$11:$C$1010&amp;"",LEN($A62&amp;""))=$A62&amp;"")*('قيود اليومية'!$I$11:$I$1010="مرحل ✔")*'قيود اليومية'!$G$11:$G$1010)))</f>
        <v>5000</v>
      </c>
      <c r="D62" s="85" t="n">
        <f aca="false">IF($A62="","",IF($G62="تحليلي",SUMIFS('قيود اليومية'!$H$11:$H$1010,'قيود اليومية'!$C$11:$C$1010,$A62,'قيود اليومية'!$I$11:$I$1010,"مرحل ✔"),SUMPRODUCT((LEFT('قيود اليومية'!$C$11:$C$1010&amp;"",LEN($A62&amp;""))=$A62&amp;"")*('قيود اليومية'!$I$11:$I$1010="مرحل ✔")*'قيود اليومية'!$H$11:$H$1010)))</f>
        <v>0</v>
      </c>
      <c r="E62" s="91" t="n">
        <f aca="false">IF($A62="","",MAX(C62-D62,0))</f>
        <v>5000</v>
      </c>
      <c r="F62" s="91" t="n">
        <f aca="false">IF($A62="","",MAX(D62-C62,0))</f>
        <v>0</v>
      </c>
      <c r="G62" s="55" t="str">
        <f aca="false">IF($A62="","",'شجرة الحسابات'!C62&amp;"")</f>
        <v>تحليلي</v>
      </c>
      <c r="H62" s="55" t="str">
        <f aca="false">IF($A62="","",'شجرة الحسابات'!E62&amp;"")</f>
        <v>المصروفات</v>
      </c>
      <c r="I62" s="55" t="str">
        <f aca="false">IF($A62="","",'شجرة الحسابات'!H62&amp;"")</f>
        <v>مصاريف عمومية وإدارية</v>
      </c>
      <c r="J62" s="55" t="str">
        <f aca="false">IF($A62="","",'شجرة الحسابات'!I62&amp;"")</f>
        <v/>
      </c>
      <c r="K62" s="92" t="n">
        <f aca="false">IF(OR($A62="",$G62&lt;&gt;"تحليلي"),"",E62-F62)</f>
        <v>5000</v>
      </c>
    </row>
    <row r="63" customFormat="false" ht="15" hidden="false" customHeight="false" outlineLevel="0" collapsed="false">
      <c r="A63" s="90" t="n">
        <f aca="false">IF('شجرة الحسابات'!A63="","",'شجرة الحسابات'!A63)</f>
        <v>6105</v>
      </c>
      <c r="B63" s="51" t="str">
        <f aca="false">IF($A63="","",'شجرة الحسابات'!B63)</f>
        <v>مصاريف وعمولات بنكية</v>
      </c>
      <c r="C63" s="85" t="n">
        <f aca="false">IF($A63="","",IF($G63="تحليلي",SUMIFS('قيود اليومية'!$G$11:$G$1010,'قيود اليومية'!$C$11:$C$1010,$A63,'قيود اليومية'!$I$11:$I$1010,"مرحل ✔"),SUMPRODUCT((LEFT('قيود اليومية'!$C$11:$C$1010&amp;"",LEN($A63&amp;""))=$A63&amp;"")*('قيود اليومية'!$I$11:$I$1010="مرحل ✔")*'قيود اليومية'!$G$11:$G$1010)))</f>
        <v>3200</v>
      </c>
      <c r="D63" s="85" t="n">
        <f aca="false">IF($A63="","",IF($G63="تحليلي",SUMIFS('قيود اليومية'!$H$11:$H$1010,'قيود اليومية'!$C$11:$C$1010,$A63,'قيود اليومية'!$I$11:$I$1010,"مرحل ✔"),SUMPRODUCT((LEFT('قيود اليومية'!$C$11:$C$1010&amp;"",LEN($A63&amp;""))=$A63&amp;"")*('قيود اليومية'!$I$11:$I$1010="مرحل ✔")*'قيود اليومية'!$H$11:$H$1010)))</f>
        <v>0</v>
      </c>
      <c r="E63" s="91" t="n">
        <f aca="false">IF($A63="","",MAX(C63-D63,0))</f>
        <v>3200</v>
      </c>
      <c r="F63" s="91" t="n">
        <f aca="false">IF($A63="","",MAX(D63-C63,0))</f>
        <v>0</v>
      </c>
      <c r="G63" s="55" t="str">
        <f aca="false">IF($A63="","",'شجرة الحسابات'!C63&amp;"")</f>
        <v>تحليلي</v>
      </c>
      <c r="H63" s="55" t="str">
        <f aca="false">IF($A63="","",'شجرة الحسابات'!E63&amp;"")</f>
        <v>المصروفات</v>
      </c>
      <c r="I63" s="55" t="str">
        <f aca="false">IF($A63="","",'شجرة الحسابات'!H63&amp;"")</f>
        <v>مصاريف تمويلية</v>
      </c>
      <c r="J63" s="55" t="str">
        <f aca="false">IF($A63="","",'شجرة الحسابات'!I63&amp;"")</f>
        <v/>
      </c>
      <c r="K63" s="92" t="n">
        <f aca="false">IF(OR($A63="",$G63&lt;&gt;"تحليلي"),"",E63-F63)</f>
        <v>3200</v>
      </c>
    </row>
    <row r="64" customFormat="false" ht="15" hidden="false" customHeight="false" outlineLevel="0" collapsed="false">
      <c r="A64" s="90" t="str">
        <f aca="false">IF('شجرة الحسابات'!A64="","",'شجرة الحسابات'!A64)</f>
        <v/>
      </c>
      <c r="B64" s="51" t="str">
        <f aca="false">IF($A64="","",'شجرة الحسابات'!B64)</f>
        <v/>
      </c>
      <c r="C64" s="85" t="str">
        <f aca="false">IF($A64="","",IF($G64="تحليلي",SUMIFS('قيود اليومية'!$G$11:$G$1010,'قيود اليومية'!$C$11:$C$1010,$A64,'قيود اليومية'!$I$11:$I$1010,"مرحل ✔"),SUMPRODUCT((LEFT('قيود اليومية'!$C$11:$C$1010&amp;"",LEN($A64&amp;""))=$A64&amp;"")*('قيود اليومية'!$I$11:$I$1010="مرحل ✔")*'قيود اليومية'!$G$11:$G$1010)))</f>
        <v/>
      </c>
      <c r="D64" s="85" t="str">
        <f aca="false">IF($A64="","",IF($G64="تحليلي",SUMIFS('قيود اليومية'!$H$11:$H$1010,'قيود اليومية'!$C$11:$C$1010,$A64,'قيود اليومية'!$I$11:$I$1010,"مرحل ✔"),SUMPRODUCT((LEFT('قيود اليومية'!$C$11:$C$1010&amp;"",LEN($A64&amp;""))=$A64&amp;"")*('قيود اليومية'!$I$11:$I$1010="مرحل ✔")*'قيود اليومية'!$H$11:$H$1010)))</f>
        <v/>
      </c>
      <c r="E64" s="91" t="str">
        <f aca="false">IF($A64="","",MAX(C64-D64,0))</f>
        <v/>
      </c>
      <c r="F64" s="91" t="str">
        <f aca="false">IF($A64="","",MAX(D64-C64,0))</f>
        <v/>
      </c>
      <c r="G64" s="55" t="str">
        <f aca="false">IF($A64="","",'شجرة الحسابات'!C64&amp;"")</f>
        <v/>
      </c>
      <c r="H64" s="55" t="str">
        <f aca="false">IF($A64="","",'شجرة الحسابات'!E64&amp;"")</f>
        <v/>
      </c>
      <c r="I64" s="55" t="str">
        <f aca="false">IF($A64="","",'شجرة الحسابات'!H64&amp;"")</f>
        <v/>
      </c>
      <c r="J64" s="55" t="str">
        <f aca="false">IF($A64="","",'شجرة الحسابات'!I64&amp;"")</f>
        <v/>
      </c>
      <c r="K64" s="92" t="str">
        <f aca="false">IF(OR($A64="",$G64&lt;&gt;"تحليلي"),"",E64-F64)</f>
        <v/>
      </c>
    </row>
    <row r="65" customFormat="false" ht="15" hidden="false" customHeight="false" outlineLevel="0" collapsed="false">
      <c r="A65" s="90" t="str">
        <f aca="false">IF('شجرة الحسابات'!A65="","",'شجرة الحسابات'!A65)</f>
        <v/>
      </c>
      <c r="B65" s="51" t="str">
        <f aca="false">IF($A65="","",'شجرة الحسابات'!B65)</f>
        <v/>
      </c>
      <c r="C65" s="85" t="str">
        <f aca="false">IF($A65="","",IF($G65="تحليلي",SUMIFS('قيود اليومية'!$G$11:$G$1010,'قيود اليومية'!$C$11:$C$1010,$A65,'قيود اليومية'!$I$11:$I$1010,"مرحل ✔"),SUMPRODUCT((LEFT('قيود اليومية'!$C$11:$C$1010&amp;"",LEN($A65&amp;""))=$A65&amp;"")*('قيود اليومية'!$I$11:$I$1010="مرحل ✔")*'قيود اليومية'!$G$11:$G$1010)))</f>
        <v/>
      </c>
      <c r="D65" s="85" t="str">
        <f aca="false">IF($A65="","",IF($G65="تحليلي",SUMIFS('قيود اليومية'!$H$11:$H$1010,'قيود اليومية'!$C$11:$C$1010,$A65,'قيود اليومية'!$I$11:$I$1010,"مرحل ✔"),SUMPRODUCT((LEFT('قيود اليومية'!$C$11:$C$1010&amp;"",LEN($A65&amp;""))=$A65&amp;"")*('قيود اليومية'!$I$11:$I$1010="مرحل ✔")*'قيود اليومية'!$H$11:$H$1010)))</f>
        <v/>
      </c>
      <c r="E65" s="91" t="str">
        <f aca="false">IF($A65="","",MAX(C65-D65,0))</f>
        <v/>
      </c>
      <c r="F65" s="91" t="str">
        <f aca="false">IF($A65="","",MAX(D65-C65,0))</f>
        <v/>
      </c>
      <c r="G65" s="55" t="str">
        <f aca="false">IF($A65="","",'شجرة الحسابات'!C65&amp;"")</f>
        <v/>
      </c>
      <c r="H65" s="55" t="str">
        <f aca="false">IF($A65="","",'شجرة الحسابات'!E65&amp;"")</f>
        <v/>
      </c>
      <c r="I65" s="55" t="str">
        <f aca="false">IF($A65="","",'شجرة الحسابات'!H65&amp;"")</f>
        <v/>
      </c>
      <c r="J65" s="55" t="str">
        <f aca="false">IF($A65="","",'شجرة الحسابات'!I65&amp;"")</f>
        <v/>
      </c>
      <c r="K65" s="92" t="str">
        <f aca="false">IF(OR($A65="",$G65&lt;&gt;"تحليلي"),"",E65-F65)</f>
        <v/>
      </c>
    </row>
    <row r="66" customFormat="false" ht="15" hidden="false" customHeight="false" outlineLevel="0" collapsed="false">
      <c r="A66" s="90" t="str">
        <f aca="false">IF('شجرة الحسابات'!A66="","",'شجرة الحسابات'!A66)</f>
        <v/>
      </c>
      <c r="B66" s="51" t="str">
        <f aca="false">IF($A66="","",'شجرة الحسابات'!B66)</f>
        <v/>
      </c>
      <c r="C66" s="85" t="str">
        <f aca="false">IF($A66="","",IF($G66="تحليلي",SUMIFS('قيود اليومية'!$G$11:$G$1010,'قيود اليومية'!$C$11:$C$1010,$A66,'قيود اليومية'!$I$11:$I$1010,"مرحل ✔"),SUMPRODUCT((LEFT('قيود اليومية'!$C$11:$C$1010&amp;"",LEN($A66&amp;""))=$A66&amp;"")*('قيود اليومية'!$I$11:$I$1010="مرحل ✔")*'قيود اليومية'!$G$11:$G$1010)))</f>
        <v/>
      </c>
      <c r="D66" s="85" t="str">
        <f aca="false">IF($A66="","",IF($G66="تحليلي",SUMIFS('قيود اليومية'!$H$11:$H$1010,'قيود اليومية'!$C$11:$C$1010,$A66,'قيود اليومية'!$I$11:$I$1010,"مرحل ✔"),SUMPRODUCT((LEFT('قيود اليومية'!$C$11:$C$1010&amp;"",LEN($A66&amp;""))=$A66&amp;"")*('قيود اليومية'!$I$11:$I$1010="مرحل ✔")*'قيود اليومية'!$H$11:$H$1010)))</f>
        <v/>
      </c>
      <c r="E66" s="91" t="str">
        <f aca="false">IF($A66="","",MAX(C66-D66,0))</f>
        <v/>
      </c>
      <c r="F66" s="91" t="str">
        <f aca="false">IF($A66="","",MAX(D66-C66,0))</f>
        <v/>
      </c>
      <c r="G66" s="55" t="str">
        <f aca="false">IF($A66="","",'شجرة الحسابات'!C66&amp;"")</f>
        <v/>
      </c>
      <c r="H66" s="55" t="str">
        <f aca="false">IF($A66="","",'شجرة الحسابات'!E66&amp;"")</f>
        <v/>
      </c>
      <c r="I66" s="55" t="str">
        <f aca="false">IF($A66="","",'شجرة الحسابات'!H66&amp;"")</f>
        <v/>
      </c>
      <c r="J66" s="55" t="str">
        <f aca="false">IF($A66="","",'شجرة الحسابات'!I66&amp;"")</f>
        <v/>
      </c>
      <c r="K66" s="92" t="str">
        <f aca="false">IF(OR($A66="",$G66&lt;&gt;"تحليلي"),"",E66-F66)</f>
        <v/>
      </c>
    </row>
    <row r="67" customFormat="false" ht="15" hidden="false" customHeight="false" outlineLevel="0" collapsed="false">
      <c r="A67" s="90" t="str">
        <f aca="false">IF('شجرة الحسابات'!A67="","",'شجرة الحسابات'!A67)</f>
        <v/>
      </c>
      <c r="B67" s="51" t="str">
        <f aca="false">IF($A67="","",'شجرة الحسابات'!B67)</f>
        <v/>
      </c>
      <c r="C67" s="85" t="str">
        <f aca="false">IF($A67="","",IF($G67="تحليلي",SUMIFS('قيود اليومية'!$G$11:$G$1010,'قيود اليومية'!$C$11:$C$1010,$A67,'قيود اليومية'!$I$11:$I$1010,"مرحل ✔"),SUMPRODUCT((LEFT('قيود اليومية'!$C$11:$C$1010&amp;"",LEN($A67&amp;""))=$A67&amp;"")*('قيود اليومية'!$I$11:$I$1010="مرحل ✔")*'قيود اليومية'!$G$11:$G$1010)))</f>
        <v/>
      </c>
      <c r="D67" s="85" t="str">
        <f aca="false">IF($A67="","",IF($G67="تحليلي",SUMIFS('قيود اليومية'!$H$11:$H$1010,'قيود اليومية'!$C$11:$C$1010,$A67,'قيود اليومية'!$I$11:$I$1010,"مرحل ✔"),SUMPRODUCT((LEFT('قيود اليومية'!$C$11:$C$1010&amp;"",LEN($A67&amp;""))=$A67&amp;"")*('قيود اليومية'!$I$11:$I$1010="مرحل ✔")*'قيود اليومية'!$H$11:$H$1010)))</f>
        <v/>
      </c>
      <c r="E67" s="91" t="str">
        <f aca="false">IF($A67="","",MAX(C67-D67,0))</f>
        <v/>
      </c>
      <c r="F67" s="91" t="str">
        <f aca="false">IF($A67="","",MAX(D67-C67,0))</f>
        <v/>
      </c>
      <c r="G67" s="55" t="str">
        <f aca="false">IF($A67="","",'شجرة الحسابات'!C67&amp;"")</f>
        <v/>
      </c>
      <c r="H67" s="55" t="str">
        <f aca="false">IF($A67="","",'شجرة الحسابات'!E67&amp;"")</f>
        <v/>
      </c>
      <c r="I67" s="55" t="str">
        <f aca="false">IF($A67="","",'شجرة الحسابات'!H67&amp;"")</f>
        <v/>
      </c>
      <c r="J67" s="55" t="str">
        <f aca="false">IF($A67="","",'شجرة الحسابات'!I67&amp;"")</f>
        <v/>
      </c>
      <c r="K67" s="92" t="str">
        <f aca="false">IF(OR($A67="",$G67&lt;&gt;"تحليلي"),"",E67-F67)</f>
        <v/>
      </c>
    </row>
    <row r="68" customFormat="false" ht="15" hidden="false" customHeight="false" outlineLevel="0" collapsed="false">
      <c r="A68" s="90" t="str">
        <f aca="false">IF('شجرة الحسابات'!A68="","",'شجرة الحسابات'!A68)</f>
        <v/>
      </c>
      <c r="B68" s="51" t="str">
        <f aca="false">IF($A68="","",'شجرة الحسابات'!B68)</f>
        <v/>
      </c>
      <c r="C68" s="85" t="str">
        <f aca="false">IF($A68="","",IF($G68="تحليلي",SUMIFS('قيود اليومية'!$G$11:$G$1010,'قيود اليومية'!$C$11:$C$1010,$A68,'قيود اليومية'!$I$11:$I$1010,"مرحل ✔"),SUMPRODUCT((LEFT('قيود اليومية'!$C$11:$C$1010&amp;"",LEN($A68&amp;""))=$A68&amp;"")*('قيود اليومية'!$I$11:$I$1010="مرحل ✔")*'قيود اليومية'!$G$11:$G$1010)))</f>
        <v/>
      </c>
      <c r="D68" s="85" t="str">
        <f aca="false">IF($A68="","",IF($G68="تحليلي",SUMIFS('قيود اليومية'!$H$11:$H$1010,'قيود اليومية'!$C$11:$C$1010,$A68,'قيود اليومية'!$I$11:$I$1010,"مرحل ✔"),SUMPRODUCT((LEFT('قيود اليومية'!$C$11:$C$1010&amp;"",LEN($A68&amp;""))=$A68&amp;"")*('قيود اليومية'!$I$11:$I$1010="مرحل ✔")*'قيود اليومية'!$H$11:$H$1010)))</f>
        <v/>
      </c>
      <c r="E68" s="91" t="str">
        <f aca="false">IF($A68="","",MAX(C68-D68,0))</f>
        <v/>
      </c>
      <c r="F68" s="91" t="str">
        <f aca="false">IF($A68="","",MAX(D68-C68,0))</f>
        <v/>
      </c>
      <c r="G68" s="55" t="str">
        <f aca="false">IF($A68="","",'شجرة الحسابات'!C68&amp;"")</f>
        <v/>
      </c>
      <c r="H68" s="55" t="str">
        <f aca="false">IF($A68="","",'شجرة الحسابات'!E68&amp;"")</f>
        <v/>
      </c>
      <c r="I68" s="55" t="str">
        <f aca="false">IF($A68="","",'شجرة الحسابات'!H68&amp;"")</f>
        <v/>
      </c>
      <c r="J68" s="55" t="str">
        <f aca="false">IF($A68="","",'شجرة الحسابات'!I68&amp;"")</f>
        <v/>
      </c>
      <c r="K68" s="92" t="str">
        <f aca="false">IF(OR($A68="",$G68&lt;&gt;"تحليلي"),"",E68-F68)</f>
        <v/>
      </c>
    </row>
    <row r="69" customFormat="false" ht="15" hidden="false" customHeight="false" outlineLevel="0" collapsed="false">
      <c r="A69" s="90" t="str">
        <f aca="false">IF('شجرة الحسابات'!A69="","",'شجرة الحسابات'!A69)</f>
        <v/>
      </c>
      <c r="B69" s="51" t="str">
        <f aca="false">IF($A69="","",'شجرة الحسابات'!B69)</f>
        <v/>
      </c>
      <c r="C69" s="85" t="str">
        <f aca="false">IF($A69="","",IF($G69="تحليلي",SUMIFS('قيود اليومية'!$G$11:$G$1010,'قيود اليومية'!$C$11:$C$1010,$A69,'قيود اليومية'!$I$11:$I$1010,"مرحل ✔"),SUMPRODUCT((LEFT('قيود اليومية'!$C$11:$C$1010&amp;"",LEN($A69&amp;""))=$A69&amp;"")*('قيود اليومية'!$I$11:$I$1010="مرحل ✔")*'قيود اليومية'!$G$11:$G$1010)))</f>
        <v/>
      </c>
      <c r="D69" s="85" t="str">
        <f aca="false">IF($A69="","",IF($G69="تحليلي",SUMIFS('قيود اليومية'!$H$11:$H$1010,'قيود اليومية'!$C$11:$C$1010,$A69,'قيود اليومية'!$I$11:$I$1010,"مرحل ✔"),SUMPRODUCT((LEFT('قيود اليومية'!$C$11:$C$1010&amp;"",LEN($A69&amp;""))=$A69&amp;"")*('قيود اليومية'!$I$11:$I$1010="مرحل ✔")*'قيود اليومية'!$H$11:$H$1010)))</f>
        <v/>
      </c>
      <c r="E69" s="91" t="str">
        <f aca="false">IF($A69="","",MAX(C69-D69,0))</f>
        <v/>
      </c>
      <c r="F69" s="91" t="str">
        <f aca="false">IF($A69="","",MAX(D69-C69,0))</f>
        <v/>
      </c>
      <c r="G69" s="55" t="str">
        <f aca="false">IF($A69="","",'شجرة الحسابات'!C69&amp;"")</f>
        <v/>
      </c>
      <c r="H69" s="55" t="str">
        <f aca="false">IF($A69="","",'شجرة الحسابات'!E69&amp;"")</f>
        <v/>
      </c>
      <c r="I69" s="55" t="str">
        <f aca="false">IF($A69="","",'شجرة الحسابات'!H69&amp;"")</f>
        <v/>
      </c>
      <c r="J69" s="55" t="str">
        <f aca="false">IF($A69="","",'شجرة الحسابات'!I69&amp;"")</f>
        <v/>
      </c>
      <c r="K69" s="92" t="str">
        <f aca="false">IF(OR($A69="",$G69&lt;&gt;"تحليلي"),"",E69-F69)</f>
        <v/>
      </c>
    </row>
    <row r="70" customFormat="false" ht="15" hidden="false" customHeight="false" outlineLevel="0" collapsed="false">
      <c r="A70" s="90" t="str">
        <f aca="false">IF('شجرة الحسابات'!A70="","",'شجرة الحسابات'!A70)</f>
        <v/>
      </c>
      <c r="B70" s="51" t="str">
        <f aca="false">IF($A70="","",'شجرة الحسابات'!B70)</f>
        <v/>
      </c>
      <c r="C70" s="85" t="str">
        <f aca="false">IF($A70="","",IF($G70="تحليلي",SUMIFS('قيود اليومية'!$G$11:$G$1010,'قيود اليومية'!$C$11:$C$1010,$A70,'قيود اليومية'!$I$11:$I$1010,"مرحل ✔"),SUMPRODUCT((LEFT('قيود اليومية'!$C$11:$C$1010&amp;"",LEN($A70&amp;""))=$A70&amp;"")*('قيود اليومية'!$I$11:$I$1010="مرحل ✔")*'قيود اليومية'!$G$11:$G$1010)))</f>
        <v/>
      </c>
      <c r="D70" s="85" t="str">
        <f aca="false">IF($A70="","",IF($G70="تحليلي",SUMIFS('قيود اليومية'!$H$11:$H$1010,'قيود اليومية'!$C$11:$C$1010,$A70,'قيود اليومية'!$I$11:$I$1010,"مرحل ✔"),SUMPRODUCT((LEFT('قيود اليومية'!$C$11:$C$1010&amp;"",LEN($A70&amp;""))=$A70&amp;"")*('قيود اليومية'!$I$11:$I$1010="مرحل ✔")*'قيود اليومية'!$H$11:$H$1010)))</f>
        <v/>
      </c>
      <c r="E70" s="91" t="str">
        <f aca="false">IF($A70="","",MAX(C70-D70,0))</f>
        <v/>
      </c>
      <c r="F70" s="91" t="str">
        <f aca="false">IF($A70="","",MAX(D70-C70,0))</f>
        <v/>
      </c>
      <c r="G70" s="55" t="str">
        <f aca="false">IF($A70="","",'شجرة الحسابات'!C70&amp;"")</f>
        <v/>
      </c>
      <c r="H70" s="55" t="str">
        <f aca="false">IF($A70="","",'شجرة الحسابات'!E70&amp;"")</f>
        <v/>
      </c>
      <c r="I70" s="55" t="str">
        <f aca="false">IF($A70="","",'شجرة الحسابات'!H70&amp;"")</f>
        <v/>
      </c>
      <c r="J70" s="55" t="str">
        <f aca="false">IF($A70="","",'شجرة الحسابات'!I70&amp;"")</f>
        <v/>
      </c>
      <c r="K70" s="92" t="str">
        <f aca="false">IF(OR($A70="",$G70&lt;&gt;"تحليلي"),"",E70-F70)</f>
        <v/>
      </c>
    </row>
    <row r="71" customFormat="false" ht="15" hidden="false" customHeight="false" outlineLevel="0" collapsed="false">
      <c r="A71" s="90" t="str">
        <f aca="false">IF('شجرة الحسابات'!A71="","",'شجرة الحسابات'!A71)</f>
        <v/>
      </c>
      <c r="B71" s="51" t="str">
        <f aca="false">IF($A71="","",'شجرة الحسابات'!B71)</f>
        <v/>
      </c>
      <c r="C71" s="85" t="str">
        <f aca="false">IF($A71="","",IF($G71="تحليلي",SUMIFS('قيود اليومية'!$G$11:$G$1010,'قيود اليومية'!$C$11:$C$1010,$A71,'قيود اليومية'!$I$11:$I$1010,"مرحل ✔"),SUMPRODUCT((LEFT('قيود اليومية'!$C$11:$C$1010&amp;"",LEN($A71&amp;""))=$A71&amp;"")*('قيود اليومية'!$I$11:$I$1010="مرحل ✔")*'قيود اليومية'!$G$11:$G$1010)))</f>
        <v/>
      </c>
      <c r="D71" s="85" t="str">
        <f aca="false">IF($A71="","",IF($G71="تحليلي",SUMIFS('قيود اليومية'!$H$11:$H$1010,'قيود اليومية'!$C$11:$C$1010,$A71,'قيود اليومية'!$I$11:$I$1010,"مرحل ✔"),SUMPRODUCT((LEFT('قيود اليومية'!$C$11:$C$1010&amp;"",LEN($A71&amp;""))=$A71&amp;"")*('قيود اليومية'!$I$11:$I$1010="مرحل ✔")*'قيود اليومية'!$H$11:$H$1010)))</f>
        <v/>
      </c>
      <c r="E71" s="91" t="str">
        <f aca="false">IF($A71="","",MAX(C71-D71,0))</f>
        <v/>
      </c>
      <c r="F71" s="91" t="str">
        <f aca="false">IF($A71="","",MAX(D71-C71,0))</f>
        <v/>
      </c>
      <c r="G71" s="55" t="str">
        <f aca="false">IF($A71="","",'شجرة الحسابات'!C71&amp;"")</f>
        <v/>
      </c>
      <c r="H71" s="55" t="str">
        <f aca="false">IF($A71="","",'شجرة الحسابات'!E71&amp;"")</f>
        <v/>
      </c>
      <c r="I71" s="55" t="str">
        <f aca="false">IF($A71="","",'شجرة الحسابات'!H71&amp;"")</f>
        <v/>
      </c>
      <c r="J71" s="55" t="str">
        <f aca="false">IF($A71="","",'شجرة الحسابات'!I71&amp;"")</f>
        <v/>
      </c>
      <c r="K71" s="92" t="str">
        <f aca="false">IF(OR($A71="",$G71&lt;&gt;"تحليلي"),"",E71-F71)</f>
        <v/>
      </c>
    </row>
    <row r="72" customFormat="false" ht="15" hidden="false" customHeight="false" outlineLevel="0" collapsed="false">
      <c r="A72" s="90" t="str">
        <f aca="false">IF('شجرة الحسابات'!A72="","",'شجرة الحسابات'!A72)</f>
        <v/>
      </c>
      <c r="B72" s="51" t="str">
        <f aca="false">IF($A72="","",'شجرة الحسابات'!B72)</f>
        <v/>
      </c>
      <c r="C72" s="85" t="str">
        <f aca="false">IF($A72="","",IF($G72="تحليلي",SUMIFS('قيود اليومية'!$G$11:$G$1010,'قيود اليومية'!$C$11:$C$1010,$A72,'قيود اليومية'!$I$11:$I$1010,"مرحل ✔"),SUMPRODUCT((LEFT('قيود اليومية'!$C$11:$C$1010&amp;"",LEN($A72&amp;""))=$A72&amp;"")*('قيود اليومية'!$I$11:$I$1010="مرحل ✔")*'قيود اليومية'!$G$11:$G$1010)))</f>
        <v/>
      </c>
      <c r="D72" s="85" t="str">
        <f aca="false">IF($A72="","",IF($G72="تحليلي",SUMIFS('قيود اليومية'!$H$11:$H$1010,'قيود اليومية'!$C$11:$C$1010,$A72,'قيود اليومية'!$I$11:$I$1010,"مرحل ✔"),SUMPRODUCT((LEFT('قيود اليومية'!$C$11:$C$1010&amp;"",LEN($A72&amp;""))=$A72&amp;"")*('قيود اليومية'!$I$11:$I$1010="مرحل ✔")*'قيود اليومية'!$H$11:$H$1010)))</f>
        <v/>
      </c>
      <c r="E72" s="91" t="str">
        <f aca="false">IF($A72="","",MAX(C72-D72,0))</f>
        <v/>
      </c>
      <c r="F72" s="91" t="str">
        <f aca="false">IF($A72="","",MAX(D72-C72,0))</f>
        <v/>
      </c>
      <c r="G72" s="55" t="str">
        <f aca="false">IF($A72="","",'شجرة الحسابات'!C72&amp;"")</f>
        <v/>
      </c>
      <c r="H72" s="55" t="str">
        <f aca="false">IF($A72="","",'شجرة الحسابات'!E72&amp;"")</f>
        <v/>
      </c>
      <c r="I72" s="55" t="str">
        <f aca="false">IF($A72="","",'شجرة الحسابات'!H72&amp;"")</f>
        <v/>
      </c>
      <c r="J72" s="55" t="str">
        <f aca="false">IF($A72="","",'شجرة الحسابات'!I72&amp;"")</f>
        <v/>
      </c>
      <c r="K72" s="92" t="str">
        <f aca="false">IF(OR($A72="",$G72&lt;&gt;"تحليلي"),"",E72-F72)</f>
        <v/>
      </c>
    </row>
    <row r="73" customFormat="false" ht="15" hidden="false" customHeight="false" outlineLevel="0" collapsed="false">
      <c r="A73" s="90" t="str">
        <f aca="false">IF('شجرة الحسابات'!A73="","",'شجرة الحسابات'!A73)</f>
        <v/>
      </c>
      <c r="B73" s="51" t="str">
        <f aca="false">IF($A73="","",'شجرة الحسابات'!B73)</f>
        <v/>
      </c>
      <c r="C73" s="85" t="str">
        <f aca="false">IF($A73="","",IF($G73="تحليلي",SUMIFS('قيود اليومية'!$G$11:$G$1010,'قيود اليومية'!$C$11:$C$1010,$A73,'قيود اليومية'!$I$11:$I$1010,"مرحل ✔"),SUMPRODUCT((LEFT('قيود اليومية'!$C$11:$C$1010&amp;"",LEN($A73&amp;""))=$A73&amp;"")*('قيود اليومية'!$I$11:$I$1010="مرحل ✔")*'قيود اليومية'!$G$11:$G$1010)))</f>
        <v/>
      </c>
      <c r="D73" s="85" t="str">
        <f aca="false">IF($A73="","",IF($G73="تحليلي",SUMIFS('قيود اليومية'!$H$11:$H$1010,'قيود اليومية'!$C$11:$C$1010,$A73,'قيود اليومية'!$I$11:$I$1010,"مرحل ✔"),SUMPRODUCT((LEFT('قيود اليومية'!$C$11:$C$1010&amp;"",LEN($A73&amp;""))=$A73&amp;"")*('قيود اليومية'!$I$11:$I$1010="مرحل ✔")*'قيود اليومية'!$H$11:$H$1010)))</f>
        <v/>
      </c>
      <c r="E73" s="91" t="str">
        <f aca="false">IF($A73="","",MAX(C73-D73,0))</f>
        <v/>
      </c>
      <c r="F73" s="91" t="str">
        <f aca="false">IF($A73="","",MAX(D73-C73,0))</f>
        <v/>
      </c>
      <c r="G73" s="55" t="str">
        <f aca="false">IF($A73="","",'شجرة الحسابات'!C73&amp;"")</f>
        <v/>
      </c>
      <c r="H73" s="55" t="str">
        <f aca="false">IF($A73="","",'شجرة الحسابات'!E73&amp;"")</f>
        <v/>
      </c>
      <c r="I73" s="55" t="str">
        <f aca="false">IF($A73="","",'شجرة الحسابات'!H73&amp;"")</f>
        <v/>
      </c>
      <c r="J73" s="55" t="str">
        <f aca="false">IF($A73="","",'شجرة الحسابات'!I73&amp;"")</f>
        <v/>
      </c>
      <c r="K73" s="92" t="str">
        <f aca="false">IF(OR($A73="",$G73&lt;&gt;"تحليلي"),"",E73-F73)</f>
        <v/>
      </c>
    </row>
    <row r="74" customFormat="false" ht="15" hidden="false" customHeight="false" outlineLevel="0" collapsed="false">
      <c r="A74" s="90" t="str">
        <f aca="false">IF('شجرة الحسابات'!A74="","",'شجرة الحسابات'!A74)</f>
        <v/>
      </c>
      <c r="B74" s="51" t="str">
        <f aca="false">IF($A74="","",'شجرة الحسابات'!B74)</f>
        <v/>
      </c>
      <c r="C74" s="85" t="str">
        <f aca="false">IF($A74="","",IF($G74="تحليلي",SUMIFS('قيود اليومية'!$G$11:$G$1010,'قيود اليومية'!$C$11:$C$1010,$A74,'قيود اليومية'!$I$11:$I$1010,"مرحل ✔"),SUMPRODUCT((LEFT('قيود اليومية'!$C$11:$C$1010&amp;"",LEN($A74&amp;""))=$A74&amp;"")*('قيود اليومية'!$I$11:$I$1010="مرحل ✔")*'قيود اليومية'!$G$11:$G$1010)))</f>
        <v/>
      </c>
      <c r="D74" s="85" t="str">
        <f aca="false">IF($A74="","",IF($G74="تحليلي",SUMIFS('قيود اليومية'!$H$11:$H$1010,'قيود اليومية'!$C$11:$C$1010,$A74,'قيود اليومية'!$I$11:$I$1010,"مرحل ✔"),SUMPRODUCT((LEFT('قيود اليومية'!$C$11:$C$1010&amp;"",LEN($A74&amp;""))=$A74&amp;"")*('قيود اليومية'!$I$11:$I$1010="مرحل ✔")*'قيود اليومية'!$H$11:$H$1010)))</f>
        <v/>
      </c>
      <c r="E74" s="91" t="str">
        <f aca="false">IF($A74="","",MAX(C74-D74,0))</f>
        <v/>
      </c>
      <c r="F74" s="91" t="str">
        <f aca="false">IF($A74="","",MAX(D74-C74,0))</f>
        <v/>
      </c>
      <c r="G74" s="55" t="str">
        <f aca="false">IF($A74="","",'شجرة الحسابات'!C74&amp;"")</f>
        <v/>
      </c>
      <c r="H74" s="55" t="str">
        <f aca="false">IF($A74="","",'شجرة الحسابات'!E74&amp;"")</f>
        <v/>
      </c>
      <c r="I74" s="55" t="str">
        <f aca="false">IF($A74="","",'شجرة الحسابات'!H74&amp;"")</f>
        <v/>
      </c>
      <c r="J74" s="55" t="str">
        <f aca="false">IF($A74="","",'شجرة الحسابات'!I74&amp;"")</f>
        <v/>
      </c>
      <c r="K74" s="92" t="str">
        <f aca="false">IF(OR($A74="",$G74&lt;&gt;"تحليلي"),"",E74-F74)</f>
        <v/>
      </c>
    </row>
    <row r="75" customFormat="false" ht="15" hidden="false" customHeight="false" outlineLevel="0" collapsed="false">
      <c r="A75" s="90" t="str">
        <f aca="false">IF('شجرة الحسابات'!A75="","",'شجرة الحسابات'!A75)</f>
        <v/>
      </c>
      <c r="B75" s="51" t="str">
        <f aca="false">IF($A75="","",'شجرة الحسابات'!B75)</f>
        <v/>
      </c>
      <c r="C75" s="85" t="str">
        <f aca="false">IF($A75="","",IF($G75="تحليلي",SUMIFS('قيود اليومية'!$G$11:$G$1010,'قيود اليومية'!$C$11:$C$1010,$A75,'قيود اليومية'!$I$11:$I$1010,"مرحل ✔"),SUMPRODUCT((LEFT('قيود اليومية'!$C$11:$C$1010&amp;"",LEN($A75&amp;""))=$A75&amp;"")*('قيود اليومية'!$I$11:$I$1010="مرحل ✔")*'قيود اليومية'!$G$11:$G$1010)))</f>
        <v/>
      </c>
      <c r="D75" s="85" t="str">
        <f aca="false">IF($A75="","",IF($G75="تحليلي",SUMIFS('قيود اليومية'!$H$11:$H$1010,'قيود اليومية'!$C$11:$C$1010,$A75,'قيود اليومية'!$I$11:$I$1010,"مرحل ✔"),SUMPRODUCT((LEFT('قيود اليومية'!$C$11:$C$1010&amp;"",LEN($A75&amp;""))=$A75&amp;"")*('قيود اليومية'!$I$11:$I$1010="مرحل ✔")*'قيود اليومية'!$H$11:$H$1010)))</f>
        <v/>
      </c>
      <c r="E75" s="91" t="str">
        <f aca="false">IF($A75="","",MAX(C75-D75,0))</f>
        <v/>
      </c>
      <c r="F75" s="91" t="str">
        <f aca="false">IF($A75="","",MAX(D75-C75,0))</f>
        <v/>
      </c>
      <c r="G75" s="55" t="str">
        <f aca="false">IF($A75="","",'شجرة الحسابات'!C75&amp;"")</f>
        <v/>
      </c>
      <c r="H75" s="55" t="str">
        <f aca="false">IF($A75="","",'شجرة الحسابات'!E75&amp;"")</f>
        <v/>
      </c>
      <c r="I75" s="55" t="str">
        <f aca="false">IF($A75="","",'شجرة الحسابات'!H75&amp;"")</f>
        <v/>
      </c>
      <c r="J75" s="55" t="str">
        <f aca="false">IF($A75="","",'شجرة الحسابات'!I75&amp;"")</f>
        <v/>
      </c>
      <c r="K75" s="92" t="str">
        <f aca="false">IF(OR($A75="",$G75&lt;&gt;"تحليلي"),"",E75-F75)</f>
        <v/>
      </c>
    </row>
    <row r="76" customFormat="false" ht="15" hidden="false" customHeight="false" outlineLevel="0" collapsed="false">
      <c r="A76" s="90" t="str">
        <f aca="false">IF('شجرة الحسابات'!A76="","",'شجرة الحسابات'!A76)</f>
        <v/>
      </c>
      <c r="B76" s="51" t="str">
        <f aca="false">IF($A76="","",'شجرة الحسابات'!B76)</f>
        <v/>
      </c>
      <c r="C76" s="85" t="str">
        <f aca="false">IF($A76="","",IF($G76="تحليلي",SUMIFS('قيود اليومية'!$G$11:$G$1010,'قيود اليومية'!$C$11:$C$1010,$A76,'قيود اليومية'!$I$11:$I$1010,"مرحل ✔"),SUMPRODUCT((LEFT('قيود اليومية'!$C$11:$C$1010&amp;"",LEN($A76&amp;""))=$A76&amp;"")*('قيود اليومية'!$I$11:$I$1010="مرحل ✔")*'قيود اليومية'!$G$11:$G$1010)))</f>
        <v/>
      </c>
      <c r="D76" s="85" t="str">
        <f aca="false">IF($A76="","",IF($G76="تحليلي",SUMIFS('قيود اليومية'!$H$11:$H$1010,'قيود اليومية'!$C$11:$C$1010,$A76,'قيود اليومية'!$I$11:$I$1010,"مرحل ✔"),SUMPRODUCT((LEFT('قيود اليومية'!$C$11:$C$1010&amp;"",LEN($A76&amp;""))=$A76&amp;"")*('قيود اليومية'!$I$11:$I$1010="مرحل ✔")*'قيود اليومية'!$H$11:$H$1010)))</f>
        <v/>
      </c>
      <c r="E76" s="91" t="str">
        <f aca="false">IF($A76="","",MAX(C76-D76,0))</f>
        <v/>
      </c>
      <c r="F76" s="91" t="str">
        <f aca="false">IF($A76="","",MAX(D76-C76,0))</f>
        <v/>
      </c>
      <c r="G76" s="55" t="str">
        <f aca="false">IF($A76="","",'شجرة الحسابات'!C76&amp;"")</f>
        <v/>
      </c>
      <c r="H76" s="55" t="str">
        <f aca="false">IF($A76="","",'شجرة الحسابات'!E76&amp;"")</f>
        <v/>
      </c>
      <c r="I76" s="55" t="str">
        <f aca="false">IF($A76="","",'شجرة الحسابات'!H76&amp;"")</f>
        <v/>
      </c>
      <c r="J76" s="55" t="str">
        <f aca="false">IF($A76="","",'شجرة الحسابات'!I76&amp;"")</f>
        <v/>
      </c>
      <c r="K76" s="92" t="str">
        <f aca="false">IF(OR($A76="",$G76&lt;&gt;"تحليلي"),"",E76-F76)</f>
        <v/>
      </c>
    </row>
    <row r="77" customFormat="false" ht="15" hidden="false" customHeight="false" outlineLevel="0" collapsed="false">
      <c r="A77" s="90" t="str">
        <f aca="false">IF('شجرة الحسابات'!A77="","",'شجرة الحسابات'!A77)</f>
        <v/>
      </c>
      <c r="B77" s="51" t="str">
        <f aca="false">IF($A77="","",'شجرة الحسابات'!B77)</f>
        <v/>
      </c>
      <c r="C77" s="85" t="str">
        <f aca="false">IF($A77="","",IF($G77="تحليلي",SUMIFS('قيود اليومية'!$G$11:$G$1010,'قيود اليومية'!$C$11:$C$1010,$A77,'قيود اليومية'!$I$11:$I$1010,"مرحل ✔"),SUMPRODUCT((LEFT('قيود اليومية'!$C$11:$C$1010&amp;"",LEN($A77&amp;""))=$A77&amp;"")*('قيود اليومية'!$I$11:$I$1010="مرحل ✔")*'قيود اليومية'!$G$11:$G$1010)))</f>
        <v/>
      </c>
      <c r="D77" s="85" t="str">
        <f aca="false">IF($A77="","",IF($G77="تحليلي",SUMIFS('قيود اليومية'!$H$11:$H$1010,'قيود اليومية'!$C$11:$C$1010,$A77,'قيود اليومية'!$I$11:$I$1010,"مرحل ✔"),SUMPRODUCT((LEFT('قيود اليومية'!$C$11:$C$1010&amp;"",LEN($A77&amp;""))=$A77&amp;"")*('قيود اليومية'!$I$11:$I$1010="مرحل ✔")*'قيود اليومية'!$H$11:$H$1010)))</f>
        <v/>
      </c>
      <c r="E77" s="91" t="str">
        <f aca="false">IF($A77="","",MAX(C77-D77,0))</f>
        <v/>
      </c>
      <c r="F77" s="91" t="str">
        <f aca="false">IF($A77="","",MAX(D77-C77,0))</f>
        <v/>
      </c>
      <c r="G77" s="55" t="str">
        <f aca="false">IF($A77="","",'شجرة الحسابات'!C77&amp;"")</f>
        <v/>
      </c>
      <c r="H77" s="55" t="str">
        <f aca="false">IF($A77="","",'شجرة الحسابات'!E77&amp;"")</f>
        <v/>
      </c>
      <c r="I77" s="55" t="str">
        <f aca="false">IF($A77="","",'شجرة الحسابات'!H77&amp;"")</f>
        <v/>
      </c>
      <c r="J77" s="55" t="str">
        <f aca="false">IF($A77="","",'شجرة الحسابات'!I77&amp;"")</f>
        <v/>
      </c>
      <c r="K77" s="92" t="str">
        <f aca="false">IF(OR($A77="",$G77&lt;&gt;"تحليلي"),"",E77-F77)</f>
        <v/>
      </c>
    </row>
    <row r="78" customFormat="false" ht="15" hidden="false" customHeight="false" outlineLevel="0" collapsed="false">
      <c r="A78" s="90" t="str">
        <f aca="false">IF('شجرة الحسابات'!A78="","",'شجرة الحسابات'!A78)</f>
        <v/>
      </c>
      <c r="B78" s="51" t="str">
        <f aca="false">IF($A78="","",'شجرة الحسابات'!B78)</f>
        <v/>
      </c>
      <c r="C78" s="85" t="str">
        <f aca="false">IF($A78="","",IF($G78="تحليلي",SUMIFS('قيود اليومية'!$G$11:$G$1010,'قيود اليومية'!$C$11:$C$1010,$A78,'قيود اليومية'!$I$11:$I$1010,"مرحل ✔"),SUMPRODUCT((LEFT('قيود اليومية'!$C$11:$C$1010&amp;"",LEN($A78&amp;""))=$A78&amp;"")*('قيود اليومية'!$I$11:$I$1010="مرحل ✔")*'قيود اليومية'!$G$11:$G$1010)))</f>
        <v/>
      </c>
      <c r="D78" s="85" t="str">
        <f aca="false">IF($A78="","",IF($G78="تحليلي",SUMIFS('قيود اليومية'!$H$11:$H$1010,'قيود اليومية'!$C$11:$C$1010,$A78,'قيود اليومية'!$I$11:$I$1010,"مرحل ✔"),SUMPRODUCT((LEFT('قيود اليومية'!$C$11:$C$1010&amp;"",LEN($A78&amp;""))=$A78&amp;"")*('قيود اليومية'!$I$11:$I$1010="مرحل ✔")*'قيود اليومية'!$H$11:$H$1010)))</f>
        <v/>
      </c>
      <c r="E78" s="91" t="str">
        <f aca="false">IF($A78="","",MAX(C78-D78,0))</f>
        <v/>
      </c>
      <c r="F78" s="91" t="str">
        <f aca="false">IF($A78="","",MAX(D78-C78,0))</f>
        <v/>
      </c>
      <c r="G78" s="55" t="str">
        <f aca="false">IF($A78="","",'شجرة الحسابات'!C78&amp;"")</f>
        <v/>
      </c>
      <c r="H78" s="55" t="str">
        <f aca="false">IF($A78="","",'شجرة الحسابات'!E78&amp;"")</f>
        <v/>
      </c>
      <c r="I78" s="55" t="str">
        <f aca="false">IF($A78="","",'شجرة الحسابات'!H78&amp;"")</f>
        <v/>
      </c>
      <c r="J78" s="55" t="str">
        <f aca="false">IF($A78="","",'شجرة الحسابات'!I78&amp;"")</f>
        <v/>
      </c>
      <c r="K78" s="92" t="str">
        <f aca="false">IF(OR($A78="",$G78&lt;&gt;"تحليلي"),"",E78-F78)</f>
        <v/>
      </c>
    </row>
    <row r="79" customFormat="false" ht="15" hidden="false" customHeight="false" outlineLevel="0" collapsed="false">
      <c r="A79" s="90" t="str">
        <f aca="false">IF('شجرة الحسابات'!A79="","",'شجرة الحسابات'!A79)</f>
        <v/>
      </c>
      <c r="B79" s="51" t="str">
        <f aca="false">IF($A79="","",'شجرة الحسابات'!B79)</f>
        <v/>
      </c>
      <c r="C79" s="85" t="str">
        <f aca="false">IF($A79="","",IF($G79="تحليلي",SUMIFS('قيود اليومية'!$G$11:$G$1010,'قيود اليومية'!$C$11:$C$1010,$A79,'قيود اليومية'!$I$11:$I$1010,"مرحل ✔"),SUMPRODUCT((LEFT('قيود اليومية'!$C$11:$C$1010&amp;"",LEN($A79&amp;""))=$A79&amp;"")*('قيود اليومية'!$I$11:$I$1010="مرحل ✔")*'قيود اليومية'!$G$11:$G$1010)))</f>
        <v/>
      </c>
      <c r="D79" s="85" t="str">
        <f aca="false">IF($A79="","",IF($G79="تحليلي",SUMIFS('قيود اليومية'!$H$11:$H$1010,'قيود اليومية'!$C$11:$C$1010,$A79,'قيود اليومية'!$I$11:$I$1010,"مرحل ✔"),SUMPRODUCT((LEFT('قيود اليومية'!$C$11:$C$1010&amp;"",LEN($A79&amp;""))=$A79&amp;"")*('قيود اليومية'!$I$11:$I$1010="مرحل ✔")*'قيود اليومية'!$H$11:$H$1010)))</f>
        <v/>
      </c>
      <c r="E79" s="91" t="str">
        <f aca="false">IF($A79="","",MAX(C79-D79,0))</f>
        <v/>
      </c>
      <c r="F79" s="91" t="str">
        <f aca="false">IF($A79="","",MAX(D79-C79,0))</f>
        <v/>
      </c>
      <c r="G79" s="55" t="str">
        <f aca="false">IF($A79="","",'شجرة الحسابات'!C79&amp;"")</f>
        <v/>
      </c>
      <c r="H79" s="55" t="str">
        <f aca="false">IF($A79="","",'شجرة الحسابات'!E79&amp;"")</f>
        <v/>
      </c>
      <c r="I79" s="55" t="str">
        <f aca="false">IF($A79="","",'شجرة الحسابات'!H79&amp;"")</f>
        <v/>
      </c>
      <c r="J79" s="55" t="str">
        <f aca="false">IF($A79="","",'شجرة الحسابات'!I79&amp;"")</f>
        <v/>
      </c>
      <c r="K79" s="92" t="str">
        <f aca="false">IF(OR($A79="",$G79&lt;&gt;"تحليلي"),"",E79-F79)</f>
        <v/>
      </c>
    </row>
    <row r="80" customFormat="false" ht="15" hidden="false" customHeight="false" outlineLevel="0" collapsed="false">
      <c r="A80" s="90" t="str">
        <f aca="false">IF('شجرة الحسابات'!A80="","",'شجرة الحسابات'!A80)</f>
        <v/>
      </c>
      <c r="B80" s="51" t="str">
        <f aca="false">IF($A80="","",'شجرة الحسابات'!B80)</f>
        <v/>
      </c>
      <c r="C80" s="85" t="str">
        <f aca="false">IF($A80="","",IF($G80="تحليلي",SUMIFS('قيود اليومية'!$G$11:$G$1010,'قيود اليومية'!$C$11:$C$1010,$A80,'قيود اليومية'!$I$11:$I$1010,"مرحل ✔"),SUMPRODUCT((LEFT('قيود اليومية'!$C$11:$C$1010&amp;"",LEN($A80&amp;""))=$A80&amp;"")*('قيود اليومية'!$I$11:$I$1010="مرحل ✔")*'قيود اليومية'!$G$11:$G$1010)))</f>
        <v/>
      </c>
      <c r="D80" s="85" t="str">
        <f aca="false">IF($A80="","",IF($G80="تحليلي",SUMIFS('قيود اليومية'!$H$11:$H$1010,'قيود اليومية'!$C$11:$C$1010,$A80,'قيود اليومية'!$I$11:$I$1010,"مرحل ✔"),SUMPRODUCT((LEFT('قيود اليومية'!$C$11:$C$1010&amp;"",LEN($A80&amp;""))=$A80&amp;"")*('قيود اليومية'!$I$11:$I$1010="مرحل ✔")*'قيود اليومية'!$H$11:$H$1010)))</f>
        <v/>
      </c>
      <c r="E80" s="91" t="str">
        <f aca="false">IF($A80="","",MAX(C80-D80,0))</f>
        <v/>
      </c>
      <c r="F80" s="91" t="str">
        <f aca="false">IF($A80="","",MAX(D80-C80,0))</f>
        <v/>
      </c>
      <c r="G80" s="55" t="str">
        <f aca="false">IF($A80="","",'شجرة الحسابات'!C80&amp;"")</f>
        <v/>
      </c>
      <c r="H80" s="55" t="str">
        <f aca="false">IF($A80="","",'شجرة الحسابات'!E80&amp;"")</f>
        <v/>
      </c>
      <c r="I80" s="55" t="str">
        <f aca="false">IF($A80="","",'شجرة الحسابات'!H80&amp;"")</f>
        <v/>
      </c>
      <c r="J80" s="55" t="str">
        <f aca="false">IF($A80="","",'شجرة الحسابات'!I80&amp;"")</f>
        <v/>
      </c>
      <c r="K80" s="92" t="str">
        <f aca="false">IF(OR($A80="",$G80&lt;&gt;"تحليلي"),"",E80-F80)</f>
        <v/>
      </c>
    </row>
    <row r="81" customFormat="false" ht="15" hidden="false" customHeight="false" outlineLevel="0" collapsed="false">
      <c r="A81" s="90" t="str">
        <f aca="false">IF('شجرة الحسابات'!A81="","",'شجرة الحسابات'!A81)</f>
        <v/>
      </c>
      <c r="B81" s="51" t="str">
        <f aca="false">IF($A81="","",'شجرة الحسابات'!B81)</f>
        <v/>
      </c>
      <c r="C81" s="85" t="str">
        <f aca="false">IF($A81="","",IF($G81="تحليلي",SUMIFS('قيود اليومية'!$G$11:$G$1010,'قيود اليومية'!$C$11:$C$1010,$A81,'قيود اليومية'!$I$11:$I$1010,"مرحل ✔"),SUMPRODUCT((LEFT('قيود اليومية'!$C$11:$C$1010&amp;"",LEN($A81&amp;""))=$A81&amp;"")*('قيود اليومية'!$I$11:$I$1010="مرحل ✔")*'قيود اليومية'!$G$11:$G$1010)))</f>
        <v/>
      </c>
      <c r="D81" s="85" t="str">
        <f aca="false">IF($A81="","",IF($G81="تحليلي",SUMIFS('قيود اليومية'!$H$11:$H$1010,'قيود اليومية'!$C$11:$C$1010,$A81,'قيود اليومية'!$I$11:$I$1010,"مرحل ✔"),SUMPRODUCT((LEFT('قيود اليومية'!$C$11:$C$1010&amp;"",LEN($A81&amp;""))=$A81&amp;"")*('قيود اليومية'!$I$11:$I$1010="مرحل ✔")*'قيود اليومية'!$H$11:$H$1010)))</f>
        <v/>
      </c>
      <c r="E81" s="91" t="str">
        <f aca="false">IF($A81="","",MAX(C81-D81,0))</f>
        <v/>
      </c>
      <c r="F81" s="91" t="str">
        <f aca="false">IF($A81="","",MAX(D81-C81,0))</f>
        <v/>
      </c>
      <c r="G81" s="55" t="str">
        <f aca="false">IF($A81="","",'شجرة الحسابات'!C81&amp;"")</f>
        <v/>
      </c>
      <c r="H81" s="55" t="str">
        <f aca="false">IF($A81="","",'شجرة الحسابات'!E81&amp;"")</f>
        <v/>
      </c>
      <c r="I81" s="55" t="str">
        <f aca="false">IF($A81="","",'شجرة الحسابات'!H81&amp;"")</f>
        <v/>
      </c>
      <c r="J81" s="55" t="str">
        <f aca="false">IF($A81="","",'شجرة الحسابات'!I81&amp;"")</f>
        <v/>
      </c>
      <c r="K81" s="92" t="str">
        <f aca="false">IF(OR($A81="",$G81&lt;&gt;"تحليلي"),"",E81-F81)</f>
        <v/>
      </c>
    </row>
    <row r="82" customFormat="false" ht="15" hidden="false" customHeight="false" outlineLevel="0" collapsed="false">
      <c r="A82" s="90" t="str">
        <f aca="false">IF('شجرة الحسابات'!A82="","",'شجرة الحسابات'!A82)</f>
        <v/>
      </c>
      <c r="B82" s="51" t="str">
        <f aca="false">IF($A82="","",'شجرة الحسابات'!B82)</f>
        <v/>
      </c>
      <c r="C82" s="85" t="str">
        <f aca="false">IF($A82="","",IF($G82="تحليلي",SUMIFS('قيود اليومية'!$G$11:$G$1010,'قيود اليومية'!$C$11:$C$1010,$A82,'قيود اليومية'!$I$11:$I$1010,"مرحل ✔"),SUMPRODUCT((LEFT('قيود اليومية'!$C$11:$C$1010&amp;"",LEN($A82&amp;""))=$A82&amp;"")*('قيود اليومية'!$I$11:$I$1010="مرحل ✔")*'قيود اليومية'!$G$11:$G$1010)))</f>
        <v/>
      </c>
      <c r="D82" s="85" t="str">
        <f aca="false">IF($A82="","",IF($G82="تحليلي",SUMIFS('قيود اليومية'!$H$11:$H$1010,'قيود اليومية'!$C$11:$C$1010,$A82,'قيود اليومية'!$I$11:$I$1010,"مرحل ✔"),SUMPRODUCT((LEFT('قيود اليومية'!$C$11:$C$1010&amp;"",LEN($A82&amp;""))=$A82&amp;"")*('قيود اليومية'!$I$11:$I$1010="مرحل ✔")*'قيود اليومية'!$H$11:$H$1010)))</f>
        <v/>
      </c>
      <c r="E82" s="91" t="str">
        <f aca="false">IF($A82="","",MAX(C82-D82,0))</f>
        <v/>
      </c>
      <c r="F82" s="91" t="str">
        <f aca="false">IF($A82="","",MAX(D82-C82,0))</f>
        <v/>
      </c>
      <c r="G82" s="55" t="str">
        <f aca="false">IF($A82="","",'شجرة الحسابات'!C82&amp;"")</f>
        <v/>
      </c>
      <c r="H82" s="55" t="str">
        <f aca="false">IF($A82="","",'شجرة الحسابات'!E82&amp;"")</f>
        <v/>
      </c>
      <c r="I82" s="55" t="str">
        <f aca="false">IF($A82="","",'شجرة الحسابات'!H82&amp;"")</f>
        <v/>
      </c>
      <c r="J82" s="55" t="str">
        <f aca="false">IF($A82="","",'شجرة الحسابات'!I82&amp;"")</f>
        <v/>
      </c>
      <c r="K82" s="92" t="str">
        <f aca="false">IF(OR($A82="",$G82&lt;&gt;"تحليلي"),"",E82-F82)</f>
        <v/>
      </c>
    </row>
    <row r="83" customFormat="false" ht="15" hidden="false" customHeight="false" outlineLevel="0" collapsed="false">
      <c r="A83" s="90" t="str">
        <f aca="false">IF('شجرة الحسابات'!A83="","",'شجرة الحسابات'!A83)</f>
        <v/>
      </c>
      <c r="B83" s="51" t="str">
        <f aca="false">IF($A83="","",'شجرة الحسابات'!B83)</f>
        <v/>
      </c>
      <c r="C83" s="85" t="str">
        <f aca="false">IF($A83="","",IF($G83="تحليلي",SUMIFS('قيود اليومية'!$G$11:$G$1010,'قيود اليومية'!$C$11:$C$1010,$A83,'قيود اليومية'!$I$11:$I$1010,"مرحل ✔"),SUMPRODUCT((LEFT('قيود اليومية'!$C$11:$C$1010&amp;"",LEN($A83&amp;""))=$A83&amp;"")*('قيود اليومية'!$I$11:$I$1010="مرحل ✔")*'قيود اليومية'!$G$11:$G$1010)))</f>
        <v/>
      </c>
      <c r="D83" s="85" t="str">
        <f aca="false">IF($A83="","",IF($G83="تحليلي",SUMIFS('قيود اليومية'!$H$11:$H$1010,'قيود اليومية'!$C$11:$C$1010,$A83,'قيود اليومية'!$I$11:$I$1010,"مرحل ✔"),SUMPRODUCT((LEFT('قيود اليومية'!$C$11:$C$1010&amp;"",LEN($A83&amp;""))=$A83&amp;"")*('قيود اليومية'!$I$11:$I$1010="مرحل ✔")*'قيود اليومية'!$H$11:$H$1010)))</f>
        <v/>
      </c>
      <c r="E83" s="91" t="str">
        <f aca="false">IF($A83="","",MAX(C83-D83,0))</f>
        <v/>
      </c>
      <c r="F83" s="91" t="str">
        <f aca="false">IF($A83="","",MAX(D83-C83,0))</f>
        <v/>
      </c>
      <c r="G83" s="55" t="str">
        <f aca="false">IF($A83="","",'شجرة الحسابات'!C83&amp;"")</f>
        <v/>
      </c>
      <c r="H83" s="55" t="str">
        <f aca="false">IF($A83="","",'شجرة الحسابات'!E83&amp;"")</f>
        <v/>
      </c>
      <c r="I83" s="55" t="str">
        <f aca="false">IF($A83="","",'شجرة الحسابات'!H83&amp;"")</f>
        <v/>
      </c>
      <c r="J83" s="55" t="str">
        <f aca="false">IF($A83="","",'شجرة الحسابات'!I83&amp;"")</f>
        <v/>
      </c>
      <c r="K83" s="92" t="str">
        <f aca="false">IF(OR($A83="",$G83&lt;&gt;"تحليلي"),"",E83-F83)</f>
        <v/>
      </c>
    </row>
    <row r="84" customFormat="false" ht="15" hidden="false" customHeight="false" outlineLevel="0" collapsed="false">
      <c r="A84" s="90" t="str">
        <f aca="false">IF('شجرة الحسابات'!A84="","",'شجرة الحسابات'!A84)</f>
        <v/>
      </c>
      <c r="B84" s="51" t="str">
        <f aca="false">IF($A84="","",'شجرة الحسابات'!B84)</f>
        <v/>
      </c>
      <c r="C84" s="85" t="str">
        <f aca="false">IF($A84="","",IF($G84="تحليلي",SUMIFS('قيود اليومية'!$G$11:$G$1010,'قيود اليومية'!$C$11:$C$1010,$A84,'قيود اليومية'!$I$11:$I$1010,"مرحل ✔"),SUMPRODUCT((LEFT('قيود اليومية'!$C$11:$C$1010&amp;"",LEN($A84&amp;""))=$A84&amp;"")*('قيود اليومية'!$I$11:$I$1010="مرحل ✔")*'قيود اليومية'!$G$11:$G$1010)))</f>
        <v/>
      </c>
      <c r="D84" s="85" t="str">
        <f aca="false">IF($A84="","",IF($G84="تحليلي",SUMIFS('قيود اليومية'!$H$11:$H$1010,'قيود اليومية'!$C$11:$C$1010,$A84,'قيود اليومية'!$I$11:$I$1010,"مرحل ✔"),SUMPRODUCT((LEFT('قيود اليومية'!$C$11:$C$1010&amp;"",LEN($A84&amp;""))=$A84&amp;"")*('قيود اليومية'!$I$11:$I$1010="مرحل ✔")*'قيود اليومية'!$H$11:$H$1010)))</f>
        <v/>
      </c>
      <c r="E84" s="91" t="str">
        <f aca="false">IF($A84="","",MAX(C84-D84,0))</f>
        <v/>
      </c>
      <c r="F84" s="91" t="str">
        <f aca="false">IF($A84="","",MAX(D84-C84,0))</f>
        <v/>
      </c>
      <c r="G84" s="55" t="str">
        <f aca="false">IF($A84="","",'شجرة الحسابات'!C84&amp;"")</f>
        <v/>
      </c>
      <c r="H84" s="55" t="str">
        <f aca="false">IF($A84="","",'شجرة الحسابات'!E84&amp;"")</f>
        <v/>
      </c>
      <c r="I84" s="55" t="str">
        <f aca="false">IF($A84="","",'شجرة الحسابات'!H84&amp;"")</f>
        <v/>
      </c>
      <c r="J84" s="55" t="str">
        <f aca="false">IF($A84="","",'شجرة الحسابات'!I84&amp;"")</f>
        <v/>
      </c>
      <c r="K84" s="92" t="str">
        <f aca="false">IF(OR($A84="",$G84&lt;&gt;"تحليلي"),"",E84-F84)</f>
        <v/>
      </c>
    </row>
    <row r="85" customFormat="false" ht="15" hidden="false" customHeight="false" outlineLevel="0" collapsed="false">
      <c r="A85" s="90" t="str">
        <f aca="false">IF('شجرة الحسابات'!A85="","",'شجرة الحسابات'!A85)</f>
        <v/>
      </c>
      <c r="B85" s="51" t="str">
        <f aca="false">IF($A85="","",'شجرة الحسابات'!B85)</f>
        <v/>
      </c>
      <c r="C85" s="85" t="str">
        <f aca="false">IF($A85="","",IF($G85="تحليلي",SUMIFS('قيود اليومية'!$G$11:$G$1010,'قيود اليومية'!$C$11:$C$1010,$A85,'قيود اليومية'!$I$11:$I$1010,"مرحل ✔"),SUMPRODUCT((LEFT('قيود اليومية'!$C$11:$C$1010&amp;"",LEN($A85&amp;""))=$A85&amp;"")*('قيود اليومية'!$I$11:$I$1010="مرحل ✔")*'قيود اليومية'!$G$11:$G$1010)))</f>
        <v/>
      </c>
      <c r="D85" s="85" t="str">
        <f aca="false">IF($A85="","",IF($G85="تحليلي",SUMIFS('قيود اليومية'!$H$11:$H$1010,'قيود اليومية'!$C$11:$C$1010,$A85,'قيود اليومية'!$I$11:$I$1010,"مرحل ✔"),SUMPRODUCT((LEFT('قيود اليومية'!$C$11:$C$1010&amp;"",LEN($A85&amp;""))=$A85&amp;"")*('قيود اليومية'!$I$11:$I$1010="مرحل ✔")*'قيود اليومية'!$H$11:$H$1010)))</f>
        <v/>
      </c>
      <c r="E85" s="91" t="str">
        <f aca="false">IF($A85="","",MAX(C85-D85,0))</f>
        <v/>
      </c>
      <c r="F85" s="91" t="str">
        <f aca="false">IF($A85="","",MAX(D85-C85,0))</f>
        <v/>
      </c>
      <c r="G85" s="55" t="str">
        <f aca="false">IF($A85="","",'شجرة الحسابات'!C85&amp;"")</f>
        <v/>
      </c>
      <c r="H85" s="55" t="str">
        <f aca="false">IF($A85="","",'شجرة الحسابات'!E85&amp;"")</f>
        <v/>
      </c>
      <c r="I85" s="55" t="str">
        <f aca="false">IF($A85="","",'شجرة الحسابات'!H85&amp;"")</f>
        <v/>
      </c>
      <c r="J85" s="55" t="str">
        <f aca="false">IF($A85="","",'شجرة الحسابات'!I85&amp;"")</f>
        <v/>
      </c>
      <c r="K85" s="92" t="str">
        <f aca="false">IF(OR($A85="",$G85&lt;&gt;"تحليلي"),"",E85-F85)</f>
        <v/>
      </c>
    </row>
    <row r="86" customFormat="false" ht="15" hidden="false" customHeight="false" outlineLevel="0" collapsed="false">
      <c r="A86" s="90" t="str">
        <f aca="false">IF('شجرة الحسابات'!A86="","",'شجرة الحسابات'!A86)</f>
        <v/>
      </c>
      <c r="B86" s="51" t="str">
        <f aca="false">IF($A86="","",'شجرة الحسابات'!B86)</f>
        <v/>
      </c>
      <c r="C86" s="85" t="str">
        <f aca="false">IF($A86="","",IF($G86="تحليلي",SUMIFS('قيود اليومية'!$G$11:$G$1010,'قيود اليومية'!$C$11:$C$1010,$A86,'قيود اليومية'!$I$11:$I$1010,"مرحل ✔"),SUMPRODUCT((LEFT('قيود اليومية'!$C$11:$C$1010&amp;"",LEN($A86&amp;""))=$A86&amp;"")*('قيود اليومية'!$I$11:$I$1010="مرحل ✔")*'قيود اليومية'!$G$11:$G$1010)))</f>
        <v/>
      </c>
      <c r="D86" s="85" t="str">
        <f aca="false">IF($A86="","",IF($G86="تحليلي",SUMIFS('قيود اليومية'!$H$11:$H$1010,'قيود اليومية'!$C$11:$C$1010,$A86,'قيود اليومية'!$I$11:$I$1010,"مرحل ✔"),SUMPRODUCT((LEFT('قيود اليومية'!$C$11:$C$1010&amp;"",LEN($A86&amp;""))=$A86&amp;"")*('قيود اليومية'!$I$11:$I$1010="مرحل ✔")*'قيود اليومية'!$H$11:$H$1010)))</f>
        <v/>
      </c>
      <c r="E86" s="91" t="str">
        <f aca="false">IF($A86="","",MAX(C86-D86,0))</f>
        <v/>
      </c>
      <c r="F86" s="91" t="str">
        <f aca="false">IF($A86="","",MAX(D86-C86,0))</f>
        <v/>
      </c>
      <c r="G86" s="55" t="str">
        <f aca="false">IF($A86="","",'شجرة الحسابات'!C86&amp;"")</f>
        <v/>
      </c>
      <c r="H86" s="55" t="str">
        <f aca="false">IF($A86="","",'شجرة الحسابات'!E86&amp;"")</f>
        <v/>
      </c>
      <c r="I86" s="55" t="str">
        <f aca="false">IF($A86="","",'شجرة الحسابات'!H86&amp;"")</f>
        <v/>
      </c>
      <c r="J86" s="55" t="str">
        <f aca="false">IF($A86="","",'شجرة الحسابات'!I86&amp;"")</f>
        <v/>
      </c>
      <c r="K86" s="92" t="str">
        <f aca="false">IF(OR($A86="",$G86&lt;&gt;"تحليلي"),"",E86-F86)</f>
        <v/>
      </c>
    </row>
    <row r="87" customFormat="false" ht="15" hidden="false" customHeight="false" outlineLevel="0" collapsed="false">
      <c r="A87" s="90" t="str">
        <f aca="false">IF('شجرة الحسابات'!A87="","",'شجرة الحسابات'!A87)</f>
        <v/>
      </c>
      <c r="B87" s="51" t="str">
        <f aca="false">IF($A87="","",'شجرة الحسابات'!B87)</f>
        <v/>
      </c>
      <c r="C87" s="85" t="str">
        <f aca="false">IF($A87="","",IF($G87="تحليلي",SUMIFS('قيود اليومية'!$G$11:$G$1010,'قيود اليومية'!$C$11:$C$1010,$A87,'قيود اليومية'!$I$11:$I$1010,"مرحل ✔"),SUMPRODUCT((LEFT('قيود اليومية'!$C$11:$C$1010&amp;"",LEN($A87&amp;""))=$A87&amp;"")*('قيود اليومية'!$I$11:$I$1010="مرحل ✔")*'قيود اليومية'!$G$11:$G$1010)))</f>
        <v/>
      </c>
      <c r="D87" s="85" t="str">
        <f aca="false">IF($A87="","",IF($G87="تحليلي",SUMIFS('قيود اليومية'!$H$11:$H$1010,'قيود اليومية'!$C$11:$C$1010,$A87,'قيود اليومية'!$I$11:$I$1010,"مرحل ✔"),SUMPRODUCT((LEFT('قيود اليومية'!$C$11:$C$1010&amp;"",LEN($A87&amp;""))=$A87&amp;"")*('قيود اليومية'!$I$11:$I$1010="مرحل ✔")*'قيود اليومية'!$H$11:$H$1010)))</f>
        <v/>
      </c>
      <c r="E87" s="91" t="str">
        <f aca="false">IF($A87="","",MAX(C87-D87,0))</f>
        <v/>
      </c>
      <c r="F87" s="91" t="str">
        <f aca="false">IF($A87="","",MAX(D87-C87,0))</f>
        <v/>
      </c>
      <c r="G87" s="55" t="str">
        <f aca="false">IF($A87="","",'شجرة الحسابات'!C87&amp;"")</f>
        <v/>
      </c>
      <c r="H87" s="55" t="str">
        <f aca="false">IF($A87="","",'شجرة الحسابات'!E87&amp;"")</f>
        <v/>
      </c>
      <c r="I87" s="55" t="str">
        <f aca="false">IF($A87="","",'شجرة الحسابات'!H87&amp;"")</f>
        <v/>
      </c>
      <c r="J87" s="55" t="str">
        <f aca="false">IF($A87="","",'شجرة الحسابات'!I87&amp;"")</f>
        <v/>
      </c>
      <c r="K87" s="92" t="str">
        <f aca="false">IF(OR($A87="",$G87&lt;&gt;"تحليلي"),"",E87-F87)</f>
        <v/>
      </c>
    </row>
    <row r="88" customFormat="false" ht="15" hidden="false" customHeight="false" outlineLevel="0" collapsed="false">
      <c r="A88" s="90" t="str">
        <f aca="false">IF('شجرة الحسابات'!A88="","",'شجرة الحسابات'!A88)</f>
        <v/>
      </c>
      <c r="B88" s="51" t="str">
        <f aca="false">IF($A88="","",'شجرة الحسابات'!B88)</f>
        <v/>
      </c>
      <c r="C88" s="85" t="str">
        <f aca="false">IF($A88="","",IF($G88="تحليلي",SUMIFS('قيود اليومية'!$G$11:$G$1010,'قيود اليومية'!$C$11:$C$1010,$A88,'قيود اليومية'!$I$11:$I$1010,"مرحل ✔"),SUMPRODUCT((LEFT('قيود اليومية'!$C$11:$C$1010&amp;"",LEN($A88&amp;""))=$A88&amp;"")*('قيود اليومية'!$I$11:$I$1010="مرحل ✔")*'قيود اليومية'!$G$11:$G$1010)))</f>
        <v/>
      </c>
      <c r="D88" s="85" t="str">
        <f aca="false">IF($A88="","",IF($G88="تحليلي",SUMIFS('قيود اليومية'!$H$11:$H$1010,'قيود اليومية'!$C$11:$C$1010,$A88,'قيود اليومية'!$I$11:$I$1010,"مرحل ✔"),SUMPRODUCT((LEFT('قيود اليومية'!$C$11:$C$1010&amp;"",LEN($A88&amp;""))=$A88&amp;"")*('قيود اليومية'!$I$11:$I$1010="مرحل ✔")*'قيود اليومية'!$H$11:$H$1010)))</f>
        <v/>
      </c>
      <c r="E88" s="91" t="str">
        <f aca="false">IF($A88="","",MAX(C88-D88,0))</f>
        <v/>
      </c>
      <c r="F88" s="91" t="str">
        <f aca="false">IF($A88="","",MAX(D88-C88,0))</f>
        <v/>
      </c>
      <c r="G88" s="55" t="str">
        <f aca="false">IF($A88="","",'شجرة الحسابات'!C88&amp;"")</f>
        <v/>
      </c>
      <c r="H88" s="55" t="str">
        <f aca="false">IF($A88="","",'شجرة الحسابات'!E88&amp;"")</f>
        <v/>
      </c>
      <c r="I88" s="55" t="str">
        <f aca="false">IF($A88="","",'شجرة الحسابات'!H88&amp;"")</f>
        <v/>
      </c>
      <c r="J88" s="55" t="str">
        <f aca="false">IF($A88="","",'شجرة الحسابات'!I88&amp;"")</f>
        <v/>
      </c>
      <c r="K88" s="92" t="str">
        <f aca="false">IF(OR($A88="",$G88&lt;&gt;"تحليلي"),"",E88-F88)</f>
        <v/>
      </c>
    </row>
    <row r="89" customFormat="false" ht="15" hidden="false" customHeight="false" outlineLevel="0" collapsed="false">
      <c r="A89" s="90" t="str">
        <f aca="false">IF('شجرة الحسابات'!A89="","",'شجرة الحسابات'!A89)</f>
        <v/>
      </c>
      <c r="B89" s="51" t="str">
        <f aca="false">IF($A89="","",'شجرة الحسابات'!B89)</f>
        <v/>
      </c>
      <c r="C89" s="85" t="str">
        <f aca="false">IF($A89="","",IF($G89="تحليلي",SUMIFS('قيود اليومية'!$G$11:$G$1010,'قيود اليومية'!$C$11:$C$1010,$A89,'قيود اليومية'!$I$11:$I$1010,"مرحل ✔"),SUMPRODUCT((LEFT('قيود اليومية'!$C$11:$C$1010&amp;"",LEN($A89&amp;""))=$A89&amp;"")*('قيود اليومية'!$I$11:$I$1010="مرحل ✔")*'قيود اليومية'!$G$11:$G$1010)))</f>
        <v/>
      </c>
      <c r="D89" s="85" t="str">
        <f aca="false">IF($A89="","",IF($G89="تحليلي",SUMIFS('قيود اليومية'!$H$11:$H$1010,'قيود اليومية'!$C$11:$C$1010,$A89,'قيود اليومية'!$I$11:$I$1010,"مرحل ✔"),SUMPRODUCT((LEFT('قيود اليومية'!$C$11:$C$1010&amp;"",LEN($A89&amp;""))=$A89&amp;"")*('قيود اليومية'!$I$11:$I$1010="مرحل ✔")*'قيود اليومية'!$H$11:$H$1010)))</f>
        <v/>
      </c>
      <c r="E89" s="91" t="str">
        <f aca="false">IF($A89="","",MAX(C89-D89,0))</f>
        <v/>
      </c>
      <c r="F89" s="91" t="str">
        <f aca="false">IF($A89="","",MAX(D89-C89,0))</f>
        <v/>
      </c>
      <c r="G89" s="55" t="str">
        <f aca="false">IF($A89="","",'شجرة الحسابات'!C89&amp;"")</f>
        <v/>
      </c>
      <c r="H89" s="55" t="str">
        <f aca="false">IF($A89="","",'شجرة الحسابات'!E89&amp;"")</f>
        <v/>
      </c>
      <c r="I89" s="55" t="str">
        <f aca="false">IF($A89="","",'شجرة الحسابات'!H89&amp;"")</f>
        <v/>
      </c>
      <c r="J89" s="55" t="str">
        <f aca="false">IF($A89="","",'شجرة الحسابات'!I89&amp;"")</f>
        <v/>
      </c>
      <c r="K89" s="92" t="str">
        <f aca="false">IF(OR($A89="",$G89&lt;&gt;"تحليلي"),"",E89-F89)</f>
        <v/>
      </c>
    </row>
    <row r="90" customFormat="false" ht="15" hidden="false" customHeight="false" outlineLevel="0" collapsed="false">
      <c r="A90" s="90" t="str">
        <f aca="false">IF('شجرة الحسابات'!A90="","",'شجرة الحسابات'!A90)</f>
        <v/>
      </c>
      <c r="B90" s="51" t="str">
        <f aca="false">IF($A90="","",'شجرة الحسابات'!B90)</f>
        <v/>
      </c>
      <c r="C90" s="85" t="str">
        <f aca="false">IF($A90="","",IF($G90="تحليلي",SUMIFS('قيود اليومية'!$G$11:$G$1010,'قيود اليومية'!$C$11:$C$1010,$A90,'قيود اليومية'!$I$11:$I$1010,"مرحل ✔"),SUMPRODUCT((LEFT('قيود اليومية'!$C$11:$C$1010&amp;"",LEN($A90&amp;""))=$A90&amp;"")*('قيود اليومية'!$I$11:$I$1010="مرحل ✔")*'قيود اليومية'!$G$11:$G$1010)))</f>
        <v/>
      </c>
      <c r="D90" s="85" t="str">
        <f aca="false">IF($A90="","",IF($G90="تحليلي",SUMIFS('قيود اليومية'!$H$11:$H$1010,'قيود اليومية'!$C$11:$C$1010,$A90,'قيود اليومية'!$I$11:$I$1010,"مرحل ✔"),SUMPRODUCT((LEFT('قيود اليومية'!$C$11:$C$1010&amp;"",LEN($A90&amp;""))=$A90&amp;"")*('قيود اليومية'!$I$11:$I$1010="مرحل ✔")*'قيود اليومية'!$H$11:$H$1010)))</f>
        <v/>
      </c>
      <c r="E90" s="91" t="str">
        <f aca="false">IF($A90="","",MAX(C90-D90,0))</f>
        <v/>
      </c>
      <c r="F90" s="91" t="str">
        <f aca="false">IF($A90="","",MAX(D90-C90,0))</f>
        <v/>
      </c>
      <c r="G90" s="55" t="str">
        <f aca="false">IF($A90="","",'شجرة الحسابات'!C90&amp;"")</f>
        <v/>
      </c>
      <c r="H90" s="55" t="str">
        <f aca="false">IF($A90="","",'شجرة الحسابات'!E90&amp;"")</f>
        <v/>
      </c>
      <c r="I90" s="55" t="str">
        <f aca="false">IF($A90="","",'شجرة الحسابات'!H90&amp;"")</f>
        <v/>
      </c>
      <c r="J90" s="55" t="str">
        <f aca="false">IF($A90="","",'شجرة الحسابات'!I90&amp;"")</f>
        <v/>
      </c>
      <c r="K90" s="92" t="str">
        <f aca="false">IF(OR($A90="",$G90&lt;&gt;"تحليلي"),"",E90-F90)</f>
        <v/>
      </c>
    </row>
    <row r="91" customFormat="false" ht="15" hidden="false" customHeight="false" outlineLevel="0" collapsed="false">
      <c r="A91" s="90" t="str">
        <f aca="false">IF('شجرة الحسابات'!A91="","",'شجرة الحسابات'!A91)</f>
        <v/>
      </c>
      <c r="B91" s="51" t="str">
        <f aca="false">IF($A91="","",'شجرة الحسابات'!B91)</f>
        <v/>
      </c>
      <c r="C91" s="85" t="str">
        <f aca="false">IF($A91="","",IF($G91="تحليلي",SUMIFS('قيود اليومية'!$G$11:$G$1010,'قيود اليومية'!$C$11:$C$1010,$A91,'قيود اليومية'!$I$11:$I$1010,"مرحل ✔"),SUMPRODUCT((LEFT('قيود اليومية'!$C$11:$C$1010&amp;"",LEN($A91&amp;""))=$A91&amp;"")*('قيود اليومية'!$I$11:$I$1010="مرحل ✔")*'قيود اليومية'!$G$11:$G$1010)))</f>
        <v/>
      </c>
      <c r="D91" s="85" t="str">
        <f aca="false">IF($A91="","",IF($G91="تحليلي",SUMIFS('قيود اليومية'!$H$11:$H$1010,'قيود اليومية'!$C$11:$C$1010,$A91,'قيود اليومية'!$I$11:$I$1010,"مرحل ✔"),SUMPRODUCT((LEFT('قيود اليومية'!$C$11:$C$1010&amp;"",LEN($A91&amp;""))=$A91&amp;"")*('قيود اليومية'!$I$11:$I$1010="مرحل ✔")*'قيود اليومية'!$H$11:$H$1010)))</f>
        <v/>
      </c>
      <c r="E91" s="91" t="str">
        <f aca="false">IF($A91="","",MAX(C91-D91,0))</f>
        <v/>
      </c>
      <c r="F91" s="91" t="str">
        <f aca="false">IF($A91="","",MAX(D91-C91,0))</f>
        <v/>
      </c>
      <c r="G91" s="55" t="str">
        <f aca="false">IF($A91="","",'شجرة الحسابات'!C91&amp;"")</f>
        <v/>
      </c>
      <c r="H91" s="55" t="str">
        <f aca="false">IF($A91="","",'شجرة الحسابات'!E91&amp;"")</f>
        <v/>
      </c>
      <c r="I91" s="55" t="str">
        <f aca="false">IF($A91="","",'شجرة الحسابات'!H91&amp;"")</f>
        <v/>
      </c>
      <c r="J91" s="55" t="str">
        <f aca="false">IF($A91="","",'شجرة الحسابات'!I91&amp;"")</f>
        <v/>
      </c>
      <c r="K91" s="92" t="str">
        <f aca="false">IF(OR($A91="",$G91&lt;&gt;"تحليلي"),"",E91-F91)</f>
        <v/>
      </c>
    </row>
    <row r="92" customFormat="false" ht="15" hidden="false" customHeight="false" outlineLevel="0" collapsed="false">
      <c r="A92" s="90" t="str">
        <f aca="false">IF('شجرة الحسابات'!A92="","",'شجرة الحسابات'!A92)</f>
        <v/>
      </c>
      <c r="B92" s="51" t="str">
        <f aca="false">IF($A92="","",'شجرة الحسابات'!B92)</f>
        <v/>
      </c>
      <c r="C92" s="85" t="str">
        <f aca="false">IF($A92="","",IF($G92="تحليلي",SUMIFS('قيود اليومية'!$G$11:$G$1010,'قيود اليومية'!$C$11:$C$1010,$A92,'قيود اليومية'!$I$11:$I$1010,"مرحل ✔"),SUMPRODUCT((LEFT('قيود اليومية'!$C$11:$C$1010&amp;"",LEN($A92&amp;""))=$A92&amp;"")*('قيود اليومية'!$I$11:$I$1010="مرحل ✔")*'قيود اليومية'!$G$11:$G$1010)))</f>
        <v/>
      </c>
      <c r="D92" s="85" t="str">
        <f aca="false">IF($A92="","",IF($G92="تحليلي",SUMIFS('قيود اليومية'!$H$11:$H$1010,'قيود اليومية'!$C$11:$C$1010,$A92,'قيود اليومية'!$I$11:$I$1010,"مرحل ✔"),SUMPRODUCT((LEFT('قيود اليومية'!$C$11:$C$1010&amp;"",LEN($A92&amp;""))=$A92&amp;"")*('قيود اليومية'!$I$11:$I$1010="مرحل ✔")*'قيود اليومية'!$H$11:$H$1010)))</f>
        <v/>
      </c>
      <c r="E92" s="91" t="str">
        <f aca="false">IF($A92="","",MAX(C92-D92,0))</f>
        <v/>
      </c>
      <c r="F92" s="91" t="str">
        <f aca="false">IF($A92="","",MAX(D92-C92,0))</f>
        <v/>
      </c>
      <c r="G92" s="55" t="str">
        <f aca="false">IF($A92="","",'شجرة الحسابات'!C92&amp;"")</f>
        <v/>
      </c>
      <c r="H92" s="55" t="str">
        <f aca="false">IF($A92="","",'شجرة الحسابات'!E92&amp;"")</f>
        <v/>
      </c>
      <c r="I92" s="55" t="str">
        <f aca="false">IF($A92="","",'شجرة الحسابات'!H92&amp;"")</f>
        <v/>
      </c>
      <c r="J92" s="55" t="str">
        <f aca="false">IF($A92="","",'شجرة الحسابات'!I92&amp;"")</f>
        <v/>
      </c>
      <c r="K92" s="92" t="str">
        <f aca="false">IF(OR($A92="",$G92&lt;&gt;"تحليلي"),"",E92-F92)</f>
        <v/>
      </c>
    </row>
    <row r="93" customFormat="false" ht="15" hidden="false" customHeight="false" outlineLevel="0" collapsed="false">
      <c r="A93" s="90" t="str">
        <f aca="false">IF('شجرة الحسابات'!A93="","",'شجرة الحسابات'!A93)</f>
        <v/>
      </c>
      <c r="B93" s="51" t="str">
        <f aca="false">IF($A93="","",'شجرة الحسابات'!B93)</f>
        <v/>
      </c>
      <c r="C93" s="85" t="str">
        <f aca="false">IF($A93="","",IF($G93="تحليلي",SUMIFS('قيود اليومية'!$G$11:$G$1010,'قيود اليومية'!$C$11:$C$1010,$A93,'قيود اليومية'!$I$11:$I$1010,"مرحل ✔"),SUMPRODUCT((LEFT('قيود اليومية'!$C$11:$C$1010&amp;"",LEN($A93&amp;""))=$A93&amp;"")*('قيود اليومية'!$I$11:$I$1010="مرحل ✔")*'قيود اليومية'!$G$11:$G$1010)))</f>
        <v/>
      </c>
      <c r="D93" s="85" t="str">
        <f aca="false">IF($A93="","",IF($G93="تحليلي",SUMIFS('قيود اليومية'!$H$11:$H$1010,'قيود اليومية'!$C$11:$C$1010,$A93,'قيود اليومية'!$I$11:$I$1010,"مرحل ✔"),SUMPRODUCT((LEFT('قيود اليومية'!$C$11:$C$1010&amp;"",LEN($A93&amp;""))=$A93&amp;"")*('قيود اليومية'!$I$11:$I$1010="مرحل ✔")*'قيود اليومية'!$H$11:$H$1010)))</f>
        <v/>
      </c>
      <c r="E93" s="91" t="str">
        <f aca="false">IF($A93="","",MAX(C93-D93,0))</f>
        <v/>
      </c>
      <c r="F93" s="91" t="str">
        <f aca="false">IF($A93="","",MAX(D93-C93,0))</f>
        <v/>
      </c>
      <c r="G93" s="55" t="str">
        <f aca="false">IF($A93="","",'شجرة الحسابات'!C93&amp;"")</f>
        <v/>
      </c>
      <c r="H93" s="55" t="str">
        <f aca="false">IF($A93="","",'شجرة الحسابات'!E93&amp;"")</f>
        <v/>
      </c>
      <c r="I93" s="55" t="str">
        <f aca="false">IF($A93="","",'شجرة الحسابات'!H93&amp;"")</f>
        <v/>
      </c>
      <c r="J93" s="55" t="str">
        <f aca="false">IF($A93="","",'شجرة الحسابات'!I93&amp;"")</f>
        <v/>
      </c>
      <c r="K93" s="92" t="str">
        <f aca="false">IF(OR($A93="",$G93&lt;&gt;"تحليلي"),"",E93-F93)</f>
        <v/>
      </c>
    </row>
    <row r="94" customFormat="false" ht="15" hidden="false" customHeight="false" outlineLevel="0" collapsed="false">
      <c r="A94" s="90" t="str">
        <f aca="false">IF('شجرة الحسابات'!A94="","",'شجرة الحسابات'!A94)</f>
        <v/>
      </c>
      <c r="B94" s="51" t="str">
        <f aca="false">IF($A94="","",'شجرة الحسابات'!B94)</f>
        <v/>
      </c>
      <c r="C94" s="85" t="str">
        <f aca="false">IF($A94="","",IF($G94="تحليلي",SUMIFS('قيود اليومية'!$G$11:$G$1010,'قيود اليومية'!$C$11:$C$1010,$A94,'قيود اليومية'!$I$11:$I$1010,"مرحل ✔"),SUMPRODUCT((LEFT('قيود اليومية'!$C$11:$C$1010&amp;"",LEN($A94&amp;""))=$A94&amp;"")*('قيود اليومية'!$I$11:$I$1010="مرحل ✔")*'قيود اليومية'!$G$11:$G$1010)))</f>
        <v/>
      </c>
      <c r="D94" s="85" t="str">
        <f aca="false">IF($A94="","",IF($G94="تحليلي",SUMIFS('قيود اليومية'!$H$11:$H$1010,'قيود اليومية'!$C$11:$C$1010,$A94,'قيود اليومية'!$I$11:$I$1010,"مرحل ✔"),SUMPRODUCT((LEFT('قيود اليومية'!$C$11:$C$1010&amp;"",LEN($A94&amp;""))=$A94&amp;"")*('قيود اليومية'!$I$11:$I$1010="مرحل ✔")*'قيود اليومية'!$H$11:$H$1010)))</f>
        <v/>
      </c>
      <c r="E94" s="91" t="str">
        <f aca="false">IF($A94="","",MAX(C94-D94,0))</f>
        <v/>
      </c>
      <c r="F94" s="91" t="str">
        <f aca="false">IF($A94="","",MAX(D94-C94,0))</f>
        <v/>
      </c>
      <c r="G94" s="55" t="str">
        <f aca="false">IF($A94="","",'شجرة الحسابات'!C94&amp;"")</f>
        <v/>
      </c>
      <c r="H94" s="55" t="str">
        <f aca="false">IF($A94="","",'شجرة الحسابات'!E94&amp;"")</f>
        <v/>
      </c>
      <c r="I94" s="55" t="str">
        <f aca="false">IF($A94="","",'شجرة الحسابات'!H94&amp;"")</f>
        <v/>
      </c>
      <c r="J94" s="55" t="str">
        <f aca="false">IF($A94="","",'شجرة الحسابات'!I94&amp;"")</f>
        <v/>
      </c>
      <c r="K94" s="92" t="str">
        <f aca="false">IF(OR($A94="",$G94&lt;&gt;"تحليلي"),"",E94-F94)</f>
        <v/>
      </c>
    </row>
    <row r="95" customFormat="false" ht="15" hidden="false" customHeight="false" outlineLevel="0" collapsed="false">
      <c r="A95" s="90" t="str">
        <f aca="false">IF('شجرة الحسابات'!A95="","",'شجرة الحسابات'!A95)</f>
        <v/>
      </c>
      <c r="B95" s="51" t="str">
        <f aca="false">IF($A95="","",'شجرة الحسابات'!B95)</f>
        <v/>
      </c>
      <c r="C95" s="85" t="str">
        <f aca="false">IF($A95="","",IF($G95="تحليلي",SUMIFS('قيود اليومية'!$G$11:$G$1010,'قيود اليومية'!$C$11:$C$1010,$A95,'قيود اليومية'!$I$11:$I$1010,"مرحل ✔"),SUMPRODUCT((LEFT('قيود اليومية'!$C$11:$C$1010&amp;"",LEN($A95&amp;""))=$A95&amp;"")*('قيود اليومية'!$I$11:$I$1010="مرحل ✔")*'قيود اليومية'!$G$11:$G$1010)))</f>
        <v/>
      </c>
      <c r="D95" s="85" t="str">
        <f aca="false">IF($A95="","",IF($G95="تحليلي",SUMIFS('قيود اليومية'!$H$11:$H$1010,'قيود اليومية'!$C$11:$C$1010,$A95,'قيود اليومية'!$I$11:$I$1010,"مرحل ✔"),SUMPRODUCT((LEFT('قيود اليومية'!$C$11:$C$1010&amp;"",LEN($A95&amp;""))=$A95&amp;"")*('قيود اليومية'!$I$11:$I$1010="مرحل ✔")*'قيود اليومية'!$H$11:$H$1010)))</f>
        <v/>
      </c>
      <c r="E95" s="91" t="str">
        <f aca="false">IF($A95="","",MAX(C95-D95,0))</f>
        <v/>
      </c>
      <c r="F95" s="91" t="str">
        <f aca="false">IF($A95="","",MAX(D95-C95,0))</f>
        <v/>
      </c>
      <c r="G95" s="55" t="str">
        <f aca="false">IF($A95="","",'شجرة الحسابات'!C95&amp;"")</f>
        <v/>
      </c>
      <c r="H95" s="55" t="str">
        <f aca="false">IF($A95="","",'شجرة الحسابات'!E95&amp;"")</f>
        <v/>
      </c>
      <c r="I95" s="55" t="str">
        <f aca="false">IF($A95="","",'شجرة الحسابات'!H95&amp;"")</f>
        <v/>
      </c>
      <c r="J95" s="55" t="str">
        <f aca="false">IF($A95="","",'شجرة الحسابات'!I95&amp;"")</f>
        <v/>
      </c>
      <c r="K95" s="92" t="str">
        <f aca="false">IF(OR($A95="",$G95&lt;&gt;"تحليلي"),"",E95-F95)</f>
        <v/>
      </c>
    </row>
    <row r="96" customFormat="false" ht="15" hidden="false" customHeight="false" outlineLevel="0" collapsed="false">
      <c r="A96" s="90" t="str">
        <f aca="false">IF('شجرة الحسابات'!A96="","",'شجرة الحسابات'!A96)</f>
        <v/>
      </c>
      <c r="B96" s="51" t="str">
        <f aca="false">IF($A96="","",'شجرة الحسابات'!B96)</f>
        <v/>
      </c>
      <c r="C96" s="85" t="str">
        <f aca="false">IF($A96="","",IF($G96="تحليلي",SUMIFS('قيود اليومية'!$G$11:$G$1010,'قيود اليومية'!$C$11:$C$1010,$A96,'قيود اليومية'!$I$11:$I$1010,"مرحل ✔"),SUMPRODUCT((LEFT('قيود اليومية'!$C$11:$C$1010&amp;"",LEN($A96&amp;""))=$A96&amp;"")*('قيود اليومية'!$I$11:$I$1010="مرحل ✔")*'قيود اليومية'!$G$11:$G$1010)))</f>
        <v/>
      </c>
      <c r="D96" s="85" t="str">
        <f aca="false">IF($A96="","",IF($G96="تحليلي",SUMIFS('قيود اليومية'!$H$11:$H$1010,'قيود اليومية'!$C$11:$C$1010,$A96,'قيود اليومية'!$I$11:$I$1010,"مرحل ✔"),SUMPRODUCT((LEFT('قيود اليومية'!$C$11:$C$1010&amp;"",LEN($A96&amp;""))=$A96&amp;"")*('قيود اليومية'!$I$11:$I$1010="مرحل ✔")*'قيود اليومية'!$H$11:$H$1010)))</f>
        <v/>
      </c>
      <c r="E96" s="91" t="str">
        <f aca="false">IF($A96="","",MAX(C96-D96,0))</f>
        <v/>
      </c>
      <c r="F96" s="91" t="str">
        <f aca="false">IF($A96="","",MAX(D96-C96,0))</f>
        <v/>
      </c>
      <c r="G96" s="55" t="str">
        <f aca="false">IF($A96="","",'شجرة الحسابات'!C96&amp;"")</f>
        <v/>
      </c>
      <c r="H96" s="55" t="str">
        <f aca="false">IF($A96="","",'شجرة الحسابات'!E96&amp;"")</f>
        <v/>
      </c>
      <c r="I96" s="55" t="str">
        <f aca="false">IF($A96="","",'شجرة الحسابات'!H96&amp;"")</f>
        <v/>
      </c>
      <c r="J96" s="55" t="str">
        <f aca="false">IF($A96="","",'شجرة الحسابات'!I96&amp;"")</f>
        <v/>
      </c>
      <c r="K96" s="92" t="str">
        <f aca="false">IF(OR($A96="",$G96&lt;&gt;"تحليلي"),"",E96-F96)</f>
        <v/>
      </c>
    </row>
    <row r="97" customFormat="false" ht="15" hidden="false" customHeight="false" outlineLevel="0" collapsed="false">
      <c r="A97" s="90" t="str">
        <f aca="false">IF('شجرة الحسابات'!A97="","",'شجرة الحسابات'!A97)</f>
        <v/>
      </c>
      <c r="B97" s="51" t="str">
        <f aca="false">IF($A97="","",'شجرة الحسابات'!B97)</f>
        <v/>
      </c>
      <c r="C97" s="85" t="str">
        <f aca="false">IF($A97="","",IF($G97="تحليلي",SUMIFS('قيود اليومية'!$G$11:$G$1010,'قيود اليومية'!$C$11:$C$1010,$A97,'قيود اليومية'!$I$11:$I$1010,"مرحل ✔"),SUMPRODUCT((LEFT('قيود اليومية'!$C$11:$C$1010&amp;"",LEN($A97&amp;""))=$A97&amp;"")*('قيود اليومية'!$I$11:$I$1010="مرحل ✔")*'قيود اليومية'!$G$11:$G$1010)))</f>
        <v/>
      </c>
      <c r="D97" s="85" t="str">
        <f aca="false">IF($A97="","",IF($G97="تحليلي",SUMIFS('قيود اليومية'!$H$11:$H$1010,'قيود اليومية'!$C$11:$C$1010,$A97,'قيود اليومية'!$I$11:$I$1010,"مرحل ✔"),SUMPRODUCT((LEFT('قيود اليومية'!$C$11:$C$1010&amp;"",LEN($A97&amp;""))=$A97&amp;"")*('قيود اليومية'!$I$11:$I$1010="مرحل ✔")*'قيود اليومية'!$H$11:$H$1010)))</f>
        <v/>
      </c>
      <c r="E97" s="91" t="str">
        <f aca="false">IF($A97="","",MAX(C97-D97,0))</f>
        <v/>
      </c>
      <c r="F97" s="91" t="str">
        <f aca="false">IF($A97="","",MAX(D97-C97,0))</f>
        <v/>
      </c>
      <c r="G97" s="55" t="str">
        <f aca="false">IF($A97="","",'شجرة الحسابات'!C97&amp;"")</f>
        <v/>
      </c>
      <c r="H97" s="55" t="str">
        <f aca="false">IF($A97="","",'شجرة الحسابات'!E97&amp;"")</f>
        <v/>
      </c>
      <c r="I97" s="55" t="str">
        <f aca="false">IF($A97="","",'شجرة الحسابات'!H97&amp;"")</f>
        <v/>
      </c>
      <c r="J97" s="55" t="str">
        <f aca="false">IF($A97="","",'شجرة الحسابات'!I97&amp;"")</f>
        <v/>
      </c>
      <c r="K97" s="92" t="str">
        <f aca="false">IF(OR($A97="",$G97&lt;&gt;"تحليلي"),"",E97-F97)</f>
        <v/>
      </c>
    </row>
    <row r="98" customFormat="false" ht="15" hidden="false" customHeight="false" outlineLevel="0" collapsed="false">
      <c r="A98" s="90" t="str">
        <f aca="false">IF('شجرة الحسابات'!A98="","",'شجرة الحسابات'!A98)</f>
        <v/>
      </c>
      <c r="B98" s="51" t="str">
        <f aca="false">IF($A98="","",'شجرة الحسابات'!B98)</f>
        <v/>
      </c>
      <c r="C98" s="85" t="str">
        <f aca="false">IF($A98="","",IF($G98="تحليلي",SUMIFS('قيود اليومية'!$G$11:$G$1010,'قيود اليومية'!$C$11:$C$1010,$A98,'قيود اليومية'!$I$11:$I$1010,"مرحل ✔"),SUMPRODUCT((LEFT('قيود اليومية'!$C$11:$C$1010&amp;"",LEN($A98&amp;""))=$A98&amp;"")*('قيود اليومية'!$I$11:$I$1010="مرحل ✔")*'قيود اليومية'!$G$11:$G$1010)))</f>
        <v/>
      </c>
      <c r="D98" s="85" t="str">
        <f aca="false">IF($A98="","",IF($G98="تحليلي",SUMIFS('قيود اليومية'!$H$11:$H$1010,'قيود اليومية'!$C$11:$C$1010,$A98,'قيود اليومية'!$I$11:$I$1010,"مرحل ✔"),SUMPRODUCT((LEFT('قيود اليومية'!$C$11:$C$1010&amp;"",LEN($A98&amp;""))=$A98&amp;"")*('قيود اليومية'!$I$11:$I$1010="مرحل ✔")*'قيود اليومية'!$H$11:$H$1010)))</f>
        <v/>
      </c>
      <c r="E98" s="91" t="str">
        <f aca="false">IF($A98="","",MAX(C98-D98,0))</f>
        <v/>
      </c>
      <c r="F98" s="91" t="str">
        <f aca="false">IF($A98="","",MAX(D98-C98,0))</f>
        <v/>
      </c>
      <c r="G98" s="55" t="str">
        <f aca="false">IF($A98="","",'شجرة الحسابات'!C98&amp;"")</f>
        <v/>
      </c>
      <c r="H98" s="55" t="str">
        <f aca="false">IF($A98="","",'شجرة الحسابات'!E98&amp;"")</f>
        <v/>
      </c>
      <c r="I98" s="55" t="str">
        <f aca="false">IF($A98="","",'شجرة الحسابات'!H98&amp;"")</f>
        <v/>
      </c>
      <c r="J98" s="55" t="str">
        <f aca="false">IF($A98="","",'شجرة الحسابات'!I98&amp;"")</f>
        <v/>
      </c>
      <c r="K98" s="92" t="str">
        <f aca="false">IF(OR($A98="",$G98&lt;&gt;"تحليلي"),"",E98-F98)</f>
        <v/>
      </c>
    </row>
    <row r="99" customFormat="false" ht="15" hidden="false" customHeight="false" outlineLevel="0" collapsed="false">
      <c r="A99" s="90" t="str">
        <f aca="false">IF('شجرة الحسابات'!A99="","",'شجرة الحسابات'!A99)</f>
        <v/>
      </c>
      <c r="B99" s="51" t="str">
        <f aca="false">IF($A99="","",'شجرة الحسابات'!B99)</f>
        <v/>
      </c>
      <c r="C99" s="85" t="str">
        <f aca="false">IF($A99="","",IF($G99="تحليلي",SUMIFS('قيود اليومية'!$G$11:$G$1010,'قيود اليومية'!$C$11:$C$1010,$A99,'قيود اليومية'!$I$11:$I$1010,"مرحل ✔"),SUMPRODUCT((LEFT('قيود اليومية'!$C$11:$C$1010&amp;"",LEN($A99&amp;""))=$A99&amp;"")*('قيود اليومية'!$I$11:$I$1010="مرحل ✔")*'قيود اليومية'!$G$11:$G$1010)))</f>
        <v/>
      </c>
      <c r="D99" s="85" t="str">
        <f aca="false">IF($A99="","",IF($G99="تحليلي",SUMIFS('قيود اليومية'!$H$11:$H$1010,'قيود اليومية'!$C$11:$C$1010,$A99,'قيود اليومية'!$I$11:$I$1010,"مرحل ✔"),SUMPRODUCT((LEFT('قيود اليومية'!$C$11:$C$1010&amp;"",LEN($A99&amp;""))=$A99&amp;"")*('قيود اليومية'!$I$11:$I$1010="مرحل ✔")*'قيود اليومية'!$H$11:$H$1010)))</f>
        <v/>
      </c>
      <c r="E99" s="91" t="str">
        <f aca="false">IF($A99="","",MAX(C99-D99,0))</f>
        <v/>
      </c>
      <c r="F99" s="91" t="str">
        <f aca="false">IF($A99="","",MAX(D99-C99,0))</f>
        <v/>
      </c>
      <c r="G99" s="55" t="str">
        <f aca="false">IF($A99="","",'شجرة الحسابات'!C99&amp;"")</f>
        <v/>
      </c>
      <c r="H99" s="55" t="str">
        <f aca="false">IF($A99="","",'شجرة الحسابات'!E99&amp;"")</f>
        <v/>
      </c>
      <c r="I99" s="55" t="str">
        <f aca="false">IF($A99="","",'شجرة الحسابات'!H99&amp;"")</f>
        <v/>
      </c>
      <c r="J99" s="55" t="str">
        <f aca="false">IF($A99="","",'شجرة الحسابات'!I99&amp;"")</f>
        <v/>
      </c>
      <c r="K99" s="92" t="str">
        <f aca="false">IF(OR($A99="",$G99&lt;&gt;"تحليلي"),"",E99-F99)</f>
        <v/>
      </c>
    </row>
    <row r="100" customFormat="false" ht="15" hidden="false" customHeight="false" outlineLevel="0" collapsed="false">
      <c r="A100" s="90" t="str">
        <f aca="false">IF('شجرة الحسابات'!A100="","",'شجرة الحسابات'!A100)</f>
        <v/>
      </c>
      <c r="B100" s="51" t="str">
        <f aca="false">IF($A100="","",'شجرة الحسابات'!B100)</f>
        <v/>
      </c>
      <c r="C100" s="85" t="str">
        <f aca="false">IF($A100="","",IF($G100="تحليلي",SUMIFS('قيود اليومية'!$G$11:$G$1010,'قيود اليومية'!$C$11:$C$1010,$A100,'قيود اليومية'!$I$11:$I$1010,"مرحل ✔"),SUMPRODUCT((LEFT('قيود اليومية'!$C$11:$C$1010&amp;"",LEN($A100&amp;""))=$A100&amp;"")*('قيود اليومية'!$I$11:$I$1010="مرحل ✔")*'قيود اليومية'!$G$11:$G$1010)))</f>
        <v/>
      </c>
      <c r="D100" s="85" t="str">
        <f aca="false">IF($A100="","",IF($G100="تحليلي",SUMIFS('قيود اليومية'!$H$11:$H$1010,'قيود اليومية'!$C$11:$C$1010,$A100,'قيود اليومية'!$I$11:$I$1010,"مرحل ✔"),SUMPRODUCT((LEFT('قيود اليومية'!$C$11:$C$1010&amp;"",LEN($A100&amp;""))=$A100&amp;"")*('قيود اليومية'!$I$11:$I$1010="مرحل ✔")*'قيود اليومية'!$H$11:$H$1010)))</f>
        <v/>
      </c>
      <c r="E100" s="91" t="str">
        <f aca="false">IF($A100="","",MAX(C100-D100,0))</f>
        <v/>
      </c>
      <c r="F100" s="91" t="str">
        <f aca="false">IF($A100="","",MAX(D100-C100,0))</f>
        <v/>
      </c>
      <c r="G100" s="55" t="str">
        <f aca="false">IF($A100="","",'شجرة الحسابات'!C100&amp;"")</f>
        <v/>
      </c>
      <c r="H100" s="55" t="str">
        <f aca="false">IF($A100="","",'شجرة الحسابات'!E100&amp;"")</f>
        <v/>
      </c>
      <c r="I100" s="55" t="str">
        <f aca="false">IF($A100="","",'شجرة الحسابات'!H100&amp;"")</f>
        <v/>
      </c>
      <c r="J100" s="55" t="str">
        <f aca="false">IF($A100="","",'شجرة الحسابات'!I100&amp;"")</f>
        <v/>
      </c>
      <c r="K100" s="92" t="str">
        <f aca="false">IF(OR($A100="",$G100&lt;&gt;"تحليلي"),"",E100-F100)</f>
        <v/>
      </c>
    </row>
    <row r="101" customFormat="false" ht="15" hidden="false" customHeight="false" outlineLevel="0" collapsed="false">
      <c r="A101" s="90" t="str">
        <f aca="false">IF('شجرة الحسابات'!A101="","",'شجرة الحسابات'!A101)</f>
        <v/>
      </c>
      <c r="B101" s="51" t="str">
        <f aca="false">IF($A101="","",'شجرة الحسابات'!B101)</f>
        <v/>
      </c>
      <c r="C101" s="85" t="str">
        <f aca="false">IF($A101="","",IF($G101="تحليلي",SUMIFS('قيود اليومية'!$G$11:$G$1010,'قيود اليومية'!$C$11:$C$1010,$A101,'قيود اليومية'!$I$11:$I$1010,"مرحل ✔"),SUMPRODUCT((LEFT('قيود اليومية'!$C$11:$C$1010&amp;"",LEN($A101&amp;""))=$A101&amp;"")*('قيود اليومية'!$I$11:$I$1010="مرحل ✔")*'قيود اليومية'!$G$11:$G$1010)))</f>
        <v/>
      </c>
      <c r="D101" s="85" t="str">
        <f aca="false">IF($A101="","",IF($G101="تحليلي",SUMIFS('قيود اليومية'!$H$11:$H$1010,'قيود اليومية'!$C$11:$C$1010,$A101,'قيود اليومية'!$I$11:$I$1010,"مرحل ✔"),SUMPRODUCT((LEFT('قيود اليومية'!$C$11:$C$1010&amp;"",LEN($A101&amp;""))=$A101&amp;"")*('قيود اليومية'!$I$11:$I$1010="مرحل ✔")*'قيود اليومية'!$H$11:$H$1010)))</f>
        <v/>
      </c>
      <c r="E101" s="91" t="str">
        <f aca="false">IF($A101="","",MAX(C101-D101,0))</f>
        <v/>
      </c>
      <c r="F101" s="91" t="str">
        <f aca="false">IF($A101="","",MAX(D101-C101,0))</f>
        <v/>
      </c>
      <c r="G101" s="55" t="str">
        <f aca="false">IF($A101="","",'شجرة الحسابات'!C101&amp;"")</f>
        <v/>
      </c>
      <c r="H101" s="55" t="str">
        <f aca="false">IF($A101="","",'شجرة الحسابات'!E101&amp;"")</f>
        <v/>
      </c>
      <c r="I101" s="55" t="str">
        <f aca="false">IF($A101="","",'شجرة الحسابات'!H101&amp;"")</f>
        <v/>
      </c>
      <c r="J101" s="55" t="str">
        <f aca="false">IF($A101="","",'شجرة الحسابات'!I101&amp;"")</f>
        <v/>
      </c>
      <c r="K101" s="92" t="str">
        <f aca="false">IF(OR($A101="",$G101&lt;&gt;"تحليلي"),"",E101-F101)</f>
        <v/>
      </c>
    </row>
    <row r="102" customFormat="false" ht="15" hidden="false" customHeight="false" outlineLevel="0" collapsed="false">
      <c r="A102" s="90" t="str">
        <f aca="false">IF('شجرة الحسابات'!A102="","",'شجرة الحسابات'!A102)</f>
        <v/>
      </c>
      <c r="B102" s="51" t="str">
        <f aca="false">IF($A102="","",'شجرة الحسابات'!B102)</f>
        <v/>
      </c>
      <c r="C102" s="85" t="str">
        <f aca="false">IF($A102="","",IF($G102="تحليلي",SUMIFS('قيود اليومية'!$G$11:$G$1010,'قيود اليومية'!$C$11:$C$1010,$A102,'قيود اليومية'!$I$11:$I$1010,"مرحل ✔"),SUMPRODUCT((LEFT('قيود اليومية'!$C$11:$C$1010&amp;"",LEN($A102&amp;""))=$A102&amp;"")*('قيود اليومية'!$I$11:$I$1010="مرحل ✔")*'قيود اليومية'!$G$11:$G$1010)))</f>
        <v/>
      </c>
      <c r="D102" s="85" t="str">
        <f aca="false">IF($A102="","",IF($G102="تحليلي",SUMIFS('قيود اليومية'!$H$11:$H$1010,'قيود اليومية'!$C$11:$C$1010,$A102,'قيود اليومية'!$I$11:$I$1010,"مرحل ✔"),SUMPRODUCT((LEFT('قيود اليومية'!$C$11:$C$1010&amp;"",LEN($A102&amp;""))=$A102&amp;"")*('قيود اليومية'!$I$11:$I$1010="مرحل ✔")*'قيود اليومية'!$H$11:$H$1010)))</f>
        <v/>
      </c>
      <c r="E102" s="91" t="str">
        <f aca="false">IF($A102="","",MAX(C102-D102,0))</f>
        <v/>
      </c>
      <c r="F102" s="91" t="str">
        <f aca="false">IF($A102="","",MAX(D102-C102,0))</f>
        <v/>
      </c>
      <c r="G102" s="55" t="str">
        <f aca="false">IF($A102="","",'شجرة الحسابات'!C102&amp;"")</f>
        <v/>
      </c>
      <c r="H102" s="55" t="str">
        <f aca="false">IF($A102="","",'شجرة الحسابات'!E102&amp;"")</f>
        <v/>
      </c>
      <c r="I102" s="55" t="str">
        <f aca="false">IF($A102="","",'شجرة الحسابات'!H102&amp;"")</f>
        <v/>
      </c>
      <c r="J102" s="55" t="str">
        <f aca="false">IF($A102="","",'شجرة الحسابات'!I102&amp;"")</f>
        <v/>
      </c>
      <c r="K102" s="92" t="str">
        <f aca="false">IF(OR($A102="",$G102&lt;&gt;"تحليلي"),"",E102-F102)</f>
        <v/>
      </c>
    </row>
    <row r="103" customFormat="false" ht="15" hidden="false" customHeight="false" outlineLevel="0" collapsed="false">
      <c r="A103" s="90" t="str">
        <f aca="false">IF('شجرة الحسابات'!A103="","",'شجرة الحسابات'!A103)</f>
        <v/>
      </c>
      <c r="B103" s="51" t="str">
        <f aca="false">IF($A103="","",'شجرة الحسابات'!B103)</f>
        <v/>
      </c>
      <c r="C103" s="85" t="str">
        <f aca="false">IF($A103="","",IF($G103="تحليلي",SUMIFS('قيود اليومية'!$G$11:$G$1010,'قيود اليومية'!$C$11:$C$1010,$A103,'قيود اليومية'!$I$11:$I$1010,"مرحل ✔"),SUMPRODUCT((LEFT('قيود اليومية'!$C$11:$C$1010&amp;"",LEN($A103&amp;""))=$A103&amp;"")*('قيود اليومية'!$I$11:$I$1010="مرحل ✔")*'قيود اليومية'!$G$11:$G$1010)))</f>
        <v/>
      </c>
      <c r="D103" s="85" t="str">
        <f aca="false">IF($A103="","",IF($G103="تحليلي",SUMIFS('قيود اليومية'!$H$11:$H$1010,'قيود اليومية'!$C$11:$C$1010,$A103,'قيود اليومية'!$I$11:$I$1010,"مرحل ✔"),SUMPRODUCT((LEFT('قيود اليومية'!$C$11:$C$1010&amp;"",LEN($A103&amp;""))=$A103&amp;"")*('قيود اليومية'!$I$11:$I$1010="مرحل ✔")*'قيود اليومية'!$H$11:$H$1010)))</f>
        <v/>
      </c>
      <c r="E103" s="91" t="str">
        <f aca="false">IF($A103="","",MAX(C103-D103,0))</f>
        <v/>
      </c>
      <c r="F103" s="91" t="str">
        <f aca="false">IF($A103="","",MAX(D103-C103,0))</f>
        <v/>
      </c>
      <c r="G103" s="55" t="str">
        <f aca="false">IF($A103="","",'شجرة الحسابات'!C103&amp;"")</f>
        <v/>
      </c>
      <c r="H103" s="55" t="str">
        <f aca="false">IF($A103="","",'شجرة الحسابات'!E103&amp;"")</f>
        <v/>
      </c>
      <c r="I103" s="55" t="str">
        <f aca="false">IF($A103="","",'شجرة الحسابات'!H103&amp;"")</f>
        <v/>
      </c>
      <c r="J103" s="55" t="str">
        <f aca="false">IF($A103="","",'شجرة الحسابات'!I103&amp;"")</f>
        <v/>
      </c>
      <c r="K103" s="92" t="str">
        <f aca="false">IF(OR($A103="",$G103&lt;&gt;"تحليلي"),"",E103-F103)</f>
        <v/>
      </c>
    </row>
    <row r="104" customFormat="false" ht="15" hidden="false" customHeight="false" outlineLevel="0" collapsed="false">
      <c r="A104" s="90" t="str">
        <f aca="false">IF('شجرة الحسابات'!A104="","",'شجرة الحسابات'!A104)</f>
        <v/>
      </c>
      <c r="B104" s="51" t="str">
        <f aca="false">IF($A104="","",'شجرة الحسابات'!B104)</f>
        <v/>
      </c>
      <c r="C104" s="85" t="str">
        <f aca="false">IF($A104="","",IF($G104="تحليلي",SUMIFS('قيود اليومية'!$G$11:$G$1010,'قيود اليومية'!$C$11:$C$1010,$A104,'قيود اليومية'!$I$11:$I$1010,"مرحل ✔"),SUMPRODUCT((LEFT('قيود اليومية'!$C$11:$C$1010&amp;"",LEN($A104&amp;""))=$A104&amp;"")*('قيود اليومية'!$I$11:$I$1010="مرحل ✔")*'قيود اليومية'!$G$11:$G$1010)))</f>
        <v/>
      </c>
      <c r="D104" s="85" t="str">
        <f aca="false">IF($A104="","",IF($G104="تحليلي",SUMIFS('قيود اليومية'!$H$11:$H$1010,'قيود اليومية'!$C$11:$C$1010,$A104,'قيود اليومية'!$I$11:$I$1010,"مرحل ✔"),SUMPRODUCT((LEFT('قيود اليومية'!$C$11:$C$1010&amp;"",LEN($A104&amp;""))=$A104&amp;"")*('قيود اليومية'!$I$11:$I$1010="مرحل ✔")*'قيود اليومية'!$H$11:$H$1010)))</f>
        <v/>
      </c>
      <c r="E104" s="91" t="str">
        <f aca="false">IF($A104="","",MAX(C104-D104,0))</f>
        <v/>
      </c>
      <c r="F104" s="91" t="str">
        <f aca="false">IF($A104="","",MAX(D104-C104,0))</f>
        <v/>
      </c>
      <c r="G104" s="55" t="str">
        <f aca="false">IF($A104="","",'شجرة الحسابات'!C104&amp;"")</f>
        <v/>
      </c>
      <c r="H104" s="55" t="str">
        <f aca="false">IF($A104="","",'شجرة الحسابات'!E104&amp;"")</f>
        <v/>
      </c>
      <c r="I104" s="55" t="str">
        <f aca="false">IF($A104="","",'شجرة الحسابات'!H104&amp;"")</f>
        <v/>
      </c>
      <c r="J104" s="55" t="str">
        <f aca="false">IF($A104="","",'شجرة الحسابات'!I104&amp;"")</f>
        <v/>
      </c>
      <c r="K104" s="92" t="str">
        <f aca="false">IF(OR($A104="",$G104&lt;&gt;"تحليلي"),"",E104-F104)</f>
        <v/>
      </c>
    </row>
    <row r="105" customFormat="false" ht="15" hidden="false" customHeight="false" outlineLevel="0" collapsed="false">
      <c r="A105" s="90" t="str">
        <f aca="false">IF('شجرة الحسابات'!A105="","",'شجرة الحسابات'!A105)</f>
        <v/>
      </c>
      <c r="B105" s="51" t="str">
        <f aca="false">IF($A105="","",'شجرة الحسابات'!B105)</f>
        <v/>
      </c>
      <c r="C105" s="85" t="str">
        <f aca="false">IF($A105="","",IF($G105="تحليلي",SUMIFS('قيود اليومية'!$G$11:$G$1010,'قيود اليومية'!$C$11:$C$1010,$A105,'قيود اليومية'!$I$11:$I$1010,"مرحل ✔"),SUMPRODUCT((LEFT('قيود اليومية'!$C$11:$C$1010&amp;"",LEN($A105&amp;""))=$A105&amp;"")*('قيود اليومية'!$I$11:$I$1010="مرحل ✔")*'قيود اليومية'!$G$11:$G$1010)))</f>
        <v/>
      </c>
      <c r="D105" s="85" t="str">
        <f aca="false">IF($A105="","",IF($G105="تحليلي",SUMIFS('قيود اليومية'!$H$11:$H$1010,'قيود اليومية'!$C$11:$C$1010,$A105,'قيود اليومية'!$I$11:$I$1010,"مرحل ✔"),SUMPRODUCT((LEFT('قيود اليومية'!$C$11:$C$1010&amp;"",LEN($A105&amp;""))=$A105&amp;"")*('قيود اليومية'!$I$11:$I$1010="مرحل ✔")*'قيود اليومية'!$H$11:$H$1010)))</f>
        <v/>
      </c>
      <c r="E105" s="91" t="str">
        <f aca="false">IF($A105="","",MAX(C105-D105,0))</f>
        <v/>
      </c>
      <c r="F105" s="91" t="str">
        <f aca="false">IF($A105="","",MAX(D105-C105,0))</f>
        <v/>
      </c>
      <c r="G105" s="55" t="str">
        <f aca="false">IF($A105="","",'شجرة الحسابات'!C105&amp;"")</f>
        <v/>
      </c>
      <c r="H105" s="55" t="str">
        <f aca="false">IF($A105="","",'شجرة الحسابات'!E105&amp;"")</f>
        <v/>
      </c>
      <c r="I105" s="55" t="str">
        <f aca="false">IF($A105="","",'شجرة الحسابات'!H105&amp;"")</f>
        <v/>
      </c>
      <c r="J105" s="55" t="str">
        <f aca="false">IF($A105="","",'شجرة الحسابات'!I105&amp;"")</f>
        <v/>
      </c>
      <c r="K105" s="92" t="str">
        <f aca="false">IF(OR($A105="",$G105&lt;&gt;"تحليلي"),"",E105-F105)</f>
        <v/>
      </c>
    </row>
    <row r="106" customFormat="false" ht="15" hidden="false" customHeight="false" outlineLevel="0" collapsed="false">
      <c r="A106" s="90" t="str">
        <f aca="false">IF('شجرة الحسابات'!A106="","",'شجرة الحسابات'!A106)</f>
        <v/>
      </c>
      <c r="B106" s="51" t="str">
        <f aca="false">IF($A106="","",'شجرة الحسابات'!B106)</f>
        <v/>
      </c>
      <c r="C106" s="85" t="str">
        <f aca="false">IF($A106="","",IF($G106="تحليلي",SUMIFS('قيود اليومية'!$G$11:$G$1010,'قيود اليومية'!$C$11:$C$1010,$A106,'قيود اليومية'!$I$11:$I$1010,"مرحل ✔"),SUMPRODUCT((LEFT('قيود اليومية'!$C$11:$C$1010&amp;"",LEN($A106&amp;""))=$A106&amp;"")*('قيود اليومية'!$I$11:$I$1010="مرحل ✔")*'قيود اليومية'!$G$11:$G$1010)))</f>
        <v/>
      </c>
      <c r="D106" s="85" t="str">
        <f aca="false">IF($A106="","",IF($G106="تحليلي",SUMIFS('قيود اليومية'!$H$11:$H$1010,'قيود اليومية'!$C$11:$C$1010,$A106,'قيود اليومية'!$I$11:$I$1010,"مرحل ✔"),SUMPRODUCT((LEFT('قيود اليومية'!$C$11:$C$1010&amp;"",LEN($A106&amp;""))=$A106&amp;"")*('قيود اليومية'!$I$11:$I$1010="مرحل ✔")*'قيود اليومية'!$H$11:$H$1010)))</f>
        <v/>
      </c>
      <c r="E106" s="91" t="str">
        <f aca="false">IF($A106="","",MAX(C106-D106,0))</f>
        <v/>
      </c>
      <c r="F106" s="91" t="str">
        <f aca="false">IF($A106="","",MAX(D106-C106,0))</f>
        <v/>
      </c>
      <c r="G106" s="55" t="str">
        <f aca="false">IF($A106="","",'شجرة الحسابات'!C106&amp;"")</f>
        <v/>
      </c>
      <c r="H106" s="55" t="str">
        <f aca="false">IF($A106="","",'شجرة الحسابات'!E106&amp;"")</f>
        <v/>
      </c>
      <c r="I106" s="55" t="str">
        <f aca="false">IF($A106="","",'شجرة الحسابات'!H106&amp;"")</f>
        <v/>
      </c>
      <c r="J106" s="55" t="str">
        <f aca="false">IF($A106="","",'شجرة الحسابات'!I106&amp;"")</f>
        <v/>
      </c>
      <c r="K106" s="92" t="str">
        <f aca="false">IF(OR($A106="",$G106&lt;&gt;"تحليلي"),"",E106-F106)</f>
        <v/>
      </c>
    </row>
    <row r="107" customFormat="false" ht="15" hidden="false" customHeight="false" outlineLevel="0" collapsed="false">
      <c r="A107" s="90" t="str">
        <f aca="false">IF('شجرة الحسابات'!A107="","",'شجرة الحسابات'!A107)</f>
        <v/>
      </c>
      <c r="B107" s="51" t="str">
        <f aca="false">IF($A107="","",'شجرة الحسابات'!B107)</f>
        <v/>
      </c>
      <c r="C107" s="85" t="str">
        <f aca="false">IF($A107="","",IF($G107="تحليلي",SUMIFS('قيود اليومية'!$G$11:$G$1010,'قيود اليومية'!$C$11:$C$1010,$A107,'قيود اليومية'!$I$11:$I$1010,"مرحل ✔"),SUMPRODUCT((LEFT('قيود اليومية'!$C$11:$C$1010&amp;"",LEN($A107&amp;""))=$A107&amp;"")*('قيود اليومية'!$I$11:$I$1010="مرحل ✔")*'قيود اليومية'!$G$11:$G$1010)))</f>
        <v/>
      </c>
      <c r="D107" s="85" t="str">
        <f aca="false">IF($A107="","",IF($G107="تحليلي",SUMIFS('قيود اليومية'!$H$11:$H$1010,'قيود اليومية'!$C$11:$C$1010,$A107,'قيود اليومية'!$I$11:$I$1010,"مرحل ✔"),SUMPRODUCT((LEFT('قيود اليومية'!$C$11:$C$1010&amp;"",LEN($A107&amp;""))=$A107&amp;"")*('قيود اليومية'!$I$11:$I$1010="مرحل ✔")*'قيود اليومية'!$H$11:$H$1010)))</f>
        <v/>
      </c>
      <c r="E107" s="91" t="str">
        <f aca="false">IF($A107="","",MAX(C107-D107,0))</f>
        <v/>
      </c>
      <c r="F107" s="91" t="str">
        <f aca="false">IF($A107="","",MAX(D107-C107,0))</f>
        <v/>
      </c>
      <c r="G107" s="55" t="str">
        <f aca="false">IF($A107="","",'شجرة الحسابات'!C107&amp;"")</f>
        <v/>
      </c>
      <c r="H107" s="55" t="str">
        <f aca="false">IF($A107="","",'شجرة الحسابات'!E107&amp;"")</f>
        <v/>
      </c>
      <c r="I107" s="55" t="str">
        <f aca="false">IF($A107="","",'شجرة الحسابات'!H107&amp;"")</f>
        <v/>
      </c>
      <c r="J107" s="55" t="str">
        <f aca="false">IF($A107="","",'شجرة الحسابات'!I107&amp;"")</f>
        <v/>
      </c>
      <c r="K107" s="92" t="str">
        <f aca="false">IF(OR($A107="",$G107&lt;&gt;"تحليلي"),"",E107-F107)</f>
        <v/>
      </c>
    </row>
    <row r="108" customFormat="false" ht="15" hidden="false" customHeight="false" outlineLevel="0" collapsed="false">
      <c r="A108" s="90" t="str">
        <f aca="false">IF('شجرة الحسابات'!A108="","",'شجرة الحسابات'!A108)</f>
        <v/>
      </c>
      <c r="B108" s="51" t="str">
        <f aca="false">IF($A108="","",'شجرة الحسابات'!B108)</f>
        <v/>
      </c>
      <c r="C108" s="85" t="str">
        <f aca="false">IF($A108="","",IF($G108="تحليلي",SUMIFS('قيود اليومية'!$G$11:$G$1010,'قيود اليومية'!$C$11:$C$1010,$A108,'قيود اليومية'!$I$11:$I$1010,"مرحل ✔"),SUMPRODUCT((LEFT('قيود اليومية'!$C$11:$C$1010&amp;"",LEN($A108&amp;""))=$A108&amp;"")*('قيود اليومية'!$I$11:$I$1010="مرحل ✔")*'قيود اليومية'!$G$11:$G$1010)))</f>
        <v/>
      </c>
      <c r="D108" s="85" t="str">
        <f aca="false">IF($A108="","",IF($G108="تحليلي",SUMIFS('قيود اليومية'!$H$11:$H$1010,'قيود اليومية'!$C$11:$C$1010,$A108,'قيود اليومية'!$I$11:$I$1010,"مرحل ✔"),SUMPRODUCT((LEFT('قيود اليومية'!$C$11:$C$1010&amp;"",LEN($A108&amp;""))=$A108&amp;"")*('قيود اليومية'!$I$11:$I$1010="مرحل ✔")*'قيود اليومية'!$H$11:$H$1010)))</f>
        <v/>
      </c>
      <c r="E108" s="91" t="str">
        <f aca="false">IF($A108="","",MAX(C108-D108,0))</f>
        <v/>
      </c>
      <c r="F108" s="91" t="str">
        <f aca="false">IF($A108="","",MAX(D108-C108,0))</f>
        <v/>
      </c>
      <c r="G108" s="55" t="str">
        <f aca="false">IF($A108="","",'شجرة الحسابات'!C108&amp;"")</f>
        <v/>
      </c>
      <c r="H108" s="55" t="str">
        <f aca="false">IF($A108="","",'شجرة الحسابات'!E108&amp;"")</f>
        <v/>
      </c>
      <c r="I108" s="55" t="str">
        <f aca="false">IF($A108="","",'شجرة الحسابات'!H108&amp;"")</f>
        <v/>
      </c>
      <c r="J108" s="55" t="str">
        <f aca="false">IF($A108="","",'شجرة الحسابات'!I108&amp;"")</f>
        <v/>
      </c>
      <c r="K108" s="92" t="str">
        <f aca="false">IF(OR($A108="",$G108&lt;&gt;"تحليلي"),"",E108-F108)</f>
        <v/>
      </c>
    </row>
    <row r="109" customFormat="false" ht="15" hidden="false" customHeight="false" outlineLevel="0" collapsed="false">
      <c r="A109" s="90" t="str">
        <f aca="false">IF('شجرة الحسابات'!A109="","",'شجرة الحسابات'!A109)</f>
        <v/>
      </c>
      <c r="B109" s="51" t="str">
        <f aca="false">IF($A109="","",'شجرة الحسابات'!B109)</f>
        <v/>
      </c>
      <c r="C109" s="85" t="str">
        <f aca="false">IF($A109="","",IF($G109="تحليلي",SUMIFS('قيود اليومية'!$G$11:$G$1010,'قيود اليومية'!$C$11:$C$1010,$A109,'قيود اليومية'!$I$11:$I$1010,"مرحل ✔"),SUMPRODUCT((LEFT('قيود اليومية'!$C$11:$C$1010&amp;"",LEN($A109&amp;""))=$A109&amp;"")*('قيود اليومية'!$I$11:$I$1010="مرحل ✔")*'قيود اليومية'!$G$11:$G$1010)))</f>
        <v/>
      </c>
      <c r="D109" s="85" t="str">
        <f aca="false">IF($A109="","",IF($G109="تحليلي",SUMIFS('قيود اليومية'!$H$11:$H$1010,'قيود اليومية'!$C$11:$C$1010,$A109,'قيود اليومية'!$I$11:$I$1010,"مرحل ✔"),SUMPRODUCT((LEFT('قيود اليومية'!$C$11:$C$1010&amp;"",LEN($A109&amp;""))=$A109&amp;"")*('قيود اليومية'!$I$11:$I$1010="مرحل ✔")*'قيود اليومية'!$H$11:$H$1010)))</f>
        <v/>
      </c>
      <c r="E109" s="91" t="str">
        <f aca="false">IF($A109="","",MAX(C109-D109,0))</f>
        <v/>
      </c>
      <c r="F109" s="91" t="str">
        <f aca="false">IF($A109="","",MAX(D109-C109,0))</f>
        <v/>
      </c>
      <c r="G109" s="55" t="str">
        <f aca="false">IF($A109="","",'شجرة الحسابات'!C109&amp;"")</f>
        <v/>
      </c>
      <c r="H109" s="55" t="str">
        <f aca="false">IF($A109="","",'شجرة الحسابات'!E109&amp;"")</f>
        <v/>
      </c>
      <c r="I109" s="55" t="str">
        <f aca="false">IF($A109="","",'شجرة الحسابات'!H109&amp;"")</f>
        <v/>
      </c>
      <c r="J109" s="55" t="str">
        <f aca="false">IF($A109="","",'شجرة الحسابات'!I109&amp;"")</f>
        <v/>
      </c>
      <c r="K109" s="92" t="str">
        <f aca="false">IF(OR($A109="",$G109&lt;&gt;"تحليلي"),"",E109-F109)</f>
        <v/>
      </c>
    </row>
    <row r="110" customFormat="false" ht="15" hidden="false" customHeight="false" outlineLevel="0" collapsed="false">
      <c r="A110" s="90" t="str">
        <f aca="false">IF('شجرة الحسابات'!A110="","",'شجرة الحسابات'!A110)</f>
        <v/>
      </c>
      <c r="B110" s="51" t="str">
        <f aca="false">IF($A110="","",'شجرة الحسابات'!B110)</f>
        <v/>
      </c>
      <c r="C110" s="85" t="str">
        <f aca="false">IF($A110="","",IF($G110="تحليلي",SUMIFS('قيود اليومية'!$G$11:$G$1010,'قيود اليومية'!$C$11:$C$1010,$A110,'قيود اليومية'!$I$11:$I$1010,"مرحل ✔"),SUMPRODUCT((LEFT('قيود اليومية'!$C$11:$C$1010&amp;"",LEN($A110&amp;""))=$A110&amp;"")*('قيود اليومية'!$I$11:$I$1010="مرحل ✔")*'قيود اليومية'!$G$11:$G$1010)))</f>
        <v/>
      </c>
      <c r="D110" s="85" t="str">
        <f aca="false">IF($A110="","",IF($G110="تحليلي",SUMIFS('قيود اليومية'!$H$11:$H$1010,'قيود اليومية'!$C$11:$C$1010,$A110,'قيود اليومية'!$I$11:$I$1010,"مرحل ✔"),SUMPRODUCT((LEFT('قيود اليومية'!$C$11:$C$1010&amp;"",LEN($A110&amp;""))=$A110&amp;"")*('قيود اليومية'!$I$11:$I$1010="مرحل ✔")*'قيود اليومية'!$H$11:$H$1010)))</f>
        <v/>
      </c>
      <c r="E110" s="91" t="str">
        <f aca="false">IF($A110="","",MAX(C110-D110,0))</f>
        <v/>
      </c>
      <c r="F110" s="91" t="str">
        <f aca="false">IF($A110="","",MAX(D110-C110,0))</f>
        <v/>
      </c>
      <c r="G110" s="55" t="str">
        <f aca="false">IF($A110="","",'شجرة الحسابات'!C110&amp;"")</f>
        <v/>
      </c>
      <c r="H110" s="55" t="str">
        <f aca="false">IF($A110="","",'شجرة الحسابات'!E110&amp;"")</f>
        <v/>
      </c>
      <c r="I110" s="55" t="str">
        <f aca="false">IF($A110="","",'شجرة الحسابات'!H110&amp;"")</f>
        <v/>
      </c>
      <c r="J110" s="55" t="str">
        <f aca="false">IF($A110="","",'شجرة الحسابات'!I110&amp;"")</f>
        <v/>
      </c>
      <c r="K110" s="92" t="str">
        <f aca="false">IF(OR($A110="",$G110&lt;&gt;"تحليلي"),"",E110-F110)</f>
        <v/>
      </c>
    </row>
    <row r="111" customFormat="false" ht="15" hidden="false" customHeight="false" outlineLevel="0" collapsed="false">
      <c r="A111" s="90" t="str">
        <f aca="false">IF('شجرة الحسابات'!A111="","",'شجرة الحسابات'!A111)</f>
        <v/>
      </c>
      <c r="B111" s="51" t="str">
        <f aca="false">IF($A111="","",'شجرة الحسابات'!B111)</f>
        <v/>
      </c>
      <c r="C111" s="85" t="str">
        <f aca="false">IF($A111="","",IF($G111="تحليلي",SUMIFS('قيود اليومية'!$G$11:$G$1010,'قيود اليومية'!$C$11:$C$1010,$A111,'قيود اليومية'!$I$11:$I$1010,"مرحل ✔"),SUMPRODUCT((LEFT('قيود اليومية'!$C$11:$C$1010&amp;"",LEN($A111&amp;""))=$A111&amp;"")*('قيود اليومية'!$I$11:$I$1010="مرحل ✔")*'قيود اليومية'!$G$11:$G$1010)))</f>
        <v/>
      </c>
      <c r="D111" s="85" t="str">
        <f aca="false">IF($A111="","",IF($G111="تحليلي",SUMIFS('قيود اليومية'!$H$11:$H$1010,'قيود اليومية'!$C$11:$C$1010,$A111,'قيود اليومية'!$I$11:$I$1010,"مرحل ✔"),SUMPRODUCT((LEFT('قيود اليومية'!$C$11:$C$1010&amp;"",LEN($A111&amp;""))=$A111&amp;"")*('قيود اليومية'!$I$11:$I$1010="مرحل ✔")*'قيود اليومية'!$H$11:$H$1010)))</f>
        <v/>
      </c>
      <c r="E111" s="91" t="str">
        <f aca="false">IF($A111="","",MAX(C111-D111,0))</f>
        <v/>
      </c>
      <c r="F111" s="91" t="str">
        <f aca="false">IF($A111="","",MAX(D111-C111,0))</f>
        <v/>
      </c>
      <c r="G111" s="55" t="str">
        <f aca="false">IF($A111="","",'شجرة الحسابات'!C111&amp;"")</f>
        <v/>
      </c>
      <c r="H111" s="55" t="str">
        <f aca="false">IF($A111="","",'شجرة الحسابات'!E111&amp;"")</f>
        <v/>
      </c>
      <c r="I111" s="55" t="str">
        <f aca="false">IF($A111="","",'شجرة الحسابات'!H111&amp;"")</f>
        <v/>
      </c>
      <c r="J111" s="55" t="str">
        <f aca="false">IF($A111="","",'شجرة الحسابات'!I111&amp;"")</f>
        <v/>
      </c>
      <c r="K111" s="92" t="str">
        <f aca="false">IF(OR($A111="",$G111&lt;&gt;"تحليلي"),"",E111-F111)</f>
        <v/>
      </c>
    </row>
    <row r="112" customFormat="false" ht="15" hidden="false" customHeight="false" outlineLevel="0" collapsed="false">
      <c r="A112" s="90" t="str">
        <f aca="false">IF('شجرة الحسابات'!A112="","",'شجرة الحسابات'!A112)</f>
        <v/>
      </c>
      <c r="B112" s="51" t="str">
        <f aca="false">IF($A112="","",'شجرة الحسابات'!B112)</f>
        <v/>
      </c>
      <c r="C112" s="85" t="str">
        <f aca="false">IF($A112="","",IF($G112="تحليلي",SUMIFS('قيود اليومية'!$G$11:$G$1010,'قيود اليومية'!$C$11:$C$1010,$A112,'قيود اليومية'!$I$11:$I$1010,"مرحل ✔"),SUMPRODUCT((LEFT('قيود اليومية'!$C$11:$C$1010&amp;"",LEN($A112&amp;""))=$A112&amp;"")*('قيود اليومية'!$I$11:$I$1010="مرحل ✔")*'قيود اليومية'!$G$11:$G$1010)))</f>
        <v/>
      </c>
      <c r="D112" s="85" t="str">
        <f aca="false">IF($A112="","",IF($G112="تحليلي",SUMIFS('قيود اليومية'!$H$11:$H$1010,'قيود اليومية'!$C$11:$C$1010,$A112,'قيود اليومية'!$I$11:$I$1010,"مرحل ✔"),SUMPRODUCT((LEFT('قيود اليومية'!$C$11:$C$1010&amp;"",LEN($A112&amp;""))=$A112&amp;"")*('قيود اليومية'!$I$11:$I$1010="مرحل ✔")*'قيود اليومية'!$H$11:$H$1010)))</f>
        <v/>
      </c>
      <c r="E112" s="91" t="str">
        <f aca="false">IF($A112="","",MAX(C112-D112,0))</f>
        <v/>
      </c>
      <c r="F112" s="91" t="str">
        <f aca="false">IF($A112="","",MAX(D112-C112,0))</f>
        <v/>
      </c>
      <c r="G112" s="55" t="str">
        <f aca="false">IF($A112="","",'شجرة الحسابات'!C112&amp;"")</f>
        <v/>
      </c>
      <c r="H112" s="55" t="str">
        <f aca="false">IF($A112="","",'شجرة الحسابات'!E112&amp;"")</f>
        <v/>
      </c>
      <c r="I112" s="55" t="str">
        <f aca="false">IF($A112="","",'شجرة الحسابات'!H112&amp;"")</f>
        <v/>
      </c>
      <c r="J112" s="55" t="str">
        <f aca="false">IF($A112="","",'شجرة الحسابات'!I112&amp;"")</f>
        <v/>
      </c>
      <c r="K112" s="92" t="str">
        <f aca="false">IF(OR($A112="",$G112&lt;&gt;"تحليلي"),"",E112-F112)</f>
        <v/>
      </c>
    </row>
    <row r="113" customFormat="false" ht="15" hidden="false" customHeight="false" outlineLevel="0" collapsed="false">
      <c r="A113" s="90" t="str">
        <f aca="false">IF('شجرة الحسابات'!A113="","",'شجرة الحسابات'!A113)</f>
        <v/>
      </c>
      <c r="B113" s="51" t="str">
        <f aca="false">IF($A113="","",'شجرة الحسابات'!B113)</f>
        <v/>
      </c>
      <c r="C113" s="85" t="str">
        <f aca="false">IF($A113="","",IF($G113="تحليلي",SUMIFS('قيود اليومية'!$G$11:$G$1010,'قيود اليومية'!$C$11:$C$1010,$A113,'قيود اليومية'!$I$11:$I$1010,"مرحل ✔"),SUMPRODUCT((LEFT('قيود اليومية'!$C$11:$C$1010&amp;"",LEN($A113&amp;""))=$A113&amp;"")*('قيود اليومية'!$I$11:$I$1010="مرحل ✔")*'قيود اليومية'!$G$11:$G$1010)))</f>
        <v/>
      </c>
      <c r="D113" s="85" t="str">
        <f aca="false">IF($A113="","",IF($G113="تحليلي",SUMIFS('قيود اليومية'!$H$11:$H$1010,'قيود اليومية'!$C$11:$C$1010,$A113,'قيود اليومية'!$I$11:$I$1010,"مرحل ✔"),SUMPRODUCT((LEFT('قيود اليومية'!$C$11:$C$1010&amp;"",LEN($A113&amp;""))=$A113&amp;"")*('قيود اليومية'!$I$11:$I$1010="مرحل ✔")*'قيود اليومية'!$H$11:$H$1010)))</f>
        <v/>
      </c>
      <c r="E113" s="91" t="str">
        <f aca="false">IF($A113="","",MAX(C113-D113,0))</f>
        <v/>
      </c>
      <c r="F113" s="91" t="str">
        <f aca="false">IF($A113="","",MAX(D113-C113,0))</f>
        <v/>
      </c>
      <c r="G113" s="55" t="str">
        <f aca="false">IF($A113="","",'شجرة الحسابات'!C113&amp;"")</f>
        <v/>
      </c>
      <c r="H113" s="55" t="str">
        <f aca="false">IF($A113="","",'شجرة الحسابات'!E113&amp;"")</f>
        <v/>
      </c>
      <c r="I113" s="55" t="str">
        <f aca="false">IF($A113="","",'شجرة الحسابات'!H113&amp;"")</f>
        <v/>
      </c>
      <c r="J113" s="55" t="str">
        <f aca="false">IF($A113="","",'شجرة الحسابات'!I113&amp;"")</f>
        <v/>
      </c>
      <c r="K113" s="92" t="str">
        <f aca="false">IF(OR($A113="",$G113&lt;&gt;"تحليلي"),"",E113-F113)</f>
        <v/>
      </c>
    </row>
    <row r="114" customFormat="false" ht="15" hidden="false" customHeight="false" outlineLevel="0" collapsed="false">
      <c r="A114" s="90" t="str">
        <f aca="false">IF('شجرة الحسابات'!A114="","",'شجرة الحسابات'!A114)</f>
        <v/>
      </c>
      <c r="B114" s="51" t="str">
        <f aca="false">IF($A114="","",'شجرة الحسابات'!B114)</f>
        <v/>
      </c>
      <c r="C114" s="85" t="str">
        <f aca="false">IF($A114="","",IF($G114="تحليلي",SUMIFS('قيود اليومية'!$G$11:$G$1010,'قيود اليومية'!$C$11:$C$1010,$A114,'قيود اليومية'!$I$11:$I$1010,"مرحل ✔"),SUMPRODUCT((LEFT('قيود اليومية'!$C$11:$C$1010&amp;"",LEN($A114&amp;""))=$A114&amp;"")*('قيود اليومية'!$I$11:$I$1010="مرحل ✔")*'قيود اليومية'!$G$11:$G$1010)))</f>
        <v/>
      </c>
      <c r="D114" s="85" t="str">
        <f aca="false">IF($A114="","",IF($G114="تحليلي",SUMIFS('قيود اليومية'!$H$11:$H$1010,'قيود اليومية'!$C$11:$C$1010,$A114,'قيود اليومية'!$I$11:$I$1010,"مرحل ✔"),SUMPRODUCT((LEFT('قيود اليومية'!$C$11:$C$1010&amp;"",LEN($A114&amp;""))=$A114&amp;"")*('قيود اليومية'!$I$11:$I$1010="مرحل ✔")*'قيود اليومية'!$H$11:$H$1010)))</f>
        <v/>
      </c>
      <c r="E114" s="91" t="str">
        <f aca="false">IF($A114="","",MAX(C114-D114,0))</f>
        <v/>
      </c>
      <c r="F114" s="91" t="str">
        <f aca="false">IF($A114="","",MAX(D114-C114,0))</f>
        <v/>
      </c>
      <c r="G114" s="55" t="str">
        <f aca="false">IF($A114="","",'شجرة الحسابات'!C114&amp;"")</f>
        <v/>
      </c>
      <c r="H114" s="55" t="str">
        <f aca="false">IF($A114="","",'شجرة الحسابات'!E114&amp;"")</f>
        <v/>
      </c>
      <c r="I114" s="55" t="str">
        <f aca="false">IF($A114="","",'شجرة الحسابات'!H114&amp;"")</f>
        <v/>
      </c>
      <c r="J114" s="55" t="str">
        <f aca="false">IF($A114="","",'شجرة الحسابات'!I114&amp;"")</f>
        <v/>
      </c>
      <c r="K114" s="92" t="str">
        <f aca="false">IF(OR($A114="",$G114&lt;&gt;"تحليلي"),"",E114-F114)</f>
        <v/>
      </c>
    </row>
    <row r="115" customFormat="false" ht="15" hidden="false" customHeight="false" outlineLevel="0" collapsed="false">
      <c r="A115" s="90" t="str">
        <f aca="false">IF('شجرة الحسابات'!A115="","",'شجرة الحسابات'!A115)</f>
        <v/>
      </c>
      <c r="B115" s="51" t="str">
        <f aca="false">IF($A115="","",'شجرة الحسابات'!B115)</f>
        <v/>
      </c>
      <c r="C115" s="85" t="str">
        <f aca="false">IF($A115="","",IF($G115="تحليلي",SUMIFS('قيود اليومية'!$G$11:$G$1010,'قيود اليومية'!$C$11:$C$1010,$A115,'قيود اليومية'!$I$11:$I$1010,"مرحل ✔"),SUMPRODUCT((LEFT('قيود اليومية'!$C$11:$C$1010&amp;"",LEN($A115&amp;""))=$A115&amp;"")*('قيود اليومية'!$I$11:$I$1010="مرحل ✔")*'قيود اليومية'!$G$11:$G$1010)))</f>
        <v/>
      </c>
      <c r="D115" s="85" t="str">
        <f aca="false">IF($A115="","",IF($G115="تحليلي",SUMIFS('قيود اليومية'!$H$11:$H$1010,'قيود اليومية'!$C$11:$C$1010,$A115,'قيود اليومية'!$I$11:$I$1010,"مرحل ✔"),SUMPRODUCT((LEFT('قيود اليومية'!$C$11:$C$1010&amp;"",LEN($A115&amp;""))=$A115&amp;"")*('قيود اليومية'!$I$11:$I$1010="مرحل ✔")*'قيود اليومية'!$H$11:$H$1010)))</f>
        <v/>
      </c>
      <c r="E115" s="91" t="str">
        <f aca="false">IF($A115="","",MAX(C115-D115,0))</f>
        <v/>
      </c>
      <c r="F115" s="91" t="str">
        <f aca="false">IF($A115="","",MAX(D115-C115,0))</f>
        <v/>
      </c>
      <c r="G115" s="55" t="str">
        <f aca="false">IF($A115="","",'شجرة الحسابات'!C115&amp;"")</f>
        <v/>
      </c>
      <c r="H115" s="55" t="str">
        <f aca="false">IF($A115="","",'شجرة الحسابات'!E115&amp;"")</f>
        <v/>
      </c>
      <c r="I115" s="55" t="str">
        <f aca="false">IF($A115="","",'شجرة الحسابات'!H115&amp;"")</f>
        <v/>
      </c>
      <c r="J115" s="55" t="str">
        <f aca="false">IF($A115="","",'شجرة الحسابات'!I115&amp;"")</f>
        <v/>
      </c>
      <c r="K115" s="92" t="str">
        <f aca="false">IF(OR($A115="",$G115&lt;&gt;"تحليلي"),"",E115-F115)</f>
        <v/>
      </c>
    </row>
    <row r="116" customFormat="false" ht="15" hidden="false" customHeight="false" outlineLevel="0" collapsed="false">
      <c r="A116" s="90" t="str">
        <f aca="false">IF('شجرة الحسابات'!A116="","",'شجرة الحسابات'!A116)</f>
        <v/>
      </c>
      <c r="B116" s="51" t="str">
        <f aca="false">IF($A116="","",'شجرة الحسابات'!B116)</f>
        <v/>
      </c>
      <c r="C116" s="85" t="str">
        <f aca="false">IF($A116="","",IF($G116="تحليلي",SUMIFS('قيود اليومية'!$G$11:$G$1010,'قيود اليومية'!$C$11:$C$1010,$A116,'قيود اليومية'!$I$11:$I$1010,"مرحل ✔"),SUMPRODUCT((LEFT('قيود اليومية'!$C$11:$C$1010&amp;"",LEN($A116&amp;""))=$A116&amp;"")*('قيود اليومية'!$I$11:$I$1010="مرحل ✔")*'قيود اليومية'!$G$11:$G$1010)))</f>
        <v/>
      </c>
      <c r="D116" s="85" t="str">
        <f aca="false">IF($A116="","",IF($G116="تحليلي",SUMIFS('قيود اليومية'!$H$11:$H$1010,'قيود اليومية'!$C$11:$C$1010,$A116,'قيود اليومية'!$I$11:$I$1010,"مرحل ✔"),SUMPRODUCT((LEFT('قيود اليومية'!$C$11:$C$1010&amp;"",LEN($A116&amp;""))=$A116&amp;"")*('قيود اليومية'!$I$11:$I$1010="مرحل ✔")*'قيود اليومية'!$H$11:$H$1010)))</f>
        <v/>
      </c>
      <c r="E116" s="91" t="str">
        <f aca="false">IF($A116="","",MAX(C116-D116,0))</f>
        <v/>
      </c>
      <c r="F116" s="91" t="str">
        <f aca="false">IF($A116="","",MAX(D116-C116,0))</f>
        <v/>
      </c>
      <c r="G116" s="55" t="str">
        <f aca="false">IF($A116="","",'شجرة الحسابات'!C116&amp;"")</f>
        <v/>
      </c>
      <c r="H116" s="55" t="str">
        <f aca="false">IF($A116="","",'شجرة الحسابات'!E116&amp;"")</f>
        <v/>
      </c>
      <c r="I116" s="55" t="str">
        <f aca="false">IF($A116="","",'شجرة الحسابات'!H116&amp;"")</f>
        <v/>
      </c>
      <c r="J116" s="55" t="str">
        <f aca="false">IF($A116="","",'شجرة الحسابات'!I116&amp;"")</f>
        <v/>
      </c>
      <c r="K116" s="92" t="str">
        <f aca="false">IF(OR($A116="",$G116&lt;&gt;"تحليلي"),"",E116-F116)</f>
        <v/>
      </c>
    </row>
    <row r="117" customFormat="false" ht="15" hidden="false" customHeight="false" outlineLevel="0" collapsed="false">
      <c r="A117" s="90" t="str">
        <f aca="false">IF('شجرة الحسابات'!A117="","",'شجرة الحسابات'!A117)</f>
        <v/>
      </c>
      <c r="B117" s="51" t="str">
        <f aca="false">IF($A117="","",'شجرة الحسابات'!B117)</f>
        <v/>
      </c>
      <c r="C117" s="85" t="str">
        <f aca="false">IF($A117="","",IF($G117="تحليلي",SUMIFS('قيود اليومية'!$G$11:$G$1010,'قيود اليومية'!$C$11:$C$1010,$A117,'قيود اليومية'!$I$11:$I$1010,"مرحل ✔"),SUMPRODUCT((LEFT('قيود اليومية'!$C$11:$C$1010&amp;"",LEN($A117&amp;""))=$A117&amp;"")*('قيود اليومية'!$I$11:$I$1010="مرحل ✔")*'قيود اليومية'!$G$11:$G$1010)))</f>
        <v/>
      </c>
      <c r="D117" s="85" t="str">
        <f aca="false">IF($A117="","",IF($G117="تحليلي",SUMIFS('قيود اليومية'!$H$11:$H$1010,'قيود اليومية'!$C$11:$C$1010,$A117,'قيود اليومية'!$I$11:$I$1010,"مرحل ✔"),SUMPRODUCT((LEFT('قيود اليومية'!$C$11:$C$1010&amp;"",LEN($A117&amp;""))=$A117&amp;"")*('قيود اليومية'!$I$11:$I$1010="مرحل ✔")*'قيود اليومية'!$H$11:$H$1010)))</f>
        <v/>
      </c>
      <c r="E117" s="91" t="str">
        <f aca="false">IF($A117="","",MAX(C117-D117,0))</f>
        <v/>
      </c>
      <c r="F117" s="91" t="str">
        <f aca="false">IF($A117="","",MAX(D117-C117,0))</f>
        <v/>
      </c>
      <c r="G117" s="55" t="str">
        <f aca="false">IF($A117="","",'شجرة الحسابات'!C117&amp;"")</f>
        <v/>
      </c>
      <c r="H117" s="55" t="str">
        <f aca="false">IF($A117="","",'شجرة الحسابات'!E117&amp;"")</f>
        <v/>
      </c>
      <c r="I117" s="55" t="str">
        <f aca="false">IF($A117="","",'شجرة الحسابات'!H117&amp;"")</f>
        <v/>
      </c>
      <c r="J117" s="55" t="str">
        <f aca="false">IF($A117="","",'شجرة الحسابات'!I117&amp;"")</f>
        <v/>
      </c>
      <c r="K117" s="92" t="str">
        <f aca="false">IF(OR($A117="",$G117&lt;&gt;"تحليلي"),"",E117-F117)</f>
        <v/>
      </c>
    </row>
    <row r="118" customFormat="false" ht="15" hidden="false" customHeight="false" outlineLevel="0" collapsed="false">
      <c r="A118" s="90" t="str">
        <f aca="false">IF('شجرة الحسابات'!A118="","",'شجرة الحسابات'!A118)</f>
        <v/>
      </c>
      <c r="B118" s="51" t="str">
        <f aca="false">IF($A118="","",'شجرة الحسابات'!B118)</f>
        <v/>
      </c>
      <c r="C118" s="85" t="str">
        <f aca="false">IF($A118="","",IF($G118="تحليلي",SUMIFS('قيود اليومية'!$G$11:$G$1010,'قيود اليومية'!$C$11:$C$1010,$A118,'قيود اليومية'!$I$11:$I$1010,"مرحل ✔"),SUMPRODUCT((LEFT('قيود اليومية'!$C$11:$C$1010&amp;"",LEN($A118&amp;""))=$A118&amp;"")*('قيود اليومية'!$I$11:$I$1010="مرحل ✔")*'قيود اليومية'!$G$11:$G$1010)))</f>
        <v/>
      </c>
      <c r="D118" s="85" t="str">
        <f aca="false">IF($A118="","",IF($G118="تحليلي",SUMIFS('قيود اليومية'!$H$11:$H$1010,'قيود اليومية'!$C$11:$C$1010,$A118,'قيود اليومية'!$I$11:$I$1010,"مرحل ✔"),SUMPRODUCT((LEFT('قيود اليومية'!$C$11:$C$1010&amp;"",LEN($A118&amp;""))=$A118&amp;"")*('قيود اليومية'!$I$11:$I$1010="مرحل ✔")*'قيود اليومية'!$H$11:$H$1010)))</f>
        <v/>
      </c>
      <c r="E118" s="91" t="str">
        <f aca="false">IF($A118="","",MAX(C118-D118,0))</f>
        <v/>
      </c>
      <c r="F118" s="91" t="str">
        <f aca="false">IF($A118="","",MAX(D118-C118,0))</f>
        <v/>
      </c>
      <c r="G118" s="55" t="str">
        <f aca="false">IF($A118="","",'شجرة الحسابات'!C118&amp;"")</f>
        <v/>
      </c>
      <c r="H118" s="55" t="str">
        <f aca="false">IF($A118="","",'شجرة الحسابات'!E118&amp;"")</f>
        <v/>
      </c>
      <c r="I118" s="55" t="str">
        <f aca="false">IF($A118="","",'شجرة الحسابات'!H118&amp;"")</f>
        <v/>
      </c>
      <c r="J118" s="55" t="str">
        <f aca="false">IF($A118="","",'شجرة الحسابات'!I118&amp;"")</f>
        <v/>
      </c>
      <c r="K118" s="92" t="str">
        <f aca="false">IF(OR($A118="",$G118&lt;&gt;"تحليلي"),"",E118-F118)</f>
        <v/>
      </c>
    </row>
    <row r="119" customFormat="false" ht="15" hidden="false" customHeight="false" outlineLevel="0" collapsed="false">
      <c r="A119" s="90" t="str">
        <f aca="false">IF('شجرة الحسابات'!A119="","",'شجرة الحسابات'!A119)</f>
        <v/>
      </c>
      <c r="B119" s="51" t="str">
        <f aca="false">IF($A119="","",'شجرة الحسابات'!B119)</f>
        <v/>
      </c>
      <c r="C119" s="85" t="str">
        <f aca="false">IF($A119="","",IF($G119="تحليلي",SUMIFS('قيود اليومية'!$G$11:$G$1010,'قيود اليومية'!$C$11:$C$1010,$A119,'قيود اليومية'!$I$11:$I$1010,"مرحل ✔"),SUMPRODUCT((LEFT('قيود اليومية'!$C$11:$C$1010&amp;"",LEN($A119&amp;""))=$A119&amp;"")*('قيود اليومية'!$I$11:$I$1010="مرحل ✔")*'قيود اليومية'!$G$11:$G$1010)))</f>
        <v/>
      </c>
      <c r="D119" s="85" t="str">
        <f aca="false">IF($A119="","",IF($G119="تحليلي",SUMIFS('قيود اليومية'!$H$11:$H$1010,'قيود اليومية'!$C$11:$C$1010,$A119,'قيود اليومية'!$I$11:$I$1010,"مرحل ✔"),SUMPRODUCT((LEFT('قيود اليومية'!$C$11:$C$1010&amp;"",LEN($A119&amp;""))=$A119&amp;"")*('قيود اليومية'!$I$11:$I$1010="مرحل ✔")*'قيود اليومية'!$H$11:$H$1010)))</f>
        <v/>
      </c>
      <c r="E119" s="91" t="str">
        <f aca="false">IF($A119="","",MAX(C119-D119,0))</f>
        <v/>
      </c>
      <c r="F119" s="91" t="str">
        <f aca="false">IF($A119="","",MAX(D119-C119,0))</f>
        <v/>
      </c>
      <c r="G119" s="55" t="str">
        <f aca="false">IF($A119="","",'شجرة الحسابات'!C119&amp;"")</f>
        <v/>
      </c>
      <c r="H119" s="55" t="str">
        <f aca="false">IF($A119="","",'شجرة الحسابات'!E119&amp;"")</f>
        <v/>
      </c>
      <c r="I119" s="55" t="str">
        <f aca="false">IF($A119="","",'شجرة الحسابات'!H119&amp;"")</f>
        <v/>
      </c>
      <c r="J119" s="55" t="str">
        <f aca="false">IF($A119="","",'شجرة الحسابات'!I119&amp;"")</f>
        <v/>
      </c>
      <c r="K119" s="92" t="str">
        <f aca="false">IF(OR($A119="",$G119&lt;&gt;"تحليلي"),"",E119-F119)</f>
        <v/>
      </c>
    </row>
    <row r="120" customFormat="false" ht="15" hidden="false" customHeight="false" outlineLevel="0" collapsed="false">
      <c r="A120" s="90" t="str">
        <f aca="false">IF('شجرة الحسابات'!A120="","",'شجرة الحسابات'!A120)</f>
        <v/>
      </c>
      <c r="B120" s="51" t="str">
        <f aca="false">IF($A120="","",'شجرة الحسابات'!B120)</f>
        <v/>
      </c>
      <c r="C120" s="85" t="str">
        <f aca="false">IF($A120="","",IF($G120="تحليلي",SUMIFS('قيود اليومية'!$G$11:$G$1010,'قيود اليومية'!$C$11:$C$1010,$A120,'قيود اليومية'!$I$11:$I$1010,"مرحل ✔"),SUMPRODUCT((LEFT('قيود اليومية'!$C$11:$C$1010&amp;"",LEN($A120&amp;""))=$A120&amp;"")*('قيود اليومية'!$I$11:$I$1010="مرحل ✔")*'قيود اليومية'!$G$11:$G$1010)))</f>
        <v/>
      </c>
      <c r="D120" s="85" t="str">
        <f aca="false">IF($A120="","",IF($G120="تحليلي",SUMIFS('قيود اليومية'!$H$11:$H$1010,'قيود اليومية'!$C$11:$C$1010,$A120,'قيود اليومية'!$I$11:$I$1010,"مرحل ✔"),SUMPRODUCT((LEFT('قيود اليومية'!$C$11:$C$1010&amp;"",LEN($A120&amp;""))=$A120&amp;"")*('قيود اليومية'!$I$11:$I$1010="مرحل ✔")*'قيود اليومية'!$H$11:$H$1010)))</f>
        <v/>
      </c>
      <c r="E120" s="91" t="str">
        <f aca="false">IF($A120="","",MAX(C120-D120,0))</f>
        <v/>
      </c>
      <c r="F120" s="91" t="str">
        <f aca="false">IF($A120="","",MAX(D120-C120,0))</f>
        <v/>
      </c>
      <c r="G120" s="55" t="str">
        <f aca="false">IF($A120="","",'شجرة الحسابات'!C120&amp;"")</f>
        <v/>
      </c>
      <c r="H120" s="55" t="str">
        <f aca="false">IF($A120="","",'شجرة الحسابات'!E120&amp;"")</f>
        <v/>
      </c>
      <c r="I120" s="55" t="str">
        <f aca="false">IF($A120="","",'شجرة الحسابات'!H120&amp;"")</f>
        <v/>
      </c>
      <c r="J120" s="55" t="str">
        <f aca="false">IF($A120="","",'شجرة الحسابات'!I120&amp;"")</f>
        <v/>
      </c>
      <c r="K120" s="92" t="str">
        <f aca="false">IF(OR($A120="",$G120&lt;&gt;"تحليلي"),"",E120-F120)</f>
        <v/>
      </c>
    </row>
    <row r="121" customFormat="false" ht="15" hidden="false" customHeight="false" outlineLevel="0" collapsed="false">
      <c r="A121" s="90" t="str">
        <f aca="false">IF('شجرة الحسابات'!A121="","",'شجرة الحسابات'!A121)</f>
        <v/>
      </c>
      <c r="B121" s="51" t="str">
        <f aca="false">IF($A121="","",'شجرة الحسابات'!B121)</f>
        <v/>
      </c>
      <c r="C121" s="85" t="str">
        <f aca="false">IF($A121="","",IF($G121="تحليلي",SUMIFS('قيود اليومية'!$G$11:$G$1010,'قيود اليومية'!$C$11:$C$1010,$A121,'قيود اليومية'!$I$11:$I$1010,"مرحل ✔"),SUMPRODUCT((LEFT('قيود اليومية'!$C$11:$C$1010&amp;"",LEN($A121&amp;""))=$A121&amp;"")*('قيود اليومية'!$I$11:$I$1010="مرحل ✔")*'قيود اليومية'!$G$11:$G$1010)))</f>
        <v/>
      </c>
      <c r="D121" s="85" t="str">
        <f aca="false">IF($A121="","",IF($G121="تحليلي",SUMIFS('قيود اليومية'!$H$11:$H$1010,'قيود اليومية'!$C$11:$C$1010,$A121,'قيود اليومية'!$I$11:$I$1010,"مرحل ✔"),SUMPRODUCT((LEFT('قيود اليومية'!$C$11:$C$1010&amp;"",LEN($A121&amp;""))=$A121&amp;"")*('قيود اليومية'!$I$11:$I$1010="مرحل ✔")*'قيود اليومية'!$H$11:$H$1010)))</f>
        <v/>
      </c>
      <c r="E121" s="91" t="str">
        <f aca="false">IF($A121="","",MAX(C121-D121,0))</f>
        <v/>
      </c>
      <c r="F121" s="91" t="str">
        <f aca="false">IF($A121="","",MAX(D121-C121,0))</f>
        <v/>
      </c>
      <c r="G121" s="55" t="str">
        <f aca="false">IF($A121="","",'شجرة الحسابات'!C121&amp;"")</f>
        <v/>
      </c>
      <c r="H121" s="55" t="str">
        <f aca="false">IF($A121="","",'شجرة الحسابات'!E121&amp;"")</f>
        <v/>
      </c>
      <c r="I121" s="55" t="str">
        <f aca="false">IF($A121="","",'شجرة الحسابات'!H121&amp;"")</f>
        <v/>
      </c>
      <c r="J121" s="55" t="str">
        <f aca="false">IF($A121="","",'شجرة الحسابات'!I121&amp;"")</f>
        <v/>
      </c>
      <c r="K121" s="92" t="str">
        <f aca="false">IF(OR($A121="",$G121&lt;&gt;"تحليلي"),"",E121-F121)</f>
        <v/>
      </c>
    </row>
    <row r="122" customFormat="false" ht="15" hidden="false" customHeight="false" outlineLevel="0" collapsed="false">
      <c r="A122" s="90" t="str">
        <f aca="false">IF('شجرة الحسابات'!A122="","",'شجرة الحسابات'!A122)</f>
        <v/>
      </c>
      <c r="B122" s="51" t="str">
        <f aca="false">IF($A122="","",'شجرة الحسابات'!B122)</f>
        <v/>
      </c>
      <c r="C122" s="85" t="str">
        <f aca="false">IF($A122="","",IF($G122="تحليلي",SUMIFS('قيود اليومية'!$G$11:$G$1010,'قيود اليومية'!$C$11:$C$1010,$A122,'قيود اليومية'!$I$11:$I$1010,"مرحل ✔"),SUMPRODUCT((LEFT('قيود اليومية'!$C$11:$C$1010&amp;"",LEN($A122&amp;""))=$A122&amp;"")*('قيود اليومية'!$I$11:$I$1010="مرحل ✔")*'قيود اليومية'!$G$11:$G$1010)))</f>
        <v/>
      </c>
      <c r="D122" s="85" t="str">
        <f aca="false">IF($A122="","",IF($G122="تحليلي",SUMIFS('قيود اليومية'!$H$11:$H$1010,'قيود اليومية'!$C$11:$C$1010,$A122,'قيود اليومية'!$I$11:$I$1010,"مرحل ✔"),SUMPRODUCT((LEFT('قيود اليومية'!$C$11:$C$1010&amp;"",LEN($A122&amp;""))=$A122&amp;"")*('قيود اليومية'!$I$11:$I$1010="مرحل ✔")*'قيود اليومية'!$H$11:$H$1010)))</f>
        <v/>
      </c>
      <c r="E122" s="91" t="str">
        <f aca="false">IF($A122="","",MAX(C122-D122,0))</f>
        <v/>
      </c>
      <c r="F122" s="91" t="str">
        <f aca="false">IF($A122="","",MAX(D122-C122,0))</f>
        <v/>
      </c>
      <c r="G122" s="55" t="str">
        <f aca="false">IF($A122="","",'شجرة الحسابات'!C122&amp;"")</f>
        <v/>
      </c>
      <c r="H122" s="55" t="str">
        <f aca="false">IF($A122="","",'شجرة الحسابات'!E122&amp;"")</f>
        <v/>
      </c>
      <c r="I122" s="55" t="str">
        <f aca="false">IF($A122="","",'شجرة الحسابات'!H122&amp;"")</f>
        <v/>
      </c>
      <c r="J122" s="55" t="str">
        <f aca="false">IF($A122="","",'شجرة الحسابات'!I122&amp;"")</f>
        <v/>
      </c>
      <c r="K122" s="92" t="str">
        <f aca="false">IF(OR($A122="",$G122&lt;&gt;"تحليلي"),"",E122-F122)</f>
        <v/>
      </c>
    </row>
    <row r="123" customFormat="false" ht="15" hidden="false" customHeight="false" outlineLevel="0" collapsed="false">
      <c r="A123" s="90" t="str">
        <f aca="false">IF('شجرة الحسابات'!A123="","",'شجرة الحسابات'!A123)</f>
        <v/>
      </c>
      <c r="B123" s="51" t="str">
        <f aca="false">IF($A123="","",'شجرة الحسابات'!B123)</f>
        <v/>
      </c>
      <c r="C123" s="85" t="str">
        <f aca="false">IF($A123="","",IF($G123="تحليلي",SUMIFS('قيود اليومية'!$G$11:$G$1010,'قيود اليومية'!$C$11:$C$1010,$A123,'قيود اليومية'!$I$11:$I$1010,"مرحل ✔"),SUMPRODUCT((LEFT('قيود اليومية'!$C$11:$C$1010&amp;"",LEN($A123&amp;""))=$A123&amp;"")*('قيود اليومية'!$I$11:$I$1010="مرحل ✔")*'قيود اليومية'!$G$11:$G$1010)))</f>
        <v/>
      </c>
      <c r="D123" s="85" t="str">
        <f aca="false">IF($A123="","",IF($G123="تحليلي",SUMIFS('قيود اليومية'!$H$11:$H$1010,'قيود اليومية'!$C$11:$C$1010,$A123,'قيود اليومية'!$I$11:$I$1010,"مرحل ✔"),SUMPRODUCT((LEFT('قيود اليومية'!$C$11:$C$1010&amp;"",LEN($A123&amp;""))=$A123&amp;"")*('قيود اليومية'!$I$11:$I$1010="مرحل ✔")*'قيود اليومية'!$H$11:$H$1010)))</f>
        <v/>
      </c>
      <c r="E123" s="91" t="str">
        <f aca="false">IF($A123="","",MAX(C123-D123,0))</f>
        <v/>
      </c>
      <c r="F123" s="91" t="str">
        <f aca="false">IF($A123="","",MAX(D123-C123,0))</f>
        <v/>
      </c>
      <c r="G123" s="55" t="str">
        <f aca="false">IF($A123="","",'شجرة الحسابات'!C123&amp;"")</f>
        <v/>
      </c>
      <c r="H123" s="55" t="str">
        <f aca="false">IF($A123="","",'شجرة الحسابات'!E123&amp;"")</f>
        <v/>
      </c>
      <c r="I123" s="55" t="str">
        <f aca="false">IF($A123="","",'شجرة الحسابات'!H123&amp;"")</f>
        <v/>
      </c>
      <c r="J123" s="55" t="str">
        <f aca="false">IF($A123="","",'شجرة الحسابات'!I123&amp;"")</f>
        <v/>
      </c>
      <c r="K123" s="92" t="str">
        <f aca="false">IF(OR($A123="",$G123&lt;&gt;"تحليلي"),"",E123-F123)</f>
        <v/>
      </c>
    </row>
    <row r="124" customFormat="false" ht="15" hidden="false" customHeight="false" outlineLevel="0" collapsed="false">
      <c r="A124" s="90" t="str">
        <f aca="false">IF('شجرة الحسابات'!A124="","",'شجرة الحسابات'!A124)</f>
        <v/>
      </c>
      <c r="B124" s="51" t="str">
        <f aca="false">IF($A124="","",'شجرة الحسابات'!B124)</f>
        <v/>
      </c>
      <c r="C124" s="85" t="str">
        <f aca="false">IF($A124="","",IF($G124="تحليلي",SUMIFS('قيود اليومية'!$G$11:$G$1010,'قيود اليومية'!$C$11:$C$1010,$A124,'قيود اليومية'!$I$11:$I$1010,"مرحل ✔"),SUMPRODUCT((LEFT('قيود اليومية'!$C$11:$C$1010&amp;"",LEN($A124&amp;""))=$A124&amp;"")*('قيود اليومية'!$I$11:$I$1010="مرحل ✔")*'قيود اليومية'!$G$11:$G$1010)))</f>
        <v/>
      </c>
      <c r="D124" s="85" t="str">
        <f aca="false">IF($A124="","",IF($G124="تحليلي",SUMIFS('قيود اليومية'!$H$11:$H$1010,'قيود اليومية'!$C$11:$C$1010,$A124,'قيود اليومية'!$I$11:$I$1010,"مرحل ✔"),SUMPRODUCT((LEFT('قيود اليومية'!$C$11:$C$1010&amp;"",LEN($A124&amp;""))=$A124&amp;"")*('قيود اليومية'!$I$11:$I$1010="مرحل ✔")*'قيود اليومية'!$H$11:$H$1010)))</f>
        <v/>
      </c>
      <c r="E124" s="91" t="str">
        <f aca="false">IF($A124="","",MAX(C124-D124,0))</f>
        <v/>
      </c>
      <c r="F124" s="91" t="str">
        <f aca="false">IF($A124="","",MAX(D124-C124,0))</f>
        <v/>
      </c>
      <c r="G124" s="55" t="str">
        <f aca="false">IF($A124="","",'شجرة الحسابات'!C124&amp;"")</f>
        <v/>
      </c>
      <c r="H124" s="55" t="str">
        <f aca="false">IF($A124="","",'شجرة الحسابات'!E124&amp;"")</f>
        <v/>
      </c>
      <c r="I124" s="55" t="str">
        <f aca="false">IF($A124="","",'شجرة الحسابات'!H124&amp;"")</f>
        <v/>
      </c>
      <c r="J124" s="55" t="str">
        <f aca="false">IF($A124="","",'شجرة الحسابات'!I124&amp;"")</f>
        <v/>
      </c>
      <c r="K124" s="92" t="str">
        <f aca="false">IF(OR($A124="",$G124&lt;&gt;"تحليلي"),"",E124-F124)</f>
        <v/>
      </c>
    </row>
    <row r="125" customFormat="false" ht="15" hidden="false" customHeight="false" outlineLevel="0" collapsed="false">
      <c r="A125" s="90" t="str">
        <f aca="false">IF('شجرة الحسابات'!A125="","",'شجرة الحسابات'!A125)</f>
        <v/>
      </c>
      <c r="B125" s="51" t="str">
        <f aca="false">IF($A125="","",'شجرة الحسابات'!B125)</f>
        <v/>
      </c>
      <c r="C125" s="85" t="str">
        <f aca="false">IF($A125="","",IF($G125="تحليلي",SUMIFS('قيود اليومية'!$G$11:$G$1010,'قيود اليومية'!$C$11:$C$1010,$A125,'قيود اليومية'!$I$11:$I$1010,"مرحل ✔"),SUMPRODUCT((LEFT('قيود اليومية'!$C$11:$C$1010&amp;"",LEN($A125&amp;""))=$A125&amp;"")*('قيود اليومية'!$I$11:$I$1010="مرحل ✔")*'قيود اليومية'!$G$11:$G$1010)))</f>
        <v/>
      </c>
      <c r="D125" s="85" t="str">
        <f aca="false">IF($A125="","",IF($G125="تحليلي",SUMIFS('قيود اليومية'!$H$11:$H$1010,'قيود اليومية'!$C$11:$C$1010,$A125,'قيود اليومية'!$I$11:$I$1010,"مرحل ✔"),SUMPRODUCT((LEFT('قيود اليومية'!$C$11:$C$1010&amp;"",LEN($A125&amp;""))=$A125&amp;"")*('قيود اليومية'!$I$11:$I$1010="مرحل ✔")*'قيود اليومية'!$H$11:$H$1010)))</f>
        <v/>
      </c>
      <c r="E125" s="91" t="str">
        <f aca="false">IF($A125="","",MAX(C125-D125,0))</f>
        <v/>
      </c>
      <c r="F125" s="91" t="str">
        <f aca="false">IF($A125="","",MAX(D125-C125,0))</f>
        <v/>
      </c>
      <c r="G125" s="55" t="str">
        <f aca="false">IF($A125="","",'شجرة الحسابات'!C125&amp;"")</f>
        <v/>
      </c>
      <c r="H125" s="55" t="str">
        <f aca="false">IF($A125="","",'شجرة الحسابات'!E125&amp;"")</f>
        <v/>
      </c>
      <c r="I125" s="55" t="str">
        <f aca="false">IF($A125="","",'شجرة الحسابات'!H125&amp;"")</f>
        <v/>
      </c>
      <c r="J125" s="55" t="str">
        <f aca="false">IF($A125="","",'شجرة الحسابات'!I125&amp;"")</f>
        <v/>
      </c>
      <c r="K125" s="92" t="str">
        <f aca="false">IF(OR($A125="",$G125&lt;&gt;"تحليلي"),"",E125-F125)</f>
        <v/>
      </c>
    </row>
    <row r="126" customFormat="false" ht="15" hidden="false" customHeight="false" outlineLevel="0" collapsed="false">
      <c r="A126" s="90" t="str">
        <f aca="false">IF('شجرة الحسابات'!A126="","",'شجرة الحسابات'!A126)</f>
        <v/>
      </c>
      <c r="B126" s="51" t="str">
        <f aca="false">IF($A126="","",'شجرة الحسابات'!B126)</f>
        <v/>
      </c>
      <c r="C126" s="85" t="str">
        <f aca="false">IF($A126="","",IF($G126="تحليلي",SUMIFS('قيود اليومية'!$G$11:$G$1010,'قيود اليومية'!$C$11:$C$1010,$A126,'قيود اليومية'!$I$11:$I$1010,"مرحل ✔"),SUMPRODUCT((LEFT('قيود اليومية'!$C$11:$C$1010&amp;"",LEN($A126&amp;""))=$A126&amp;"")*('قيود اليومية'!$I$11:$I$1010="مرحل ✔")*'قيود اليومية'!$G$11:$G$1010)))</f>
        <v/>
      </c>
      <c r="D126" s="85" t="str">
        <f aca="false">IF($A126="","",IF($G126="تحليلي",SUMIFS('قيود اليومية'!$H$11:$H$1010,'قيود اليومية'!$C$11:$C$1010,$A126,'قيود اليومية'!$I$11:$I$1010,"مرحل ✔"),SUMPRODUCT((LEFT('قيود اليومية'!$C$11:$C$1010&amp;"",LEN($A126&amp;""))=$A126&amp;"")*('قيود اليومية'!$I$11:$I$1010="مرحل ✔")*'قيود اليومية'!$H$11:$H$1010)))</f>
        <v/>
      </c>
      <c r="E126" s="91" t="str">
        <f aca="false">IF($A126="","",MAX(C126-D126,0))</f>
        <v/>
      </c>
      <c r="F126" s="91" t="str">
        <f aca="false">IF($A126="","",MAX(D126-C126,0))</f>
        <v/>
      </c>
      <c r="G126" s="55" t="str">
        <f aca="false">IF($A126="","",'شجرة الحسابات'!C126&amp;"")</f>
        <v/>
      </c>
      <c r="H126" s="55" t="str">
        <f aca="false">IF($A126="","",'شجرة الحسابات'!E126&amp;"")</f>
        <v/>
      </c>
      <c r="I126" s="55" t="str">
        <f aca="false">IF($A126="","",'شجرة الحسابات'!H126&amp;"")</f>
        <v/>
      </c>
      <c r="J126" s="55" t="str">
        <f aca="false">IF($A126="","",'شجرة الحسابات'!I126&amp;"")</f>
        <v/>
      </c>
      <c r="K126" s="92" t="str">
        <f aca="false">IF(OR($A126="",$G126&lt;&gt;"تحليلي"),"",E126-F126)</f>
        <v/>
      </c>
    </row>
    <row r="127" customFormat="false" ht="15" hidden="false" customHeight="false" outlineLevel="0" collapsed="false">
      <c r="A127" s="90" t="str">
        <f aca="false">IF('شجرة الحسابات'!A127="","",'شجرة الحسابات'!A127)</f>
        <v/>
      </c>
      <c r="B127" s="51" t="str">
        <f aca="false">IF($A127="","",'شجرة الحسابات'!B127)</f>
        <v/>
      </c>
      <c r="C127" s="85" t="str">
        <f aca="false">IF($A127="","",IF($G127="تحليلي",SUMIFS('قيود اليومية'!$G$11:$G$1010,'قيود اليومية'!$C$11:$C$1010,$A127,'قيود اليومية'!$I$11:$I$1010,"مرحل ✔"),SUMPRODUCT((LEFT('قيود اليومية'!$C$11:$C$1010&amp;"",LEN($A127&amp;""))=$A127&amp;"")*('قيود اليومية'!$I$11:$I$1010="مرحل ✔")*'قيود اليومية'!$G$11:$G$1010)))</f>
        <v/>
      </c>
      <c r="D127" s="85" t="str">
        <f aca="false">IF($A127="","",IF($G127="تحليلي",SUMIFS('قيود اليومية'!$H$11:$H$1010,'قيود اليومية'!$C$11:$C$1010,$A127,'قيود اليومية'!$I$11:$I$1010,"مرحل ✔"),SUMPRODUCT((LEFT('قيود اليومية'!$C$11:$C$1010&amp;"",LEN($A127&amp;""))=$A127&amp;"")*('قيود اليومية'!$I$11:$I$1010="مرحل ✔")*'قيود اليومية'!$H$11:$H$1010)))</f>
        <v/>
      </c>
      <c r="E127" s="91" t="str">
        <f aca="false">IF($A127="","",MAX(C127-D127,0))</f>
        <v/>
      </c>
      <c r="F127" s="91" t="str">
        <f aca="false">IF($A127="","",MAX(D127-C127,0))</f>
        <v/>
      </c>
      <c r="G127" s="55" t="str">
        <f aca="false">IF($A127="","",'شجرة الحسابات'!C127&amp;"")</f>
        <v/>
      </c>
      <c r="H127" s="55" t="str">
        <f aca="false">IF($A127="","",'شجرة الحسابات'!E127&amp;"")</f>
        <v/>
      </c>
      <c r="I127" s="55" t="str">
        <f aca="false">IF($A127="","",'شجرة الحسابات'!H127&amp;"")</f>
        <v/>
      </c>
      <c r="J127" s="55" t="str">
        <f aca="false">IF($A127="","",'شجرة الحسابات'!I127&amp;"")</f>
        <v/>
      </c>
      <c r="K127" s="92" t="str">
        <f aca="false">IF(OR($A127="",$G127&lt;&gt;"تحليلي"),"",E127-F127)</f>
        <v/>
      </c>
    </row>
    <row r="128" customFormat="false" ht="15" hidden="false" customHeight="false" outlineLevel="0" collapsed="false">
      <c r="A128" s="90" t="str">
        <f aca="false">IF('شجرة الحسابات'!A128="","",'شجرة الحسابات'!A128)</f>
        <v/>
      </c>
      <c r="B128" s="51" t="str">
        <f aca="false">IF($A128="","",'شجرة الحسابات'!B128)</f>
        <v/>
      </c>
      <c r="C128" s="85" t="str">
        <f aca="false">IF($A128="","",IF($G128="تحليلي",SUMIFS('قيود اليومية'!$G$11:$G$1010,'قيود اليومية'!$C$11:$C$1010,$A128,'قيود اليومية'!$I$11:$I$1010,"مرحل ✔"),SUMPRODUCT((LEFT('قيود اليومية'!$C$11:$C$1010&amp;"",LEN($A128&amp;""))=$A128&amp;"")*('قيود اليومية'!$I$11:$I$1010="مرحل ✔")*'قيود اليومية'!$G$11:$G$1010)))</f>
        <v/>
      </c>
      <c r="D128" s="85" t="str">
        <f aca="false">IF($A128="","",IF($G128="تحليلي",SUMIFS('قيود اليومية'!$H$11:$H$1010,'قيود اليومية'!$C$11:$C$1010,$A128,'قيود اليومية'!$I$11:$I$1010,"مرحل ✔"),SUMPRODUCT((LEFT('قيود اليومية'!$C$11:$C$1010&amp;"",LEN($A128&amp;""))=$A128&amp;"")*('قيود اليومية'!$I$11:$I$1010="مرحل ✔")*'قيود اليومية'!$H$11:$H$1010)))</f>
        <v/>
      </c>
      <c r="E128" s="91" t="str">
        <f aca="false">IF($A128="","",MAX(C128-D128,0))</f>
        <v/>
      </c>
      <c r="F128" s="91" t="str">
        <f aca="false">IF($A128="","",MAX(D128-C128,0))</f>
        <v/>
      </c>
      <c r="G128" s="55" t="str">
        <f aca="false">IF($A128="","",'شجرة الحسابات'!C128&amp;"")</f>
        <v/>
      </c>
      <c r="H128" s="55" t="str">
        <f aca="false">IF($A128="","",'شجرة الحسابات'!E128&amp;"")</f>
        <v/>
      </c>
      <c r="I128" s="55" t="str">
        <f aca="false">IF($A128="","",'شجرة الحسابات'!H128&amp;"")</f>
        <v/>
      </c>
      <c r="J128" s="55" t="str">
        <f aca="false">IF($A128="","",'شجرة الحسابات'!I128&amp;"")</f>
        <v/>
      </c>
      <c r="K128" s="92" t="str">
        <f aca="false">IF(OR($A128="",$G128&lt;&gt;"تحليلي"),"",E128-F128)</f>
        <v/>
      </c>
    </row>
    <row r="129" customFormat="false" ht="15" hidden="false" customHeight="false" outlineLevel="0" collapsed="false">
      <c r="A129" s="90" t="str">
        <f aca="false">IF('شجرة الحسابات'!A129="","",'شجرة الحسابات'!A129)</f>
        <v/>
      </c>
      <c r="B129" s="51" t="str">
        <f aca="false">IF($A129="","",'شجرة الحسابات'!B129)</f>
        <v/>
      </c>
      <c r="C129" s="85" t="str">
        <f aca="false">IF($A129="","",IF($G129="تحليلي",SUMIFS('قيود اليومية'!$G$11:$G$1010,'قيود اليومية'!$C$11:$C$1010,$A129,'قيود اليومية'!$I$11:$I$1010,"مرحل ✔"),SUMPRODUCT((LEFT('قيود اليومية'!$C$11:$C$1010&amp;"",LEN($A129&amp;""))=$A129&amp;"")*('قيود اليومية'!$I$11:$I$1010="مرحل ✔")*'قيود اليومية'!$G$11:$G$1010)))</f>
        <v/>
      </c>
      <c r="D129" s="85" t="str">
        <f aca="false">IF($A129="","",IF($G129="تحليلي",SUMIFS('قيود اليومية'!$H$11:$H$1010,'قيود اليومية'!$C$11:$C$1010,$A129,'قيود اليومية'!$I$11:$I$1010,"مرحل ✔"),SUMPRODUCT((LEFT('قيود اليومية'!$C$11:$C$1010&amp;"",LEN($A129&amp;""))=$A129&amp;"")*('قيود اليومية'!$I$11:$I$1010="مرحل ✔")*'قيود اليومية'!$H$11:$H$1010)))</f>
        <v/>
      </c>
      <c r="E129" s="91" t="str">
        <f aca="false">IF($A129="","",MAX(C129-D129,0))</f>
        <v/>
      </c>
      <c r="F129" s="91" t="str">
        <f aca="false">IF($A129="","",MAX(D129-C129,0))</f>
        <v/>
      </c>
      <c r="G129" s="55" t="str">
        <f aca="false">IF($A129="","",'شجرة الحسابات'!C129&amp;"")</f>
        <v/>
      </c>
      <c r="H129" s="55" t="str">
        <f aca="false">IF($A129="","",'شجرة الحسابات'!E129&amp;"")</f>
        <v/>
      </c>
      <c r="I129" s="55" t="str">
        <f aca="false">IF($A129="","",'شجرة الحسابات'!H129&amp;"")</f>
        <v/>
      </c>
      <c r="J129" s="55" t="str">
        <f aca="false">IF($A129="","",'شجرة الحسابات'!I129&amp;"")</f>
        <v/>
      </c>
      <c r="K129" s="92" t="str">
        <f aca="false">IF(OR($A129="",$G129&lt;&gt;"تحليلي"),"",E129-F129)</f>
        <v/>
      </c>
    </row>
    <row r="130" customFormat="false" ht="15" hidden="false" customHeight="false" outlineLevel="0" collapsed="false">
      <c r="A130" s="90" t="str">
        <f aca="false">IF('شجرة الحسابات'!A130="","",'شجرة الحسابات'!A130)</f>
        <v/>
      </c>
      <c r="B130" s="51" t="str">
        <f aca="false">IF($A130="","",'شجرة الحسابات'!B130)</f>
        <v/>
      </c>
      <c r="C130" s="85" t="str">
        <f aca="false">IF($A130="","",IF($G130="تحليلي",SUMIFS('قيود اليومية'!$G$11:$G$1010,'قيود اليومية'!$C$11:$C$1010,$A130,'قيود اليومية'!$I$11:$I$1010,"مرحل ✔"),SUMPRODUCT((LEFT('قيود اليومية'!$C$11:$C$1010&amp;"",LEN($A130&amp;""))=$A130&amp;"")*('قيود اليومية'!$I$11:$I$1010="مرحل ✔")*'قيود اليومية'!$G$11:$G$1010)))</f>
        <v/>
      </c>
      <c r="D130" s="85" t="str">
        <f aca="false">IF($A130="","",IF($G130="تحليلي",SUMIFS('قيود اليومية'!$H$11:$H$1010,'قيود اليومية'!$C$11:$C$1010,$A130,'قيود اليومية'!$I$11:$I$1010,"مرحل ✔"),SUMPRODUCT((LEFT('قيود اليومية'!$C$11:$C$1010&amp;"",LEN($A130&amp;""))=$A130&amp;"")*('قيود اليومية'!$I$11:$I$1010="مرحل ✔")*'قيود اليومية'!$H$11:$H$1010)))</f>
        <v/>
      </c>
      <c r="E130" s="91" t="str">
        <f aca="false">IF($A130="","",MAX(C130-D130,0))</f>
        <v/>
      </c>
      <c r="F130" s="91" t="str">
        <f aca="false">IF($A130="","",MAX(D130-C130,0))</f>
        <v/>
      </c>
      <c r="G130" s="55" t="str">
        <f aca="false">IF($A130="","",'شجرة الحسابات'!C130&amp;"")</f>
        <v/>
      </c>
      <c r="H130" s="55" t="str">
        <f aca="false">IF($A130="","",'شجرة الحسابات'!E130&amp;"")</f>
        <v/>
      </c>
      <c r="I130" s="55" t="str">
        <f aca="false">IF($A130="","",'شجرة الحسابات'!H130&amp;"")</f>
        <v/>
      </c>
      <c r="J130" s="55" t="str">
        <f aca="false">IF($A130="","",'شجرة الحسابات'!I130&amp;"")</f>
        <v/>
      </c>
      <c r="K130" s="92" t="str">
        <f aca="false">IF(OR($A130="",$G130&lt;&gt;"تحليلي"),"",E130-F130)</f>
        <v/>
      </c>
    </row>
    <row r="131" customFormat="false" ht="15" hidden="false" customHeight="false" outlineLevel="0" collapsed="false">
      <c r="A131" s="90" t="str">
        <f aca="false">IF('شجرة الحسابات'!A131="","",'شجرة الحسابات'!A131)</f>
        <v/>
      </c>
      <c r="B131" s="51" t="str">
        <f aca="false">IF($A131="","",'شجرة الحسابات'!B131)</f>
        <v/>
      </c>
      <c r="C131" s="85" t="str">
        <f aca="false">IF($A131="","",IF($G131="تحليلي",SUMIFS('قيود اليومية'!$G$11:$G$1010,'قيود اليومية'!$C$11:$C$1010,$A131,'قيود اليومية'!$I$11:$I$1010,"مرحل ✔"),SUMPRODUCT((LEFT('قيود اليومية'!$C$11:$C$1010&amp;"",LEN($A131&amp;""))=$A131&amp;"")*('قيود اليومية'!$I$11:$I$1010="مرحل ✔")*'قيود اليومية'!$G$11:$G$1010)))</f>
        <v/>
      </c>
      <c r="D131" s="85" t="str">
        <f aca="false">IF($A131="","",IF($G131="تحليلي",SUMIFS('قيود اليومية'!$H$11:$H$1010,'قيود اليومية'!$C$11:$C$1010,$A131,'قيود اليومية'!$I$11:$I$1010,"مرحل ✔"),SUMPRODUCT((LEFT('قيود اليومية'!$C$11:$C$1010&amp;"",LEN($A131&amp;""))=$A131&amp;"")*('قيود اليومية'!$I$11:$I$1010="مرحل ✔")*'قيود اليومية'!$H$11:$H$1010)))</f>
        <v/>
      </c>
      <c r="E131" s="91" t="str">
        <f aca="false">IF($A131="","",MAX(C131-D131,0))</f>
        <v/>
      </c>
      <c r="F131" s="91" t="str">
        <f aca="false">IF($A131="","",MAX(D131-C131,0))</f>
        <v/>
      </c>
      <c r="G131" s="55" t="str">
        <f aca="false">IF($A131="","",'شجرة الحسابات'!C131&amp;"")</f>
        <v/>
      </c>
      <c r="H131" s="55" t="str">
        <f aca="false">IF($A131="","",'شجرة الحسابات'!E131&amp;"")</f>
        <v/>
      </c>
      <c r="I131" s="55" t="str">
        <f aca="false">IF($A131="","",'شجرة الحسابات'!H131&amp;"")</f>
        <v/>
      </c>
      <c r="J131" s="55" t="str">
        <f aca="false">IF($A131="","",'شجرة الحسابات'!I131&amp;"")</f>
        <v/>
      </c>
      <c r="K131" s="92" t="str">
        <f aca="false">IF(OR($A131="",$G131&lt;&gt;"تحليلي"),"",E131-F131)</f>
        <v/>
      </c>
    </row>
    <row r="132" customFormat="false" ht="15" hidden="false" customHeight="false" outlineLevel="0" collapsed="false">
      <c r="A132" s="90" t="str">
        <f aca="false">IF('شجرة الحسابات'!A132="","",'شجرة الحسابات'!A132)</f>
        <v/>
      </c>
      <c r="B132" s="51" t="str">
        <f aca="false">IF($A132="","",'شجرة الحسابات'!B132)</f>
        <v/>
      </c>
      <c r="C132" s="85" t="str">
        <f aca="false">IF($A132="","",IF($G132="تحليلي",SUMIFS('قيود اليومية'!$G$11:$G$1010,'قيود اليومية'!$C$11:$C$1010,$A132,'قيود اليومية'!$I$11:$I$1010,"مرحل ✔"),SUMPRODUCT((LEFT('قيود اليومية'!$C$11:$C$1010&amp;"",LEN($A132&amp;""))=$A132&amp;"")*('قيود اليومية'!$I$11:$I$1010="مرحل ✔")*'قيود اليومية'!$G$11:$G$1010)))</f>
        <v/>
      </c>
      <c r="D132" s="85" t="str">
        <f aca="false">IF($A132="","",IF($G132="تحليلي",SUMIFS('قيود اليومية'!$H$11:$H$1010,'قيود اليومية'!$C$11:$C$1010,$A132,'قيود اليومية'!$I$11:$I$1010,"مرحل ✔"),SUMPRODUCT((LEFT('قيود اليومية'!$C$11:$C$1010&amp;"",LEN($A132&amp;""))=$A132&amp;"")*('قيود اليومية'!$I$11:$I$1010="مرحل ✔")*'قيود اليومية'!$H$11:$H$1010)))</f>
        <v/>
      </c>
      <c r="E132" s="91" t="str">
        <f aca="false">IF($A132="","",MAX(C132-D132,0))</f>
        <v/>
      </c>
      <c r="F132" s="91" t="str">
        <f aca="false">IF($A132="","",MAX(D132-C132,0))</f>
        <v/>
      </c>
      <c r="G132" s="55" t="str">
        <f aca="false">IF($A132="","",'شجرة الحسابات'!C132&amp;"")</f>
        <v/>
      </c>
      <c r="H132" s="55" t="str">
        <f aca="false">IF($A132="","",'شجرة الحسابات'!E132&amp;"")</f>
        <v/>
      </c>
      <c r="I132" s="55" t="str">
        <f aca="false">IF($A132="","",'شجرة الحسابات'!H132&amp;"")</f>
        <v/>
      </c>
      <c r="J132" s="55" t="str">
        <f aca="false">IF($A132="","",'شجرة الحسابات'!I132&amp;"")</f>
        <v/>
      </c>
      <c r="K132" s="92" t="str">
        <f aca="false">IF(OR($A132="",$G132&lt;&gt;"تحليلي"),"",E132-F132)</f>
        <v/>
      </c>
    </row>
    <row r="133" customFormat="false" ht="15" hidden="false" customHeight="false" outlineLevel="0" collapsed="false">
      <c r="A133" s="90" t="str">
        <f aca="false">IF('شجرة الحسابات'!A133="","",'شجرة الحسابات'!A133)</f>
        <v/>
      </c>
      <c r="B133" s="51" t="str">
        <f aca="false">IF($A133="","",'شجرة الحسابات'!B133)</f>
        <v/>
      </c>
      <c r="C133" s="85" t="str">
        <f aca="false">IF($A133="","",IF($G133="تحليلي",SUMIFS('قيود اليومية'!$G$11:$G$1010,'قيود اليومية'!$C$11:$C$1010,$A133,'قيود اليومية'!$I$11:$I$1010,"مرحل ✔"),SUMPRODUCT((LEFT('قيود اليومية'!$C$11:$C$1010&amp;"",LEN($A133&amp;""))=$A133&amp;"")*('قيود اليومية'!$I$11:$I$1010="مرحل ✔")*'قيود اليومية'!$G$11:$G$1010)))</f>
        <v/>
      </c>
      <c r="D133" s="85" t="str">
        <f aca="false">IF($A133="","",IF($G133="تحليلي",SUMIFS('قيود اليومية'!$H$11:$H$1010,'قيود اليومية'!$C$11:$C$1010,$A133,'قيود اليومية'!$I$11:$I$1010,"مرحل ✔"),SUMPRODUCT((LEFT('قيود اليومية'!$C$11:$C$1010&amp;"",LEN($A133&amp;""))=$A133&amp;"")*('قيود اليومية'!$I$11:$I$1010="مرحل ✔")*'قيود اليومية'!$H$11:$H$1010)))</f>
        <v/>
      </c>
      <c r="E133" s="91" t="str">
        <f aca="false">IF($A133="","",MAX(C133-D133,0))</f>
        <v/>
      </c>
      <c r="F133" s="91" t="str">
        <f aca="false">IF($A133="","",MAX(D133-C133,0))</f>
        <v/>
      </c>
      <c r="G133" s="55" t="str">
        <f aca="false">IF($A133="","",'شجرة الحسابات'!C133&amp;"")</f>
        <v/>
      </c>
      <c r="H133" s="55" t="str">
        <f aca="false">IF($A133="","",'شجرة الحسابات'!E133&amp;"")</f>
        <v/>
      </c>
      <c r="I133" s="55" t="str">
        <f aca="false">IF($A133="","",'شجرة الحسابات'!H133&amp;"")</f>
        <v/>
      </c>
      <c r="J133" s="55" t="str">
        <f aca="false">IF($A133="","",'شجرة الحسابات'!I133&amp;"")</f>
        <v/>
      </c>
      <c r="K133" s="92" t="str">
        <f aca="false">IF(OR($A133="",$G133&lt;&gt;"تحليلي"),"",E133-F133)</f>
        <v/>
      </c>
    </row>
    <row r="134" customFormat="false" ht="15" hidden="false" customHeight="false" outlineLevel="0" collapsed="false">
      <c r="A134" s="90" t="str">
        <f aca="false">IF('شجرة الحسابات'!A134="","",'شجرة الحسابات'!A134)</f>
        <v/>
      </c>
      <c r="B134" s="51" t="str">
        <f aca="false">IF($A134="","",'شجرة الحسابات'!B134)</f>
        <v/>
      </c>
      <c r="C134" s="85" t="str">
        <f aca="false">IF($A134="","",IF($G134="تحليلي",SUMIFS('قيود اليومية'!$G$11:$G$1010,'قيود اليومية'!$C$11:$C$1010,$A134,'قيود اليومية'!$I$11:$I$1010,"مرحل ✔"),SUMPRODUCT((LEFT('قيود اليومية'!$C$11:$C$1010&amp;"",LEN($A134&amp;""))=$A134&amp;"")*('قيود اليومية'!$I$11:$I$1010="مرحل ✔")*'قيود اليومية'!$G$11:$G$1010)))</f>
        <v/>
      </c>
      <c r="D134" s="85" t="str">
        <f aca="false">IF($A134="","",IF($G134="تحليلي",SUMIFS('قيود اليومية'!$H$11:$H$1010,'قيود اليومية'!$C$11:$C$1010,$A134,'قيود اليومية'!$I$11:$I$1010,"مرحل ✔"),SUMPRODUCT((LEFT('قيود اليومية'!$C$11:$C$1010&amp;"",LEN($A134&amp;""))=$A134&amp;"")*('قيود اليومية'!$I$11:$I$1010="مرحل ✔")*'قيود اليومية'!$H$11:$H$1010)))</f>
        <v/>
      </c>
      <c r="E134" s="91" t="str">
        <f aca="false">IF($A134="","",MAX(C134-D134,0))</f>
        <v/>
      </c>
      <c r="F134" s="91" t="str">
        <f aca="false">IF($A134="","",MAX(D134-C134,0))</f>
        <v/>
      </c>
      <c r="G134" s="55" t="str">
        <f aca="false">IF($A134="","",'شجرة الحسابات'!C134&amp;"")</f>
        <v/>
      </c>
      <c r="H134" s="55" t="str">
        <f aca="false">IF($A134="","",'شجرة الحسابات'!E134&amp;"")</f>
        <v/>
      </c>
      <c r="I134" s="55" t="str">
        <f aca="false">IF($A134="","",'شجرة الحسابات'!H134&amp;"")</f>
        <v/>
      </c>
      <c r="J134" s="55" t="str">
        <f aca="false">IF($A134="","",'شجرة الحسابات'!I134&amp;"")</f>
        <v/>
      </c>
      <c r="K134" s="92" t="str">
        <f aca="false">IF(OR($A134="",$G134&lt;&gt;"تحليلي"),"",E134-F134)</f>
        <v/>
      </c>
    </row>
    <row r="135" customFormat="false" ht="15" hidden="false" customHeight="false" outlineLevel="0" collapsed="false">
      <c r="A135" s="90" t="str">
        <f aca="false">IF('شجرة الحسابات'!A135="","",'شجرة الحسابات'!A135)</f>
        <v/>
      </c>
      <c r="B135" s="51" t="str">
        <f aca="false">IF($A135="","",'شجرة الحسابات'!B135)</f>
        <v/>
      </c>
      <c r="C135" s="85" t="str">
        <f aca="false">IF($A135="","",IF($G135="تحليلي",SUMIFS('قيود اليومية'!$G$11:$G$1010,'قيود اليومية'!$C$11:$C$1010,$A135,'قيود اليومية'!$I$11:$I$1010,"مرحل ✔"),SUMPRODUCT((LEFT('قيود اليومية'!$C$11:$C$1010&amp;"",LEN($A135&amp;""))=$A135&amp;"")*('قيود اليومية'!$I$11:$I$1010="مرحل ✔")*'قيود اليومية'!$G$11:$G$1010)))</f>
        <v/>
      </c>
      <c r="D135" s="85" t="str">
        <f aca="false">IF($A135="","",IF($G135="تحليلي",SUMIFS('قيود اليومية'!$H$11:$H$1010,'قيود اليومية'!$C$11:$C$1010,$A135,'قيود اليومية'!$I$11:$I$1010,"مرحل ✔"),SUMPRODUCT((LEFT('قيود اليومية'!$C$11:$C$1010&amp;"",LEN($A135&amp;""))=$A135&amp;"")*('قيود اليومية'!$I$11:$I$1010="مرحل ✔")*'قيود اليومية'!$H$11:$H$1010)))</f>
        <v/>
      </c>
      <c r="E135" s="91" t="str">
        <f aca="false">IF($A135="","",MAX(C135-D135,0))</f>
        <v/>
      </c>
      <c r="F135" s="91" t="str">
        <f aca="false">IF($A135="","",MAX(D135-C135,0))</f>
        <v/>
      </c>
      <c r="G135" s="55" t="str">
        <f aca="false">IF($A135="","",'شجرة الحسابات'!C135&amp;"")</f>
        <v/>
      </c>
      <c r="H135" s="55" t="str">
        <f aca="false">IF($A135="","",'شجرة الحسابات'!E135&amp;"")</f>
        <v/>
      </c>
      <c r="I135" s="55" t="str">
        <f aca="false">IF($A135="","",'شجرة الحسابات'!H135&amp;"")</f>
        <v/>
      </c>
      <c r="J135" s="55" t="str">
        <f aca="false">IF($A135="","",'شجرة الحسابات'!I135&amp;"")</f>
        <v/>
      </c>
      <c r="K135" s="92" t="str">
        <f aca="false">IF(OR($A135="",$G135&lt;&gt;"تحليلي"),"",E135-F135)</f>
        <v/>
      </c>
    </row>
    <row r="136" customFormat="false" ht="15" hidden="false" customHeight="false" outlineLevel="0" collapsed="false">
      <c r="A136" s="90" t="str">
        <f aca="false">IF('شجرة الحسابات'!A136="","",'شجرة الحسابات'!A136)</f>
        <v/>
      </c>
      <c r="B136" s="51" t="str">
        <f aca="false">IF($A136="","",'شجرة الحسابات'!B136)</f>
        <v/>
      </c>
      <c r="C136" s="85" t="str">
        <f aca="false">IF($A136="","",IF($G136="تحليلي",SUMIFS('قيود اليومية'!$G$11:$G$1010,'قيود اليومية'!$C$11:$C$1010,$A136,'قيود اليومية'!$I$11:$I$1010,"مرحل ✔"),SUMPRODUCT((LEFT('قيود اليومية'!$C$11:$C$1010&amp;"",LEN($A136&amp;""))=$A136&amp;"")*('قيود اليومية'!$I$11:$I$1010="مرحل ✔")*'قيود اليومية'!$G$11:$G$1010)))</f>
        <v/>
      </c>
      <c r="D136" s="85" t="str">
        <f aca="false">IF($A136="","",IF($G136="تحليلي",SUMIFS('قيود اليومية'!$H$11:$H$1010,'قيود اليومية'!$C$11:$C$1010,$A136,'قيود اليومية'!$I$11:$I$1010,"مرحل ✔"),SUMPRODUCT((LEFT('قيود اليومية'!$C$11:$C$1010&amp;"",LEN($A136&amp;""))=$A136&amp;"")*('قيود اليومية'!$I$11:$I$1010="مرحل ✔")*'قيود اليومية'!$H$11:$H$1010)))</f>
        <v/>
      </c>
      <c r="E136" s="91" t="str">
        <f aca="false">IF($A136="","",MAX(C136-D136,0))</f>
        <v/>
      </c>
      <c r="F136" s="91" t="str">
        <f aca="false">IF($A136="","",MAX(D136-C136,0))</f>
        <v/>
      </c>
      <c r="G136" s="55" t="str">
        <f aca="false">IF($A136="","",'شجرة الحسابات'!C136&amp;"")</f>
        <v/>
      </c>
      <c r="H136" s="55" t="str">
        <f aca="false">IF($A136="","",'شجرة الحسابات'!E136&amp;"")</f>
        <v/>
      </c>
      <c r="I136" s="55" t="str">
        <f aca="false">IF($A136="","",'شجرة الحسابات'!H136&amp;"")</f>
        <v/>
      </c>
      <c r="J136" s="55" t="str">
        <f aca="false">IF($A136="","",'شجرة الحسابات'!I136&amp;"")</f>
        <v/>
      </c>
      <c r="K136" s="92" t="str">
        <f aca="false">IF(OR($A136="",$G136&lt;&gt;"تحليلي"),"",E136-F136)</f>
        <v/>
      </c>
    </row>
    <row r="137" customFormat="false" ht="15" hidden="false" customHeight="false" outlineLevel="0" collapsed="false">
      <c r="A137" s="90" t="str">
        <f aca="false">IF('شجرة الحسابات'!A137="","",'شجرة الحسابات'!A137)</f>
        <v/>
      </c>
      <c r="B137" s="51" t="str">
        <f aca="false">IF($A137="","",'شجرة الحسابات'!B137)</f>
        <v/>
      </c>
      <c r="C137" s="85" t="str">
        <f aca="false">IF($A137="","",IF($G137="تحليلي",SUMIFS('قيود اليومية'!$G$11:$G$1010,'قيود اليومية'!$C$11:$C$1010,$A137,'قيود اليومية'!$I$11:$I$1010,"مرحل ✔"),SUMPRODUCT((LEFT('قيود اليومية'!$C$11:$C$1010&amp;"",LEN($A137&amp;""))=$A137&amp;"")*('قيود اليومية'!$I$11:$I$1010="مرحل ✔")*'قيود اليومية'!$G$11:$G$1010)))</f>
        <v/>
      </c>
      <c r="D137" s="85" t="str">
        <f aca="false">IF($A137="","",IF($G137="تحليلي",SUMIFS('قيود اليومية'!$H$11:$H$1010,'قيود اليومية'!$C$11:$C$1010,$A137,'قيود اليومية'!$I$11:$I$1010,"مرحل ✔"),SUMPRODUCT((LEFT('قيود اليومية'!$C$11:$C$1010&amp;"",LEN($A137&amp;""))=$A137&amp;"")*('قيود اليومية'!$I$11:$I$1010="مرحل ✔")*'قيود اليومية'!$H$11:$H$1010)))</f>
        <v/>
      </c>
      <c r="E137" s="91" t="str">
        <f aca="false">IF($A137="","",MAX(C137-D137,0))</f>
        <v/>
      </c>
      <c r="F137" s="91" t="str">
        <f aca="false">IF($A137="","",MAX(D137-C137,0))</f>
        <v/>
      </c>
      <c r="G137" s="55" t="str">
        <f aca="false">IF($A137="","",'شجرة الحسابات'!C137&amp;"")</f>
        <v/>
      </c>
      <c r="H137" s="55" t="str">
        <f aca="false">IF($A137="","",'شجرة الحسابات'!E137&amp;"")</f>
        <v/>
      </c>
      <c r="I137" s="55" t="str">
        <f aca="false">IF($A137="","",'شجرة الحسابات'!H137&amp;"")</f>
        <v/>
      </c>
      <c r="J137" s="55" t="str">
        <f aca="false">IF($A137="","",'شجرة الحسابات'!I137&amp;"")</f>
        <v/>
      </c>
      <c r="K137" s="92" t="str">
        <f aca="false">IF(OR($A137="",$G137&lt;&gt;"تحليلي"),"",E137-F137)</f>
        <v/>
      </c>
    </row>
    <row r="138" customFormat="false" ht="15" hidden="false" customHeight="false" outlineLevel="0" collapsed="false">
      <c r="A138" s="90" t="str">
        <f aca="false">IF('شجرة الحسابات'!A138="","",'شجرة الحسابات'!A138)</f>
        <v/>
      </c>
      <c r="B138" s="51" t="str">
        <f aca="false">IF($A138="","",'شجرة الحسابات'!B138)</f>
        <v/>
      </c>
      <c r="C138" s="85" t="str">
        <f aca="false">IF($A138="","",IF($G138="تحليلي",SUMIFS('قيود اليومية'!$G$11:$G$1010,'قيود اليومية'!$C$11:$C$1010,$A138,'قيود اليومية'!$I$11:$I$1010,"مرحل ✔"),SUMPRODUCT((LEFT('قيود اليومية'!$C$11:$C$1010&amp;"",LEN($A138&amp;""))=$A138&amp;"")*('قيود اليومية'!$I$11:$I$1010="مرحل ✔")*'قيود اليومية'!$G$11:$G$1010)))</f>
        <v/>
      </c>
      <c r="D138" s="85" t="str">
        <f aca="false">IF($A138="","",IF($G138="تحليلي",SUMIFS('قيود اليومية'!$H$11:$H$1010,'قيود اليومية'!$C$11:$C$1010,$A138,'قيود اليومية'!$I$11:$I$1010,"مرحل ✔"),SUMPRODUCT((LEFT('قيود اليومية'!$C$11:$C$1010&amp;"",LEN($A138&amp;""))=$A138&amp;"")*('قيود اليومية'!$I$11:$I$1010="مرحل ✔")*'قيود اليومية'!$H$11:$H$1010)))</f>
        <v/>
      </c>
      <c r="E138" s="91" t="str">
        <f aca="false">IF($A138="","",MAX(C138-D138,0))</f>
        <v/>
      </c>
      <c r="F138" s="91" t="str">
        <f aca="false">IF($A138="","",MAX(D138-C138,0))</f>
        <v/>
      </c>
      <c r="G138" s="55" t="str">
        <f aca="false">IF($A138="","",'شجرة الحسابات'!C138&amp;"")</f>
        <v/>
      </c>
      <c r="H138" s="55" t="str">
        <f aca="false">IF($A138="","",'شجرة الحسابات'!E138&amp;"")</f>
        <v/>
      </c>
      <c r="I138" s="55" t="str">
        <f aca="false">IF($A138="","",'شجرة الحسابات'!H138&amp;"")</f>
        <v/>
      </c>
      <c r="J138" s="55" t="str">
        <f aca="false">IF($A138="","",'شجرة الحسابات'!I138&amp;"")</f>
        <v/>
      </c>
      <c r="K138" s="92" t="str">
        <f aca="false">IF(OR($A138="",$G138&lt;&gt;"تحليلي"),"",E138-F138)</f>
        <v/>
      </c>
    </row>
    <row r="139" customFormat="false" ht="15" hidden="false" customHeight="false" outlineLevel="0" collapsed="false">
      <c r="A139" s="90" t="str">
        <f aca="false">IF('شجرة الحسابات'!A139="","",'شجرة الحسابات'!A139)</f>
        <v/>
      </c>
      <c r="B139" s="51" t="str">
        <f aca="false">IF($A139="","",'شجرة الحسابات'!B139)</f>
        <v/>
      </c>
      <c r="C139" s="85" t="str">
        <f aca="false">IF($A139="","",IF($G139="تحليلي",SUMIFS('قيود اليومية'!$G$11:$G$1010,'قيود اليومية'!$C$11:$C$1010,$A139,'قيود اليومية'!$I$11:$I$1010,"مرحل ✔"),SUMPRODUCT((LEFT('قيود اليومية'!$C$11:$C$1010&amp;"",LEN($A139&amp;""))=$A139&amp;"")*('قيود اليومية'!$I$11:$I$1010="مرحل ✔")*'قيود اليومية'!$G$11:$G$1010)))</f>
        <v/>
      </c>
      <c r="D139" s="85" t="str">
        <f aca="false">IF($A139="","",IF($G139="تحليلي",SUMIFS('قيود اليومية'!$H$11:$H$1010,'قيود اليومية'!$C$11:$C$1010,$A139,'قيود اليومية'!$I$11:$I$1010,"مرحل ✔"),SUMPRODUCT((LEFT('قيود اليومية'!$C$11:$C$1010&amp;"",LEN($A139&amp;""))=$A139&amp;"")*('قيود اليومية'!$I$11:$I$1010="مرحل ✔")*'قيود اليومية'!$H$11:$H$1010)))</f>
        <v/>
      </c>
      <c r="E139" s="91" t="str">
        <f aca="false">IF($A139="","",MAX(C139-D139,0))</f>
        <v/>
      </c>
      <c r="F139" s="91" t="str">
        <f aca="false">IF($A139="","",MAX(D139-C139,0))</f>
        <v/>
      </c>
      <c r="G139" s="55" t="str">
        <f aca="false">IF($A139="","",'شجرة الحسابات'!C139&amp;"")</f>
        <v/>
      </c>
      <c r="H139" s="55" t="str">
        <f aca="false">IF($A139="","",'شجرة الحسابات'!E139&amp;"")</f>
        <v/>
      </c>
      <c r="I139" s="55" t="str">
        <f aca="false">IF($A139="","",'شجرة الحسابات'!H139&amp;"")</f>
        <v/>
      </c>
      <c r="J139" s="55" t="str">
        <f aca="false">IF($A139="","",'شجرة الحسابات'!I139&amp;"")</f>
        <v/>
      </c>
      <c r="K139" s="92" t="str">
        <f aca="false">IF(OR($A139="",$G139&lt;&gt;"تحليلي"),"",E139-F139)</f>
        <v/>
      </c>
    </row>
    <row r="140" customFormat="false" ht="15" hidden="false" customHeight="false" outlineLevel="0" collapsed="false">
      <c r="A140" s="90" t="str">
        <f aca="false">IF('شجرة الحسابات'!A140="","",'شجرة الحسابات'!A140)</f>
        <v/>
      </c>
      <c r="B140" s="51" t="str">
        <f aca="false">IF($A140="","",'شجرة الحسابات'!B140)</f>
        <v/>
      </c>
      <c r="C140" s="85" t="str">
        <f aca="false">IF($A140="","",IF($G140="تحليلي",SUMIFS('قيود اليومية'!$G$11:$G$1010,'قيود اليومية'!$C$11:$C$1010,$A140,'قيود اليومية'!$I$11:$I$1010,"مرحل ✔"),SUMPRODUCT((LEFT('قيود اليومية'!$C$11:$C$1010&amp;"",LEN($A140&amp;""))=$A140&amp;"")*('قيود اليومية'!$I$11:$I$1010="مرحل ✔")*'قيود اليومية'!$G$11:$G$1010)))</f>
        <v/>
      </c>
      <c r="D140" s="85" t="str">
        <f aca="false">IF($A140="","",IF($G140="تحليلي",SUMIFS('قيود اليومية'!$H$11:$H$1010,'قيود اليومية'!$C$11:$C$1010,$A140,'قيود اليومية'!$I$11:$I$1010,"مرحل ✔"),SUMPRODUCT((LEFT('قيود اليومية'!$C$11:$C$1010&amp;"",LEN($A140&amp;""))=$A140&amp;"")*('قيود اليومية'!$I$11:$I$1010="مرحل ✔")*'قيود اليومية'!$H$11:$H$1010)))</f>
        <v/>
      </c>
      <c r="E140" s="91" t="str">
        <f aca="false">IF($A140="","",MAX(C140-D140,0))</f>
        <v/>
      </c>
      <c r="F140" s="91" t="str">
        <f aca="false">IF($A140="","",MAX(D140-C140,0))</f>
        <v/>
      </c>
      <c r="G140" s="55" t="str">
        <f aca="false">IF($A140="","",'شجرة الحسابات'!C140&amp;"")</f>
        <v/>
      </c>
      <c r="H140" s="55" t="str">
        <f aca="false">IF($A140="","",'شجرة الحسابات'!E140&amp;"")</f>
        <v/>
      </c>
      <c r="I140" s="55" t="str">
        <f aca="false">IF($A140="","",'شجرة الحسابات'!H140&amp;"")</f>
        <v/>
      </c>
      <c r="J140" s="55" t="str">
        <f aca="false">IF($A140="","",'شجرة الحسابات'!I140&amp;"")</f>
        <v/>
      </c>
      <c r="K140" s="92" t="str">
        <f aca="false">IF(OR($A140="",$G140&lt;&gt;"تحليلي"),"",E140-F140)</f>
        <v/>
      </c>
    </row>
    <row r="141" customFormat="false" ht="15" hidden="false" customHeight="false" outlineLevel="0" collapsed="false">
      <c r="A141" s="90" t="str">
        <f aca="false">IF('شجرة الحسابات'!A141="","",'شجرة الحسابات'!A141)</f>
        <v/>
      </c>
      <c r="B141" s="51" t="str">
        <f aca="false">IF($A141="","",'شجرة الحسابات'!B141)</f>
        <v/>
      </c>
      <c r="C141" s="85" t="str">
        <f aca="false">IF($A141="","",IF($G141="تحليلي",SUMIFS('قيود اليومية'!$G$11:$G$1010,'قيود اليومية'!$C$11:$C$1010,$A141,'قيود اليومية'!$I$11:$I$1010,"مرحل ✔"),SUMPRODUCT((LEFT('قيود اليومية'!$C$11:$C$1010&amp;"",LEN($A141&amp;""))=$A141&amp;"")*('قيود اليومية'!$I$11:$I$1010="مرحل ✔")*'قيود اليومية'!$G$11:$G$1010)))</f>
        <v/>
      </c>
      <c r="D141" s="85" t="str">
        <f aca="false">IF($A141="","",IF($G141="تحليلي",SUMIFS('قيود اليومية'!$H$11:$H$1010,'قيود اليومية'!$C$11:$C$1010,$A141,'قيود اليومية'!$I$11:$I$1010,"مرحل ✔"),SUMPRODUCT((LEFT('قيود اليومية'!$C$11:$C$1010&amp;"",LEN($A141&amp;""))=$A141&amp;"")*('قيود اليومية'!$I$11:$I$1010="مرحل ✔")*'قيود اليومية'!$H$11:$H$1010)))</f>
        <v/>
      </c>
      <c r="E141" s="91" t="str">
        <f aca="false">IF($A141="","",MAX(C141-D141,0))</f>
        <v/>
      </c>
      <c r="F141" s="91" t="str">
        <f aca="false">IF($A141="","",MAX(D141-C141,0))</f>
        <v/>
      </c>
      <c r="G141" s="55" t="str">
        <f aca="false">IF($A141="","",'شجرة الحسابات'!C141&amp;"")</f>
        <v/>
      </c>
      <c r="H141" s="55" t="str">
        <f aca="false">IF($A141="","",'شجرة الحسابات'!E141&amp;"")</f>
        <v/>
      </c>
      <c r="I141" s="55" t="str">
        <f aca="false">IF($A141="","",'شجرة الحسابات'!H141&amp;"")</f>
        <v/>
      </c>
      <c r="J141" s="55" t="str">
        <f aca="false">IF($A141="","",'شجرة الحسابات'!I141&amp;"")</f>
        <v/>
      </c>
      <c r="K141" s="92" t="str">
        <f aca="false">IF(OR($A141="",$G141&lt;&gt;"تحليلي"),"",E141-F141)</f>
        <v/>
      </c>
    </row>
    <row r="142" customFormat="false" ht="15" hidden="false" customHeight="false" outlineLevel="0" collapsed="false">
      <c r="A142" s="90" t="str">
        <f aca="false">IF('شجرة الحسابات'!A142="","",'شجرة الحسابات'!A142)</f>
        <v/>
      </c>
      <c r="B142" s="51" t="str">
        <f aca="false">IF($A142="","",'شجرة الحسابات'!B142)</f>
        <v/>
      </c>
      <c r="C142" s="85" t="str">
        <f aca="false">IF($A142="","",IF($G142="تحليلي",SUMIFS('قيود اليومية'!$G$11:$G$1010,'قيود اليومية'!$C$11:$C$1010,$A142,'قيود اليومية'!$I$11:$I$1010,"مرحل ✔"),SUMPRODUCT((LEFT('قيود اليومية'!$C$11:$C$1010&amp;"",LEN($A142&amp;""))=$A142&amp;"")*('قيود اليومية'!$I$11:$I$1010="مرحل ✔")*'قيود اليومية'!$G$11:$G$1010)))</f>
        <v/>
      </c>
      <c r="D142" s="85" t="str">
        <f aca="false">IF($A142="","",IF($G142="تحليلي",SUMIFS('قيود اليومية'!$H$11:$H$1010,'قيود اليومية'!$C$11:$C$1010,$A142,'قيود اليومية'!$I$11:$I$1010,"مرحل ✔"),SUMPRODUCT((LEFT('قيود اليومية'!$C$11:$C$1010&amp;"",LEN($A142&amp;""))=$A142&amp;"")*('قيود اليومية'!$I$11:$I$1010="مرحل ✔")*'قيود اليومية'!$H$11:$H$1010)))</f>
        <v/>
      </c>
      <c r="E142" s="91" t="str">
        <f aca="false">IF($A142="","",MAX(C142-D142,0))</f>
        <v/>
      </c>
      <c r="F142" s="91" t="str">
        <f aca="false">IF($A142="","",MAX(D142-C142,0))</f>
        <v/>
      </c>
      <c r="G142" s="55" t="str">
        <f aca="false">IF($A142="","",'شجرة الحسابات'!C142&amp;"")</f>
        <v/>
      </c>
      <c r="H142" s="55" t="str">
        <f aca="false">IF($A142="","",'شجرة الحسابات'!E142&amp;"")</f>
        <v/>
      </c>
      <c r="I142" s="55" t="str">
        <f aca="false">IF($A142="","",'شجرة الحسابات'!H142&amp;"")</f>
        <v/>
      </c>
      <c r="J142" s="55" t="str">
        <f aca="false">IF($A142="","",'شجرة الحسابات'!I142&amp;"")</f>
        <v/>
      </c>
      <c r="K142" s="92" t="str">
        <f aca="false">IF(OR($A142="",$G142&lt;&gt;"تحليلي"),"",E142-F142)</f>
        <v/>
      </c>
    </row>
    <row r="143" customFormat="false" ht="15" hidden="false" customHeight="false" outlineLevel="0" collapsed="false">
      <c r="A143" s="90" t="str">
        <f aca="false">IF('شجرة الحسابات'!A143="","",'شجرة الحسابات'!A143)</f>
        <v/>
      </c>
      <c r="B143" s="51" t="str">
        <f aca="false">IF($A143="","",'شجرة الحسابات'!B143)</f>
        <v/>
      </c>
      <c r="C143" s="85" t="str">
        <f aca="false">IF($A143="","",IF($G143="تحليلي",SUMIFS('قيود اليومية'!$G$11:$G$1010,'قيود اليومية'!$C$11:$C$1010,$A143,'قيود اليومية'!$I$11:$I$1010,"مرحل ✔"),SUMPRODUCT((LEFT('قيود اليومية'!$C$11:$C$1010&amp;"",LEN($A143&amp;""))=$A143&amp;"")*('قيود اليومية'!$I$11:$I$1010="مرحل ✔")*'قيود اليومية'!$G$11:$G$1010)))</f>
        <v/>
      </c>
      <c r="D143" s="85" t="str">
        <f aca="false">IF($A143="","",IF($G143="تحليلي",SUMIFS('قيود اليومية'!$H$11:$H$1010,'قيود اليومية'!$C$11:$C$1010,$A143,'قيود اليومية'!$I$11:$I$1010,"مرحل ✔"),SUMPRODUCT((LEFT('قيود اليومية'!$C$11:$C$1010&amp;"",LEN($A143&amp;""))=$A143&amp;"")*('قيود اليومية'!$I$11:$I$1010="مرحل ✔")*'قيود اليومية'!$H$11:$H$1010)))</f>
        <v/>
      </c>
      <c r="E143" s="91" t="str">
        <f aca="false">IF($A143="","",MAX(C143-D143,0))</f>
        <v/>
      </c>
      <c r="F143" s="91" t="str">
        <f aca="false">IF($A143="","",MAX(D143-C143,0))</f>
        <v/>
      </c>
      <c r="G143" s="55" t="str">
        <f aca="false">IF($A143="","",'شجرة الحسابات'!C143&amp;"")</f>
        <v/>
      </c>
      <c r="H143" s="55" t="str">
        <f aca="false">IF($A143="","",'شجرة الحسابات'!E143&amp;"")</f>
        <v/>
      </c>
      <c r="I143" s="55" t="str">
        <f aca="false">IF($A143="","",'شجرة الحسابات'!H143&amp;"")</f>
        <v/>
      </c>
      <c r="J143" s="55" t="str">
        <f aca="false">IF($A143="","",'شجرة الحسابات'!I143&amp;"")</f>
        <v/>
      </c>
      <c r="K143" s="92" t="str">
        <f aca="false">IF(OR($A143="",$G143&lt;&gt;"تحليلي"),"",E143-F143)</f>
        <v/>
      </c>
    </row>
    <row r="144" customFormat="false" ht="15" hidden="false" customHeight="false" outlineLevel="0" collapsed="false">
      <c r="A144" s="90" t="str">
        <f aca="false">IF('شجرة الحسابات'!A144="","",'شجرة الحسابات'!A144)</f>
        <v/>
      </c>
      <c r="B144" s="51" t="str">
        <f aca="false">IF($A144="","",'شجرة الحسابات'!B144)</f>
        <v/>
      </c>
      <c r="C144" s="85" t="str">
        <f aca="false">IF($A144="","",IF($G144="تحليلي",SUMIFS('قيود اليومية'!$G$11:$G$1010,'قيود اليومية'!$C$11:$C$1010,$A144,'قيود اليومية'!$I$11:$I$1010,"مرحل ✔"),SUMPRODUCT((LEFT('قيود اليومية'!$C$11:$C$1010&amp;"",LEN($A144&amp;""))=$A144&amp;"")*('قيود اليومية'!$I$11:$I$1010="مرحل ✔")*'قيود اليومية'!$G$11:$G$1010)))</f>
        <v/>
      </c>
      <c r="D144" s="85" t="str">
        <f aca="false">IF($A144="","",IF($G144="تحليلي",SUMIFS('قيود اليومية'!$H$11:$H$1010,'قيود اليومية'!$C$11:$C$1010,$A144,'قيود اليومية'!$I$11:$I$1010,"مرحل ✔"),SUMPRODUCT((LEFT('قيود اليومية'!$C$11:$C$1010&amp;"",LEN($A144&amp;""))=$A144&amp;"")*('قيود اليومية'!$I$11:$I$1010="مرحل ✔")*'قيود اليومية'!$H$11:$H$1010)))</f>
        <v/>
      </c>
      <c r="E144" s="91" t="str">
        <f aca="false">IF($A144="","",MAX(C144-D144,0))</f>
        <v/>
      </c>
      <c r="F144" s="91" t="str">
        <f aca="false">IF($A144="","",MAX(D144-C144,0))</f>
        <v/>
      </c>
      <c r="G144" s="55" t="str">
        <f aca="false">IF($A144="","",'شجرة الحسابات'!C144&amp;"")</f>
        <v/>
      </c>
      <c r="H144" s="55" t="str">
        <f aca="false">IF($A144="","",'شجرة الحسابات'!E144&amp;"")</f>
        <v/>
      </c>
      <c r="I144" s="55" t="str">
        <f aca="false">IF($A144="","",'شجرة الحسابات'!H144&amp;"")</f>
        <v/>
      </c>
      <c r="J144" s="55" t="str">
        <f aca="false">IF($A144="","",'شجرة الحسابات'!I144&amp;"")</f>
        <v/>
      </c>
      <c r="K144" s="92" t="str">
        <f aca="false">IF(OR($A144="",$G144&lt;&gt;"تحليلي"),"",E144-F144)</f>
        <v/>
      </c>
    </row>
    <row r="145" customFormat="false" ht="15" hidden="false" customHeight="false" outlineLevel="0" collapsed="false">
      <c r="A145" s="90" t="str">
        <f aca="false">IF('شجرة الحسابات'!A145="","",'شجرة الحسابات'!A145)</f>
        <v/>
      </c>
      <c r="B145" s="51" t="str">
        <f aca="false">IF($A145="","",'شجرة الحسابات'!B145)</f>
        <v/>
      </c>
      <c r="C145" s="85" t="str">
        <f aca="false">IF($A145="","",IF($G145="تحليلي",SUMIFS('قيود اليومية'!$G$11:$G$1010,'قيود اليومية'!$C$11:$C$1010,$A145,'قيود اليومية'!$I$11:$I$1010,"مرحل ✔"),SUMPRODUCT((LEFT('قيود اليومية'!$C$11:$C$1010&amp;"",LEN($A145&amp;""))=$A145&amp;"")*('قيود اليومية'!$I$11:$I$1010="مرحل ✔")*'قيود اليومية'!$G$11:$G$1010)))</f>
        <v/>
      </c>
      <c r="D145" s="85" t="str">
        <f aca="false">IF($A145="","",IF($G145="تحليلي",SUMIFS('قيود اليومية'!$H$11:$H$1010,'قيود اليومية'!$C$11:$C$1010,$A145,'قيود اليومية'!$I$11:$I$1010,"مرحل ✔"),SUMPRODUCT((LEFT('قيود اليومية'!$C$11:$C$1010&amp;"",LEN($A145&amp;""))=$A145&amp;"")*('قيود اليومية'!$I$11:$I$1010="مرحل ✔")*'قيود اليومية'!$H$11:$H$1010)))</f>
        <v/>
      </c>
      <c r="E145" s="91" t="str">
        <f aca="false">IF($A145="","",MAX(C145-D145,0))</f>
        <v/>
      </c>
      <c r="F145" s="91" t="str">
        <f aca="false">IF($A145="","",MAX(D145-C145,0))</f>
        <v/>
      </c>
      <c r="G145" s="55" t="str">
        <f aca="false">IF($A145="","",'شجرة الحسابات'!C145&amp;"")</f>
        <v/>
      </c>
      <c r="H145" s="55" t="str">
        <f aca="false">IF($A145="","",'شجرة الحسابات'!E145&amp;"")</f>
        <v/>
      </c>
      <c r="I145" s="55" t="str">
        <f aca="false">IF($A145="","",'شجرة الحسابات'!H145&amp;"")</f>
        <v/>
      </c>
      <c r="J145" s="55" t="str">
        <f aca="false">IF($A145="","",'شجرة الحسابات'!I145&amp;"")</f>
        <v/>
      </c>
      <c r="K145" s="92" t="str">
        <f aca="false">IF(OR($A145="",$G145&lt;&gt;"تحليلي"),"",E145-F145)</f>
        <v/>
      </c>
    </row>
    <row r="146" customFormat="false" ht="15" hidden="false" customHeight="false" outlineLevel="0" collapsed="false">
      <c r="A146" s="90" t="str">
        <f aca="false">IF('شجرة الحسابات'!A146="","",'شجرة الحسابات'!A146)</f>
        <v/>
      </c>
      <c r="B146" s="51" t="str">
        <f aca="false">IF($A146="","",'شجرة الحسابات'!B146)</f>
        <v/>
      </c>
      <c r="C146" s="85" t="str">
        <f aca="false">IF($A146="","",IF($G146="تحليلي",SUMIFS('قيود اليومية'!$G$11:$G$1010,'قيود اليومية'!$C$11:$C$1010,$A146,'قيود اليومية'!$I$11:$I$1010,"مرحل ✔"),SUMPRODUCT((LEFT('قيود اليومية'!$C$11:$C$1010&amp;"",LEN($A146&amp;""))=$A146&amp;"")*('قيود اليومية'!$I$11:$I$1010="مرحل ✔")*'قيود اليومية'!$G$11:$G$1010)))</f>
        <v/>
      </c>
      <c r="D146" s="85" t="str">
        <f aca="false">IF($A146="","",IF($G146="تحليلي",SUMIFS('قيود اليومية'!$H$11:$H$1010,'قيود اليومية'!$C$11:$C$1010,$A146,'قيود اليومية'!$I$11:$I$1010,"مرحل ✔"),SUMPRODUCT((LEFT('قيود اليومية'!$C$11:$C$1010&amp;"",LEN($A146&amp;""))=$A146&amp;"")*('قيود اليومية'!$I$11:$I$1010="مرحل ✔")*'قيود اليومية'!$H$11:$H$1010)))</f>
        <v/>
      </c>
      <c r="E146" s="91" t="str">
        <f aca="false">IF($A146="","",MAX(C146-D146,0))</f>
        <v/>
      </c>
      <c r="F146" s="91" t="str">
        <f aca="false">IF($A146="","",MAX(D146-C146,0))</f>
        <v/>
      </c>
      <c r="G146" s="55" t="str">
        <f aca="false">IF($A146="","",'شجرة الحسابات'!C146&amp;"")</f>
        <v/>
      </c>
      <c r="H146" s="55" t="str">
        <f aca="false">IF($A146="","",'شجرة الحسابات'!E146&amp;"")</f>
        <v/>
      </c>
      <c r="I146" s="55" t="str">
        <f aca="false">IF($A146="","",'شجرة الحسابات'!H146&amp;"")</f>
        <v/>
      </c>
      <c r="J146" s="55" t="str">
        <f aca="false">IF($A146="","",'شجرة الحسابات'!I146&amp;"")</f>
        <v/>
      </c>
      <c r="K146" s="92" t="str">
        <f aca="false">IF(OR($A146="",$G146&lt;&gt;"تحليلي"),"",E146-F146)</f>
        <v/>
      </c>
    </row>
    <row r="147" customFormat="false" ht="15" hidden="false" customHeight="false" outlineLevel="0" collapsed="false">
      <c r="A147" s="90" t="str">
        <f aca="false">IF('شجرة الحسابات'!A147="","",'شجرة الحسابات'!A147)</f>
        <v/>
      </c>
      <c r="B147" s="51" t="str">
        <f aca="false">IF($A147="","",'شجرة الحسابات'!B147)</f>
        <v/>
      </c>
      <c r="C147" s="85" t="str">
        <f aca="false">IF($A147="","",IF($G147="تحليلي",SUMIFS('قيود اليومية'!$G$11:$G$1010,'قيود اليومية'!$C$11:$C$1010,$A147,'قيود اليومية'!$I$11:$I$1010,"مرحل ✔"),SUMPRODUCT((LEFT('قيود اليومية'!$C$11:$C$1010&amp;"",LEN($A147&amp;""))=$A147&amp;"")*('قيود اليومية'!$I$11:$I$1010="مرحل ✔")*'قيود اليومية'!$G$11:$G$1010)))</f>
        <v/>
      </c>
      <c r="D147" s="85" t="str">
        <f aca="false">IF($A147="","",IF($G147="تحليلي",SUMIFS('قيود اليومية'!$H$11:$H$1010,'قيود اليومية'!$C$11:$C$1010,$A147,'قيود اليومية'!$I$11:$I$1010,"مرحل ✔"),SUMPRODUCT((LEFT('قيود اليومية'!$C$11:$C$1010&amp;"",LEN($A147&amp;""))=$A147&amp;"")*('قيود اليومية'!$I$11:$I$1010="مرحل ✔")*'قيود اليومية'!$H$11:$H$1010)))</f>
        <v/>
      </c>
      <c r="E147" s="91" t="str">
        <f aca="false">IF($A147="","",MAX(C147-D147,0))</f>
        <v/>
      </c>
      <c r="F147" s="91" t="str">
        <f aca="false">IF($A147="","",MAX(D147-C147,0))</f>
        <v/>
      </c>
      <c r="G147" s="55" t="str">
        <f aca="false">IF($A147="","",'شجرة الحسابات'!C147&amp;"")</f>
        <v/>
      </c>
      <c r="H147" s="55" t="str">
        <f aca="false">IF($A147="","",'شجرة الحسابات'!E147&amp;"")</f>
        <v/>
      </c>
      <c r="I147" s="55" t="str">
        <f aca="false">IF($A147="","",'شجرة الحسابات'!H147&amp;"")</f>
        <v/>
      </c>
      <c r="J147" s="55" t="str">
        <f aca="false">IF($A147="","",'شجرة الحسابات'!I147&amp;"")</f>
        <v/>
      </c>
      <c r="K147" s="92" t="str">
        <f aca="false">IF(OR($A147="",$G147&lt;&gt;"تحليلي"),"",E147-F147)</f>
        <v/>
      </c>
    </row>
    <row r="148" customFormat="false" ht="15" hidden="false" customHeight="false" outlineLevel="0" collapsed="false">
      <c r="A148" s="90" t="str">
        <f aca="false">IF('شجرة الحسابات'!A148="","",'شجرة الحسابات'!A148)</f>
        <v/>
      </c>
      <c r="B148" s="51" t="str">
        <f aca="false">IF($A148="","",'شجرة الحسابات'!B148)</f>
        <v/>
      </c>
      <c r="C148" s="85" t="str">
        <f aca="false">IF($A148="","",IF($G148="تحليلي",SUMIFS('قيود اليومية'!$G$11:$G$1010,'قيود اليومية'!$C$11:$C$1010,$A148,'قيود اليومية'!$I$11:$I$1010,"مرحل ✔"),SUMPRODUCT((LEFT('قيود اليومية'!$C$11:$C$1010&amp;"",LEN($A148&amp;""))=$A148&amp;"")*('قيود اليومية'!$I$11:$I$1010="مرحل ✔")*'قيود اليومية'!$G$11:$G$1010)))</f>
        <v/>
      </c>
      <c r="D148" s="85" t="str">
        <f aca="false">IF($A148="","",IF($G148="تحليلي",SUMIFS('قيود اليومية'!$H$11:$H$1010,'قيود اليومية'!$C$11:$C$1010,$A148,'قيود اليومية'!$I$11:$I$1010,"مرحل ✔"),SUMPRODUCT((LEFT('قيود اليومية'!$C$11:$C$1010&amp;"",LEN($A148&amp;""))=$A148&amp;"")*('قيود اليومية'!$I$11:$I$1010="مرحل ✔")*'قيود اليومية'!$H$11:$H$1010)))</f>
        <v/>
      </c>
      <c r="E148" s="91" t="str">
        <f aca="false">IF($A148="","",MAX(C148-D148,0))</f>
        <v/>
      </c>
      <c r="F148" s="91" t="str">
        <f aca="false">IF($A148="","",MAX(D148-C148,0))</f>
        <v/>
      </c>
      <c r="G148" s="55" t="str">
        <f aca="false">IF($A148="","",'شجرة الحسابات'!C148&amp;"")</f>
        <v/>
      </c>
      <c r="H148" s="55" t="str">
        <f aca="false">IF($A148="","",'شجرة الحسابات'!E148&amp;"")</f>
        <v/>
      </c>
      <c r="I148" s="55" t="str">
        <f aca="false">IF($A148="","",'شجرة الحسابات'!H148&amp;"")</f>
        <v/>
      </c>
      <c r="J148" s="55" t="str">
        <f aca="false">IF($A148="","",'شجرة الحسابات'!I148&amp;"")</f>
        <v/>
      </c>
      <c r="K148" s="92" t="str">
        <f aca="false">IF(OR($A148="",$G148&lt;&gt;"تحليلي"),"",E148-F148)</f>
        <v/>
      </c>
    </row>
    <row r="149" customFormat="false" ht="15" hidden="false" customHeight="false" outlineLevel="0" collapsed="false">
      <c r="A149" s="90" t="str">
        <f aca="false">IF('شجرة الحسابات'!A149="","",'شجرة الحسابات'!A149)</f>
        <v/>
      </c>
      <c r="B149" s="51" t="str">
        <f aca="false">IF($A149="","",'شجرة الحسابات'!B149)</f>
        <v/>
      </c>
      <c r="C149" s="85" t="str">
        <f aca="false">IF($A149="","",IF($G149="تحليلي",SUMIFS('قيود اليومية'!$G$11:$G$1010,'قيود اليومية'!$C$11:$C$1010,$A149,'قيود اليومية'!$I$11:$I$1010,"مرحل ✔"),SUMPRODUCT((LEFT('قيود اليومية'!$C$11:$C$1010&amp;"",LEN($A149&amp;""))=$A149&amp;"")*('قيود اليومية'!$I$11:$I$1010="مرحل ✔")*'قيود اليومية'!$G$11:$G$1010)))</f>
        <v/>
      </c>
      <c r="D149" s="85" t="str">
        <f aca="false">IF($A149="","",IF($G149="تحليلي",SUMIFS('قيود اليومية'!$H$11:$H$1010,'قيود اليومية'!$C$11:$C$1010,$A149,'قيود اليومية'!$I$11:$I$1010,"مرحل ✔"),SUMPRODUCT((LEFT('قيود اليومية'!$C$11:$C$1010&amp;"",LEN($A149&amp;""))=$A149&amp;"")*('قيود اليومية'!$I$11:$I$1010="مرحل ✔")*'قيود اليومية'!$H$11:$H$1010)))</f>
        <v/>
      </c>
      <c r="E149" s="91" t="str">
        <f aca="false">IF($A149="","",MAX(C149-D149,0))</f>
        <v/>
      </c>
      <c r="F149" s="91" t="str">
        <f aca="false">IF($A149="","",MAX(D149-C149,0))</f>
        <v/>
      </c>
      <c r="G149" s="55" t="str">
        <f aca="false">IF($A149="","",'شجرة الحسابات'!C149&amp;"")</f>
        <v/>
      </c>
      <c r="H149" s="55" t="str">
        <f aca="false">IF($A149="","",'شجرة الحسابات'!E149&amp;"")</f>
        <v/>
      </c>
      <c r="I149" s="55" t="str">
        <f aca="false">IF($A149="","",'شجرة الحسابات'!H149&amp;"")</f>
        <v/>
      </c>
      <c r="J149" s="55" t="str">
        <f aca="false">IF($A149="","",'شجرة الحسابات'!I149&amp;"")</f>
        <v/>
      </c>
      <c r="K149" s="92" t="str">
        <f aca="false">IF(OR($A149="",$G149&lt;&gt;"تحليلي"),"",E149-F149)</f>
        <v/>
      </c>
    </row>
    <row r="150" customFormat="false" ht="15" hidden="false" customHeight="false" outlineLevel="0" collapsed="false">
      <c r="A150" s="90" t="str">
        <f aca="false">IF('شجرة الحسابات'!A150="","",'شجرة الحسابات'!A150)</f>
        <v/>
      </c>
      <c r="B150" s="51" t="str">
        <f aca="false">IF($A150="","",'شجرة الحسابات'!B150)</f>
        <v/>
      </c>
      <c r="C150" s="85" t="str">
        <f aca="false">IF($A150="","",IF($G150="تحليلي",SUMIFS('قيود اليومية'!$G$11:$G$1010,'قيود اليومية'!$C$11:$C$1010,$A150,'قيود اليومية'!$I$11:$I$1010,"مرحل ✔"),SUMPRODUCT((LEFT('قيود اليومية'!$C$11:$C$1010&amp;"",LEN($A150&amp;""))=$A150&amp;"")*('قيود اليومية'!$I$11:$I$1010="مرحل ✔")*'قيود اليومية'!$G$11:$G$1010)))</f>
        <v/>
      </c>
      <c r="D150" s="85" t="str">
        <f aca="false">IF($A150="","",IF($G150="تحليلي",SUMIFS('قيود اليومية'!$H$11:$H$1010,'قيود اليومية'!$C$11:$C$1010,$A150,'قيود اليومية'!$I$11:$I$1010,"مرحل ✔"),SUMPRODUCT((LEFT('قيود اليومية'!$C$11:$C$1010&amp;"",LEN($A150&amp;""))=$A150&amp;"")*('قيود اليومية'!$I$11:$I$1010="مرحل ✔")*'قيود اليومية'!$H$11:$H$1010)))</f>
        <v/>
      </c>
      <c r="E150" s="91" t="str">
        <f aca="false">IF($A150="","",MAX(C150-D150,0))</f>
        <v/>
      </c>
      <c r="F150" s="91" t="str">
        <f aca="false">IF($A150="","",MAX(D150-C150,0))</f>
        <v/>
      </c>
      <c r="G150" s="55" t="str">
        <f aca="false">IF($A150="","",'شجرة الحسابات'!C150&amp;"")</f>
        <v/>
      </c>
      <c r="H150" s="55" t="str">
        <f aca="false">IF($A150="","",'شجرة الحسابات'!E150&amp;"")</f>
        <v/>
      </c>
      <c r="I150" s="55" t="str">
        <f aca="false">IF($A150="","",'شجرة الحسابات'!H150&amp;"")</f>
        <v/>
      </c>
      <c r="J150" s="55" t="str">
        <f aca="false">IF($A150="","",'شجرة الحسابات'!I150&amp;"")</f>
        <v/>
      </c>
      <c r="K150" s="92" t="str">
        <f aca="false">IF(OR($A150="",$G150&lt;&gt;"تحليلي"),"",E150-F150)</f>
        <v/>
      </c>
    </row>
    <row r="151" customFormat="false" ht="15" hidden="false" customHeight="false" outlineLevel="0" collapsed="false">
      <c r="A151" s="90" t="str">
        <f aca="false">IF('شجرة الحسابات'!A151="","",'شجرة الحسابات'!A151)</f>
        <v/>
      </c>
      <c r="B151" s="51" t="str">
        <f aca="false">IF($A151="","",'شجرة الحسابات'!B151)</f>
        <v/>
      </c>
      <c r="C151" s="85" t="str">
        <f aca="false">IF($A151="","",IF($G151="تحليلي",SUMIFS('قيود اليومية'!$G$11:$G$1010,'قيود اليومية'!$C$11:$C$1010,$A151,'قيود اليومية'!$I$11:$I$1010,"مرحل ✔"),SUMPRODUCT((LEFT('قيود اليومية'!$C$11:$C$1010&amp;"",LEN($A151&amp;""))=$A151&amp;"")*('قيود اليومية'!$I$11:$I$1010="مرحل ✔")*'قيود اليومية'!$G$11:$G$1010)))</f>
        <v/>
      </c>
      <c r="D151" s="85" t="str">
        <f aca="false">IF($A151="","",IF($G151="تحليلي",SUMIFS('قيود اليومية'!$H$11:$H$1010,'قيود اليومية'!$C$11:$C$1010,$A151,'قيود اليومية'!$I$11:$I$1010,"مرحل ✔"),SUMPRODUCT((LEFT('قيود اليومية'!$C$11:$C$1010&amp;"",LEN($A151&amp;""))=$A151&amp;"")*('قيود اليومية'!$I$11:$I$1010="مرحل ✔")*'قيود اليومية'!$H$11:$H$1010)))</f>
        <v/>
      </c>
      <c r="E151" s="91" t="str">
        <f aca="false">IF($A151="","",MAX(C151-D151,0))</f>
        <v/>
      </c>
      <c r="F151" s="91" t="str">
        <f aca="false">IF($A151="","",MAX(D151-C151,0))</f>
        <v/>
      </c>
      <c r="G151" s="55" t="str">
        <f aca="false">IF($A151="","",'شجرة الحسابات'!C151&amp;"")</f>
        <v/>
      </c>
      <c r="H151" s="55" t="str">
        <f aca="false">IF($A151="","",'شجرة الحسابات'!E151&amp;"")</f>
        <v/>
      </c>
      <c r="I151" s="55" t="str">
        <f aca="false">IF($A151="","",'شجرة الحسابات'!H151&amp;"")</f>
        <v/>
      </c>
      <c r="J151" s="55" t="str">
        <f aca="false">IF($A151="","",'شجرة الحسابات'!I151&amp;"")</f>
        <v/>
      </c>
      <c r="K151" s="92" t="str">
        <f aca="false">IF(OR($A151="",$G151&lt;&gt;"تحليلي"),"",E151-F151)</f>
        <v/>
      </c>
    </row>
    <row r="152" customFormat="false" ht="15" hidden="false" customHeight="false" outlineLevel="0" collapsed="false">
      <c r="A152" s="90" t="str">
        <f aca="false">IF('شجرة الحسابات'!A152="","",'شجرة الحسابات'!A152)</f>
        <v/>
      </c>
      <c r="B152" s="51" t="str">
        <f aca="false">IF($A152="","",'شجرة الحسابات'!B152)</f>
        <v/>
      </c>
      <c r="C152" s="85" t="str">
        <f aca="false">IF($A152="","",IF($G152="تحليلي",SUMIFS('قيود اليومية'!$G$11:$G$1010,'قيود اليومية'!$C$11:$C$1010,$A152,'قيود اليومية'!$I$11:$I$1010,"مرحل ✔"),SUMPRODUCT((LEFT('قيود اليومية'!$C$11:$C$1010&amp;"",LEN($A152&amp;""))=$A152&amp;"")*('قيود اليومية'!$I$11:$I$1010="مرحل ✔")*'قيود اليومية'!$G$11:$G$1010)))</f>
        <v/>
      </c>
      <c r="D152" s="85" t="str">
        <f aca="false">IF($A152="","",IF($G152="تحليلي",SUMIFS('قيود اليومية'!$H$11:$H$1010,'قيود اليومية'!$C$11:$C$1010,$A152,'قيود اليومية'!$I$11:$I$1010,"مرحل ✔"),SUMPRODUCT((LEFT('قيود اليومية'!$C$11:$C$1010&amp;"",LEN($A152&amp;""))=$A152&amp;"")*('قيود اليومية'!$I$11:$I$1010="مرحل ✔")*'قيود اليومية'!$H$11:$H$1010)))</f>
        <v/>
      </c>
      <c r="E152" s="91" t="str">
        <f aca="false">IF($A152="","",MAX(C152-D152,0))</f>
        <v/>
      </c>
      <c r="F152" s="91" t="str">
        <f aca="false">IF($A152="","",MAX(D152-C152,0))</f>
        <v/>
      </c>
      <c r="G152" s="55" t="str">
        <f aca="false">IF($A152="","",'شجرة الحسابات'!C152&amp;"")</f>
        <v/>
      </c>
      <c r="H152" s="55" t="str">
        <f aca="false">IF($A152="","",'شجرة الحسابات'!E152&amp;"")</f>
        <v/>
      </c>
      <c r="I152" s="55" t="str">
        <f aca="false">IF($A152="","",'شجرة الحسابات'!H152&amp;"")</f>
        <v/>
      </c>
      <c r="J152" s="55" t="str">
        <f aca="false">IF($A152="","",'شجرة الحسابات'!I152&amp;"")</f>
        <v/>
      </c>
      <c r="K152" s="92" t="str">
        <f aca="false">IF(OR($A152="",$G152&lt;&gt;"تحليلي"),"",E152-F152)</f>
        <v/>
      </c>
    </row>
    <row r="153" customFormat="false" ht="15" hidden="false" customHeight="false" outlineLevel="0" collapsed="false">
      <c r="A153" s="90" t="str">
        <f aca="false">IF('شجرة الحسابات'!A153="","",'شجرة الحسابات'!A153)</f>
        <v/>
      </c>
      <c r="B153" s="51" t="str">
        <f aca="false">IF($A153="","",'شجرة الحسابات'!B153)</f>
        <v/>
      </c>
      <c r="C153" s="85" t="str">
        <f aca="false">IF($A153="","",IF($G153="تحليلي",SUMIFS('قيود اليومية'!$G$11:$G$1010,'قيود اليومية'!$C$11:$C$1010,$A153,'قيود اليومية'!$I$11:$I$1010,"مرحل ✔"),SUMPRODUCT((LEFT('قيود اليومية'!$C$11:$C$1010&amp;"",LEN($A153&amp;""))=$A153&amp;"")*('قيود اليومية'!$I$11:$I$1010="مرحل ✔")*'قيود اليومية'!$G$11:$G$1010)))</f>
        <v/>
      </c>
      <c r="D153" s="85" t="str">
        <f aca="false">IF($A153="","",IF($G153="تحليلي",SUMIFS('قيود اليومية'!$H$11:$H$1010,'قيود اليومية'!$C$11:$C$1010,$A153,'قيود اليومية'!$I$11:$I$1010,"مرحل ✔"),SUMPRODUCT((LEFT('قيود اليومية'!$C$11:$C$1010&amp;"",LEN($A153&amp;""))=$A153&amp;"")*('قيود اليومية'!$I$11:$I$1010="مرحل ✔")*'قيود اليومية'!$H$11:$H$1010)))</f>
        <v/>
      </c>
      <c r="E153" s="91" t="str">
        <f aca="false">IF($A153="","",MAX(C153-D153,0))</f>
        <v/>
      </c>
      <c r="F153" s="91" t="str">
        <f aca="false">IF($A153="","",MAX(D153-C153,0))</f>
        <v/>
      </c>
      <c r="G153" s="55" t="str">
        <f aca="false">IF($A153="","",'شجرة الحسابات'!C153&amp;"")</f>
        <v/>
      </c>
      <c r="H153" s="55" t="str">
        <f aca="false">IF($A153="","",'شجرة الحسابات'!E153&amp;"")</f>
        <v/>
      </c>
      <c r="I153" s="55" t="str">
        <f aca="false">IF($A153="","",'شجرة الحسابات'!H153&amp;"")</f>
        <v/>
      </c>
      <c r="J153" s="55" t="str">
        <f aca="false">IF($A153="","",'شجرة الحسابات'!I153&amp;"")</f>
        <v/>
      </c>
      <c r="K153" s="92" t="str">
        <f aca="false">IF(OR($A153="",$G153&lt;&gt;"تحليلي"),"",E153-F153)</f>
        <v/>
      </c>
    </row>
    <row r="154" customFormat="false" ht="15" hidden="false" customHeight="false" outlineLevel="0" collapsed="false">
      <c r="A154" s="90" t="str">
        <f aca="false">IF('شجرة الحسابات'!A154="","",'شجرة الحسابات'!A154)</f>
        <v/>
      </c>
      <c r="B154" s="51" t="str">
        <f aca="false">IF($A154="","",'شجرة الحسابات'!B154)</f>
        <v/>
      </c>
      <c r="C154" s="85" t="str">
        <f aca="false">IF($A154="","",IF($G154="تحليلي",SUMIFS('قيود اليومية'!$G$11:$G$1010,'قيود اليومية'!$C$11:$C$1010,$A154,'قيود اليومية'!$I$11:$I$1010,"مرحل ✔"),SUMPRODUCT((LEFT('قيود اليومية'!$C$11:$C$1010&amp;"",LEN($A154&amp;""))=$A154&amp;"")*('قيود اليومية'!$I$11:$I$1010="مرحل ✔")*'قيود اليومية'!$G$11:$G$1010)))</f>
        <v/>
      </c>
      <c r="D154" s="85" t="str">
        <f aca="false">IF($A154="","",IF($G154="تحليلي",SUMIFS('قيود اليومية'!$H$11:$H$1010,'قيود اليومية'!$C$11:$C$1010,$A154,'قيود اليومية'!$I$11:$I$1010,"مرحل ✔"),SUMPRODUCT((LEFT('قيود اليومية'!$C$11:$C$1010&amp;"",LEN($A154&amp;""))=$A154&amp;"")*('قيود اليومية'!$I$11:$I$1010="مرحل ✔")*'قيود اليومية'!$H$11:$H$1010)))</f>
        <v/>
      </c>
      <c r="E154" s="91" t="str">
        <f aca="false">IF($A154="","",MAX(C154-D154,0))</f>
        <v/>
      </c>
      <c r="F154" s="91" t="str">
        <f aca="false">IF($A154="","",MAX(D154-C154,0))</f>
        <v/>
      </c>
      <c r="G154" s="55" t="str">
        <f aca="false">IF($A154="","",'شجرة الحسابات'!C154&amp;"")</f>
        <v/>
      </c>
      <c r="H154" s="55" t="str">
        <f aca="false">IF($A154="","",'شجرة الحسابات'!E154&amp;"")</f>
        <v/>
      </c>
      <c r="I154" s="55" t="str">
        <f aca="false">IF($A154="","",'شجرة الحسابات'!H154&amp;"")</f>
        <v/>
      </c>
      <c r="J154" s="55" t="str">
        <f aca="false">IF($A154="","",'شجرة الحسابات'!I154&amp;"")</f>
        <v/>
      </c>
      <c r="K154" s="92" t="str">
        <f aca="false">IF(OR($A154="",$G154&lt;&gt;"تحليلي"),"",E154-F154)</f>
        <v/>
      </c>
    </row>
    <row r="155" customFormat="false" ht="15" hidden="false" customHeight="false" outlineLevel="0" collapsed="false">
      <c r="A155" s="90" t="str">
        <f aca="false">IF('شجرة الحسابات'!A155="","",'شجرة الحسابات'!A155)</f>
        <v/>
      </c>
      <c r="B155" s="51" t="str">
        <f aca="false">IF($A155="","",'شجرة الحسابات'!B155)</f>
        <v/>
      </c>
      <c r="C155" s="85" t="str">
        <f aca="false">IF($A155="","",IF($G155="تحليلي",SUMIFS('قيود اليومية'!$G$11:$G$1010,'قيود اليومية'!$C$11:$C$1010,$A155,'قيود اليومية'!$I$11:$I$1010,"مرحل ✔"),SUMPRODUCT((LEFT('قيود اليومية'!$C$11:$C$1010&amp;"",LEN($A155&amp;""))=$A155&amp;"")*('قيود اليومية'!$I$11:$I$1010="مرحل ✔")*'قيود اليومية'!$G$11:$G$1010)))</f>
        <v/>
      </c>
      <c r="D155" s="85" t="str">
        <f aca="false">IF($A155="","",IF($G155="تحليلي",SUMIFS('قيود اليومية'!$H$11:$H$1010,'قيود اليومية'!$C$11:$C$1010,$A155,'قيود اليومية'!$I$11:$I$1010,"مرحل ✔"),SUMPRODUCT((LEFT('قيود اليومية'!$C$11:$C$1010&amp;"",LEN($A155&amp;""))=$A155&amp;"")*('قيود اليومية'!$I$11:$I$1010="مرحل ✔")*'قيود اليومية'!$H$11:$H$1010)))</f>
        <v/>
      </c>
      <c r="E155" s="91" t="str">
        <f aca="false">IF($A155="","",MAX(C155-D155,0))</f>
        <v/>
      </c>
      <c r="F155" s="91" t="str">
        <f aca="false">IF($A155="","",MAX(D155-C155,0))</f>
        <v/>
      </c>
      <c r="G155" s="55" t="str">
        <f aca="false">IF($A155="","",'شجرة الحسابات'!C155&amp;"")</f>
        <v/>
      </c>
      <c r="H155" s="55" t="str">
        <f aca="false">IF($A155="","",'شجرة الحسابات'!E155&amp;"")</f>
        <v/>
      </c>
      <c r="I155" s="55" t="str">
        <f aca="false">IF($A155="","",'شجرة الحسابات'!H155&amp;"")</f>
        <v/>
      </c>
      <c r="J155" s="55" t="str">
        <f aca="false">IF($A155="","",'شجرة الحسابات'!I155&amp;"")</f>
        <v/>
      </c>
      <c r="K155" s="92" t="str">
        <f aca="false">IF(OR($A155="",$G155&lt;&gt;"تحليلي"),"",E155-F155)</f>
        <v/>
      </c>
    </row>
    <row r="156" customFormat="false" ht="15" hidden="false" customHeight="false" outlineLevel="0" collapsed="false">
      <c r="A156" s="90" t="str">
        <f aca="false">IF('شجرة الحسابات'!A156="","",'شجرة الحسابات'!A156)</f>
        <v/>
      </c>
      <c r="B156" s="51" t="str">
        <f aca="false">IF($A156="","",'شجرة الحسابات'!B156)</f>
        <v/>
      </c>
      <c r="C156" s="85" t="str">
        <f aca="false">IF($A156="","",IF($G156="تحليلي",SUMIFS('قيود اليومية'!$G$11:$G$1010,'قيود اليومية'!$C$11:$C$1010,$A156,'قيود اليومية'!$I$11:$I$1010,"مرحل ✔"),SUMPRODUCT((LEFT('قيود اليومية'!$C$11:$C$1010&amp;"",LEN($A156&amp;""))=$A156&amp;"")*('قيود اليومية'!$I$11:$I$1010="مرحل ✔")*'قيود اليومية'!$G$11:$G$1010)))</f>
        <v/>
      </c>
      <c r="D156" s="85" t="str">
        <f aca="false">IF($A156="","",IF($G156="تحليلي",SUMIFS('قيود اليومية'!$H$11:$H$1010,'قيود اليومية'!$C$11:$C$1010,$A156,'قيود اليومية'!$I$11:$I$1010,"مرحل ✔"),SUMPRODUCT((LEFT('قيود اليومية'!$C$11:$C$1010&amp;"",LEN($A156&amp;""))=$A156&amp;"")*('قيود اليومية'!$I$11:$I$1010="مرحل ✔")*'قيود اليومية'!$H$11:$H$1010)))</f>
        <v/>
      </c>
      <c r="E156" s="91" t="str">
        <f aca="false">IF($A156="","",MAX(C156-D156,0))</f>
        <v/>
      </c>
      <c r="F156" s="91" t="str">
        <f aca="false">IF($A156="","",MAX(D156-C156,0))</f>
        <v/>
      </c>
      <c r="G156" s="55" t="str">
        <f aca="false">IF($A156="","",'شجرة الحسابات'!C156&amp;"")</f>
        <v/>
      </c>
      <c r="H156" s="55" t="str">
        <f aca="false">IF($A156="","",'شجرة الحسابات'!E156&amp;"")</f>
        <v/>
      </c>
      <c r="I156" s="55" t="str">
        <f aca="false">IF($A156="","",'شجرة الحسابات'!H156&amp;"")</f>
        <v/>
      </c>
      <c r="J156" s="55" t="str">
        <f aca="false">IF($A156="","",'شجرة الحسابات'!I156&amp;"")</f>
        <v/>
      </c>
      <c r="K156" s="92" t="str">
        <f aca="false">IF(OR($A156="",$G156&lt;&gt;"تحليلي"),"",E156-F156)</f>
        <v/>
      </c>
    </row>
    <row r="157" customFormat="false" ht="15" hidden="false" customHeight="false" outlineLevel="0" collapsed="false">
      <c r="A157" s="90" t="str">
        <f aca="false">IF('شجرة الحسابات'!A157="","",'شجرة الحسابات'!A157)</f>
        <v/>
      </c>
      <c r="B157" s="51" t="str">
        <f aca="false">IF($A157="","",'شجرة الحسابات'!B157)</f>
        <v/>
      </c>
      <c r="C157" s="85" t="str">
        <f aca="false">IF($A157="","",IF($G157="تحليلي",SUMIFS('قيود اليومية'!$G$11:$G$1010,'قيود اليومية'!$C$11:$C$1010,$A157,'قيود اليومية'!$I$11:$I$1010,"مرحل ✔"),SUMPRODUCT((LEFT('قيود اليومية'!$C$11:$C$1010&amp;"",LEN($A157&amp;""))=$A157&amp;"")*('قيود اليومية'!$I$11:$I$1010="مرحل ✔")*'قيود اليومية'!$G$11:$G$1010)))</f>
        <v/>
      </c>
      <c r="D157" s="85" t="str">
        <f aca="false">IF($A157="","",IF($G157="تحليلي",SUMIFS('قيود اليومية'!$H$11:$H$1010,'قيود اليومية'!$C$11:$C$1010,$A157,'قيود اليومية'!$I$11:$I$1010,"مرحل ✔"),SUMPRODUCT((LEFT('قيود اليومية'!$C$11:$C$1010&amp;"",LEN($A157&amp;""))=$A157&amp;"")*('قيود اليومية'!$I$11:$I$1010="مرحل ✔")*'قيود اليومية'!$H$11:$H$1010)))</f>
        <v/>
      </c>
      <c r="E157" s="91" t="str">
        <f aca="false">IF($A157="","",MAX(C157-D157,0))</f>
        <v/>
      </c>
      <c r="F157" s="91" t="str">
        <f aca="false">IF($A157="","",MAX(D157-C157,0))</f>
        <v/>
      </c>
      <c r="G157" s="55" t="str">
        <f aca="false">IF($A157="","",'شجرة الحسابات'!C157&amp;"")</f>
        <v/>
      </c>
      <c r="H157" s="55" t="str">
        <f aca="false">IF($A157="","",'شجرة الحسابات'!E157&amp;"")</f>
        <v/>
      </c>
      <c r="I157" s="55" t="str">
        <f aca="false">IF($A157="","",'شجرة الحسابات'!H157&amp;"")</f>
        <v/>
      </c>
      <c r="J157" s="55" t="str">
        <f aca="false">IF($A157="","",'شجرة الحسابات'!I157&amp;"")</f>
        <v/>
      </c>
      <c r="K157" s="92" t="str">
        <f aca="false">IF(OR($A157="",$G157&lt;&gt;"تحليلي"),"",E157-F157)</f>
        <v/>
      </c>
    </row>
    <row r="158" customFormat="false" ht="15" hidden="false" customHeight="false" outlineLevel="0" collapsed="false">
      <c r="A158" s="90" t="str">
        <f aca="false">IF('شجرة الحسابات'!A158="","",'شجرة الحسابات'!A158)</f>
        <v/>
      </c>
      <c r="B158" s="51" t="str">
        <f aca="false">IF($A158="","",'شجرة الحسابات'!B158)</f>
        <v/>
      </c>
      <c r="C158" s="85" t="str">
        <f aca="false">IF($A158="","",IF($G158="تحليلي",SUMIFS('قيود اليومية'!$G$11:$G$1010,'قيود اليومية'!$C$11:$C$1010,$A158,'قيود اليومية'!$I$11:$I$1010,"مرحل ✔"),SUMPRODUCT((LEFT('قيود اليومية'!$C$11:$C$1010&amp;"",LEN($A158&amp;""))=$A158&amp;"")*('قيود اليومية'!$I$11:$I$1010="مرحل ✔")*'قيود اليومية'!$G$11:$G$1010)))</f>
        <v/>
      </c>
      <c r="D158" s="85" t="str">
        <f aca="false">IF($A158="","",IF($G158="تحليلي",SUMIFS('قيود اليومية'!$H$11:$H$1010,'قيود اليومية'!$C$11:$C$1010,$A158,'قيود اليومية'!$I$11:$I$1010,"مرحل ✔"),SUMPRODUCT((LEFT('قيود اليومية'!$C$11:$C$1010&amp;"",LEN($A158&amp;""))=$A158&amp;"")*('قيود اليومية'!$I$11:$I$1010="مرحل ✔")*'قيود اليومية'!$H$11:$H$1010)))</f>
        <v/>
      </c>
      <c r="E158" s="91" t="str">
        <f aca="false">IF($A158="","",MAX(C158-D158,0))</f>
        <v/>
      </c>
      <c r="F158" s="91" t="str">
        <f aca="false">IF($A158="","",MAX(D158-C158,0))</f>
        <v/>
      </c>
      <c r="G158" s="55" t="str">
        <f aca="false">IF($A158="","",'شجرة الحسابات'!C158&amp;"")</f>
        <v/>
      </c>
      <c r="H158" s="55" t="str">
        <f aca="false">IF($A158="","",'شجرة الحسابات'!E158&amp;"")</f>
        <v/>
      </c>
      <c r="I158" s="55" t="str">
        <f aca="false">IF($A158="","",'شجرة الحسابات'!H158&amp;"")</f>
        <v/>
      </c>
      <c r="J158" s="55" t="str">
        <f aca="false">IF($A158="","",'شجرة الحسابات'!I158&amp;"")</f>
        <v/>
      </c>
      <c r="K158" s="92" t="str">
        <f aca="false">IF(OR($A158="",$G158&lt;&gt;"تحليلي"),"",E158-F158)</f>
        <v/>
      </c>
    </row>
    <row r="159" customFormat="false" ht="15" hidden="false" customHeight="false" outlineLevel="0" collapsed="false">
      <c r="A159" s="90" t="str">
        <f aca="false">IF('شجرة الحسابات'!A159="","",'شجرة الحسابات'!A159)</f>
        <v/>
      </c>
      <c r="B159" s="51" t="str">
        <f aca="false">IF($A159="","",'شجرة الحسابات'!B159)</f>
        <v/>
      </c>
      <c r="C159" s="85" t="str">
        <f aca="false">IF($A159="","",IF($G159="تحليلي",SUMIFS('قيود اليومية'!$G$11:$G$1010,'قيود اليومية'!$C$11:$C$1010,$A159,'قيود اليومية'!$I$11:$I$1010,"مرحل ✔"),SUMPRODUCT((LEFT('قيود اليومية'!$C$11:$C$1010&amp;"",LEN($A159&amp;""))=$A159&amp;"")*('قيود اليومية'!$I$11:$I$1010="مرحل ✔")*'قيود اليومية'!$G$11:$G$1010)))</f>
        <v/>
      </c>
      <c r="D159" s="85" t="str">
        <f aca="false">IF($A159="","",IF($G159="تحليلي",SUMIFS('قيود اليومية'!$H$11:$H$1010,'قيود اليومية'!$C$11:$C$1010,$A159,'قيود اليومية'!$I$11:$I$1010,"مرحل ✔"),SUMPRODUCT((LEFT('قيود اليومية'!$C$11:$C$1010&amp;"",LEN($A159&amp;""))=$A159&amp;"")*('قيود اليومية'!$I$11:$I$1010="مرحل ✔")*'قيود اليومية'!$H$11:$H$1010)))</f>
        <v/>
      </c>
      <c r="E159" s="91" t="str">
        <f aca="false">IF($A159="","",MAX(C159-D159,0))</f>
        <v/>
      </c>
      <c r="F159" s="91" t="str">
        <f aca="false">IF($A159="","",MAX(D159-C159,0))</f>
        <v/>
      </c>
      <c r="G159" s="55" t="str">
        <f aca="false">IF($A159="","",'شجرة الحسابات'!C159&amp;"")</f>
        <v/>
      </c>
      <c r="H159" s="55" t="str">
        <f aca="false">IF($A159="","",'شجرة الحسابات'!E159&amp;"")</f>
        <v/>
      </c>
      <c r="I159" s="55" t="str">
        <f aca="false">IF($A159="","",'شجرة الحسابات'!H159&amp;"")</f>
        <v/>
      </c>
      <c r="J159" s="55" t="str">
        <f aca="false">IF($A159="","",'شجرة الحسابات'!I159&amp;"")</f>
        <v/>
      </c>
      <c r="K159" s="92" t="str">
        <f aca="false">IF(OR($A159="",$G159&lt;&gt;"تحليلي"),"",E159-F159)</f>
        <v/>
      </c>
    </row>
    <row r="160" customFormat="false" ht="15" hidden="false" customHeight="false" outlineLevel="0" collapsed="false">
      <c r="A160" s="90" t="str">
        <f aca="false">IF('شجرة الحسابات'!A160="","",'شجرة الحسابات'!A160)</f>
        <v/>
      </c>
      <c r="B160" s="51" t="str">
        <f aca="false">IF($A160="","",'شجرة الحسابات'!B160)</f>
        <v/>
      </c>
      <c r="C160" s="85" t="str">
        <f aca="false">IF($A160="","",IF($G160="تحليلي",SUMIFS('قيود اليومية'!$G$11:$G$1010,'قيود اليومية'!$C$11:$C$1010,$A160,'قيود اليومية'!$I$11:$I$1010,"مرحل ✔"),SUMPRODUCT((LEFT('قيود اليومية'!$C$11:$C$1010&amp;"",LEN($A160&amp;""))=$A160&amp;"")*('قيود اليومية'!$I$11:$I$1010="مرحل ✔")*'قيود اليومية'!$G$11:$G$1010)))</f>
        <v/>
      </c>
      <c r="D160" s="85" t="str">
        <f aca="false">IF($A160="","",IF($G160="تحليلي",SUMIFS('قيود اليومية'!$H$11:$H$1010,'قيود اليومية'!$C$11:$C$1010,$A160,'قيود اليومية'!$I$11:$I$1010,"مرحل ✔"),SUMPRODUCT((LEFT('قيود اليومية'!$C$11:$C$1010&amp;"",LEN($A160&amp;""))=$A160&amp;"")*('قيود اليومية'!$I$11:$I$1010="مرحل ✔")*'قيود اليومية'!$H$11:$H$1010)))</f>
        <v/>
      </c>
      <c r="E160" s="91" t="str">
        <f aca="false">IF($A160="","",MAX(C160-D160,0))</f>
        <v/>
      </c>
      <c r="F160" s="91" t="str">
        <f aca="false">IF($A160="","",MAX(D160-C160,0))</f>
        <v/>
      </c>
      <c r="G160" s="55" t="str">
        <f aca="false">IF($A160="","",'شجرة الحسابات'!C160&amp;"")</f>
        <v/>
      </c>
      <c r="H160" s="55" t="str">
        <f aca="false">IF($A160="","",'شجرة الحسابات'!E160&amp;"")</f>
        <v/>
      </c>
      <c r="I160" s="55" t="str">
        <f aca="false">IF($A160="","",'شجرة الحسابات'!H160&amp;"")</f>
        <v/>
      </c>
      <c r="J160" s="55" t="str">
        <f aca="false">IF($A160="","",'شجرة الحسابات'!I160&amp;"")</f>
        <v/>
      </c>
      <c r="K160" s="92" t="str">
        <f aca="false">IF(OR($A160="",$G160&lt;&gt;"تحليلي"),"",E160-F160)</f>
        <v/>
      </c>
    </row>
    <row r="161" customFormat="false" ht="15" hidden="false" customHeight="false" outlineLevel="0" collapsed="false">
      <c r="A161" s="90" t="str">
        <f aca="false">IF('شجرة الحسابات'!A161="","",'شجرة الحسابات'!A161)</f>
        <v/>
      </c>
      <c r="B161" s="51" t="str">
        <f aca="false">IF($A161="","",'شجرة الحسابات'!B161)</f>
        <v/>
      </c>
      <c r="C161" s="85" t="str">
        <f aca="false">IF($A161="","",IF($G161="تحليلي",SUMIFS('قيود اليومية'!$G$11:$G$1010,'قيود اليومية'!$C$11:$C$1010,$A161,'قيود اليومية'!$I$11:$I$1010,"مرحل ✔"),SUMPRODUCT((LEFT('قيود اليومية'!$C$11:$C$1010&amp;"",LEN($A161&amp;""))=$A161&amp;"")*('قيود اليومية'!$I$11:$I$1010="مرحل ✔")*'قيود اليومية'!$G$11:$G$1010)))</f>
        <v/>
      </c>
      <c r="D161" s="85" t="str">
        <f aca="false">IF($A161="","",IF($G161="تحليلي",SUMIFS('قيود اليومية'!$H$11:$H$1010,'قيود اليومية'!$C$11:$C$1010,$A161,'قيود اليومية'!$I$11:$I$1010,"مرحل ✔"),SUMPRODUCT((LEFT('قيود اليومية'!$C$11:$C$1010&amp;"",LEN($A161&amp;""))=$A161&amp;"")*('قيود اليومية'!$I$11:$I$1010="مرحل ✔")*'قيود اليومية'!$H$11:$H$1010)))</f>
        <v/>
      </c>
      <c r="E161" s="91" t="str">
        <f aca="false">IF($A161="","",MAX(C161-D161,0))</f>
        <v/>
      </c>
      <c r="F161" s="91" t="str">
        <f aca="false">IF($A161="","",MAX(D161-C161,0))</f>
        <v/>
      </c>
      <c r="G161" s="55" t="str">
        <f aca="false">IF($A161="","",'شجرة الحسابات'!C161&amp;"")</f>
        <v/>
      </c>
      <c r="H161" s="55" t="str">
        <f aca="false">IF($A161="","",'شجرة الحسابات'!E161&amp;"")</f>
        <v/>
      </c>
      <c r="I161" s="55" t="str">
        <f aca="false">IF($A161="","",'شجرة الحسابات'!H161&amp;"")</f>
        <v/>
      </c>
      <c r="J161" s="55" t="str">
        <f aca="false">IF($A161="","",'شجرة الحسابات'!I161&amp;"")</f>
        <v/>
      </c>
      <c r="K161" s="92" t="str">
        <f aca="false">IF(OR($A161="",$G161&lt;&gt;"تحليلي"),"",E161-F161)</f>
        <v/>
      </c>
    </row>
    <row r="162" customFormat="false" ht="15" hidden="false" customHeight="false" outlineLevel="0" collapsed="false">
      <c r="A162" s="90" t="str">
        <f aca="false">IF('شجرة الحسابات'!A162="","",'شجرة الحسابات'!A162)</f>
        <v/>
      </c>
      <c r="B162" s="51" t="str">
        <f aca="false">IF($A162="","",'شجرة الحسابات'!B162)</f>
        <v/>
      </c>
      <c r="C162" s="85" t="str">
        <f aca="false">IF($A162="","",IF($G162="تحليلي",SUMIFS('قيود اليومية'!$G$11:$G$1010,'قيود اليومية'!$C$11:$C$1010,$A162,'قيود اليومية'!$I$11:$I$1010,"مرحل ✔"),SUMPRODUCT((LEFT('قيود اليومية'!$C$11:$C$1010&amp;"",LEN($A162&amp;""))=$A162&amp;"")*('قيود اليومية'!$I$11:$I$1010="مرحل ✔")*'قيود اليومية'!$G$11:$G$1010)))</f>
        <v/>
      </c>
      <c r="D162" s="85" t="str">
        <f aca="false">IF($A162="","",IF($G162="تحليلي",SUMIFS('قيود اليومية'!$H$11:$H$1010,'قيود اليومية'!$C$11:$C$1010,$A162,'قيود اليومية'!$I$11:$I$1010,"مرحل ✔"),SUMPRODUCT((LEFT('قيود اليومية'!$C$11:$C$1010&amp;"",LEN($A162&amp;""))=$A162&amp;"")*('قيود اليومية'!$I$11:$I$1010="مرحل ✔")*'قيود اليومية'!$H$11:$H$1010)))</f>
        <v/>
      </c>
      <c r="E162" s="91" t="str">
        <f aca="false">IF($A162="","",MAX(C162-D162,0))</f>
        <v/>
      </c>
      <c r="F162" s="91" t="str">
        <f aca="false">IF($A162="","",MAX(D162-C162,0))</f>
        <v/>
      </c>
      <c r="G162" s="55" t="str">
        <f aca="false">IF($A162="","",'شجرة الحسابات'!C162&amp;"")</f>
        <v/>
      </c>
      <c r="H162" s="55" t="str">
        <f aca="false">IF($A162="","",'شجرة الحسابات'!E162&amp;"")</f>
        <v/>
      </c>
      <c r="I162" s="55" t="str">
        <f aca="false">IF($A162="","",'شجرة الحسابات'!H162&amp;"")</f>
        <v/>
      </c>
      <c r="J162" s="55" t="str">
        <f aca="false">IF($A162="","",'شجرة الحسابات'!I162&amp;"")</f>
        <v/>
      </c>
      <c r="K162" s="92" t="str">
        <f aca="false">IF(OR($A162="",$G162&lt;&gt;"تحليلي"),"",E162-F162)</f>
        <v/>
      </c>
    </row>
    <row r="163" customFormat="false" ht="15" hidden="false" customHeight="false" outlineLevel="0" collapsed="false">
      <c r="A163" s="90" t="str">
        <f aca="false">IF('شجرة الحسابات'!A163="","",'شجرة الحسابات'!A163)</f>
        <v/>
      </c>
      <c r="B163" s="51" t="str">
        <f aca="false">IF($A163="","",'شجرة الحسابات'!B163)</f>
        <v/>
      </c>
      <c r="C163" s="85" t="str">
        <f aca="false">IF($A163="","",IF($G163="تحليلي",SUMIFS('قيود اليومية'!$G$11:$G$1010,'قيود اليومية'!$C$11:$C$1010,$A163,'قيود اليومية'!$I$11:$I$1010,"مرحل ✔"),SUMPRODUCT((LEFT('قيود اليومية'!$C$11:$C$1010&amp;"",LEN($A163&amp;""))=$A163&amp;"")*('قيود اليومية'!$I$11:$I$1010="مرحل ✔")*'قيود اليومية'!$G$11:$G$1010)))</f>
        <v/>
      </c>
      <c r="D163" s="85" t="str">
        <f aca="false">IF($A163="","",IF($G163="تحليلي",SUMIFS('قيود اليومية'!$H$11:$H$1010,'قيود اليومية'!$C$11:$C$1010,$A163,'قيود اليومية'!$I$11:$I$1010,"مرحل ✔"),SUMPRODUCT((LEFT('قيود اليومية'!$C$11:$C$1010&amp;"",LEN($A163&amp;""))=$A163&amp;"")*('قيود اليومية'!$I$11:$I$1010="مرحل ✔")*'قيود اليومية'!$H$11:$H$1010)))</f>
        <v/>
      </c>
      <c r="E163" s="91" t="str">
        <f aca="false">IF($A163="","",MAX(C163-D163,0))</f>
        <v/>
      </c>
      <c r="F163" s="91" t="str">
        <f aca="false">IF($A163="","",MAX(D163-C163,0))</f>
        <v/>
      </c>
      <c r="G163" s="55" t="str">
        <f aca="false">IF($A163="","",'شجرة الحسابات'!C163&amp;"")</f>
        <v/>
      </c>
      <c r="H163" s="55" t="str">
        <f aca="false">IF($A163="","",'شجرة الحسابات'!E163&amp;"")</f>
        <v/>
      </c>
      <c r="I163" s="55" t="str">
        <f aca="false">IF($A163="","",'شجرة الحسابات'!H163&amp;"")</f>
        <v/>
      </c>
      <c r="J163" s="55" t="str">
        <f aca="false">IF($A163="","",'شجرة الحسابات'!I163&amp;"")</f>
        <v/>
      </c>
      <c r="K163" s="92" t="str">
        <f aca="false">IF(OR($A163="",$G163&lt;&gt;"تحليلي"),"",E163-F163)</f>
        <v/>
      </c>
    </row>
    <row r="164" customFormat="false" ht="15" hidden="false" customHeight="false" outlineLevel="0" collapsed="false">
      <c r="A164" s="90" t="str">
        <f aca="false">IF('شجرة الحسابات'!A164="","",'شجرة الحسابات'!A164)</f>
        <v/>
      </c>
      <c r="B164" s="51" t="str">
        <f aca="false">IF($A164="","",'شجرة الحسابات'!B164)</f>
        <v/>
      </c>
      <c r="C164" s="85" t="str">
        <f aca="false">IF($A164="","",IF($G164="تحليلي",SUMIFS('قيود اليومية'!$G$11:$G$1010,'قيود اليومية'!$C$11:$C$1010,$A164,'قيود اليومية'!$I$11:$I$1010,"مرحل ✔"),SUMPRODUCT((LEFT('قيود اليومية'!$C$11:$C$1010&amp;"",LEN($A164&amp;""))=$A164&amp;"")*('قيود اليومية'!$I$11:$I$1010="مرحل ✔")*'قيود اليومية'!$G$11:$G$1010)))</f>
        <v/>
      </c>
      <c r="D164" s="85" t="str">
        <f aca="false">IF($A164="","",IF($G164="تحليلي",SUMIFS('قيود اليومية'!$H$11:$H$1010,'قيود اليومية'!$C$11:$C$1010,$A164,'قيود اليومية'!$I$11:$I$1010,"مرحل ✔"),SUMPRODUCT((LEFT('قيود اليومية'!$C$11:$C$1010&amp;"",LEN($A164&amp;""))=$A164&amp;"")*('قيود اليومية'!$I$11:$I$1010="مرحل ✔")*'قيود اليومية'!$H$11:$H$1010)))</f>
        <v/>
      </c>
      <c r="E164" s="91" t="str">
        <f aca="false">IF($A164="","",MAX(C164-D164,0))</f>
        <v/>
      </c>
      <c r="F164" s="91" t="str">
        <f aca="false">IF($A164="","",MAX(D164-C164,0))</f>
        <v/>
      </c>
      <c r="G164" s="55" t="str">
        <f aca="false">IF($A164="","",'شجرة الحسابات'!C164&amp;"")</f>
        <v/>
      </c>
      <c r="H164" s="55" t="str">
        <f aca="false">IF($A164="","",'شجرة الحسابات'!E164&amp;"")</f>
        <v/>
      </c>
      <c r="I164" s="55" t="str">
        <f aca="false">IF($A164="","",'شجرة الحسابات'!H164&amp;"")</f>
        <v/>
      </c>
      <c r="J164" s="55" t="str">
        <f aca="false">IF($A164="","",'شجرة الحسابات'!I164&amp;"")</f>
        <v/>
      </c>
      <c r="K164" s="92" t="str">
        <f aca="false">IF(OR($A164="",$G164&lt;&gt;"تحليلي"),"",E164-F164)</f>
        <v/>
      </c>
    </row>
    <row r="165" customFormat="false" ht="15" hidden="false" customHeight="false" outlineLevel="0" collapsed="false">
      <c r="A165" s="90" t="str">
        <f aca="false">IF('شجرة الحسابات'!A165="","",'شجرة الحسابات'!A165)</f>
        <v/>
      </c>
      <c r="B165" s="51" t="str">
        <f aca="false">IF($A165="","",'شجرة الحسابات'!B165)</f>
        <v/>
      </c>
      <c r="C165" s="85" t="str">
        <f aca="false">IF($A165="","",IF($G165="تحليلي",SUMIFS('قيود اليومية'!$G$11:$G$1010,'قيود اليومية'!$C$11:$C$1010,$A165,'قيود اليومية'!$I$11:$I$1010,"مرحل ✔"),SUMPRODUCT((LEFT('قيود اليومية'!$C$11:$C$1010&amp;"",LEN($A165&amp;""))=$A165&amp;"")*('قيود اليومية'!$I$11:$I$1010="مرحل ✔")*'قيود اليومية'!$G$11:$G$1010)))</f>
        <v/>
      </c>
      <c r="D165" s="85" t="str">
        <f aca="false">IF($A165="","",IF($G165="تحليلي",SUMIFS('قيود اليومية'!$H$11:$H$1010,'قيود اليومية'!$C$11:$C$1010,$A165,'قيود اليومية'!$I$11:$I$1010,"مرحل ✔"),SUMPRODUCT((LEFT('قيود اليومية'!$C$11:$C$1010&amp;"",LEN($A165&amp;""))=$A165&amp;"")*('قيود اليومية'!$I$11:$I$1010="مرحل ✔")*'قيود اليومية'!$H$11:$H$1010)))</f>
        <v/>
      </c>
      <c r="E165" s="91" t="str">
        <f aca="false">IF($A165="","",MAX(C165-D165,0))</f>
        <v/>
      </c>
      <c r="F165" s="91" t="str">
        <f aca="false">IF($A165="","",MAX(D165-C165,0))</f>
        <v/>
      </c>
      <c r="G165" s="55" t="str">
        <f aca="false">IF($A165="","",'شجرة الحسابات'!C165&amp;"")</f>
        <v/>
      </c>
      <c r="H165" s="55" t="str">
        <f aca="false">IF($A165="","",'شجرة الحسابات'!E165&amp;"")</f>
        <v/>
      </c>
      <c r="I165" s="55" t="str">
        <f aca="false">IF($A165="","",'شجرة الحسابات'!H165&amp;"")</f>
        <v/>
      </c>
      <c r="J165" s="55" t="str">
        <f aca="false">IF($A165="","",'شجرة الحسابات'!I165&amp;"")</f>
        <v/>
      </c>
      <c r="K165" s="92" t="str">
        <f aca="false">IF(OR($A165="",$G165&lt;&gt;"تحليلي"),"",E165-F165)</f>
        <v/>
      </c>
    </row>
    <row r="166" customFormat="false" ht="15" hidden="false" customHeight="false" outlineLevel="0" collapsed="false">
      <c r="A166" s="90" t="str">
        <f aca="false">IF('شجرة الحسابات'!A166="","",'شجرة الحسابات'!A166)</f>
        <v/>
      </c>
      <c r="B166" s="51" t="str">
        <f aca="false">IF($A166="","",'شجرة الحسابات'!B166)</f>
        <v/>
      </c>
      <c r="C166" s="85" t="str">
        <f aca="false">IF($A166="","",IF($G166="تحليلي",SUMIFS('قيود اليومية'!$G$11:$G$1010,'قيود اليومية'!$C$11:$C$1010,$A166,'قيود اليومية'!$I$11:$I$1010,"مرحل ✔"),SUMPRODUCT((LEFT('قيود اليومية'!$C$11:$C$1010&amp;"",LEN($A166&amp;""))=$A166&amp;"")*('قيود اليومية'!$I$11:$I$1010="مرحل ✔")*'قيود اليومية'!$G$11:$G$1010)))</f>
        <v/>
      </c>
      <c r="D166" s="85" t="str">
        <f aca="false">IF($A166="","",IF($G166="تحليلي",SUMIFS('قيود اليومية'!$H$11:$H$1010,'قيود اليومية'!$C$11:$C$1010,$A166,'قيود اليومية'!$I$11:$I$1010,"مرحل ✔"),SUMPRODUCT((LEFT('قيود اليومية'!$C$11:$C$1010&amp;"",LEN($A166&amp;""))=$A166&amp;"")*('قيود اليومية'!$I$11:$I$1010="مرحل ✔")*'قيود اليومية'!$H$11:$H$1010)))</f>
        <v/>
      </c>
      <c r="E166" s="91" t="str">
        <f aca="false">IF($A166="","",MAX(C166-D166,0))</f>
        <v/>
      </c>
      <c r="F166" s="91" t="str">
        <f aca="false">IF($A166="","",MAX(D166-C166,0))</f>
        <v/>
      </c>
      <c r="G166" s="55" t="str">
        <f aca="false">IF($A166="","",'شجرة الحسابات'!C166&amp;"")</f>
        <v/>
      </c>
      <c r="H166" s="55" t="str">
        <f aca="false">IF($A166="","",'شجرة الحسابات'!E166&amp;"")</f>
        <v/>
      </c>
      <c r="I166" s="55" t="str">
        <f aca="false">IF($A166="","",'شجرة الحسابات'!H166&amp;"")</f>
        <v/>
      </c>
      <c r="J166" s="55" t="str">
        <f aca="false">IF($A166="","",'شجرة الحسابات'!I166&amp;"")</f>
        <v/>
      </c>
      <c r="K166" s="92" t="str">
        <f aca="false">IF(OR($A166="",$G166&lt;&gt;"تحليلي"),"",E166-F166)</f>
        <v/>
      </c>
    </row>
    <row r="167" customFormat="false" ht="15" hidden="false" customHeight="false" outlineLevel="0" collapsed="false">
      <c r="A167" s="90" t="str">
        <f aca="false">IF('شجرة الحسابات'!A167="","",'شجرة الحسابات'!A167)</f>
        <v/>
      </c>
      <c r="B167" s="51" t="str">
        <f aca="false">IF($A167="","",'شجرة الحسابات'!B167)</f>
        <v/>
      </c>
      <c r="C167" s="85" t="str">
        <f aca="false">IF($A167="","",IF($G167="تحليلي",SUMIFS('قيود اليومية'!$G$11:$G$1010,'قيود اليومية'!$C$11:$C$1010,$A167,'قيود اليومية'!$I$11:$I$1010,"مرحل ✔"),SUMPRODUCT((LEFT('قيود اليومية'!$C$11:$C$1010&amp;"",LEN($A167&amp;""))=$A167&amp;"")*('قيود اليومية'!$I$11:$I$1010="مرحل ✔")*'قيود اليومية'!$G$11:$G$1010)))</f>
        <v/>
      </c>
      <c r="D167" s="85" t="str">
        <f aca="false">IF($A167="","",IF($G167="تحليلي",SUMIFS('قيود اليومية'!$H$11:$H$1010,'قيود اليومية'!$C$11:$C$1010,$A167,'قيود اليومية'!$I$11:$I$1010,"مرحل ✔"),SUMPRODUCT((LEFT('قيود اليومية'!$C$11:$C$1010&amp;"",LEN($A167&amp;""))=$A167&amp;"")*('قيود اليومية'!$I$11:$I$1010="مرحل ✔")*'قيود اليومية'!$H$11:$H$1010)))</f>
        <v/>
      </c>
      <c r="E167" s="91" t="str">
        <f aca="false">IF($A167="","",MAX(C167-D167,0))</f>
        <v/>
      </c>
      <c r="F167" s="91" t="str">
        <f aca="false">IF($A167="","",MAX(D167-C167,0))</f>
        <v/>
      </c>
      <c r="G167" s="55" t="str">
        <f aca="false">IF($A167="","",'شجرة الحسابات'!C167&amp;"")</f>
        <v/>
      </c>
      <c r="H167" s="55" t="str">
        <f aca="false">IF($A167="","",'شجرة الحسابات'!E167&amp;"")</f>
        <v/>
      </c>
      <c r="I167" s="55" t="str">
        <f aca="false">IF($A167="","",'شجرة الحسابات'!H167&amp;"")</f>
        <v/>
      </c>
      <c r="J167" s="55" t="str">
        <f aca="false">IF($A167="","",'شجرة الحسابات'!I167&amp;"")</f>
        <v/>
      </c>
      <c r="K167" s="92" t="str">
        <f aca="false">IF(OR($A167="",$G167&lt;&gt;"تحليلي"),"",E167-F167)</f>
        <v/>
      </c>
    </row>
    <row r="168" customFormat="false" ht="15" hidden="false" customHeight="false" outlineLevel="0" collapsed="false">
      <c r="A168" s="90" t="str">
        <f aca="false">IF('شجرة الحسابات'!A168="","",'شجرة الحسابات'!A168)</f>
        <v/>
      </c>
      <c r="B168" s="51" t="str">
        <f aca="false">IF($A168="","",'شجرة الحسابات'!B168)</f>
        <v/>
      </c>
      <c r="C168" s="85" t="str">
        <f aca="false">IF($A168="","",IF($G168="تحليلي",SUMIFS('قيود اليومية'!$G$11:$G$1010,'قيود اليومية'!$C$11:$C$1010,$A168,'قيود اليومية'!$I$11:$I$1010,"مرحل ✔"),SUMPRODUCT((LEFT('قيود اليومية'!$C$11:$C$1010&amp;"",LEN($A168&amp;""))=$A168&amp;"")*('قيود اليومية'!$I$11:$I$1010="مرحل ✔")*'قيود اليومية'!$G$11:$G$1010)))</f>
        <v/>
      </c>
      <c r="D168" s="85" t="str">
        <f aca="false">IF($A168="","",IF($G168="تحليلي",SUMIFS('قيود اليومية'!$H$11:$H$1010,'قيود اليومية'!$C$11:$C$1010,$A168,'قيود اليومية'!$I$11:$I$1010,"مرحل ✔"),SUMPRODUCT((LEFT('قيود اليومية'!$C$11:$C$1010&amp;"",LEN($A168&amp;""))=$A168&amp;"")*('قيود اليومية'!$I$11:$I$1010="مرحل ✔")*'قيود اليومية'!$H$11:$H$1010)))</f>
        <v/>
      </c>
      <c r="E168" s="91" t="str">
        <f aca="false">IF($A168="","",MAX(C168-D168,0))</f>
        <v/>
      </c>
      <c r="F168" s="91" t="str">
        <f aca="false">IF($A168="","",MAX(D168-C168,0))</f>
        <v/>
      </c>
      <c r="G168" s="55" t="str">
        <f aca="false">IF($A168="","",'شجرة الحسابات'!C168&amp;"")</f>
        <v/>
      </c>
      <c r="H168" s="55" t="str">
        <f aca="false">IF($A168="","",'شجرة الحسابات'!E168&amp;"")</f>
        <v/>
      </c>
      <c r="I168" s="55" t="str">
        <f aca="false">IF($A168="","",'شجرة الحسابات'!H168&amp;"")</f>
        <v/>
      </c>
      <c r="J168" s="55" t="str">
        <f aca="false">IF($A168="","",'شجرة الحسابات'!I168&amp;"")</f>
        <v/>
      </c>
      <c r="K168" s="92" t="str">
        <f aca="false">IF(OR($A168="",$G168&lt;&gt;"تحليلي"),"",E168-F168)</f>
        <v/>
      </c>
    </row>
    <row r="169" customFormat="false" ht="15" hidden="false" customHeight="false" outlineLevel="0" collapsed="false">
      <c r="A169" s="90" t="str">
        <f aca="false">IF('شجرة الحسابات'!A169="","",'شجرة الحسابات'!A169)</f>
        <v/>
      </c>
      <c r="B169" s="51" t="str">
        <f aca="false">IF($A169="","",'شجرة الحسابات'!B169)</f>
        <v/>
      </c>
      <c r="C169" s="85" t="str">
        <f aca="false">IF($A169="","",IF($G169="تحليلي",SUMIFS('قيود اليومية'!$G$11:$G$1010,'قيود اليومية'!$C$11:$C$1010,$A169,'قيود اليومية'!$I$11:$I$1010,"مرحل ✔"),SUMPRODUCT((LEFT('قيود اليومية'!$C$11:$C$1010&amp;"",LEN($A169&amp;""))=$A169&amp;"")*('قيود اليومية'!$I$11:$I$1010="مرحل ✔")*'قيود اليومية'!$G$11:$G$1010)))</f>
        <v/>
      </c>
      <c r="D169" s="85" t="str">
        <f aca="false">IF($A169="","",IF($G169="تحليلي",SUMIFS('قيود اليومية'!$H$11:$H$1010,'قيود اليومية'!$C$11:$C$1010,$A169,'قيود اليومية'!$I$11:$I$1010,"مرحل ✔"),SUMPRODUCT((LEFT('قيود اليومية'!$C$11:$C$1010&amp;"",LEN($A169&amp;""))=$A169&amp;"")*('قيود اليومية'!$I$11:$I$1010="مرحل ✔")*'قيود اليومية'!$H$11:$H$1010)))</f>
        <v/>
      </c>
      <c r="E169" s="91" t="str">
        <f aca="false">IF($A169="","",MAX(C169-D169,0))</f>
        <v/>
      </c>
      <c r="F169" s="91" t="str">
        <f aca="false">IF($A169="","",MAX(D169-C169,0))</f>
        <v/>
      </c>
      <c r="G169" s="55" t="str">
        <f aca="false">IF($A169="","",'شجرة الحسابات'!C169&amp;"")</f>
        <v/>
      </c>
      <c r="H169" s="55" t="str">
        <f aca="false">IF($A169="","",'شجرة الحسابات'!E169&amp;"")</f>
        <v/>
      </c>
      <c r="I169" s="55" t="str">
        <f aca="false">IF($A169="","",'شجرة الحسابات'!H169&amp;"")</f>
        <v/>
      </c>
      <c r="J169" s="55" t="str">
        <f aca="false">IF($A169="","",'شجرة الحسابات'!I169&amp;"")</f>
        <v/>
      </c>
      <c r="K169" s="92" t="str">
        <f aca="false">IF(OR($A169="",$G169&lt;&gt;"تحليلي"),"",E169-F169)</f>
        <v/>
      </c>
    </row>
    <row r="170" customFormat="false" ht="15" hidden="false" customHeight="false" outlineLevel="0" collapsed="false">
      <c r="A170" s="90" t="str">
        <f aca="false">IF('شجرة الحسابات'!A170="","",'شجرة الحسابات'!A170)</f>
        <v/>
      </c>
      <c r="B170" s="51" t="str">
        <f aca="false">IF($A170="","",'شجرة الحسابات'!B170)</f>
        <v/>
      </c>
      <c r="C170" s="85" t="str">
        <f aca="false">IF($A170="","",IF($G170="تحليلي",SUMIFS('قيود اليومية'!$G$11:$G$1010,'قيود اليومية'!$C$11:$C$1010,$A170,'قيود اليومية'!$I$11:$I$1010,"مرحل ✔"),SUMPRODUCT((LEFT('قيود اليومية'!$C$11:$C$1010&amp;"",LEN($A170&amp;""))=$A170&amp;"")*('قيود اليومية'!$I$11:$I$1010="مرحل ✔")*'قيود اليومية'!$G$11:$G$1010)))</f>
        <v/>
      </c>
      <c r="D170" s="85" t="str">
        <f aca="false">IF($A170="","",IF($G170="تحليلي",SUMIFS('قيود اليومية'!$H$11:$H$1010,'قيود اليومية'!$C$11:$C$1010,$A170,'قيود اليومية'!$I$11:$I$1010,"مرحل ✔"),SUMPRODUCT((LEFT('قيود اليومية'!$C$11:$C$1010&amp;"",LEN($A170&amp;""))=$A170&amp;"")*('قيود اليومية'!$I$11:$I$1010="مرحل ✔")*'قيود اليومية'!$H$11:$H$1010)))</f>
        <v/>
      </c>
      <c r="E170" s="91" t="str">
        <f aca="false">IF($A170="","",MAX(C170-D170,0))</f>
        <v/>
      </c>
      <c r="F170" s="91" t="str">
        <f aca="false">IF($A170="","",MAX(D170-C170,0))</f>
        <v/>
      </c>
      <c r="G170" s="55" t="str">
        <f aca="false">IF($A170="","",'شجرة الحسابات'!C170&amp;"")</f>
        <v/>
      </c>
      <c r="H170" s="55" t="str">
        <f aca="false">IF($A170="","",'شجرة الحسابات'!E170&amp;"")</f>
        <v/>
      </c>
      <c r="I170" s="55" t="str">
        <f aca="false">IF($A170="","",'شجرة الحسابات'!H170&amp;"")</f>
        <v/>
      </c>
      <c r="J170" s="55" t="str">
        <f aca="false">IF($A170="","",'شجرة الحسابات'!I170&amp;"")</f>
        <v/>
      </c>
      <c r="K170" s="92" t="str">
        <f aca="false">IF(OR($A170="",$G170&lt;&gt;"تحليلي"),"",E170-F170)</f>
        <v/>
      </c>
    </row>
    <row r="171" customFormat="false" ht="15" hidden="false" customHeight="false" outlineLevel="0" collapsed="false">
      <c r="A171" s="90" t="str">
        <f aca="false">IF('شجرة الحسابات'!A171="","",'شجرة الحسابات'!A171)</f>
        <v/>
      </c>
      <c r="B171" s="51" t="str">
        <f aca="false">IF($A171="","",'شجرة الحسابات'!B171)</f>
        <v/>
      </c>
      <c r="C171" s="85" t="str">
        <f aca="false">IF($A171="","",IF($G171="تحليلي",SUMIFS('قيود اليومية'!$G$11:$G$1010,'قيود اليومية'!$C$11:$C$1010,$A171,'قيود اليومية'!$I$11:$I$1010,"مرحل ✔"),SUMPRODUCT((LEFT('قيود اليومية'!$C$11:$C$1010&amp;"",LEN($A171&amp;""))=$A171&amp;"")*('قيود اليومية'!$I$11:$I$1010="مرحل ✔")*'قيود اليومية'!$G$11:$G$1010)))</f>
        <v/>
      </c>
      <c r="D171" s="85" t="str">
        <f aca="false">IF($A171="","",IF($G171="تحليلي",SUMIFS('قيود اليومية'!$H$11:$H$1010,'قيود اليومية'!$C$11:$C$1010,$A171,'قيود اليومية'!$I$11:$I$1010,"مرحل ✔"),SUMPRODUCT((LEFT('قيود اليومية'!$C$11:$C$1010&amp;"",LEN($A171&amp;""))=$A171&amp;"")*('قيود اليومية'!$I$11:$I$1010="مرحل ✔")*'قيود اليومية'!$H$11:$H$1010)))</f>
        <v/>
      </c>
      <c r="E171" s="91" t="str">
        <f aca="false">IF($A171="","",MAX(C171-D171,0))</f>
        <v/>
      </c>
      <c r="F171" s="91" t="str">
        <f aca="false">IF($A171="","",MAX(D171-C171,0))</f>
        <v/>
      </c>
      <c r="G171" s="55" t="str">
        <f aca="false">IF($A171="","",'شجرة الحسابات'!C171&amp;"")</f>
        <v/>
      </c>
      <c r="H171" s="55" t="str">
        <f aca="false">IF($A171="","",'شجرة الحسابات'!E171&amp;"")</f>
        <v/>
      </c>
      <c r="I171" s="55" t="str">
        <f aca="false">IF($A171="","",'شجرة الحسابات'!H171&amp;"")</f>
        <v/>
      </c>
      <c r="J171" s="55" t="str">
        <f aca="false">IF($A171="","",'شجرة الحسابات'!I171&amp;"")</f>
        <v/>
      </c>
      <c r="K171" s="92" t="str">
        <f aca="false">IF(OR($A171="",$G171&lt;&gt;"تحليلي"),"",E171-F171)</f>
        <v/>
      </c>
    </row>
    <row r="172" customFormat="false" ht="15" hidden="false" customHeight="false" outlineLevel="0" collapsed="false">
      <c r="A172" s="90" t="str">
        <f aca="false">IF('شجرة الحسابات'!A172="","",'شجرة الحسابات'!A172)</f>
        <v/>
      </c>
      <c r="B172" s="51" t="str">
        <f aca="false">IF($A172="","",'شجرة الحسابات'!B172)</f>
        <v/>
      </c>
      <c r="C172" s="85" t="str">
        <f aca="false">IF($A172="","",IF($G172="تحليلي",SUMIFS('قيود اليومية'!$G$11:$G$1010,'قيود اليومية'!$C$11:$C$1010,$A172,'قيود اليومية'!$I$11:$I$1010,"مرحل ✔"),SUMPRODUCT((LEFT('قيود اليومية'!$C$11:$C$1010&amp;"",LEN($A172&amp;""))=$A172&amp;"")*('قيود اليومية'!$I$11:$I$1010="مرحل ✔")*'قيود اليومية'!$G$11:$G$1010)))</f>
        <v/>
      </c>
      <c r="D172" s="85" t="str">
        <f aca="false">IF($A172="","",IF($G172="تحليلي",SUMIFS('قيود اليومية'!$H$11:$H$1010,'قيود اليومية'!$C$11:$C$1010,$A172,'قيود اليومية'!$I$11:$I$1010,"مرحل ✔"),SUMPRODUCT((LEFT('قيود اليومية'!$C$11:$C$1010&amp;"",LEN($A172&amp;""))=$A172&amp;"")*('قيود اليومية'!$I$11:$I$1010="مرحل ✔")*'قيود اليومية'!$H$11:$H$1010)))</f>
        <v/>
      </c>
      <c r="E172" s="91" t="str">
        <f aca="false">IF($A172="","",MAX(C172-D172,0))</f>
        <v/>
      </c>
      <c r="F172" s="91" t="str">
        <f aca="false">IF($A172="","",MAX(D172-C172,0))</f>
        <v/>
      </c>
      <c r="G172" s="55" t="str">
        <f aca="false">IF($A172="","",'شجرة الحسابات'!C172&amp;"")</f>
        <v/>
      </c>
      <c r="H172" s="55" t="str">
        <f aca="false">IF($A172="","",'شجرة الحسابات'!E172&amp;"")</f>
        <v/>
      </c>
      <c r="I172" s="55" t="str">
        <f aca="false">IF($A172="","",'شجرة الحسابات'!H172&amp;"")</f>
        <v/>
      </c>
      <c r="J172" s="55" t="str">
        <f aca="false">IF($A172="","",'شجرة الحسابات'!I172&amp;"")</f>
        <v/>
      </c>
      <c r="K172" s="92" t="str">
        <f aca="false">IF(OR($A172="",$G172&lt;&gt;"تحليلي"),"",E172-F172)</f>
        <v/>
      </c>
    </row>
    <row r="173" customFormat="false" ht="15" hidden="false" customHeight="false" outlineLevel="0" collapsed="false">
      <c r="A173" s="90" t="str">
        <f aca="false">IF('شجرة الحسابات'!A173="","",'شجرة الحسابات'!A173)</f>
        <v/>
      </c>
      <c r="B173" s="51" t="str">
        <f aca="false">IF($A173="","",'شجرة الحسابات'!B173)</f>
        <v/>
      </c>
      <c r="C173" s="85" t="str">
        <f aca="false">IF($A173="","",IF($G173="تحليلي",SUMIFS('قيود اليومية'!$G$11:$G$1010,'قيود اليومية'!$C$11:$C$1010,$A173,'قيود اليومية'!$I$11:$I$1010,"مرحل ✔"),SUMPRODUCT((LEFT('قيود اليومية'!$C$11:$C$1010&amp;"",LEN($A173&amp;""))=$A173&amp;"")*('قيود اليومية'!$I$11:$I$1010="مرحل ✔")*'قيود اليومية'!$G$11:$G$1010)))</f>
        <v/>
      </c>
      <c r="D173" s="85" t="str">
        <f aca="false">IF($A173="","",IF($G173="تحليلي",SUMIFS('قيود اليومية'!$H$11:$H$1010,'قيود اليومية'!$C$11:$C$1010,$A173,'قيود اليومية'!$I$11:$I$1010,"مرحل ✔"),SUMPRODUCT((LEFT('قيود اليومية'!$C$11:$C$1010&amp;"",LEN($A173&amp;""))=$A173&amp;"")*('قيود اليومية'!$I$11:$I$1010="مرحل ✔")*'قيود اليومية'!$H$11:$H$1010)))</f>
        <v/>
      </c>
      <c r="E173" s="91" t="str">
        <f aca="false">IF($A173="","",MAX(C173-D173,0))</f>
        <v/>
      </c>
      <c r="F173" s="91" t="str">
        <f aca="false">IF($A173="","",MAX(D173-C173,0))</f>
        <v/>
      </c>
      <c r="G173" s="55" t="str">
        <f aca="false">IF($A173="","",'شجرة الحسابات'!C173&amp;"")</f>
        <v/>
      </c>
      <c r="H173" s="55" t="str">
        <f aca="false">IF($A173="","",'شجرة الحسابات'!E173&amp;"")</f>
        <v/>
      </c>
      <c r="I173" s="55" t="str">
        <f aca="false">IF($A173="","",'شجرة الحسابات'!H173&amp;"")</f>
        <v/>
      </c>
      <c r="J173" s="55" t="str">
        <f aca="false">IF($A173="","",'شجرة الحسابات'!I173&amp;"")</f>
        <v/>
      </c>
      <c r="K173" s="92" t="str">
        <f aca="false">IF(OR($A173="",$G173&lt;&gt;"تحليلي"),"",E173-F173)</f>
        <v/>
      </c>
    </row>
    <row r="174" customFormat="false" ht="15" hidden="false" customHeight="false" outlineLevel="0" collapsed="false">
      <c r="A174" s="90" t="str">
        <f aca="false">IF('شجرة الحسابات'!A174="","",'شجرة الحسابات'!A174)</f>
        <v/>
      </c>
      <c r="B174" s="51" t="str">
        <f aca="false">IF($A174="","",'شجرة الحسابات'!B174)</f>
        <v/>
      </c>
      <c r="C174" s="85" t="str">
        <f aca="false">IF($A174="","",IF($G174="تحليلي",SUMIFS('قيود اليومية'!$G$11:$G$1010,'قيود اليومية'!$C$11:$C$1010,$A174,'قيود اليومية'!$I$11:$I$1010,"مرحل ✔"),SUMPRODUCT((LEFT('قيود اليومية'!$C$11:$C$1010&amp;"",LEN($A174&amp;""))=$A174&amp;"")*('قيود اليومية'!$I$11:$I$1010="مرحل ✔")*'قيود اليومية'!$G$11:$G$1010)))</f>
        <v/>
      </c>
      <c r="D174" s="85" t="str">
        <f aca="false">IF($A174="","",IF($G174="تحليلي",SUMIFS('قيود اليومية'!$H$11:$H$1010,'قيود اليومية'!$C$11:$C$1010,$A174,'قيود اليومية'!$I$11:$I$1010,"مرحل ✔"),SUMPRODUCT((LEFT('قيود اليومية'!$C$11:$C$1010&amp;"",LEN($A174&amp;""))=$A174&amp;"")*('قيود اليومية'!$I$11:$I$1010="مرحل ✔")*'قيود اليومية'!$H$11:$H$1010)))</f>
        <v/>
      </c>
      <c r="E174" s="91" t="str">
        <f aca="false">IF($A174="","",MAX(C174-D174,0))</f>
        <v/>
      </c>
      <c r="F174" s="91" t="str">
        <f aca="false">IF($A174="","",MAX(D174-C174,0))</f>
        <v/>
      </c>
      <c r="G174" s="55" t="str">
        <f aca="false">IF($A174="","",'شجرة الحسابات'!C174&amp;"")</f>
        <v/>
      </c>
      <c r="H174" s="55" t="str">
        <f aca="false">IF($A174="","",'شجرة الحسابات'!E174&amp;"")</f>
        <v/>
      </c>
      <c r="I174" s="55" t="str">
        <f aca="false">IF($A174="","",'شجرة الحسابات'!H174&amp;"")</f>
        <v/>
      </c>
      <c r="J174" s="55" t="str">
        <f aca="false">IF($A174="","",'شجرة الحسابات'!I174&amp;"")</f>
        <v/>
      </c>
      <c r="K174" s="92" t="str">
        <f aca="false">IF(OR($A174="",$G174&lt;&gt;"تحليلي"),"",E174-F174)</f>
        <v/>
      </c>
    </row>
    <row r="175" customFormat="false" ht="15" hidden="false" customHeight="false" outlineLevel="0" collapsed="false">
      <c r="A175" s="90" t="str">
        <f aca="false">IF('شجرة الحسابات'!A175="","",'شجرة الحسابات'!A175)</f>
        <v/>
      </c>
      <c r="B175" s="51" t="str">
        <f aca="false">IF($A175="","",'شجرة الحسابات'!B175)</f>
        <v/>
      </c>
      <c r="C175" s="85" t="str">
        <f aca="false">IF($A175="","",IF($G175="تحليلي",SUMIFS('قيود اليومية'!$G$11:$G$1010,'قيود اليومية'!$C$11:$C$1010,$A175,'قيود اليومية'!$I$11:$I$1010,"مرحل ✔"),SUMPRODUCT((LEFT('قيود اليومية'!$C$11:$C$1010&amp;"",LEN($A175&amp;""))=$A175&amp;"")*('قيود اليومية'!$I$11:$I$1010="مرحل ✔")*'قيود اليومية'!$G$11:$G$1010)))</f>
        <v/>
      </c>
      <c r="D175" s="85" t="str">
        <f aca="false">IF($A175="","",IF($G175="تحليلي",SUMIFS('قيود اليومية'!$H$11:$H$1010,'قيود اليومية'!$C$11:$C$1010,$A175,'قيود اليومية'!$I$11:$I$1010,"مرحل ✔"),SUMPRODUCT((LEFT('قيود اليومية'!$C$11:$C$1010&amp;"",LEN($A175&amp;""))=$A175&amp;"")*('قيود اليومية'!$I$11:$I$1010="مرحل ✔")*'قيود اليومية'!$H$11:$H$1010)))</f>
        <v/>
      </c>
      <c r="E175" s="91" t="str">
        <f aca="false">IF($A175="","",MAX(C175-D175,0))</f>
        <v/>
      </c>
      <c r="F175" s="91" t="str">
        <f aca="false">IF($A175="","",MAX(D175-C175,0))</f>
        <v/>
      </c>
      <c r="G175" s="55" t="str">
        <f aca="false">IF($A175="","",'شجرة الحسابات'!C175&amp;"")</f>
        <v/>
      </c>
      <c r="H175" s="55" t="str">
        <f aca="false">IF($A175="","",'شجرة الحسابات'!E175&amp;"")</f>
        <v/>
      </c>
      <c r="I175" s="55" t="str">
        <f aca="false">IF($A175="","",'شجرة الحسابات'!H175&amp;"")</f>
        <v/>
      </c>
      <c r="J175" s="55" t="str">
        <f aca="false">IF($A175="","",'شجرة الحسابات'!I175&amp;"")</f>
        <v/>
      </c>
      <c r="K175" s="92" t="str">
        <f aca="false">IF(OR($A175="",$G175&lt;&gt;"تحليلي"),"",E175-F175)</f>
        <v/>
      </c>
    </row>
    <row r="176" customFormat="false" ht="15" hidden="false" customHeight="false" outlineLevel="0" collapsed="false">
      <c r="A176" s="90" t="str">
        <f aca="false">IF('شجرة الحسابات'!A176="","",'شجرة الحسابات'!A176)</f>
        <v/>
      </c>
      <c r="B176" s="51" t="str">
        <f aca="false">IF($A176="","",'شجرة الحسابات'!B176)</f>
        <v/>
      </c>
      <c r="C176" s="85" t="str">
        <f aca="false">IF($A176="","",IF($G176="تحليلي",SUMIFS('قيود اليومية'!$G$11:$G$1010,'قيود اليومية'!$C$11:$C$1010,$A176,'قيود اليومية'!$I$11:$I$1010,"مرحل ✔"),SUMPRODUCT((LEFT('قيود اليومية'!$C$11:$C$1010&amp;"",LEN($A176&amp;""))=$A176&amp;"")*('قيود اليومية'!$I$11:$I$1010="مرحل ✔")*'قيود اليومية'!$G$11:$G$1010)))</f>
        <v/>
      </c>
      <c r="D176" s="85" t="str">
        <f aca="false">IF($A176="","",IF($G176="تحليلي",SUMIFS('قيود اليومية'!$H$11:$H$1010,'قيود اليومية'!$C$11:$C$1010,$A176,'قيود اليومية'!$I$11:$I$1010,"مرحل ✔"),SUMPRODUCT((LEFT('قيود اليومية'!$C$11:$C$1010&amp;"",LEN($A176&amp;""))=$A176&amp;"")*('قيود اليومية'!$I$11:$I$1010="مرحل ✔")*'قيود اليومية'!$H$11:$H$1010)))</f>
        <v/>
      </c>
      <c r="E176" s="91" t="str">
        <f aca="false">IF($A176="","",MAX(C176-D176,0))</f>
        <v/>
      </c>
      <c r="F176" s="91" t="str">
        <f aca="false">IF($A176="","",MAX(D176-C176,0))</f>
        <v/>
      </c>
      <c r="G176" s="55" t="str">
        <f aca="false">IF($A176="","",'شجرة الحسابات'!C176&amp;"")</f>
        <v/>
      </c>
      <c r="H176" s="55" t="str">
        <f aca="false">IF($A176="","",'شجرة الحسابات'!E176&amp;"")</f>
        <v/>
      </c>
      <c r="I176" s="55" t="str">
        <f aca="false">IF($A176="","",'شجرة الحسابات'!H176&amp;"")</f>
        <v/>
      </c>
      <c r="J176" s="55" t="str">
        <f aca="false">IF($A176="","",'شجرة الحسابات'!I176&amp;"")</f>
        <v/>
      </c>
      <c r="K176" s="92" t="str">
        <f aca="false">IF(OR($A176="",$G176&lt;&gt;"تحليلي"),"",E176-F176)</f>
        <v/>
      </c>
    </row>
    <row r="177" customFormat="false" ht="15" hidden="false" customHeight="false" outlineLevel="0" collapsed="false">
      <c r="A177" s="90" t="str">
        <f aca="false">IF('شجرة الحسابات'!A177="","",'شجرة الحسابات'!A177)</f>
        <v/>
      </c>
      <c r="B177" s="51" t="str">
        <f aca="false">IF($A177="","",'شجرة الحسابات'!B177)</f>
        <v/>
      </c>
      <c r="C177" s="85" t="str">
        <f aca="false">IF($A177="","",IF($G177="تحليلي",SUMIFS('قيود اليومية'!$G$11:$G$1010,'قيود اليومية'!$C$11:$C$1010,$A177,'قيود اليومية'!$I$11:$I$1010,"مرحل ✔"),SUMPRODUCT((LEFT('قيود اليومية'!$C$11:$C$1010&amp;"",LEN($A177&amp;""))=$A177&amp;"")*('قيود اليومية'!$I$11:$I$1010="مرحل ✔")*'قيود اليومية'!$G$11:$G$1010)))</f>
        <v/>
      </c>
      <c r="D177" s="85" t="str">
        <f aca="false">IF($A177="","",IF($G177="تحليلي",SUMIFS('قيود اليومية'!$H$11:$H$1010,'قيود اليومية'!$C$11:$C$1010,$A177,'قيود اليومية'!$I$11:$I$1010,"مرحل ✔"),SUMPRODUCT((LEFT('قيود اليومية'!$C$11:$C$1010&amp;"",LEN($A177&amp;""))=$A177&amp;"")*('قيود اليومية'!$I$11:$I$1010="مرحل ✔")*'قيود اليومية'!$H$11:$H$1010)))</f>
        <v/>
      </c>
      <c r="E177" s="91" t="str">
        <f aca="false">IF($A177="","",MAX(C177-D177,0))</f>
        <v/>
      </c>
      <c r="F177" s="91" t="str">
        <f aca="false">IF($A177="","",MAX(D177-C177,0))</f>
        <v/>
      </c>
      <c r="G177" s="55" t="str">
        <f aca="false">IF($A177="","",'شجرة الحسابات'!C177&amp;"")</f>
        <v/>
      </c>
      <c r="H177" s="55" t="str">
        <f aca="false">IF($A177="","",'شجرة الحسابات'!E177&amp;"")</f>
        <v/>
      </c>
      <c r="I177" s="55" t="str">
        <f aca="false">IF($A177="","",'شجرة الحسابات'!H177&amp;"")</f>
        <v/>
      </c>
      <c r="J177" s="55" t="str">
        <f aca="false">IF($A177="","",'شجرة الحسابات'!I177&amp;"")</f>
        <v/>
      </c>
      <c r="K177" s="92" t="str">
        <f aca="false">IF(OR($A177="",$G177&lt;&gt;"تحليلي"),"",E177-F177)</f>
        <v/>
      </c>
    </row>
    <row r="178" customFormat="false" ht="15" hidden="false" customHeight="false" outlineLevel="0" collapsed="false">
      <c r="A178" s="90" t="str">
        <f aca="false">IF('شجرة الحسابات'!A178="","",'شجرة الحسابات'!A178)</f>
        <v/>
      </c>
      <c r="B178" s="51" t="str">
        <f aca="false">IF($A178="","",'شجرة الحسابات'!B178)</f>
        <v/>
      </c>
      <c r="C178" s="85" t="str">
        <f aca="false">IF($A178="","",IF($G178="تحليلي",SUMIFS('قيود اليومية'!$G$11:$G$1010,'قيود اليومية'!$C$11:$C$1010,$A178,'قيود اليومية'!$I$11:$I$1010,"مرحل ✔"),SUMPRODUCT((LEFT('قيود اليومية'!$C$11:$C$1010&amp;"",LEN($A178&amp;""))=$A178&amp;"")*('قيود اليومية'!$I$11:$I$1010="مرحل ✔")*'قيود اليومية'!$G$11:$G$1010)))</f>
        <v/>
      </c>
      <c r="D178" s="85" t="str">
        <f aca="false">IF($A178="","",IF($G178="تحليلي",SUMIFS('قيود اليومية'!$H$11:$H$1010,'قيود اليومية'!$C$11:$C$1010,$A178,'قيود اليومية'!$I$11:$I$1010,"مرحل ✔"),SUMPRODUCT((LEFT('قيود اليومية'!$C$11:$C$1010&amp;"",LEN($A178&amp;""))=$A178&amp;"")*('قيود اليومية'!$I$11:$I$1010="مرحل ✔")*'قيود اليومية'!$H$11:$H$1010)))</f>
        <v/>
      </c>
      <c r="E178" s="91" t="str">
        <f aca="false">IF($A178="","",MAX(C178-D178,0))</f>
        <v/>
      </c>
      <c r="F178" s="91" t="str">
        <f aca="false">IF($A178="","",MAX(D178-C178,0))</f>
        <v/>
      </c>
      <c r="G178" s="55" t="str">
        <f aca="false">IF($A178="","",'شجرة الحسابات'!C178&amp;"")</f>
        <v/>
      </c>
      <c r="H178" s="55" t="str">
        <f aca="false">IF($A178="","",'شجرة الحسابات'!E178&amp;"")</f>
        <v/>
      </c>
      <c r="I178" s="55" t="str">
        <f aca="false">IF($A178="","",'شجرة الحسابات'!H178&amp;"")</f>
        <v/>
      </c>
      <c r="J178" s="55" t="str">
        <f aca="false">IF($A178="","",'شجرة الحسابات'!I178&amp;"")</f>
        <v/>
      </c>
      <c r="K178" s="92" t="str">
        <f aca="false">IF(OR($A178="",$G178&lt;&gt;"تحليلي"),"",E178-F178)</f>
        <v/>
      </c>
    </row>
    <row r="179" customFormat="false" ht="15" hidden="false" customHeight="false" outlineLevel="0" collapsed="false">
      <c r="A179" s="90" t="str">
        <f aca="false">IF('شجرة الحسابات'!A179="","",'شجرة الحسابات'!A179)</f>
        <v/>
      </c>
      <c r="B179" s="51" t="str">
        <f aca="false">IF($A179="","",'شجرة الحسابات'!B179)</f>
        <v/>
      </c>
      <c r="C179" s="85" t="str">
        <f aca="false">IF($A179="","",IF($G179="تحليلي",SUMIFS('قيود اليومية'!$G$11:$G$1010,'قيود اليومية'!$C$11:$C$1010,$A179,'قيود اليومية'!$I$11:$I$1010,"مرحل ✔"),SUMPRODUCT((LEFT('قيود اليومية'!$C$11:$C$1010&amp;"",LEN($A179&amp;""))=$A179&amp;"")*('قيود اليومية'!$I$11:$I$1010="مرحل ✔")*'قيود اليومية'!$G$11:$G$1010)))</f>
        <v/>
      </c>
      <c r="D179" s="85" t="str">
        <f aca="false">IF($A179="","",IF($G179="تحليلي",SUMIFS('قيود اليومية'!$H$11:$H$1010,'قيود اليومية'!$C$11:$C$1010,$A179,'قيود اليومية'!$I$11:$I$1010,"مرحل ✔"),SUMPRODUCT((LEFT('قيود اليومية'!$C$11:$C$1010&amp;"",LEN($A179&amp;""))=$A179&amp;"")*('قيود اليومية'!$I$11:$I$1010="مرحل ✔")*'قيود اليومية'!$H$11:$H$1010)))</f>
        <v/>
      </c>
      <c r="E179" s="91" t="str">
        <f aca="false">IF($A179="","",MAX(C179-D179,0))</f>
        <v/>
      </c>
      <c r="F179" s="91" t="str">
        <f aca="false">IF($A179="","",MAX(D179-C179,0))</f>
        <v/>
      </c>
      <c r="G179" s="55" t="str">
        <f aca="false">IF($A179="","",'شجرة الحسابات'!C179&amp;"")</f>
        <v/>
      </c>
      <c r="H179" s="55" t="str">
        <f aca="false">IF($A179="","",'شجرة الحسابات'!E179&amp;"")</f>
        <v/>
      </c>
      <c r="I179" s="55" t="str">
        <f aca="false">IF($A179="","",'شجرة الحسابات'!H179&amp;"")</f>
        <v/>
      </c>
      <c r="J179" s="55" t="str">
        <f aca="false">IF($A179="","",'شجرة الحسابات'!I179&amp;"")</f>
        <v/>
      </c>
      <c r="K179" s="92" t="str">
        <f aca="false">IF(OR($A179="",$G179&lt;&gt;"تحليلي"),"",E179-F179)</f>
        <v/>
      </c>
    </row>
    <row r="180" customFormat="false" ht="15" hidden="false" customHeight="false" outlineLevel="0" collapsed="false">
      <c r="A180" s="90" t="str">
        <f aca="false">IF('شجرة الحسابات'!A180="","",'شجرة الحسابات'!A180)</f>
        <v/>
      </c>
      <c r="B180" s="51" t="str">
        <f aca="false">IF($A180="","",'شجرة الحسابات'!B180)</f>
        <v/>
      </c>
      <c r="C180" s="85" t="str">
        <f aca="false">IF($A180="","",IF($G180="تحليلي",SUMIFS('قيود اليومية'!$G$11:$G$1010,'قيود اليومية'!$C$11:$C$1010,$A180,'قيود اليومية'!$I$11:$I$1010,"مرحل ✔"),SUMPRODUCT((LEFT('قيود اليومية'!$C$11:$C$1010&amp;"",LEN($A180&amp;""))=$A180&amp;"")*('قيود اليومية'!$I$11:$I$1010="مرحل ✔")*'قيود اليومية'!$G$11:$G$1010)))</f>
        <v/>
      </c>
      <c r="D180" s="85" t="str">
        <f aca="false">IF($A180="","",IF($G180="تحليلي",SUMIFS('قيود اليومية'!$H$11:$H$1010,'قيود اليومية'!$C$11:$C$1010,$A180,'قيود اليومية'!$I$11:$I$1010,"مرحل ✔"),SUMPRODUCT((LEFT('قيود اليومية'!$C$11:$C$1010&amp;"",LEN($A180&amp;""))=$A180&amp;"")*('قيود اليومية'!$I$11:$I$1010="مرحل ✔")*'قيود اليومية'!$H$11:$H$1010)))</f>
        <v/>
      </c>
      <c r="E180" s="91" t="str">
        <f aca="false">IF($A180="","",MAX(C180-D180,0))</f>
        <v/>
      </c>
      <c r="F180" s="91" t="str">
        <f aca="false">IF($A180="","",MAX(D180-C180,0))</f>
        <v/>
      </c>
      <c r="G180" s="55" t="str">
        <f aca="false">IF($A180="","",'شجرة الحسابات'!C180&amp;"")</f>
        <v/>
      </c>
      <c r="H180" s="55" t="str">
        <f aca="false">IF($A180="","",'شجرة الحسابات'!E180&amp;"")</f>
        <v/>
      </c>
      <c r="I180" s="55" t="str">
        <f aca="false">IF($A180="","",'شجرة الحسابات'!H180&amp;"")</f>
        <v/>
      </c>
      <c r="J180" s="55" t="str">
        <f aca="false">IF($A180="","",'شجرة الحسابات'!I180&amp;"")</f>
        <v/>
      </c>
      <c r="K180" s="92" t="str">
        <f aca="false">IF(OR($A180="",$G180&lt;&gt;"تحليلي"),"",E180-F180)</f>
        <v/>
      </c>
    </row>
    <row r="181" customFormat="false" ht="15" hidden="false" customHeight="false" outlineLevel="0" collapsed="false">
      <c r="A181" s="90" t="str">
        <f aca="false">IF('شجرة الحسابات'!A181="","",'شجرة الحسابات'!A181)</f>
        <v/>
      </c>
      <c r="B181" s="51" t="str">
        <f aca="false">IF($A181="","",'شجرة الحسابات'!B181)</f>
        <v/>
      </c>
      <c r="C181" s="85" t="str">
        <f aca="false">IF($A181="","",IF($G181="تحليلي",SUMIFS('قيود اليومية'!$G$11:$G$1010,'قيود اليومية'!$C$11:$C$1010,$A181,'قيود اليومية'!$I$11:$I$1010,"مرحل ✔"),SUMPRODUCT((LEFT('قيود اليومية'!$C$11:$C$1010&amp;"",LEN($A181&amp;""))=$A181&amp;"")*('قيود اليومية'!$I$11:$I$1010="مرحل ✔")*'قيود اليومية'!$G$11:$G$1010)))</f>
        <v/>
      </c>
      <c r="D181" s="85" t="str">
        <f aca="false">IF($A181="","",IF($G181="تحليلي",SUMIFS('قيود اليومية'!$H$11:$H$1010,'قيود اليومية'!$C$11:$C$1010,$A181,'قيود اليومية'!$I$11:$I$1010,"مرحل ✔"),SUMPRODUCT((LEFT('قيود اليومية'!$C$11:$C$1010&amp;"",LEN($A181&amp;""))=$A181&amp;"")*('قيود اليومية'!$I$11:$I$1010="مرحل ✔")*'قيود اليومية'!$H$11:$H$1010)))</f>
        <v/>
      </c>
      <c r="E181" s="91" t="str">
        <f aca="false">IF($A181="","",MAX(C181-D181,0))</f>
        <v/>
      </c>
      <c r="F181" s="91" t="str">
        <f aca="false">IF($A181="","",MAX(D181-C181,0))</f>
        <v/>
      </c>
      <c r="G181" s="55" t="str">
        <f aca="false">IF($A181="","",'شجرة الحسابات'!C181&amp;"")</f>
        <v/>
      </c>
      <c r="H181" s="55" t="str">
        <f aca="false">IF($A181="","",'شجرة الحسابات'!E181&amp;"")</f>
        <v/>
      </c>
      <c r="I181" s="55" t="str">
        <f aca="false">IF($A181="","",'شجرة الحسابات'!H181&amp;"")</f>
        <v/>
      </c>
      <c r="J181" s="55" t="str">
        <f aca="false">IF($A181="","",'شجرة الحسابات'!I181&amp;"")</f>
        <v/>
      </c>
      <c r="K181" s="92" t="str">
        <f aca="false">IF(OR($A181="",$G181&lt;&gt;"تحليلي"),"",E181-F181)</f>
        <v/>
      </c>
    </row>
    <row r="182" customFormat="false" ht="15" hidden="false" customHeight="false" outlineLevel="0" collapsed="false">
      <c r="A182" s="90" t="str">
        <f aca="false">IF('شجرة الحسابات'!A182="","",'شجرة الحسابات'!A182)</f>
        <v/>
      </c>
      <c r="B182" s="51" t="str">
        <f aca="false">IF($A182="","",'شجرة الحسابات'!B182)</f>
        <v/>
      </c>
      <c r="C182" s="85" t="str">
        <f aca="false">IF($A182="","",IF($G182="تحليلي",SUMIFS('قيود اليومية'!$G$11:$G$1010,'قيود اليومية'!$C$11:$C$1010,$A182,'قيود اليومية'!$I$11:$I$1010,"مرحل ✔"),SUMPRODUCT((LEFT('قيود اليومية'!$C$11:$C$1010&amp;"",LEN($A182&amp;""))=$A182&amp;"")*('قيود اليومية'!$I$11:$I$1010="مرحل ✔")*'قيود اليومية'!$G$11:$G$1010)))</f>
        <v/>
      </c>
      <c r="D182" s="85" t="str">
        <f aca="false">IF($A182="","",IF($G182="تحليلي",SUMIFS('قيود اليومية'!$H$11:$H$1010,'قيود اليومية'!$C$11:$C$1010,$A182,'قيود اليومية'!$I$11:$I$1010,"مرحل ✔"),SUMPRODUCT((LEFT('قيود اليومية'!$C$11:$C$1010&amp;"",LEN($A182&amp;""))=$A182&amp;"")*('قيود اليومية'!$I$11:$I$1010="مرحل ✔")*'قيود اليومية'!$H$11:$H$1010)))</f>
        <v/>
      </c>
      <c r="E182" s="91" t="str">
        <f aca="false">IF($A182="","",MAX(C182-D182,0))</f>
        <v/>
      </c>
      <c r="F182" s="91" t="str">
        <f aca="false">IF($A182="","",MAX(D182-C182,0))</f>
        <v/>
      </c>
      <c r="G182" s="55" t="str">
        <f aca="false">IF($A182="","",'شجرة الحسابات'!C182&amp;"")</f>
        <v/>
      </c>
      <c r="H182" s="55" t="str">
        <f aca="false">IF($A182="","",'شجرة الحسابات'!E182&amp;"")</f>
        <v/>
      </c>
      <c r="I182" s="55" t="str">
        <f aca="false">IF($A182="","",'شجرة الحسابات'!H182&amp;"")</f>
        <v/>
      </c>
      <c r="J182" s="55" t="str">
        <f aca="false">IF($A182="","",'شجرة الحسابات'!I182&amp;"")</f>
        <v/>
      </c>
      <c r="K182" s="92" t="str">
        <f aca="false">IF(OR($A182="",$G182&lt;&gt;"تحليلي"),"",E182-F182)</f>
        <v/>
      </c>
    </row>
    <row r="183" customFormat="false" ht="15" hidden="false" customHeight="false" outlineLevel="0" collapsed="false">
      <c r="A183" s="90" t="str">
        <f aca="false">IF('شجرة الحسابات'!A183="","",'شجرة الحسابات'!A183)</f>
        <v/>
      </c>
      <c r="B183" s="51" t="str">
        <f aca="false">IF($A183="","",'شجرة الحسابات'!B183)</f>
        <v/>
      </c>
      <c r="C183" s="85" t="str">
        <f aca="false">IF($A183="","",IF($G183="تحليلي",SUMIFS('قيود اليومية'!$G$11:$G$1010,'قيود اليومية'!$C$11:$C$1010,$A183,'قيود اليومية'!$I$11:$I$1010,"مرحل ✔"),SUMPRODUCT((LEFT('قيود اليومية'!$C$11:$C$1010&amp;"",LEN($A183&amp;""))=$A183&amp;"")*('قيود اليومية'!$I$11:$I$1010="مرحل ✔")*'قيود اليومية'!$G$11:$G$1010)))</f>
        <v/>
      </c>
      <c r="D183" s="85" t="str">
        <f aca="false">IF($A183="","",IF($G183="تحليلي",SUMIFS('قيود اليومية'!$H$11:$H$1010,'قيود اليومية'!$C$11:$C$1010,$A183,'قيود اليومية'!$I$11:$I$1010,"مرحل ✔"),SUMPRODUCT((LEFT('قيود اليومية'!$C$11:$C$1010&amp;"",LEN($A183&amp;""))=$A183&amp;"")*('قيود اليومية'!$I$11:$I$1010="مرحل ✔")*'قيود اليومية'!$H$11:$H$1010)))</f>
        <v/>
      </c>
      <c r="E183" s="91" t="str">
        <f aca="false">IF($A183="","",MAX(C183-D183,0))</f>
        <v/>
      </c>
      <c r="F183" s="91" t="str">
        <f aca="false">IF($A183="","",MAX(D183-C183,0))</f>
        <v/>
      </c>
      <c r="G183" s="55" t="str">
        <f aca="false">IF($A183="","",'شجرة الحسابات'!C183&amp;"")</f>
        <v/>
      </c>
      <c r="H183" s="55" t="str">
        <f aca="false">IF($A183="","",'شجرة الحسابات'!E183&amp;"")</f>
        <v/>
      </c>
      <c r="I183" s="55" t="str">
        <f aca="false">IF($A183="","",'شجرة الحسابات'!H183&amp;"")</f>
        <v/>
      </c>
      <c r="J183" s="55" t="str">
        <f aca="false">IF($A183="","",'شجرة الحسابات'!I183&amp;"")</f>
        <v/>
      </c>
      <c r="K183" s="92" t="str">
        <f aca="false">IF(OR($A183="",$G183&lt;&gt;"تحليلي"),"",E183-F183)</f>
        <v/>
      </c>
    </row>
    <row r="184" customFormat="false" ht="15" hidden="false" customHeight="false" outlineLevel="0" collapsed="false">
      <c r="A184" s="90" t="str">
        <f aca="false">IF('شجرة الحسابات'!A184="","",'شجرة الحسابات'!A184)</f>
        <v/>
      </c>
      <c r="B184" s="51" t="str">
        <f aca="false">IF($A184="","",'شجرة الحسابات'!B184)</f>
        <v/>
      </c>
      <c r="C184" s="85" t="str">
        <f aca="false">IF($A184="","",IF($G184="تحليلي",SUMIFS('قيود اليومية'!$G$11:$G$1010,'قيود اليومية'!$C$11:$C$1010,$A184,'قيود اليومية'!$I$11:$I$1010,"مرحل ✔"),SUMPRODUCT((LEFT('قيود اليومية'!$C$11:$C$1010&amp;"",LEN($A184&amp;""))=$A184&amp;"")*('قيود اليومية'!$I$11:$I$1010="مرحل ✔")*'قيود اليومية'!$G$11:$G$1010)))</f>
        <v/>
      </c>
      <c r="D184" s="85" t="str">
        <f aca="false">IF($A184="","",IF($G184="تحليلي",SUMIFS('قيود اليومية'!$H$11:$H$1010,'قيود اليومية'!$C$11:$C$1010,$A184,'قيود اليومية'!$I$11:$I$1010,"مرحل ✔"),SUMPRODUCT((LEFT('قيود اليومية'!$C$11:$C$1010&amp;"",LEN($A184&amp;""))=$A184&amp;"")*('قيود اليومية'!$I$11:$I$1010="مرحل ✔")*'قيود اليومية'!$H$11:$H$1010)))</f>
        <v/>
      </c>
      <c r="E184" s="91" t="str">
        <f aca="false">IF($A184="","",MAX(C184-D184,0))</f>
        <v/>
      </c>
      <c r="F184" s="91" t="str">
        <f aca="false">IF($A184="","",MAX(D184-C184,0))</f>
        <v/>
      </c>
      <c r="G184" s="55" t="str">
        <f aca="false">IF($A184="","",'شجرة الحسابات'!C184&amp;"")</f>
        <v/>
      </c>
      <c r="H184" s="55" t="str">
        <f aca="false">IF($A184="","",'شجرة الحسابات'!E184&amp;"")</f>
        <v/>
      </c>
      <c r="I184" s="55" t="str">
        <f aca="false">IF($A184="","",'شجرة الحسابات'!H184&amp;"")</f>
        <v/>
      </c>
      <c r="J184" s="55" t="str">
        <f aca="false">IF($A184="","",'شجرة الحسابات'!I184&amp;"")</f>
        <v/>
      </c>
      <c r="K184" s="92" t="str">
        <f aca="false">IF(OR($A184="",$G184&lt;&gt;"تحليلي"),"",E184-F184)</f>
        <v/>
      </c>
    </row>
    <row r="185" customFormat="false" ht="15" hidden="false" customHeight="false" outlineLevel="0" collapsed="false">
      <c r="A185" s="90" t="str">
        <f aca="false">IF('شجرة الحسابات'!A185="","",'شجرة الحسابات'!A185)</f>
        <v/>
      </c>
      <c r="B185" s="51" t="str">
        <f aca="false">IF($A185="","",'شجرة الحسابات'!B185)</f>
        <v/>
      </c>
      <c r="C185" s="85" t="str">
        <f aca="false">IF($A185="","",IF($G185="تحليلي",SUMIFS('قيود اليومية'!$G$11:$G$1010,'قيود اليومية'!$C$11:$C$1010,$A185,'قيود اليومية'!$I$11:$I$1010,"مرحل ✔"),SUMPRODUCT((LEFT('قيود اليومية'!$C$11:$C$1010&amp;"",LEN($A185&amp;""))=$A185&amp;"")*('قيود اليومية'!$I$11:$I$1010="مرحل ✔")*'قيود اليومية'!$G$11:$G$1010)))</f>
        <v/>
      </c>
      <c r="D185" s="85" t="str">
        <f aca="false">IF($A185="","",IF($G185="تحليلي",SUMIFS('قيود اليومية'!$H$11:$H$1010,'قيود اليومية'!$C$11:$C$1010,$A185,'قيود اليومية'!$I$11:$I$1010,"مرحل ✔"),SUMPRODUCT((LEFT('قيود اليومية'!$C$11:$C$1010&amp;"",LEN($A185&amp;""))=$A185&amp;"")*('قيود اليومية'!$I$11:$I$1010="مرحل ✔")*'قيود اليومية'!$H$11:$H$1010)))</f>
        <v/>
      </c>
      <c r="E185" s="91" t="str">
        <f aca="false">IF($A185="","",MAX(C185-D185,0))</f>
        <v/>
      </c>
      <c r="F185" s="91" t="str">
        <f aca="false">IF($A185="","",MAX(D185-C185,0))</f>
        <v/>
      </c>
      <c r="G185" s="55" t="str">
        <f aca="false">IF($A185="","",'شجرة الحسابات'!C185&amp;"")</f>
        <v/>
      </c>
      <c r="H185" s="55" t="str">
        <f aca="false">IF($A185="","",'شجرة الحسابات'!E185&amp;"")</f>
        <v/>
      </c>
      <c r="I185" s="55" t="str">
        <f aca="false">IF($A185="","",'شجرة الحسابات'!H185&amp;"")</f>
        <v/>
      </c>
      <c r="J185" s="55" t="str">
        <f aca="false">IF($A185="","",'شجرة الحسابات'!I185&amp;"")</f>
        <v/>
      </c>
      <c r="K185" s="92" t="str">
        <f aca="false">IF(OR($A185="",$G185&lt;&gt;"تحليلي"),"",E185-F185)</f>
        <v/>
      </c>
    </row>
    <row r="186" customFormat="false" ht="15" hidden="false" customHeight="false" outlineLevel="0" collapsed="false">
      <c r="A186" s="90" t="str">
        <f aca="false">IF('شجرة الحسابات'!A186="","",'شجرة الحسابات'!A186)</f>
        <v/>
      </c>
      <c r="B186" s="51" t="str">
        <f aca="false">IF($A186="","",'شجرة الحسابات'!B186)</f>
        <v/>
      </c>
      <c r="C186" s="85" t="str">
        <f aca="false">IF($A186="","",IF($G186="تحليلي",SUMIFS('قيود اليومية'!$G$11:$G$1010,'قيود اليومية'!$C$11:$C$1010,$A186,'قيود اليومية'!$I$11:$I$1010,"مرحل ✔"),SUMPRODUCT((LEFT('قيود اليومية'!$C$11:$C$1010&amp;"",LEN($A186&amp;""))=$A186&amp;"")*('قيود اليومية'!$I$11:$I$1010="مرحل ✔")*'قيود اليومية'!$G$11:$G$1010)))</f>
        <v/>
      </c>
      <c r="D186" s="85" t="str">
        <f aca="false">IF($A186="","",IF($G186="تحليلي",SUMIFS('قيود اليومية'!$H$11:$H$1010,'قيود اليومية'!$C$11:$C$1010,$A186,'قيود اليومية'!$I$11:$I$1010,"مرحل ✔"),SUMPRODUCT((LEFT('قيود اليومية'!$C$11:$C$1010&amp;"",LEN($A186&amp;""))=$A186&amp;"")*('قيود اليومية'!$I$11:$I$1010="مرحل ✔")*'قيود اليومية'!$H$11:$H$1010)))</f>
        <v/>
      </c>
      <c r="E186" s="91" t="str">
        <f aca="false">IF($A186="","",MAX(C186-D186,0))</f>
        <v/>
      </c>
      <c r="F186" s="91" t="str">
        <f aca="false">IF($A186="","",MAX(D186-C186,0))</f>
        <v/>
      </c>
      <c r="G186" s="55" t="str">
        <f aca="false">IF($A186="","",'شجرة الحسابات'!C186&amp;"")</f>
        <v/>
      </c>
      <c r="H186" s="55" t="str">
        <f aca="false">IF($A186="","",'شجرة الحسابات'!E186&amp;"")</f>
        <v/>
      </c>
      <c r="I186" s="55" t="str">
        <f aca="false">IF($A186="","",'شجرة الحسابات'!H186&amp;"")</f>
        <v/>
      </c>
      <c r="J186" s="55" t="str">
        <f aca="false">IF($A186="","",'شجرة الحسابات'!I186&amp;"")</f>
        <v/>
      </c>
      <c r="K186" s="92" t="str">
        <f aca="false">IF(OR($A186="",$G186&lt;&gt;"تحليلي"),"",E186-F186)</f>
        <v/>
      </c>
    </row>
    <row r="187" customFormat="false" ht="15" hidden="false" customHeight="false" outlineLevel="0" collapsed="false">
      <c r="A187" s="90" t="str">
        <f aca="false">IF('شجرة الحسابات'!A187="","",'شجرة الحسابات'!A187)</f>
        <v/>
      </c>
      <c r="B187" s="51" t="str">
        <f aca="false">IF($A187="","",'شجرة الحسابات'!B187)</f>
        <v/>
      </c>
      <c r="C187" s="85" t="str">
        <f aca="false">IF($A187="","",IF($G187="تحليلي",SUMIFS('قيود اليومية'!$G$11:$G$1010,'قيود اليومية'!$C$11:$C$1010,$A187,'قيود اليومية'!$I$11:$I$1010,"مرحل ✔"),SUMPRODUCT((LEFT('قيود اليومية'!$C$11:$C$1010&amp;"",LEN($A187&amp;""))=$A187&amp;"")*('قيود اليومية'!$I$11:$I$1010="مرحل ✔")*'قيود اليومية'!$G$11:$G$1010)))</f>
        <v/>
      </c>
      <c r="D187" s="85" t="str">
        <f aca="false">IF($A187="","",IF($G187="تحليلي",SUMIFS('قيود اليومية'!$H$11:$H$1010,'قيود اليومية'!$C$11:$C$1010,$A187,'قيود اليومية'!$I$11:$I$1010,"مرحل ✔"),SUMPRODUCT((LEFT('قيود اليومية'!$C$11:$C$1010&amp;"",LEN($A187&amp;""))=$A187&amp;"")*('قيود اليومية'!$I$11:$I$1010="مرحل ✔")*'قيود اليومية'!$H$11:$H$1010)))</f>
        <v/>
      </c>
      <c r="E187" s="91" t="str">
        <f aca="false">IF($A187="","",MAX(C187-D187,0))</f>
        <v/>
      </c>
      <c r="F187" s="91" t="str">
        <f aca="false">IF($A187="","",MAX(D187-C187,0))</f>
        <v/>
      </c>
      <c r="G187" s="55" t="str">
        <f aca="false">IF($A187="","",'شجرة الحسابات'!C187&amp;"")</f>
        <v/>
      </c>
      <c r="H187" s="55" t="str">
        <f aca="false">IF($A187="","",'شجرة الحسابات'!E187&amp;"")</f>
        <v/>
      </c>
      <c r="I187" s="55" t="str">
        <f aca="false">IF($A187="","",'شجرة الحسابات'!H187&amp;"")</f>
        <v/>
      </c>
      <c r="J187" s="55" t="str">
        <f aca="false">IF($A187="","",'شجرة الحسابات'!I187&amp;"")</f>
        <v/>
      </c>
      <c r="K187" s="92" t="str">
        <f aca="false">IF(OR($A187="",$G187&lt;&gt;"تحليلي"),"",E187-F187)</f>
        <v/>
      </c>
    </row>
    <row r="188" customFormat="false" ht="15" hidden="false" customHeight="false" outlineLevel="0" collapsed="false">
      <c r="A188" s="90" t="str">
        <f aca="false">IF('شجرة الحسابات'!A188="","",'شجرة الحسابات'!A188)</f>
        <v/>
      </c>
      <c r="B188" s="51" t="str">
        <f aca="false">IF($A188="","",'شجرة الحسابات'!B188)</f>
        <v/>
      </c>
      <c r="C188" s="85" t="str">
        <f aca="false">IF($A188="","",IF($G188="تحليلي",SUMIFS('قيود اليومية'!$G$11:$G$1010,'قيود اليومية'!$C$11:$C$1010,$A188,'قيود اليومية'!$I$11:$I$1010,"مرحل ✔"),SUMPRODUCT((LEFT('قيود اليومية'!$C$11:$C$1010&amp;"",LEN($A188&amp;""))=$A188&amp;"")*('قيود اليومية'!$I$11:$I$1010="مرحل ✔")*'قيود اليومية'!$G$11:$G$1010)))</f>
        <v/>
      </c>
      <c r="D188" s="85" t="str">
        <f aca="false">IF($A188="","",IF($G188="تحليلي",SUMIFS('قيود اليومية'!$H$11:$H$1010,'قيود اليومية'!$C$11:$C$1010,$A188,'قيود اليومية'!$I$11:$I$1010,"مرحل ✔"),SUMPRODUCT((LEFT('قيود اليومية'!$C$11:$C$1010&amp;"",LEN($A188&amp;""))=$A188&amp;"")*('قيود اليومية'!$I$11:$I$1010="مرحل ✔")*'قيود اليومية'!$H$11:$H$1010)))</f>
        <v/>
      </c>
      <c r="E188" s="91" t="str">
        <f aca="false">IF($A188="","",MAX(C188-D188,0))</f>
        <v/>
      </c>
      <c r="F188" s="91" t="str">
        <f aca="false">IF($A188="","",MAX(D188-C188,0))</f>
        <v/>
      </c>
      <c r="G188" s="55" t="str">
        <f aca="false">IF($A188="","",'شجرة الحسابات'!C188&amp;"")</f>
        <v/>
      </c>
      <c r="H188" s="55" t="str">
        <f aca="false">IF($A188="","",'شجرة الحسابات'!E188&amp;"")</f>
        <v/>
      </c>
      <c r="I188" s="55" t="str">
        <f aca="false">IF($A188="","",'شجرة الحسابات'!H188&amp;"")</f>
        <v/>
      </c>
      <c r="J188" s="55" t="str">
        <f aca="false">IF($A188="","",'شجرة الحسابات'!I188&amp;"")</f>
        <v/>
      </c>
      <c r="K188" s="92" t="str">
        <f aca="false">IF(OR($A188="",$G188&lt;&gt;"تحليلي"),"",E188-F188)</f>
        <v/>
      </c>
    </row>
    <row r="189" customFormat="false" ht="15" hidden="false" customHeight="false" outlineLevel="0" collapsed="false">
      <c r="A189" s="90" t="str">
        <f aca="false">IF('شجرة الحسابات'!A189="","",'شجرة الحسابات'!A189)</f>
        <v/>
      </c>
      <c r="B189" s="51" t="str">
        <f aca="false">IF($A189="","",'شجرة الحسابات'!B189)</f>
        <v/>
      </c>
      <c r="C189" s="85" t="str">
        <f aca="false">IF($A189="","",IF($G189="تحليلي",SUMIFS('قيود اليومية'!$G$11:$G$1010,'قيود اليومية'!$C$11:$C$1010,$A189,'قيود اليومية'!$I$11:$I$1010,"مرحل ✔"),SUMPRODUCT((LEFT('قيود اليومية'!$C$11:$C$1010&amp;"",LEN($A189&amp;""))=$A189&amp;"")*('قيود اليومية'!$I$11:$I$1010="مرحل ✔")*'قيود اليومية'!$G$11:$G$1010)))</f>
        <v/>
      </c>
      <c r="D189" s="85" t="str">
        <f aca="false">IF($A189="","",IF($G189="تحليلي",SUMIFS('قيود اليومية'!$H$11:$H$1010,'قيود اليومية'!$C$11:$C$1010,$A189,'قيود اليومية'!$I$11:$I$1010,"مرحل ✔"),SUMPRODUCT((LEFT('قيود اليومية'!$C$11:$C$1010&amp;"",LEN($A189&amp;""))=$A189&amp;"")*('قيود اليومية'!$I$11:$I$1010="مرحل ✔")*'قيود اليومية'!$H$11:$H$1010)))</f>
        <v/>
      </c>
      <c r="E189" s="91" t="str">
        <f aca="false">IF($A189="","",MAX(C189-D189,0))</f>
        <v/>
      </c>
      <c r="F189" s="91" t="str">
        <f aca="false">IF($A189="","",MAX(D189-C189,0))</f>
        <v/>
      </c>
      <c r="G189" s="55" t="str">
        <f aca="false">IF($A189="","",'شجرة الحسابات'!C189&amp;"")</f>
        <v/>
      </c>
      <c r="H189" s="55" t="str">
        <f aca="false">IF($A189="","",'شجرة الحسابات'!E189&amp;"")</f>
        <v/>
      </c>
      <c r="I189" s="55" t="str">
        <f aca="false">IF($A189="","",'شجرة الحسابات'!H189&amp;"")</f>
        <v/>
      </c>
      <c r="J189" s="55" t="str">
        <f aca="false">IF($A189="","",'شجرة الحسابات'!I189&amp;"")</f>
        <v/>
      </c>
      <c r="K189" s="92" t="str">
        <f aca="false">IF(OR($A189="",$G189&lt;&gt;"تحليلي"),"",E189-F189)</f>
        <v/>
      </c>
    </row>
    <row r="190" customFormat="false" ht="15" hidden="false" customHeight="false" outlineLevel="0" collapsed="false">
      <c r="A190" s="90" t="str">
        <f aca="false">IF('شجرة الحسابات'!A190="","",'شجرة الحسابات'!A190)</f>
        <v/>
      </c>
      <c r="B190" s="51" t="str">
        <f aca="false">IF($A190="","",'شجرة الحسابات'!B190)</f>
        <v/>
      </c>
      <c r="C190" s="85" t="str">
        <f aca="false">IF($A190="","",IF($G190="تحليلي",SUMIFS('قيود اليومية'!$G$11:$G$1010,'قيود اليومية'!$C$11:$C$1010,$A190,'قيود اليومية'!$I$11:$I$1010,"مرحل ✔"),SUMPRODUCT((LEFT('قيود اليومية'!$C$11:$C$1010&amp;"",LEN($A190&amp;""))=$A190&amp;"")*('قيود اليومية'!$I$11:$I$1010="مرحل ✔")*'قيود اليومية'!$G$11:$G$1010)))</f>
        <v/>
      </c>
      <c r="D190" s="85" t="str">
        <f aca="false">IF($A190="","",IF($G190="تحليلي",SUMIFS('قيود اليومية'!$H$11:$H$1010,'قيود اليومية'!$C$11:$C$1010,$A190,'قيود اليومية'!$I$11:$I$1010,"مرحل ✔"),SUMPRODUCT((LEFT('قيود اليومية'!$C$11:$C$1010&amp;"",LEN($A190&amp;""))=$A190&amp;"")*('قيود اليومية'!$I$11:$I$1010="مرحل ✔")*'قيود اليومية'!$H$11:$H$1010)))</f>
        <v/>
      </c>
      <c r="E190" s="91" t="str">
        <f aca="false">IF($A190="","",MAX(C190-D190,0))</f>
        <v/>
      </c>
      <c r="F190" s="91" t="str">
        <f aca="false">IF($A190="","",MAX(D190-C190,0))</f>
        <v/>
      </c>
      <c r="G190" s="55" t="str">
        <f aca="false">IF($A190="","",'شجرة الحسابات'!C190&amp;"")</f>
        <v/>
      </c>
      <c r="H190" s="55" t="str">
        <f aca="false">IF($A190="","",'شجرة الحسابات'!E190&amp;"")</f>
        <v/>
      </c>
      <c r="I190" s="55" t="str">
        <f aca="false">IF($A190="","",'شجرة الحسابات'!H190&amp;"")</f>
        <v/>
      </c>
      <c r="J190" s="55" t="str">
        <f aca="false">IF($A190="","",'شجرة الحسابات'!I190&amp;"")</f>
        <v/>
      </c>
      <c r="K190" s="92" t="str">
        <f aca="false">IF(OR($A190="",$G190&lt;&gt;"تحليلي"),"",E190-F190)</f>
        <v/>
      </c>
    </row>
    <row r="191" customFormat="false" ht="15" hidden="false" customHeight="false" outlineLevel="0" collapsed="false">
      <c r="A191" s="90" t="str">
        <f aca="false">IF('شجرة الحسابات'!A191="","",'شجرة الحسابات'!A191)</f>
        <v/>
      </c>
      <c r="B191" s="51" t="str">
        <f aca="false">IF($A191="","",'شجرة الحسابات'!B191)</f>
        <v/>
      </c>
      <c r="C191" s="85" t="str">
        <f aca="false">IF($A191="","",IF($G191="تحليلي",SUMIFS('قيود اليومية'!$G$11:$G$1010,'قيود اليومية'!$C$11:$C$1010,$A191,'قيود اليومية'!$I$11:$I$1010,"مرحل ✔"),SUMPRODUCT((LEFT('قيود اليومية'!$C$11:$C$1010&amp;"",LEN($A191&amp;""))=$A191&amp;"")*('قيود اليومية'!$I$11:$I$1010="مرحل ✔")*'قيود اليومية'!$G$11:$G$1010)))</f>
        <v/>
      </c>
      <c r="D191" s="85" t="str">
        <f aca="false">IF($A191="","",IF($G191="تحليلي",SUMIFS('قيود اليومية'!$H$11:$H$1010,'قيود اليومية'!$C$11:$C$1010,$A191,'قيود اليومية'!$I$11:$I$1010,"مرحل ✔"),SUMPRODUCT((LEFT('قيود اليومية'!$C$11:$C$1010&amp;"",LEN($A191&amp;""))=$A191&amp;"")*('قيود اليومية'!$I$11:$I$1010="مرحل ✔")*'قيود اليومية'!$H$11:$H$1010)))</f>
        <v/>
      </c>
      <c r="E191" s="91" t="str">
        <f aca="false">IF($A191="","",MAX(C191-D191,0))</f>
        <v/>
      </c>
      <c r="F191" s="91" t="str">
        <f aca="false">IF($A191="","",MAX(D191-C191,0))</f>
        <v/>
      </c>
      <c r="G191" s="55" t="str">
        <f aca="false">IF($A191="","",'شجرة الحسابات'!C191&amp;"")</f>
        <v/>
      </c>
      <c r="H191" s="55" t="str">
        <f aca="false">IF($A191="","",'شجرة الحسابات'!E191&amp;"")</f>
        <v/>
      </c>
      <c r="I191" s="55" t="str">
        <f aca="false">IF($A191="","",'شجرة الحسابات'!H191&amp;"")</f>
        <v/>
      </c>
      <c r="J191" s="55" t="str">
        <f aca="false">IF($A191="","",'شجرة الحسابات'!I191&amp;"")</f>
        <v/>
      </c>
      <c r="K191" s="92" t="str">
        <f aca="false">IF(OR($A191="",$G191&lt;&gt;"تحليلي"),"",E191-F191)</f>
        <v/>
      </c>
    </row>
    <row r="192" customFormat="false" ht="15" hidden="false" customHeight="false" outlineLevel="0" collapsed="false">
      <c r="A192" s="90" t="str">
        <f aca="false">IF('شجرة الحسابات'!A192="","",'شجرة الحسابات'!A192)</f>
        <v/>
      </c>
      <c r="B192" s="51" t="str">
        <f aca="false">IF($A192="","",'شجرة الحسابات'!B192)</f>
        <v/>
      </c>
      <c r="C192" s="85" t="str">
        <f aca="false">IF($A192="","",IF($G192="تحليلي",SUMIFS('قيود اليومية'!$G$11:$G$1010,'قيود اليومية'!$C$11:$C$1010,$A192,'قيود اليومية'!$I$11:$I$1010,"مرحل ✔"),SUMPRODUCT((LEFT('قيود اليومية'!$C$11:$C$1010&amp;"",LEN($A192&amp;""))=$A192&amp;"")*('قيود اليومية'!$I$11:$I$1010="مرحل ✔")*'قيود اليومية'!$G$11:$G$1010)))</f>
        <v/>
      </c>
      <c r="D192" s="85" t="str">
        <f aca="false">IF($A192="","",IF($G192="تحليلي",SUMIFS('قيود اليومية'!$H$11:$H$1010,'قيود اليومية'!$C$11:$C$1010,$A192,'قيود اليومية'!$I$11:$I$1010,"مرحل ✔"),SUMPRODUCT((LEFT('قيود اليومية'!$C$11:$C$1010&amp;"",LEN($A192&amp;""))=$A192&amp;"")*('قيود اليومية'!$I$11:$I$1010="مرحل ✔")*'قيود اليومية'!$H$11:$H$1010)))</f>
        <v/>
      </c>
      <c r="E192" s="91" t="str">
        <f aca="false">IF($A192="","",MAX(C192-D192,0))</f>
        <v/>
      </c>
      <c r="F192" s="91" t="str">
        <f aca="false">IF($A192="","",MAX(D192-C192,0))</f>
        <v/>
      </c>
      <c r="G192" s="55" t="str">
        <f aca="false">IF($A192="","",'شجرة الحسابات'!C192&amp;"")</f>
        <v/>
      </c>
      <c r="H192" s="55" t="str">
        <f aca="false">IF($A192="","",'شجرة الحسابات'!E192&amp;"")</f>
        <v/>
      </c>
      <c r="I192" s="55" t="str">
        <f aca="false">IF($A192="","",'شجرة الحسابات'!H192&amp;"")</f>
        <v/>
      </c>
      <c r="J192" s="55" t="str">
        <f aca="false">IF($A192="","",'شجرة الحسابات'!I192&amp;"")</f>
        <v/>
      </c>
      <c r="K192" s="92" t="str">
        <f aca="false">IF(OR($A192="",$G192&lt;&gt;"تحليلي"),"",E192-F192)</f>
        <v/>
      </c>
    </row>
    <row r="193" customFormat="false" ht="15" hidden="false" customHeight="false" outlineLevel="0" collapsed="false">
      <c r="A193" s="90" t="str">
        <f aca="false">IF('شجرة الحسابات'!A193="","",'شجرة الحسابات'!A193)</f>
        <v/>
      </c>
      <c r="B193" s="51" t="str">
        <f aca="false">IF($A193="","",'شجرة الحسابات'!B193)</f>
        <v/>
      </c>
      <c r="C193" s="85" t="str">
        <f aca="false">IF($A193="","",IF($G193="تحليلي",SUMIFS('قيود اليومية'!$G$11:$G$1010,'قيود اليومية'!$C$11:$C$1010,$A193,'قيود اليومية'!$I$11:$I$1010,"مرحل ✔"),SUMPRODUCT((LEFT('قيود اليومية'!$C$11:$C$1010&amp;"",LEN($A193&amp;""))=$A193&amp;"")*('قيود اليومية'!$I$11:$I$1010="مرحل ✔")*'قيود اليومية'!$G$11:$G$1010)))</f>
        <v/>
      </c>
      <c r="D193" s="85" t="str">
        <f aca="false">IF($A193="","",IF($G193="تحليلي",SUMIFS('قيود اليومية'!$H$11:$H$1010,'قيود اليومية'!$C$11:$C$1010,$A193,'قيود اليومية'!$I$11:$I$1010,"مرحل ✔"),SUMPRODUCT((LEFT('قيود اليومية'!$C$11:$C$1010&amp;"",LEN($A193&amp;""))=$A193&amp;"")*('قيود اليومية'!$I$11:$I$1010="مرحل ✔")*'قيود اليومية'!$H$11:$H$1010)))</f>
        <v/>
      </c>
      <c r="E193" s="91" t="str">
        <f aca="false">IF($A193="","",MAX(C193-D193,0))</f>
        <v/>
      </c>
      <c r="F193" s="91" t="str">
        <f aca="false">IF($A193="","",MAX(D193-C193,0))</f>
        <v/>
      </c>
      <c r="G193" s="55" t="str">
        <f aca="false">IF($A193="","",'شجرة الحسابات'!C193&amp;"")</f>
        <v/>
      </c>
      <c r="H193" s="55" t="str">
        <f aca="false">IF($A193="","",'شجرة الحسابات'!E193&amp;"")</f>
        <v/>
      </c>
      <c r="I193" s="55" t="str">
        <f aca="false">IF($A193="","",'شجرة الحسابات'!H193&amp;"")</f>
        <v/>
      </c>
      <c r="J193" s="55" t="str">
        <f aca="false">IF($A193="","",'شجرة الحسابات'!I193&amp;"")</f>
        <v/>
      </c>
      <c r="K193" s="92" t="str">
        <f aca="false">IF(OR($A193="",$G193&lt;&gt;"تحليلي"),"",E193-F193)</f>
        <v/>
      </c>
    </row>
    <row r="194" customFormat="false" ht="15" hidden="false" customHeight="false" outlineLevel="0" collapsed="false">
      <c r="A194" s="90" t="str">
        <f aca="false">IF('شجرة الحسابات'!A194="","",'شجرة الحسابات'!A194)</f>
        <v/>
      </c>
      <c r="B194" s="51" t="str">
        <f aca="false">IF($A194="","",'شجرة الحسابات'!B194)</f>
        <v/>
      </c>
      <c r="C194" s="85" t="str">
        <f aca="false">IF($A194="","",IF($G194="تحليلي",SUMIFS('قيود اليومية'!$G$11:$G$1010,'قيود اليومية'!$C$11:$C$1010,$A194,'قيود اليومية'!$I$11:$I$1010,"مرحل ✔"),SUMPRODUCT((LEFT('قيود اليومية'!$C$11:$C$1010&amp;"",LEN($A194&amp;""))=$A194&amp;"")*('قيود اليومية'!$I$11:$I$1010="مرحل ✔")*'قيود اليومية'!$G$11:$G$1010)))</f>
        <v/>
      </c>
      <c r="D194" s="85" t="str">
        <f aca="false">IF($A194="","",IF($G194="تحليلي",SUMIFS('قيود اليومية'!$H$11:$H$1010,'قيود اليومية'!$C$11:$C$1010,$A194,'قيود اليومية'!$I$11:$I$1010,"مرحل ✔"),SUMPRODUCT((LEFT('قيود اليومية'!$C$11:$C$1010&amp;"",LEN($A194&amp;""))=$A194&amp;"")*('قيود اليومية'!$I$11:$I$1010="مرحل ✔")*'قيود اليومية'!$H$11:$H$1010)))</f>
        <v/>
      </c>
      <c r="E194" s="91" t="str">
        <f aca="false">IF($A194="","",MAX(C194-D194,0))</f>
        <v/>
      </c>
      <c r="F194" s="91" t="str">
        <f aca="false">IF($A194="","",MAX(D194-C194,0))</f>
        <v/>
      </c>
      <c r="G194" s="55" t="str">
        <f aca="false">IF($A194="","",'شجرة الحسابات'!C194&amp;"")</f>
        <v/>
      </c>
      <c r="H194" s="55" t="str">
        <f aca="false">IF($A194="","",'شجرة الحسابات'!E194&amp;"")</f>
        <v/>
      </c>
      <c r="I194" s="55" t="str">
        <f aca="false">IF($A194="","",'شجرة الحسابات'!H194&amp;"")</f>
        <v/>
      </c>
      <c r="J194" s="55" t="str">
        <f aca="false">IF($A194="","",'شجرة الحسابات'!I194&amp;"")</f>
        <v/>
      </c>
      <c r="K194" s="92" t="str">
        <f aca="false">IF(OR($A194="",$G194&lt;&gt;"تحليلي"),"",E194-F194)</f>
        <v/>
      </c>
    </row>
    <row r="195" customFormat="false" ht="15" hidden="false" customHeight="false" outlineLevel="0" collapsed="false">
      <c r="A195" s="90" t="str">
        <f aca="false">IF('شجرة الحسابات'!A195="","",'شجرة الحسابات'!A195)</f>
        <v/>
      </c>
      <c r="B195" s="51" t="str">
        <f aca="false">IF($A195="","",'شجرة الحسابات'!B195)</f>
        <v/>
      </c>
      <c r="C195" s="85" t="str">
        <f aca="false">IF($A195="","",IF($G195="تحليلي",SUMIFS('قيود اليومية'!$G$11:$G$1010,'قيود اليومية'!$C$11:$C$1010,$A195,'قيود اليومية'!$I$11:$I$1010,"مرحل ✔"),SUMPRODUCT((LEFT('قيود اليومية'!$C$11:$C$1010&amp;"",LEN($A195&amp;""))=$A195&amp;"")*('قيود اليومية'!$I$11:$I$1010="مرحل ✔")*'قيود اليومية'!$G$11:$G$1010)))</f>
        <v/>
      </c>
      <c r="D195" s="85" t="str">
        <f aca="false">IF($A195="","",IF($G195="تحليلي",SUMIFS('قيود اليومية'!$H$11:$H$1010,'قيود اليومية'!$C$11:$C$1010,$A195,'قيود اليومية'!$I$11:$I$1010,"مرحل ✔"),SUMPRODUCT((LEFT('قيود اليومية'!$C$11:$C$1010&amp;"",LEN($A195&amp;""))=$A195&amp;"")*('قيود اليومية'!$I$11:$I$1010="مرحل ✔")*'قيود اليومية'!$H$11:$H$1010)))</f>
        <v/>
      </c>
      <c r="E195" s="91" t="str">
        <f aca="false">IF($A195="","",MAX(C195-D195,0))</f>
        <v/>
      </c>
      <c r="F195" s="91" t="str">
        <f aca="false">IF($A195="","",MAX(D195-C195,0))</f>
        <v/>
      </c>
      <c r="G195" s="55" t="str">
        <f aca="false">IF($A195="","",'شجرة الحسابات'!C195&amp;"")</f>
        <v/>
      </c>
      <c r="H195" s="55" t="str">
        <f aca="false">IF($A195="","",'شجرة الحسابات'!E195&amp;"")</f>
        <v/>
      </c>
      <c r="I195" s="55" t="str">
        <f aca="false">IF($A195="","",'شجرة الحسابات'!H195&amp;"")</f>
        <v/>
      </c>
      <c r="J195" s="55" t="str">
        <f aca="false">IF($A195="","",'شجرة الحسابات'!I195&amp;"")</f>
        <v/>
      </c>
      <c r="K195" s="92" t="str">
        <f aca="false">IF(OR($A195="",$G195&lt;&gt;"تحليلي"),"",E195-F195)</f>
        <v/>
      </c>
    </row>
    <row r="196" customFormat="false" ht="15" hidden="false" customHeight="false" outlineLevel="0" collapsed="false">
      <c r="A196" s="90" t="str">
        <f aca="false">IF('شجرة الحسابات'!A196="","",'شجرة الحسابات'!A196)</f>
        <v/>
      </c>
      <c r="B196" s="51" t="str">
        <f aca="false">IF($A196="","",'شجرة الحسابات'!B196)</f>
        <v/>
      </c>
      <c r="C196" s="85" t="str">
        <f aca="false">IF($A196="","",IF($G196="تحليلي",SUMIFS('قيود اليومية'!$G$11:$G$1010,'قيود اليومية'!$C$11:$C$1010,$A196,'قيود اليومية'!$I$11:$I$1010,"مرحل ✔"),SUMPRODUCT((LEFT('قيود اليومية'!$C$11:$C$1010&amp;"",LEN($A196&amp;""))=$A196&amp;"")*('قيود اليومية'!$I$11:$I$1010="مرحل ✔")*'قيود اليومية'!$G$11:$G$1010)))</f>
        <v/>
      </c>
      <c r="D196" s="85" t="str">
        <f aca="false">IF($A196="","",IF($G196="تحليلي",SUMIFS('قيود اليومية'!$H$11:$H$1010,'قيود اليومية'!$C$11:$C$1010,$A196,'قيود اليومية'!$I$11:$I$1010,"مرحل ✔"),SUMPRODUCT((LEFT('قيود اليومية'!$C$11:$C$1010&amp;"",LEN($A196&amp;""))=$A196&amp;"")*('قيود اليومية'!$I$11:$I$1010="مرحل ✔")*'قيود اليومية'!$H$11:$H$1010)))</f>
        <v/>
      </c>
      <c r="E196" s="91" t="str">
        <f aca="false">IF($A196="","",MAX(C196-D196,0))</f>
        <v/>
      </c>
      <c r="F196" s="91" t="str">
        <f aca="false">IF($A196="","",MAX(D196-C196,0))</f>
        <v/>
      </c>
      <c r="G196" s="55" t="str">
        <f aca="false">IF($A196="","",'شجرة الحسابات'!C196&amp;"")</f>
        <v/>
      </c>
      <c r="H196" s="55" t="str">
        <f aca="false">IF($A196="","",'شجرة الحسابات'!E196&amp;"")</f>
        <v/>
      </c>
      <c r="I196" s="55" t="str">
        <f aca="false">IF($A196="","",'شجرة الحسابات'!H196&amp;"")</f>
        <v/>
      </c>
      <c r="J196" s="55" t="str">
        <f aca="false">IF($A196="","",'شجرة الحسابات'!I196&amp;"")</f>
        <v/>
      </c>
      <c r="K196" s="92" t="str">
        <f aca="false">IF(OR($A196="",$G196&lt;&gt;"تحليلي"),"",E196-F196)</f>
        <v/>
      </c>
    </row>
    <row r="197" customFormat="false" ht="15" hidden="false" customHeight="false" outlineLevel="0" collapsed="false">
      <c r="A197" s="90" t="str">
        <f aca="false">IF('شجرة الحسابات'!A197="","",'شجرة الحسابات'!A197)</f>
        <v/>
      </c>
      <c r="B197" s="51" t="str">
        <f aca="false">IF($A197="","",'شجرة الحسابات'!B197)</f>
        <v/>
      </c>
      <c r="C197" s="85" t="str">
        <f aca="false">IF($A197="","",IF($G197="تحليلي",SUMIFS('قيود اليومية'!$G$11:$G$1010,'قيود اليومية'!$C$11:$C$1010,$A197,'قيود اليومية'!$I$11:$I$1010,"مرحل ✔"),SUMPRODUCT((LEFT('قيود اليومية'!$C$11:$C$1010&amp;"",LEN($A197&amp;""))=$A197&amp;"")*('قيود اليومية'!$I$11:$I$1010="مرحل ✔")*'قيود اليومية'!$G$11:$G$1010)))</f>
        <v/>
      </c>
      <c r="D197" s="85" t="str">
        <f aca="false">IF($A197="","",IF($G197="تحليلي",SUMIFS('قيود اليومية'!$H$11:$H$1010,'قيود اليومية'!$C$11:$C$1010,$A197,'قيود اليومية'!$I$11:$I$1010,"مرحل ✔"),SUMPRODUCT((LEFT('قيود اليومية'!$C$11:$C$1010&amp;"",LEN($A197&amp;""))=$A197&amp;"")*('قيود اليومية'!$I$11:$I$1010="مرحل ✔")*'قيود اليومية'!$H$11:$H$1010)))</f>
        <v/>
      </c>
      <c r="E197" s="91" t="str">
        <f aca="false">IF($A197="","",MAX(C197-D197,0))</f>
        <v/>
      </c>
      <c r="F197" s="91" t="str">
        <f aca="false">IF($A197="","",MAX(D197-C197,0))</f>
        <v/>
      </c>
      <c r="G197" s="55" t="str">
        <f aca="false">IF($A197="","",'شجرة الحسابات'!C197&amp;"")</f>
        <v/>
      </c>
      <c r="H197" s="55" t="str">
        <f aca="false">IF($A197="","",'شجرة الحسابات'!E197&amp;"")</f>
        <v/>
      </c>
      <c r="I197" s="55" t="str">
        <f aca="false">IF($A197="","",'شجرة الحسابات'!H197&amp;"")</f>
        <v/>
      </c>
      <c r="J197" s="55" t="str">
        <f aca="false">IF($A197="","",'شجرة الحسابات'!I197&amp;"")</f>
        <v/>
      </c>
      <c r="K197" s="92" t="str">
        <f aca="false">IF(OR($A197="",$G197&lt;&gt;"تحليلي"),"",E197-F197)</f>
        <v/>
      </c>
    </row>
    <row r="198" customFormat="false" ht="15" hidden="false" customHeight="false" outlineLevel="0" collapsed="false">
      <c r="A198" s="90" t="str">
        <f aca="false">IF('شجرة الحسابات'!A198="","",'شجرة الحسابات'!A198)</f>
        <v/>
      </c>
      <c r="B198" s="51" t="str">
        <f aca="false">IF($A198="","",'شجرة الحسابات'!B198)</f>
        <v/>
      </c>
      <c r="C198" s="85" t="str">
        <f aca="false">IF($A198="","",IF($G198="تحليلي",SUMIFS('قيود اليومية'!$G$11:$G$1010,'قيود اليومية'!$C$11:$C$1010,$A198,'قيود اليومية'!$I$11:$I$1010,"مرحل ✔"),SUMPRODUCT((LEFT('قيود اليومية'!$C$11:$C$1010&amp;"",LEN($A198&amp;""))=$A198&amp;"")*('قيود اليومية'!$I$11:$I$1010="مرحل ✔")*'قيود اليومية'!$G$11:$G$1010)))</f>
        <v/>
      </c>
      <c r="D198" s="85" t="str">
        <f aca="false">IF($A198="","",IF($G198="تحليلي",SUMIFS('قيود اليومية'!$H$11:$H$1010,'قيود اليومية'!$C$11:$C$1010,$A198,'قيود اليومية'!$I$11:$I$1010,"مرحل ✔"),SUMPRODUCT((LEFT('قيود اليومية'!$C$11:$C$1010&amp;"",LEN($A198&amp;""))=$A198&amp;"")*('قيود اليومية'!$I$11:$I$1010="مرحل ✔")*'قيود اليومية'!$H$11:$H$1010)))</f>
        <v/>
      </c>
      <c r="E198" s="91" t="str">
        <f aca="false">IF($A198="","",MAX(C198-D198,0))</f>
        <v/>
      </c>
      <c r="F198" s="91" t="str">
        <f aca="false">IF($A198="","",MAX(D198-C198,0))</f>
        <v/>
      </c>
      <c r="G198" s="55" t="str">
        <f aca="false">IF($A198="","",'شجرة الحسابات'!C198&amp;"")</f>
        <v/>
      </c>
      <c r="H198" s="55" t="str">
        <f aca="false">IF($A198="","",'شجرة الحسابات'!E198&amp;"")</f>
        <v/>
      </c>
      <c r="I198" s="55" t="str">
        <f aca="false">IF($A198="","",'شجرة الحسابات'!H198&amp;"")</f>
        <v/>
      </c>
      <c r="J198" s="55" t="str">
        <f aca="false">IF($A198="","",'شجرة الحسابات'!I198&amp;"")</f>
        <v/>
      </c>
      <c r="K198" s="92" t="str">
        <f aca="false">IF(OR($A198="",$G198&lt;&gt;"تحليلي"),"",E198-F198)</f>
        <v/>
      </c>
    </row>
    <row r="199" customFormat="false" ht="15" hidden="false" customHeight="false" outlineLevel="0" collapsed="false">
      <c r="A199" s="90" t="str">
        <f aca="false">IF('شجرة الحسابات'!A199="","",'شجرة الحسابات'!A199)</f>
        <v/>
      </c>
      <c r="B199" s="51" t="str">
        <f aca="false">IF($A199="","",'شجرة الحسابات'!B199)</f>
        <v/>
      </c>
      <c r="C199" s="85" t="str">
        <f aca="false">IF($A199="","",IF($G199="تحليلي",SUMIFS('قيود اليومية'!$G$11:$G$1010,'قيود اليومية'!$C$11:$C$1010,$A199,'قيود اليومية'!$I$11:$I$1010,"مرحل ✔"),SUMPRODUCT((LEFT('قيود اليومية'!$C$11:$C$1010&amp;"",LEN($A199&amp;""))=$A199&amp;"")*('قيود اليومية'!$I$11:$I$1010="مرحل ✔")*'قيود اليومية'!$G$11:$G$1010)))</f>
        <v/>
      </c>
      <c r="D199" s="85" t="str">
        <f aca="false">IF($A199="","",IF($G199="تحليلي",SUMIFS('قيود اليومية'!$H$11:$H$1010,'قيود اليومية'!$C$11:$C$1010,$A199,'قيود اليومية'!$I$11:$I$1010,"مرحل ✔"),SUMPRODUCT((LEFT('قيود اليومية'!$C$11:$C$1010&amp;"",LEN($A199&amp;""))=$A199&amp;"")*('قيود اليومية'!$I$11:$I$1010="مرحل ✔")*'قيود اليومية'!$H$11:$H$1010)))</f>
        <v/>
      </c>
      <c r="E199" s="91" t="str">
        <f aca="false">IF($A199="","",MAX(C199-D199,0))</f>
        <v/>
      </c>
      <c r="F199" s="91" t="str">
        <f aca="false">IF($A199="","",MAX(D199-C199,0))</f>
        <v/>
      </c>
      <c r="G199" s="55" t="str">
        <f aca="false">IF($A199="","",'شجرة الحسابات'!C199&amp;"")</f>
        <v/>
      </c>
      <c r="H199" s="55" t="str">
        <f aca="false">IF($A199="","",'شجرة الحسابات'!E199&amp;"")</f>
        <v/>
      </c>
      <c r="I199" s="55" t="str">
        <f aca="false">IF($A199="","",'شجرة الحسابات'!H199&amp;"")</f>
        <v/>
      </c>
      <c r="J199" s="55" t="str">
        <f aca="false">IF($A199="","",'شجرة الحسابات'!I199&amp;"")</f>
        <v/>
      </c>
      <c r="K199" s="92" t="str">
        <f aca="false">IF(OR($A199="",$G199&lt;&gt;"تحليلي"),"",E199-F199)</f>
        <v/>
      </c>
    </row>
    <row r="200" customFormat="false" ht="15" hidden="false" customHeight="false" outlineLevel="0" collapsed="false">
      <c r="A200" s="90" t="str">
        <f aca="false">IF('شجرة الحسابات'!A200="","",'شجرة الحسابات'!A200)</f>
        <v/>
      </c>
      <c r="B200" s="51" t="str">
        <f aca="false">IF($A200="","",'شجرة الحسابات'!B200)</f>
        <v/>
      </c>
      <c r="C200" s="85" t="str">
        <f aca="false">IF($A200="","",IF($G200="تحليلي",SUMIFS('قيود اليومية'!$G$11:$G$1010,'قيود اليومية'!$C$11:$C$1010,$A200,'قيود اليومية'!$I$11:$I$1010,"مرحل ✔"),SUMPRODUCT((LEFT('قيود اليومية'!$C$11:$C$1010&amp;"",LEN($A200&amp;""))=$A200&amp;"")*('قيود اليومية'!$I$11:$I$1010="مرحل ✔")*'قيود اليومية'!$G$11:$G$1010)))</f>
        <v/>
      </c>
      <c r="D200" s="85" t="str">
        <f aca="false">IF($A200="","",IF($G200="تحليلي",SUMIFS('قيود اليومية'!$H$11:$H$1010,'قيود اليومية'!$C$11:$C$1010,$A200,'قيود اليومية'!$I$11:$I$1010,"مرحل ✔"),SUMPRODUCT((LEFT('قيود اليومية'!$C$11:$C$1010&amp;"",LEN($A200&amp;""))=$A200&amp;"")*('قيود اليومية'!$I$11:$I$1010="مرحل ✔")*'قيود اليومية'!$H$11:$H$1010)))</f>
        <v/>
      </c>
      <c r="E200" s="91" t="str">
        <f aca="false">IF($A200="","",MAX(C200-D200,0))</f>
        <v/>
      </c>
      <c r="F200" s="91" t="str">
        <f aca="false">IF($A200="","",MAX(D200-C200,0))</f>
        <v/>
      </c>
      <c r="G200" s="55" t="str">
        <f aca="false">IF($A200="","",'شجرة الحسابات'!C200&amp;"")</f>
        <v/>
      </c>
      <c r="H200" s="55" t="str">
        <f aca="false">IF($A200="","",'شجرة الحسابات'!E200&amp;"")</f>
        <v/>
      </c>
      <c r="I200" s="55" t="str">
        <f aca="false">IF($A200="","",'شجرة الحسابات'!H200&amp;"")</f>
        <v/>
      </c>
      <c r="J200" s="55" t="str">
        <f aca="false">IF($A200="","",'شجرة الحسابات'!I200&amp;"")</f>
        <v/>
      </c>
      <c r="K200" s="92" t="str">
        <f aca="false">IF(OR($A200="",$G200&lt;&gt;"تحليلي"),"",E200-F200)</f>
        <v/>
      </c>
    </row>
    <row r="201" customFormat="false" ht="15" hidden="false" customHeight="false" outlineLevel="0" collapsed="false">
      <c r="A201" s="90" t="str">
        <f aca="false">IF('شجرة الحسابات'!A201="","",'شجرة الحسابات'!A201)</f>
        <v/>
      </c>
      <c r="B201" s="51" t="str">
        <f aca="false">IF($A201="","",'شجرة الحسابات'!B201)</f>
        <v/>
      </c>
      <c r="C201" s="85" t="str">
        <f aca="false">IF($A201="","",IF($G201="تحليلي",SUMIFS('قيود اليومية'!$G$11:$G$1010,'قيود اليومية'!$C$11:$C$1010,$A201,'قيود اليومية'!$I$11:$I$1010,"مرحل ✔"),SUMPRODUCT((LEFT('قيود اليومية'!$C$11:$C$1010&amp;"",LEN($A201&amp;""))=$A201&amp;"")*('قيود اليومية'!$I$11:$I$1010="مرحل ✔")*'قيود اليومية'!$G$11:$G$1010)))</f>
        <v/>
      </c>
      <c r="D201" s="85" t="str">
        <f aca="false">IF($A201="","",IF($G201="تحليلي",SUMIFS('قيود اليومية'!$H$11:$H$1010,'قيود اليومية'!$C$11:$C$1010,$A201,'قيود اليومية'!$I$11:$I$1010,"مرحل ✔"),SUMPRODUCT((LEFT('قيود اليومية'!$C$11:$C$1010&amp;"",LEN($A201&amp;""))=$A201&amp;"")*('قيود اليومية'!$I$11:$I$1010="مرحل ✔")*'قيود اليومية'!$H$11:$H$1010)))</f>
        <v/>
      </c>
      <c r="E201" s="91" t="str">
        <f aca="false">IF($A201="","",MAX(C201-D201,0))</f>
        <v/>
      </c>
      <c r="F201" s="91" t="str">
        <f aca="false">IF($A201="","",MAX(D201-C201,0))</f>
        <v/>
      </c>
      <c r="G201" s="55" t="str">
        <f aca="false">IF($A201="","",'شجرة الحسابات'!C201&amp;"")</f>
        <v/>
      </c>
      <c r="H201" s="55" t="str">
        <f aca="false">IF($A201="","",'شجرة الحسابات'!E201&amp;"")</f>
        <v/>
      </c>
      <c r="I201" s="55" t="str">
        <f aca="false">IF($A201="","",'شجرة الحسابات'!H201&amp;"")</f>
        <v/>
      </c>
      <c r="J201" s="55" t="str">
        <f aca="false">IF($A201="","",'شجرة الحسابات'!I201&amp;"")</f>
        <v/>
      </c>
      <c r="K201" s="92" t="str">
        <f aca="false">IF(OR($A201="",$G201&lt;&gt;"تحليلي"),"",E201-F201)</f>
        <v/>
      </c>
    </row>
    <row r="202" customFormat="false" ht="15" hidden="false" customHeight="false" outlineLevel="0" collapsed="false">
      <c r="A202" s="90" t="str">
        <f aca="false">IF('شجرة الحسابات'!A202="","",'شجرة الحسابات'!A202)</f>
        <v/>
      </c>
      <c r="B202" s="51" t="str">
        <f aca="false">IF($A202="","",'شجرة الحسابات'!B202)</f>
        <v/>
      </c>
      <c r="C202" s="85" t="str">
        <f aca="false">IF($A202="","",IF($G202="تحليلي",SUMIFS('قيود اليومية'!$G$11:$G$1010,'قيود اليومية'!$C$11:$C$1010,$A202,'قيود اليومية'!$I$11:$I$1010,"مرحل ✔"),SUMPRODUCT((LEFT('قيود اليومية'!$C$11:$C$1010&amp;"",LEN($A202&amp;""))=$A202&amp;"")*('قيود اليومية'!$I$11:$I$1010="مرحل ✔")*'قيود اليومية'!$G$11:$G$1010)))</f>
        <v/>
      </c>
      <c r="D202" s="85" t="str">
        <f aca="false">IF($A202="","",IF($G202="تحليلي",SUMIFS('قيود اليومية'!$H$11:$H$1010,'قيود اليومية'!$C$11:$C$1010,$A202,'قيود اليومية'!$I$11:$I$1010,"مرحل ✔"),SUMPRODUCT((LEFT('قيود اليومية'!$C$11:$C$1010&amp;"",LEN($A202&amp;""))=$A202&amp;"")*('قيود اليومية'!$I$11:$I$1010="مرحل ✔")*'قيود اليومية'!$H$11:$H$1010)))</f>
        <v/>
      </c>
      <c r="E202" s="91" t="str">
        <f aca="false">IF($A202="","",MAX(C202-D202,0))</f>
        <v/>
      </c>
      <c r="F202" s="91" t="str">
        <f aca="false">IF($A202="","",MAX(D202-C202,0))</f>
        <v/>
      </c>
      <c r="G202" s="55" t="str">
        <f aca="false">IF($A202="","",'شجرة الحسابات'!C202&amp;"")</f>
        <v/>
      </c>
      <c r="H202" s="55" t="str">
        <f aca="false">IF($A202="","",'شجرة الحسابات'!E202&amp;"")</f>
        <v/>
      </c>
      <c r="I202" s="55" t="str">
        <f aca="false">IF($A202="","",'شجرة الحسابات'!H202&amp;"")</f>
        <v/>
      </c>
      <c r="J202" s="55" t="str">
        <f aca="false">IF($A202="","",'شجرة الحسابات'!I202&amp;"")</f>
        <v/>
      </c>
      <c r="K202" s="92" t="str">
        <f aca="false">IF(OR($A202="",$G202&lt;&gt;"تحليلي"),"",E202-F202)</f>
        <v/>
      </c>
    </row>
    <row r="203" customFormat="false" ht="15" hidden="false" customHeight="false" outlineLevel="0" collapsed="false">
      <c r="A203" s="90" t="str">
        <f aca="false">IF('شجرة الحسابات'!A203="","",'شجرة الحسابات'!A203)</f>
        <v/>
      </c>
      <c r="B203" s="51" t="str">
        <f aca="false">IF($A203="","",'شجرة الحسابات'!B203)</f>
        <v/>
      </c>
      <c r="C203" s="85" t="str">
        <f aca="false">IF($A203="","",IF($G203="تحليلي",SUMIFS('قيود اليومية'!$G$11:$G$1010,'قيود اليومية'!$C$11:$C$1010,$A203,'قيود اليومية'!$I$11:$I$1010,"مرحل ✔"),SUMPRODUCT((LEFT('قيود اليومية'!$C$11:$C$1010&amp;"",LEN($A203&amp;""))=$A203&amp;"")*('قيود اليومية'!$I$11:$I$1010="مرحل ✔")*'قيود اليومية'!$G$11:$G$1010)))</f>
        <v/>
      </c>
      <c r="D203" s="85" t="str">
        <f aca="false">IF($A203="","",IF($G203="تحليلي",SUMIFS('قيود اليومية'!$H$11:$H$1010,'قيود اليومية'!$C$11:$C$1010,$A203,'قيود اليومية'!$I$11:$I$1010,"مرحل ✔"),SUMPRODUCT((LEFT('قيود اليومية'!$C$11:$C$1010&amp;"",LEN($A203&amp;""))=$A203&amp;"")*('قيود اليومية'!$I$11:$I$1010="مرحل ✔")*'قيود اليومية'!$H$11:$H$1010)))</f>
        <v/>
      </c>
      <c r="E203" s="91" t="str">
        <f aca="false">IF($A203="","",MAX(C203-D203,0))</f>
        <v/>
      </c>
      <c r="F203" s="91" t="str">
        <f aca="false">IF($A203="","",MAX(D203-C203,0))</f>
        <v/>
      </c>
      <c r="G203" s="55" t="str">
        <f aca="false">IF($A203="","",'شجرة الحسابات'!C203&amp;"")</f>
        <v/>
      </c>
      <c r="H203" s="55" t="str">
        <f aca="false">IF($A203="","",'شجرة الحسابات'!E203&amp;"")</f>
        <v/>
      </c>
      <c r="I203" s="55" t="str">
        <f aca="false">IF($A203="","",'شجرة الحسابات'!H203&amp;"")</f>
        <v/>
      </c>
      <c r="J203" s="55" t="str">
        <f aca="false">IF($A203="","",'شجرة الحسابات'!I203&amp;"")</f>
        <v/>
      </c>
      <c r="K203" s="92" t="str">
        <f aca="false">IF(OR($A203="",$G203&lt;&gt;"تحليلي"),"",E203-F203)</f>
        <v/>
      </c>
    </row>
    <row r="204" customFormat="false" ht="15" hidden="false" customHeight="false" outlineLevel="0" collapsed="false">
      <c r="A204" s="90" t="str">
        <f aca="false">IF('شجرة الحسابات'!A204="","",'شجرة الحسابات'!A204)</f>
        <v/>
      </c>
      <c r="B204" s="51" t="str">
        <f aca="false">IF($A204="","",'شجرة الحسابات'!B204)</f>
        <v/>
      </c>
      <c r="C204" s="85" t="str">
        <f aca="false">IF($A204="","",IF($G204="تحليلي",SUMIFS('قيود اليومية'!$G$11:$G$1010,'قيود اليومية'!$C$11:$C$1010,$A204,'قيود اليومية'!$I$11:$I$1010,"مرحل ✔"),SUMPRODUCT((LEFT('قيود اليومية'!$C$11:$C$1010&amp;"",LEN($A204&amp;""))=$A204&amp;"")*('قيود اليومية'!$I$11:$I$1010="مرحل ✔")*'قيود اليومية'!$G$11:$G$1010)))</f>
        <v/>
      </c>
      <c r="D204" s="85" t="str">
        <f aca="false">IF($A204="","",IF($G204="تحليلي",SUMIFS('قيود اليومية'!$H$11:$H$1010,'قيود اليومية'!$C$11:$C$1010,$A204,'قيود اليومية'!$I$11:$I$1010,"مرحل ✔"),SUMPRODUCT((LEFT('قيود اليومية'!$C$11:$C$1010&amp;"",LEN($A204&amp;""))=$A204&amp;"")*('قيود اليومية'!$I$11:$I$1010="مرحل ✔")*'قيود اليومية'!$H$11:$H$1010)))</f>
        <v/>
      </c>
      <c r="E204" s="91" t="str">
        <f aca="false">IF($A204="","",MAX(C204-D204,0))</f>
        <v/>
      </c>
      <c r="F204" s="91" t="str">
        <f aca="false">IF($A204="","",MAX(D204-C204,0))</f>
        <v/>
      </c>
      <c r="G204" s="55" t="str">
        <f aca="false">IF($A204="","",'شجرة الحسابات'!C204&amp;"")</f>
        <v/>
      </c>
      <c r="H204" s="55" t="str">
        <f aca="false">IF($A204="","",'شجرة الحسابات'!E204&amp;"")</f>
        <v/>
      </c>
      <c r="I204" s="55" t="str">
        <f aca="false">IF($A204="","",'شجرة الحسابات'!H204&amp;"")</f>
        <v/>
      </c>
      <c r="J204" s="55" t="str">
        <f aca="false">IF($A204="","",'شجرة الحسابات'!I204&amp;"")</f>
        <v/>
      </c>
      <c r="K204" s="92" t="str">
        <f aca="false">IF(OR($A204="",$G204&lt;&gt;"تحليلي"),"",E204-F204)</f>
        <v/>
      </c>
    </row>
    <row r="205" customFormat="false" ht="15" hidden="false" customHeight="false" outlineLevel="0" collapsed="false">
      <c r="A205" s="90" t="str">
        <f aca="false">IF('شجرة الحسابات'!A205="","",'شجرة الحسابات'!A205)</f>
        <v/>
      </c>
      <c r="B205" s="51" t="str">
        <f aca="false">IF($A205="","",'شجرة الحسابات'!B205)</f>
        <v/>
      </c>
      <c r="C205" s="85" t="str">
        <f aca="false">IF($A205="","",IF($G205="تحليلي",SUMIFS('قيود اليومية'!$G$11:$G$1010,'قيود اليومية'!$C$11:$C$1010,$A205,'قيود اليومية'!$I$11:$I$1010,"مرحل ✔"),SUMPRODUCT((LEFT('قيود اليومية'!$C$11:$C$1010&amp;"",LEN($A205&amp;""))=$A205&amp;"")*('قيود اليومية'!$I$11:$I$1010="مرحل ✔")*'قيود اليومية'!$G$11:$G$1010)))</f>
        <v/>
      </c>
      <c r="D205" s="85" t="str">
        <f aca="false">IF($A205="","",IF($G205="تحليلي",SUMIFS('قيود اليومية'!$H$11:$H$1010,'قيود اليومية'!$C$11:$C$1010,$A205,'قيود اليومية'!$I$11:$I$1010,"مرحل ✔"),SUMPRODUCT((LEFT('قيود اليومية'!$C$11:$C$1010&amp;"",LEN($A205&amp;""))=$A205&amp;"")*('قيود اليومية'!$I$11:$I$1010="مرحل ✔")*'قيود اليومية'!$H$11:$H$1010)))</f>
        <v/>
      </c>
      <c r="E205" s="91" t="str">
        <f aca="false">IF($A205="","",MAX(C205-D205,0))</f>
        <v/>
      </c>
      <c r="F205" s="91" t="str">
        <f aca="false">IF($A205="","",MAX(D205-C205,0))</f>
        <v/>
      </c>
      <c r="G205" s="55" t="str">
        <f aca="false">IF($A205="","",'شجرة الحسابات'!C205&amp;"")</f>
        <v/>
      </c>
      <c r="H205" s="55" t="str">
        <f aca="false">IF($A205="","",'شجرة الحسابات'!E205&amp;"")</f>
        <v/>
      </c>
      <c r="I205" s="55" t="str">
        <f aca="false">IF($A205="","",'شجرة الحسابات'!H205&amp;"")</f>
        <v/>
      </c>
      <c r="J205" s="55" t="str">
        <f aca="false">IF($A205="","",'شجرة الحسابات'!I205&amp;"")</f>
        <v/>
      </c>
      <c r="K205" s="92" t="str">
        <f aca="false">IF(OR($A205="",$G205&lt;&gt;"تحليلي"),"",E205-F205)</f>
        <v/>
      </c>
    </row>
    <row r="206" customFormat="false" ht="15" hidden="false" customHeight="false" outlineLevel="0" collapsed="false">
      <c r="A206" s="90" t="str">
        <f aca="false">IF('شجرة الحسابات'!A206="","",'شجرة الحسابات'!A206)</f>
        <v/>
      </c>
      <c r="B206" s="51" t="str">
        <f aca="false">IF($A206="","",'شجرة الحسابات'!B206)</f>
        <v/>
      </c>
      <c r="C206" s="85" t="str">
        <f aca="false">IF($A206="","",IF($G206="تحليلي",SUMIFS('قيود اليومية'!$G$11:$G$1010,'قيود اليومية'!$C$11:$C$1010,$A206,'قيود اليومية'!$I$11:$I$1010,"مرحل ✔"),SUMPRODUCT((LEFT('قيود اليومية'!$C$11:$C$1010&amp;"",LEN($A206&amp;""))=$A206&amp;"")*('قيود اليومية'!$I$11:$I$1010="مرحل ✔")*'قيود اليومية'!$G$11:$G$1010)))</f>
        <v/>
      </c>
      <c r="D206" s="85" t="str">
        <f aca="false">IF($A206="","",IF($G206="تحليلي",SUMIFS('قيود اليومية'!$H$11:$H$1010,'قيود اليومية'!$C$11:$C$1010,$A206,'قيود اليومية'!$I$11:$I$1010,"مرحل ✔"),SUMPRODUCT((LEFT('قيود اليومية'!$C$11:$C$1010&amp;"",LEN($A206&amp;""))=$A206&amp;"")*('قيود اليومية'!$I$11:$I$1010="مرحل ✔")*'قيود اليومية'!$H$11:$H$1010)))</f>
        <v/>
      </c>
      <c r="E206" s="91" t="str">
        <f aca="false">IF($A206="","",MAX(C206-D206,0))</f>
        <v/>
      </c>
      <c r="F206" s="91" t="str">
        <f aca="false">IF($A206="","",MAX(D206-C206,0))</f>
        <v/>
      </c>
      <c r="G206" s="55" t="str">
        <f aca="false">IF($A206="","",'شجرة الحسابات'!C206&amp;"")</f>
        <v/>
      </c>
      <c r="H206" s="55" t="str">
        <f aca="false">IF($A206="","",'شجرة الحسابات'!E206&amp;"")</f>
        <v/>
      </c>
      <c r="I206" s="55" t="str">
        <f aca="false">IF($A206="","",'شجرة الحسابات'!H206&amp;"")</f>
        <v/>
      </c>
      <c r="J206" s="55" t="str">
        <f aca="false">IF($A206="","",'شجرة الحسابات'!I206&amp;"")</f>
        <v/>
      </c>
      <c r="K206" s="92" t="str">
        <f aca="false">IF(OR($A206="",$G206&lt;&gt;"تحليلي"),"",E206-F206)</f>
        <v/>
      </c>
    </row>
    <row r="207" customFormat="false" ht="15" hidden="false" customHeight="false" outlineLevel="0" collapsed="false">
      <c r="A207" s="90" t="str">
        <f aca="false">IF('شجرة الحسابات'!A207="","",'شجرة الحسابات'!A207)</f>
        <v/>
      </c>
      <c r="B207" s="51" t="str">
        <f aca="false">IF($A207="","",'شجرة الحسابات'!B207)</f>
        <v/>
      </c>
      <c r="C207" s="85" t="str">
        <f aca="false">IF($A207="","",IF($G207="تحليلي",SUMIFS('قيود اليومية'!$G$11:$G$1010,'قيود اليومية'!$C$11:$C$1010,$A207,'قيود اليومية'!$I$11:$I$1010,"مرحل ✔"),SUMPRODUCT((LEFT('قيود اليومية'!$C$11:$C$1010&amp;"",LEN($A207&amp;""))=$A207&amp;"")*('قيود اليومية'!$I$11:$I$1010="مرحل ✔")*'قيود اليومية'!$G$11:$G$1010)))</f>
        <v/>
      </c>
      <c r="D207" s="85" t="str">
        <f aca="false">IF($A207="","",IF($G207="تحليلي",SUMIFS('قيود اليومية'!$H$11:$H$1010,'قيود اليومية'!$C$11:$C$1010,$A207,'قيود اليومية'!$I$11:$I$1010,"مرحل ✔"),SUMPRODUCT((LEFT('قيود اليومية'!$C$11:$C$1010&amp;"",LEN($A207&amp;""))=$A207&amp;"")*('قيود اليومية'!$I$11:$I$1010="مرحل ✔")*'قيود اليومية'!$H$11:$H$1010)))</f>
        <v/>
      </c>
      <c r="E207" s="91" t="str">
        <f aca="false">IF($A207="","",MAX(C207-D207,0))</f>
        <v/>
      </c>
      <c r="F207" s="91" t="str">
        <f aca="false">IF($A207="","",MAX(D207-C207,0))</f>
        <v/>
      </c>
      <c r="G207" s="55" t="str">
        <f aca="false">IF($A207="","",'شجرة الحسابات'!C207&amp;"")</f>
        <v/>
      </c>
      <c r="H207" s="55" t="str">
        <f aca="false">IF($A207="","",'شجرة الحسابات'!E207&amp;"")</f>
        <v/>
      </c>
      <c r="I207" s="55" t="str">
        <f aca="false">IF($A207="","",'شجرة الحسابات'!H207&amp;"")</f>
        <v/>
      </c>
      <c r="J207" s="55" t="str">
        <f aca="false">IF($A207="","",'شجرة الحسابات'!I207&amp;"")</f>
        <v/>
      </c>
      <c r="K207" s="92" t="str">
        <f aca="false">IF(OR($A207="",$G207&lt;&gt;"تحليلي"),"",E207-F207)</f>
        <v/>
      </c>
    </row>
    <row r="208" customFormat="false" ht="15" hidden="false" customHeight="false" outlineLevel="0" collapsed="false">
      <c r="A208" s="90" t="str">
        <f aca="false">IF('شجرة الحسابات'!A208="","",'شجرة الحسابات'!A208)</f>
        <v/>
      </c>
      <c r="B208" s="51" t="str">
        <f aca="false">IF($A208="","",'شجرة الحسابات'!B208)</f>
        <v/>
      </c>
      <c r="C208" s="85" t="str">
        <f aca="false">IF($A208="","",IF($G208="تحليلي",SUMIFS('قيود اليومية'!$G$11:$G$1010,'قيود اليومية'!$C$11:$C$1010,$A208,'قيود اليومية'!$I$11:$I$1010,"مرحل ✔"),SUMPRODUCT((LEFT('قيود اليومية'!$C$11:$C$1010&amp;"",LEN($A208&amp;""))=$A208&amp;"")*('قيود اليومية'!$I$11:$I$1010="مرحل ✔")*'قيود اليومية'!$G$11:$G$1010)))</f>
        <v/>
      </c>
      <c r="D208" s="85" t="str">
        <f aca="false">IF($A208="","",IF($G208="تحليلي",SUMIFS('قيود اليومية'!$H$11:$H$1010,'قيود اليومية'!$C$11:$C$1010,$A208,'قيود اليومية'!$I$11:$I$1010,"مرحل ✔"),SUMPRODUCT((LEFT('قيود اليومية'!$C$11:$C$1010&amp;"",LEN($A208&amp;""))=$A208&amp;"")*('قيود اليومية'!$I$11:$I$1010="مرحل ✔")*'قيود اليومية'!$H$11:$H$1010)))</f>
        <v/>
      </c>
      <c r="E208" s="91" t="str">
        <f aca="false">IF($A208="","",MAX(C208-D208,0))</f>
        <v/>
      </c>
      <c r="F208" s="91" t="str">
        <f aca="false">IF($A208="","",MAX(D208-C208,0))</f>
        <v/>
      </c>
      <c r="G208" s="55" t="str">
        <f aca="false">IF($A208="","",'شجرة الحسابات'!C208&amp;"")</f>
        <v/>
      </c>
      <c r="H208" s="55" t="str">
        <f aca="false">IF($A208="","",'شجرة الحسابات'!E208&amp;"")</f>
        <v/>
      </c>
      <c r="I208" s="55" t="str">
        <f aca="false">IF($A208="","",'شجرة الحسابات'!H208&amp;"")</f>
        <v/>
      </c>
      <c r="J208" s="55" t="str">
        <f aca="false">IF($A208="","",'شجرة الحسابات'!I208&amp;"")</f>
        <v/>
      </c>
      <c r="K208" s="92" t="str">
        <f aca="false">IF(OR($A208="",$G208&lt;&gt;"تحليلي"),"",E208-F208)</f>
        <v/>
      </c>
    </row>
    <row r="209" customFormat="false" ht="15" hidden="false" customHeight="false" outlineLevel="0" collapsed="false">
      <c r="A209" s="65" t="s">
        <v>285</v>
      </c>
      <c r="B209" s="65"/>
      <c r="C209" s="93" t="n">
        <f aca="false">SUMIFS(C9:C208,$G9:$G208,"تحليلي")</f>
        <v>13398700</v>
      </c>
      <c r="D209" s="93" t="n">
        <f aca="false">SUMIFS(D9:D208,$G9:$G208,"تحليلي")</f>
        <v>13398700</v>
      </c>
      <c r="E209" s="93" t="n">
        <f aca="false">SUMIFS(E9:E208,$G9:$G208,"تحليلي")</f>
        <v>7608000</v>
      </c>
      <c r="F209" s="93" t="n">
        <f aca="false">SUMIFS(F9:F208,$G9:$G208,"تحليلي")</f>
        <v>7608000</v>
      </c>
    </row>
    <row r="210" customFormat="false" ht="15" hidden="false" customHeight="false" outlineLevel="0" collapsed="false">
      <c r="A210" s="54" t="str">
        <f aca="false">IF(ROUND(C209-D209,2)=0,"✔ مجاميع المدين = مجاميع الدائن","✖ فرق في المجاميع")</f>
        <v>✔ مجاميع المدين = مجاميع الدائن</v>
      </c>
      <c r="B210" s="54"/>
      <c r="C210" s="54"/>
      <c r="D210" s="54"/>
      <c r="E210" s="54" t="str">
        <f aca="false">IF(ROUND(E209-F209,2)=0,"✔ الأرصدة متوازنة","✖ فرق في الأرصدة")</f>
        <v>✔ الأرصدة متوازنة</v>
      </c>
      <c r="F210" s="54"/>
    </row>
  </sheetData>
  <mergeCells count="10">
    <mergeCell ref="A1:F1"/>
    <mergeCell ref="A2:F2"/>
    <mergeCell ref="A5:B5"/>
    <mergeCell ref="E5:F5"/>
    <mergeCell ref="A6:B6"/>
    <mergeCell ref="E6:F6"/>
    <mergeCell ref="A7:K7"/>
    <mergeCell ref="A209:B209"/>
    <mergeCell ref="A210:D210"/>
    <mergeCell ref="E210:F210"/>
  </mergeCells>
  <conditionalFormatting sqref="A6">
    <cfRule type="expression" priority="2" aboveAverage="0" equalAverage="0" bottom="0" percent="0" rank="0" text="" dxfId="0">
      <formula>ISNUMBER(SEARCH("✔",$A$6))</formula>
    </cfRule>
    <cfRule type="expression" priority="3" aboveAverage="0" equalAverage="0" bottom="0" percent="0" rank="0" text="" dxfId="1">
      <formula>ISNUMBER(SEARCH("✖",$A$6))</formula>
    </cfRule>
    <cfRule type="expression" priority="4" aboveAverage="0" equalAverage="0" bottom="0" percent="0" rank="0" text="" dxfId="2">
      <formula>ISNUMBER(SEARCH("⚠",$A$6))</formula>
    </cfRule>
  </conditionalFormatting>
  <conditionalFormatting sqref="A9:F208">
    <cfRule type="expression" priority="5" aboveAverage="0" equalAverage="0" bottom="0" percent="0" rank="0" text="" dxfId="14">
      <formula>$G9="رئيسي"</formula>
    </cfRule>
    <cfRule type="expression" priority="6" aboveAverage="0" equalAverage="0" bottom="0" percent="0" rank="0" text="" dxfId="15">
      <formula>$G9="فرعي"</formula>
    </cfRule>
  </conditionalFormatting>
  <conditionalFormatting sqref="B9:B208">
    <cfRule type="expression" priority="7" aboveAverage="0" equalAverage="0" bottom="0" percent="0" rank="0" text="" dxfId="23">
      <formula>$G9="تحليلي"</formula>
    </cfRule>
  </conditionalFormatting>
  <conditionalFormatting sqref="A210:F210">
    <cfRule type="expression" priority="8" aboveAverage="0" equalAverage="0" bottom="0" percent="0" rank="0" text="" dxfId="0">
      <formula>ISNUMBER(SEARCH("✔",$A210))</formula>
    </cfRule>
    <cfRule type="expression" priority="9" aboveAverage="0" equalAverage="0" bottom="0" percent="0" rank="0" text="" dxfId="1">
      <formula>ISNUMBER(SEARCH("✖",$A210))</formula>
    </cfRule>
    <cfRule type="expression" priority="10" aboveAverage="0" equalAverage="0" bottom="0" percent="0" rank="0" text="" dxfId="2">
      <formula>ISNUMBER(SEARCH("⚠",$A210))</formula>
    </cfRule>
  </conditionalFormatting>
  <conditionalFormatting sqref="E210:F210">
    <cfRule type="expression" priority="11" aboveAverage="0" equalAverage="0" bottom="0" percent="0" rank="0" text="" dxfId="1">
      <formula>ISNUMBER(SEARCH("✖",$E210))</formula>
    </cfRule>
    <cfRule type="expression" priority="12" aboveAverage="0" equalAverage="0" bottom="0" percent="0" rank="0" text="" dxfId="0">
      <formula>ISNUMBER(SEARCH("✔",$E210))</formula>
    </cfRule>
  </conditionalFormatting>
  <hyperlinks>
    <hyperlink ref="A3" location="'الرئيسية'!A1" display="🏠 الرئيسية"/>
    <hyperlink ref="B3" location="'شجرة الحسابات'!A1" display="🌳 الشجرة"/>
    <hyperlink ref="C3" location="'قيود اليومية'!A1" display="✍ القيود"/>
    <hyperlink ref="D3" location="'تجميع المشروعات'!A1" display="🏗 المشروعات"/>
    <hyperlink ref="E3" location="'كشف حساب مشروع'!A1" display="📄 كشف مشروع"/>
    <hyperlink ref="F3" location="'دفتر الأستاذ'!A1" display="📒 الأستا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B1:E27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3"/>
  </cols>
  <sheetData>
    <row r="1" customFormat="false" ht="37.5" hidden="false" customHeight="true" outlineLevel="0" collapsed="false">
      <c r="B1" s="1" t="s">
        <v>286</v>
      </c>
      <c r="C1" s="1"/>
      <c r="D1" s="1"/>
      <c r="E1" s="1"/>
    </row>
    <row r="2" customFormat="false" ht="19.5" hidden="false" customHeight="true" outlineLevel="0" collapsed="false">
      <c r="B2" s="2" t="str">
        <f aca="false">الرئيسية!$C$6&amp;"   |   الفترة المنتهية في: "&amp;TEXT(الرئيسية!$C$7,"yyyy/mm/dd")&amp;"   |   المبالغ بـ "&amp;الرئيسية!$G$7</f>
        <v>شركة الإعمار الحديثة للمقاولات العامة   |   الفترة المنتهية في: 2026/03/31   |   المبالغ بـ ريال</v>
      </c>
      <c r="C2" s="2"/>
      <c r="D2" s="2"/>
      <c r="E2" s="2"/>
    </row>
    <row r="3" customFormat="false" ht="25.5" hidden="false" customHeight="true" outlineLevel="0" collapsed="false">
      <c r="B3" s="26" t="s">
        <v>42</v>
      </c>
      <c r="C3" s="16" t="s">
        <v>149</v>
      </c>
      <c r="D3" s="16" t="s">
        <v>43</v>
      </c>
      <c r="E3" s="16" t="s">
        <v>44</v>
      </c>
    </row>
    <row r="4" customFormat="false" ht="7.5" hidden="false" customHeight="true" outlineLevel="0" collapsed="false"/>
    <row r="5" customFormat="false" ht="33.75" hidden="false" customHeight="true" outlineLevel="0" collapsed="false">
      <c r="B5" s="31" t="s">
        <v>266</v>
      </c>
      <c r="C5" s="31" t="s">
        <v>287</v>
      </c>
      <c r="D5" s="31" t="s">
        <v>255</v>
      </c>
      <c r="E5" s="31" t="s">
        <v>288</v>
      </c>
    </row>
    <row r="6" customFormat="false" ht="21.75" hidden="false" customHeight="true" outlineLevel="0" collapsed="false">
      <c r="B6" s="94" t="s">
        <v>289</v>
      </c>
      <c r="C6" s="94"/>
      <c r="D6" s="94"/>
      <c r="E6" s="94"/>
    </row>
    <row r="7" customFormat="false" ht="15" hidden="false" customHeight="false" outlineLevel="0" collapsed="false">
      <c r="B7" s="95" t="s">
        <v>290</v>
      </c>
      <c r="C7" s="85" t="n">
        <f aca="false">-SUMIFS('ميزان المراجعة'!$K$9:$K$208,'ميزان المراجعة'!$I$9:$I$208,"إيرادات العقود")</f>
        <v>2700000</v>
      </c>
      <c r="D7" s="85"/>
      <c r="E7" s="96"/>
    </row>
    <row r="8" customFormat="false" ht="15" hidden="false" customHeight="false" outlineLevel="0" collapsed="false">
      <c r="B8" s="97" t="s">
        <v>10</v>
      </c>
      <c r="C8" s="98"/>
      <c r="D8" s="99" t="n">
        <f aca="false">SUM(C7:C7)</f>
        <v>2700000</v>
      </c>
      <c r="E8" s="100" t="n">
        <f aca="false">IF(D8="","",IFERROR(D8/$D$8,0))</f>
        <v>1</v>
      </c>
    </row>
    <row r="9" customFormat="false" ht="21.75" hidden="false" customHeight="true" outlineLevel="0" collapsed="false">
      <c r="B9" s="94" t="s">
        <v>291</v>
      </c>
      <c r="C9" s="94"/>
      <c r="D9" s="94"/>
      <c r="E9" s="94"/>
    </row>
    <row r="10" customFormat="false" ht="15" hidden="false" customHeight="false" outlineLevel="0" collapsed="false">
      <c r="B10" s="95" t="s">
        <v>127</v>
      </c>
      <c r="C10" s="85" t="n">
        <f aca="false">SUMIFS('ميزان المراجعة'!$K$9:$K$208,'ميزان المراجعة'!$I$9:$I$208,"تكلفة العقود",'ميزان المراجعة'!$J$9:$J$208,"مواد")</f>
        <v>680000</v>
      </c>
      <c r="D10" s="85"/>
      <c r="E10" s="96"/>
    </row>
    <row r="11" customFormat="false" ht="15" hidden="false" customHeight="false" outlineLevel="0" collapsed="false">
      <c r="B11" s="95" t="s">
        <v>130</v>
      </c>
      <c r="C11" s="85" t="n">
        <f aca="false">SUMIFS('ميزان المراجعة'!$K$9:$K$208,'ميزان المراجعة'!$I$9:$I$208,"تكلفة العقود",'ميزان المراجعة'!$J$9:$J$208,"أجور عمال")</f>
        <v>340000</v>
      </c>
      <c r="D11" s="85"/>
      <c r="E11" s="96"/>
    </row>
    <row r="12" customFormat="false" ht="15" hidden="false" customHeight="false" outlineLevel="0" collapsed="false">
      <c r="B12" s="95" t="s">
        <v>132</v>
      </c>
      <c r="C12" s="85" t="n">
        <f aca="false">SUMIFS('ميزان المراجعة'!$K$9:$K$208,'ميزان المراجعة'!$I$9:$I$208,"تكلفة العقود",'ميزان المراجعة'!$J$9:$J$208,"مقاولو باطن")</f>
        <v>850000</v>
      </c>
      <c r="D12" s="85"/>
      <c r="E12" s="96"/>
    </row>
    <row r="13" customFormat="false" ht="15" hidden="false" customHeight="false" outlineLevel="0" collapsed="false">
      <c r="B13" s="95" t="s">
        <v>292</v>
      </c>
      <c r="C13" s="85" t="n">
        <f aca="false">SUMIFS('ميزان المراجعة'!$K$9:$K$208,'ميزان المراجعة'!$I$9:$I$208,"تكلفة العقود",'ميزان المراجعة'!$J$9:$J$208,"معدات")</f>
        <v>155000</v>
      </c>
      <c r="D13" s="85"/>
      <c r="E13" s="96"/>
    </row>
    <row r="14" customFormat="false" ht="15" hidden="false" customHeight="false" outlineLevel="0" collapsed="false">
      <c r="B14" s="95" t="s">
        <v>136</v>
      </c>
      <c r="C14" s="85" t="n">
        <f aca="false">SUMIFS('ميزان المراجعة'!$K$9:$K$208,'ميزان المراجعة'!$I$9:$I$208,"تكلفة العقود",'ميزان المراجعة'!$J$9:$J$208,"مصاريف موقع")</f>
        <v>50000</v>
      </c>
      <c r="D14" s="85"/>
      <c r="E14" s="96"/>
    </row>
    <row r="15" customFormat="false" ht="15" hidden="false" customHeight="false" outlineLevel="0" collapsed="false">
      <c r="B15" s="95" t="s">
        <v>293</v>
      </c>
      <c r="C15" s="85" t="n">
        <f aca="false">SUMIFS('ميزان المراجعة'!$K$9:$K$208,'ميزان المراجعة'!$I$9:$I$208,"تكلفة العقود")-SUM(C10:C14)</f>
        <v>0</v>
      </c>
      <c r="D15" s="85"/>
      <c r="E15" s="96"/>
    </row>
    <row r="16" customFormat="false" ht="15" hidden="false" customHeight="false" outlineLevel="0" collapsed="false">
      <c r="B16" s="97" t="s">
        <v>294</v>
      </c>
      <c r="C16" s="98"/>
      <c r="D16" s="99" t="n">
        <f aca="false">SUM(C10:C15)</f>
        <v>2075000</v>
      </c>
      <c r="E16" s="100" t="n">
        <f aca="false">IF(D16="","",IFERROR(D16/$D$8,0))</f>
        <v>0.768518518518519</v>
      </c>
    </row>
    <row r="17" customFormat="false" ht="15" hidden="false" customHeight="false" outlineLevel="0" collapsed="false">
      <c r="B17" s="101" t="s">
        <v>295</v>
      </c>
      <c r="C17" s="102"/>
      <c r="D17" s="93" t="n">
        <f aca="false">D8-D16</f>
        <v>625000</v>
      </c>
      <c r="E17" s="68" t="n">
        <f aca="false">IF(D17="","",IFERROR(D17/$D$8,0))</f>
        <v>0.231481481481481</v>
      </c>
    </row>
    <row r="18" customFormat="false" ht="21.75" hidden="false" customHeight="true" outlineLevel="0" collapsed="false">
      <c r="B18" s="94" t="s">
        <v>296</v>
      </c>
      <c r="C18" s="94"/>
      <c r="D18" s="94"/>
      <c r="E18" s="94"/>
    </row>
    <row r="19" customFormat="false" ht="15" hidden="false" customHeight="false" outlineLevel="0" collapsed="false">
      <c r="B19" s="95" t="s">
        <v>122</v>
      </c>
      <c r="C19" s="85" t="n">
        <f aca="false">-SUMIFS('ميزان المراجعة'!$K$9:$K$208,'ميزان المراجعة'!$I$9:$I$208,"إيرادات أخرى")</f>
        <v>8000</v>
      </c>
      <c r="D19" s="85"/>
      <c r="E19" s="96"/>
    </row>
    <row r="20" customFormat="false" ht="15" hidden="false" customHeight="false" outlineLevel="0" collapsed="false">
      <c r="B20" s="95" t="s">
        <v>139</v>
      </c>
      <c r="C20" s="85" t="n">
        <f aca="false">-SUMIFS('ميزان المراجعة'!$K$9:$K$208,'ميزان المراجعة'!$I$9:$I$208,"مصاريف عمومية وإدارية")</f>
        <v>-122500</v>
      </c>
      <c r="D20" s="85"/>
      <c r="E20" s="96"/>
    </row>
    <row r="21" customFormat="false" ht="15" hidden="false" customHeight="false" outlineLevel="0" collapsed="false">
      <c r="B21" s="95" t="s">
        <v>297</v>
      </c>
      <c r="C21" s="85" t="n">
        <f aca="false">-SUMIFS('ميزان المراجعة'!$K$9:$K$208,'ميزان المراجعة'!$I$9:$I$208,"مصاريف تمويلية")</f>
        <v>-3200</v>
      </c>
      <c r="D21" s="85"/>
      <c r="E21" s="96"/>
    </row>
    <row r="22" customFormat="false" ht="15" hidden="false" customHeight="false" outlineLevel="0" collapsed="false">
      <c r="B22" s="97" t="s">
        <v>298</v>
      </c>
      <c r="C22" s="98"/>
      <c r="D22" s="99" t="n">
        <f aca="false">SUM(C19:C21)</f>
        <v>-117700</v>
      </c>
      <c r="E22" s="100" t="n">
        <f aca="false">IF(D22="","",IFERROR(D22/$D$8,0))</f>
        <v>-0.0435925925925926</v>
      </c>
    </row>
    <row r="24" customFormat="false" ht="27.75" hidden="false" customHeight="true" outlineLevel="0" collapsed="false">
      <c r="B24" s="101" t="s">
        <v>299</v>
      </c>
      <c r="C24" s="102"/>
      <c r="D24" s="93" t="n">
        <f aca="false">D17+D22</f>
        <v>507300</v>
      </c>
      <c r="E24" s="68" t="n">
        <f aca="false">IF(D24="","",IFERROR(D24/$D$8,0))</f>
        <v>0.187888888888889</v>
      </c>
    </row>
    <row r="26" customFormat="false" ht="15" hidden="false" customHeight="false" outlineLevel="0" collapsed="false">
      <c r="B26" s="103" t="str">
        <f aca="false">IF(D24&gt;=0,"✔ الشركة حققت صافي ربح بنسبة "&amp;TEXT(IFERROR(D24/D8,0),"0.0%")&amp;" من الإيرادات","✖ الشركة حققت صافي خسارة")</f>
        <v>✔ الشركة حققت صافي ربح بنسبة 18.8% من الإيرادات</v>
      </c>
      <c r="C26" s="103"/>
      <c r="D26" s="103"/>
      <c r="E26" s="103"/>
    </row>
    <row r="27" customFormat="false" ht="27.75" hidden="false" customHeight="true" outlineLevel="0" collapsed="false">
      <c r="B27" s="69" t="s">
        <v>300</v>
      </c>
      <c r="C27" s="69"/>
      <c r="D27" s="69"/>
      <c r="E27" s="69"/>
    </row>
  </sheetData>
  <mergeCells count="7">
    <mergeCell ref="B1:E1"/>
    <mergeCell ref="B2:E2"/>
    <mergeCell ref="B6:E6"/>
    <mergeCell ref="B9:E9"/>
    <mergeCell ref="B18:E18"/>
    <mergeCell ref="B26:E26"/>
    <mergeCell ref="B27:E27"/>
  </mergeCells>
  <conditionalFormatting sqref="B26:E26">
    <cfRule type="expression" priority="2" aboveAverage="0" equalAverage="0" bottom="0" percent="0" rank="0" text="" dxfId="0">
      <formula>ISNUMBER(SEARCH("✔",$B26))</formula>
    </cfRule>
    <cfRule type="expression" priority="3" aboveAverage="0" equalAverage="0" bottom="0" percent="0" rank="0" text="" dxfId="1">
      <formula>ISNUMBER(SEARCH("✖",$B26))</formula>
    </cfRule>
    <cfRule type="expression" priority="4" aboveAverage="0" equalAverage="0" bottom="0" percent="0" rank="0" text="" dxfId="2">
      <formula>ISNUMBER(SEARCH("⚠",$B26))</formula>
    </cfRule>
  </conditionalFormatting>
  <hyperlinks>
    <hyperlink ref="B3" location="'الرئيسية'!A1" display="🏠 الرئيسية"/>
    <hyperlink ref="C3" location="'شجرة الحسابات'!A1" display="🌳 الشجرة"/>
    <hyperlink ref="D3" location="'قيود اليومية'!A1" display="✍ القيود"/>
    <hyperlink ref="E3" location="'تجميع المشروعات'!A1" display="🏗 المشروع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410E"/>
    <pageSetUpPr fitToPage="true"/>
  </sheetPr>
  <dimension ref="B1:D45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20"/>
    <col collapsed="false" customWidth="true" hidden="false" outlineLevel="0" max="5" min="5" style="0" width="3"/>
  </cols>
  <sheetData>
    <row r="1" customFormat="false" ht="37.5" hidden="false" customHeight="true" outlineLevel="0" collapsed="false">
      <c r="B1" s="1" t="s">
        <v>301</v>
      </c>
      <c r="C1" s="1"/>
      <c r="D1" s="1"/>
    </row>
    <row r="2" customFormat="false" ht="19.5" hidden="false" customHeight="true" outlineLevel="0" collapsed="false">
      <c r="B2" s="2" t="str">
        <f aca="false">الرئيسية!$C$6&amp;"   |   الفترة المنتهية في: "&amp;TEXT(الرئيسية!$C$7,"yyyy/mm/dd")&amp;"   |   المبالغ بـ "&amp;الرئيسية!$G$7</f>
        <v>شركة الإعمار الحديثة للمقاولات العامة   |   الفترة المنتهية في: 2026/03/31   |   المبالغ بـ ريال</v>
      </c>
      <c r="C2" s="2"/>
      <c r="D2" s="2"/>
    </row>
    <row r="3" customFormat="false" ht="25.5" hidden="false" customHeight="true" outlineLevel="0" collapsed="false">
      <c r="B3" s="26" t="s">
        <v>42</v>
      </c>
      <c r="C3" s="16" t="s">
        <v>149</v>
      </c>
      <c r="D3" s="16" t="s">
        <v>43</v>
      </c>
    </row>
    <row r="4" customFormat="false" ht="7.5" hidden="false" customHeight="true" outlineLevel="0" collapsed="false"/>
    <row r="5" customFormat="false" ht="33.75" hidden="false" customHeight="true" outlineLevel="0" collapsed="false">
      <c r="B5" s="31" t="s">
        <v>266</v>
      </c>
      <c r="C5" s="31" t="s">
        <v>287</v>
      </c>
      <c r="D5" s="31" t="s">
        <v>255</v>
      </c>
    </row>
    <row r="6" customFormat="false" ht="21.75" hidden="false" customHeight="true" outlineLevel="0" collapsed="false">
      <c r="B6" s="94" t="s">
        <v>69</v>
      </c>
      <c r="C6" s="94"/>
      <c r="D6" s="94"/>
    </row>
    <row r="7" customFormat="false" ht="15" hidden="false" customHeight="false" outlineLevel="0" collapsed="false">
      <c r="B7" s="104" t="s">
        <v>72</v>
      </c>
      <c r="C7" s="104"/>
      <c r="D7" s="104"/>
    </row>
    <row r="8" customFormat="false" ht="15" hidden="false" customHeight="false" outlineLevel="0" collapsed="false">
      <c r="B8" s="95" t="s">
        <v>14</v>
      </c>
      <c r="C8" s="85" t="n">
        <f aca="false">SUMIFS('ميزان المراجعة'!$K$9:$K$208,'ميزان المراجعة'!$I$9:$I$208,"النقدية وما في حكمها")</f>
        <v>2892300</v>
      </c>
      <c r="D8" s="85"/>
    </row>
    <row r="9" customFormat="false" ht="15" hidden="false" customHeight="false" outlineLevel="0" collapsed="false">
      <c r="B9" s="95" t="s">
        <v>77</v>
      </c>
      <c r="C9" s="85" t="n">
        <f aca="false">SUMIFS('ميزان المراجعة'!$K$9:$K$208,'ميزان المراجعة'!$I$9:$I$208,"عملاء المقاولات")</f>
        <v>385000</v>
      </c>
      <c r="D9" s="85"/>
    </row>
    <row r="10" customFormat="false" ht="15" hidden="false" customHeight="false" outlineLevel="0" collapsed="false">
      <c r="B10" s="95" t="s">
        <v>78</v>
      </c>
      <c r="C10" s="85" t="n">
        <f aca="false">SUMIFS('ميزان المراجعة'!$K$9:$K$208,'ميزان المراجعة'!$I$9:$I$208,"محتجزات ضمان لدى العملاء")</f>
        <v>195000</v>
      </c>
      <c r="D10" s="85"/>
    </row>
    <row r="11" customFormat="false" ht="15" hidden="false" customHeight="false" outlineLevel="0" collapsed="false">
      <c r="B11" s="95" t="s">
        <v>80</v>
      </c>
      <c r="C11" s="85" t="n">
        <f aca="false">SUMIFS('ميزان المراجعة'!$K$9:$K$208,'ميزان المراجعة'!$I$9:$I$208,"إيرادات مستحقة (أعمال منفذة غير مفوترة)")</f>
        <v>180000</v>
      </c>
      <c r="D11" s="85"/>
    </row>
    <row r="12" customFormat="false" ht="15" hidden="false" customHeight="false" outlineLevel="0" collapsed="false">
      <c r="B12" s="95" t="s">
        <v>85</v>
      </c>
      <c r="C12" s="85" t="n">
        <f aca="false">SUMIFS('ميزان المراجعة'!$K$9:$K$208,'ميزان المراجعة'!$I$9:$I$208,"مشروعات تحت التنفيذ")</f>
        <v>95000</v>
      </c>
      <c r="D12" s="85"/>
    </row>
    <row r="13" customFormat="false" ht="15" hidden="false" customHeight="false" outlineLevel="0" collapsed="false">
      <c r="B13" s="95" t="s">
        <v>84</v>
      </c>
      <c r="C13" s="85" t="n">
        <f aca="false">SUMIFS('ميزان المراجعة'!$K$9:$K$208,'ميزان المراجعة'!$I$9:$I$208,"مخزون المواد")</f>
        <v>0</v>
      </c>
      <c r="D13" s="85"/>
    </row>
    <row r="14" customFormat="false" ht="15" hidden="false" customHeight="false" outlineLevel="0" collapsed="false">
      <c r="B14" s="95" t="s">
        <v>82</v>
      </c>
      <c r="C14" s="85" t="n">
        <f aca="false">SUMIFS('ميزان المراجعة'!$K$9:$K$208,'ميزان المراجعة'!$I$9:$I$208,"دفعات مقدمة وأرصدة مدينة أخرى")</f>
        <v>90000</v>
      </c>
      <c r="D14" s="85"/>
    </row>
    <row r="15" customFormat="false" ht="15" hidden="false" customHeight="false" outlineLevel="0" collapsed="false">
      <c r="B15" s="97" t="s">
        <v>302</v>
      </c>
      <c r="C15" s="98"/>
      <c r="D15" s="99" t="n">
        <f aca="false">SUM(C8:C14)</f>
        <v>3837300</v>
      </c>
    </row>
    <row r="16" customFormat="false" ht="15" hidden="false" customHeight="false" outlineLevel="0" collapsed="false">
      <c r="B16" s="104" t="s">
        <v>88</v>
      </c>
      <c r="C16" s="104"/>
      <c r="D16" s="104"/>
    </row>
    <row r="17" customFormat="false" ht="15" hidden="false" customHeight="false" outlineLevel="0" collapsed="false">
      <c r="B17" s="95" t="s">
        <v>90</v>
      </c>
      <c r="C17" s="85" t="n">
        <f aca="false">SUMIFS('ميزان المراجعة'!$K$9:$K$208,'ميزان المراجعة'!$I$9:$I$208,"الممتلكات والمعدات - بالتكلفة")</f>
        <v>1530000</v>
      </c>
      <c r="D17" s="85"/>
    </row>
    <row r="18" customFormat="false" ht="15" hidden="false" customHeight="false" outlineLevel="0" collapsed="false">
      <c r="B18" s="95" t="s">
        <v>95</v>
      </c>
      <c r="C18" s="85" t="n">
        <f aca="false">SUMIFS('ميزان المراجعة'!$K$9:$K$208,'ميزان المراجعة'!$I$9:$I$208,"مجمع الإهلاك")</f>
        <v>-35000</v>
      </c>
      <c r="D18" s="85"/>
    </row>
    <row r="19" customFormat="false" ht="15" hidden="false" customHeight="false" outlineLevel="0" collapsed="false">
      <c r="B19" s="97" t="s">
        <v>303</v>
      </c>
      <c r="C19" s="98"/>
      <c r="D19" s="99" t="n">
        <f aca="false">SUM(C17:C18)</f>
        <v>1495000</v>
      </c>
    </row>
    <row r="20" customFormat="false" ht="15" hidden="false" customHeight="false" outlineLevel="0" collapsed="false">
      <c r="B20" s="101" t="s">
        <v>13</v>
      </c>
      <c r="C20" s="102"/>
      <c r="D20" s="93" t="n">
        <f aca="false">D15+D19</f>
        <v>5332300</v>
      </c>
    </row>
    <row r="22" customFormat="false" ht="21.75" hidden="false" customHeight="true" outlineLevel="0" collapsed="false">
      <c r="B22" s="94" t="s">
        <v>304</v>
      </c>
      <c r="C22" s="94"/>
      <c r="D22" s="94"/>
    </row>
    <row r="23" customFormat="false" ht="15" hidden="false" customHeight="false" outlineLevel="0" collapsed="false">
      <c r="B23" s="104" t="s">
        <v>97</v>
      </c>
      <c r="C23" s="104"/>
      <c r="D23" s="104"/>
    </row>
    <row r="24" customFormat="false" ht="15" hidden="false" customHeight="false" outlineLevel="0" collapsed="false">
      <c r="B24" s="95" t="s">
        <v>98</v>
      </c>
      <c r="C24" s="85" t="n">
        <f aca="false">-SUMIFS('ميزان المراجعة'!$K$9:$K$208,'ميزان المراجعة'!$I$9:$I$208,"الموردون")</f>
        <v>180000</v>
      </c>
      <c r="D24" s="85"/>
    </row>
    <row r="25" customFormat="false" ht="15" hidden="false" customHeight="false" outlineLevel="0" collapsed="false">
      <c r="B25" s="95" t="s">
        <v>99</v>
      </c>
      <c r="C25" s="85" t="n">
        <f aca="false">-SUMIFS('ميزان المراجعة'!$K$9:$K$208,'ميزان المراجعة'!$I$9:$I$208,"مقاولو الباطن")</f>
        <v>347500</v>
      </c>
      <c r="D25" s="85"/>
    </row>
    <row r="26" customFormat="false" ht="15" hidden="false" customHeight="false" outlineLevel="0" collapsed="false">
      <c r="B26" s="95" t="s">
        <v>100</v>
      </c>
      <c r="C26" s="85" t="n">
        <f aca="false">-SUMIFS('ميزان المراجعة'!$K$9:$K$208,'ميزان المراجعة'!$I$9:$I$208,"محتجزات ضمان مقاولي الباطن")</f>
        <v>42500</v>
      </c>
      <c r="D26" s="85"/>
    </row>
    <row r="27" customFormat="false" ht="15" hidden="false" customHeight="false" outlineLevel="0" collapsed="false">
      <c r="B27" s="95" t="s">
        <v>101</v>
      </c>
      <c r="C27" s="85" t="n">
        <f aca="false">-SUMIFS('ميزان المراجعة'!$K$9:$K$208,'ميزان المراجعة'!$I$9:$I$208,"دفعات مقدمة من العملاء")</f>
        <v>755000</v>
      </c>
      <c r="D27" s="85"/>
    </row>
    <row r="28" customFormat="false" ht="15" hidden="false" customHeight="false" outlineLevel="0" collapsed="false">
      <c r="B28" s="95" t="s">
        <v>103</v>
      </c>
      <c r="C28" s="85" t="n">
        <f aca="false">-SUMIFS('ميزان المراجعة'!$K$9:$K$208,'ميزان المراجعة'!$I$9:$I$208,"مصروفات مستحقة وأرصدة دائنة أخرى")</f>
        <v>40000</v>
      </c>
      <c r="D28" s="85"/>
    </row>
    <row r="29" customFormat="false" ht="15" hidden="false" customHeight="false" outlineLevel="0" collapsed="false">
      <c r="B29" s="97" t="s">
        <v>305</v>
      </c>
      <c r="C29" s="98"/>
      <c r="D29" s="99" t="n">
        <f aca="false">SUM(C24:C28)</f>
        <v>1365000</v>
      </c>
    </row>
    <row r="30" customFormat="false" ht="15" hidden="false" customHeight="false" outlineLevel="0" collapsed="false">
      <c r="B30" s="104" t="s">
        <v>105</v>
      </c>
      <c r="C30" s="104"/>
      <c r="D30" s="104"/>
    </row>
    <row r="31" customFormat="false" ht="15" hidden="false" customHeight="false" outlineLevel="0" collapsed="false">
      <c r="B31" s="95" t="s">
        <v>107</v>
      </c>
      <c r="C31" s="85" t="n">
        <f aca="false">-SUMIFS('ميزان المراجعة'!$K$9:$K$208,'ميزان المراجعة'!$I$9:$I$208,"قروض طويلة الأجل")</f>
        <v>500000</v>
      </c>
      <c r="D31" s="85"/>
    </row>
    <row r="32" customFormat="false" ht="15" hidden="false" customHeight="false" outlineLevel="0" collapsed="false">
      <c r="B32" s="95" t="s">
        <v>108</v>
      </c>
      <c r="C32" s="85" t="n">
        <f aca="false">-SUMIFS('ميزان المراجعة'!$K$9:$K$208,'ميزان المراجعة'!$I$9:$I$208,"مخصص مكافأة نهاية الخدمة")</f>
        <v>-0</v>
      </c>
      <c r="D32" s="85"/>
    </row>
    <row r="33" customFormat="false" ht="15" hidden="false" customHeight="false" outlineLevel="0" collapsed="false">
      <c r="B33" s="97" t="s">
        <v>306</v>
      </c>
      <c r="C33" s="98"/>
      <c r="D33" s="99" t="n">
        <f aca="false">SUM(C31:C32)</f>
        <v>500000</v>
      </c>
    </row>
    <row r="34" customFormat="false" ht="15" hidden="false" customHeight="false" outlineLevel="0" collapsed="false">
      <c r="B34" s="97" t="s">
        <v>307</v>
      </c>
      <c r="C34" s="98"/>
      <c r="D34" s="99" t="n">
        <f aca="false">D29+D33</f>
        <v>1865000</v>
      </c>
    </row>
    <row r="35" customFormat="false" ht="15" hidden="false" customHeight="false" outlineLevel="0" collapsed="false">
      <c r="B35" s="104" t="s">
        <v>109</v>
      </c>
      <c r="C35" s="104"/>
      <c r="D35" s="104"/>
    </row>
    <row r="36" customFormat="false" ht="15" hidden="false" customHeight="false" outlineLevel="0" collapsed="false">
      <c r="B36" s="95" t="s">
        <v>112</v>
      </c>
      <c r="C36" s="85" t="n">
        <f aca="false">-SUMIFS('ميزان المراجعة'!$K$9:$K$208,'ميزان المراجعة'!$I$9:$I$208,"رأس المال")</f>
        <v>3000000</v>
      </c>
      <c r="D36" s="85"/>
    </row>
    <row r="37" customFormat="false" ht="15" hidden="false" customHeight="false" outlineLevel="0" collapsed="false">
      <c r="B37" s="95" t="s">
        <v>114</v>
      </c>
      <c r="C37" s="85" t="n">
        <f aca="false">-SUMIFS('ميزان المراجعة'!$K$9:$K$208,'ميزان المراجعة'!$I$9:$I$208,"الاحتياطيات")</f>
        <v>-0</v>
      </c>
      <c r="D37" s="85"/>
    </row>
    <row r="38" customFormat="false" ht="15" hidden="false" customHeight="false" outlineLevel="0" collapsed="false">
      <c r="B38" s="95" t="s">
        <v>115</v>
      </c>
      <c r="C38" s="85" t="n">
        <f aca="false">-SUMIFS('ميزان المراجعة'!$K$9:$K$208,'ميزان المراجعة'!$I$9:$I$208,"الأرباح المحتجزة")</f>
        <v>-0</v>
      </c>
      <c r="D38" s="85"/>
    </row>
    <row r="39" customFormat="false" ht="15" hidden="false" customHeight="false" outlineLevel="0" collapsed="false">
      <c r="B39" s="95" t="s">
        <v>117</v>
      </c>
      <c r="C39" s="85" t="n">
        <f aca="false">-SUMIFS('ميزان المراجعة'!$K$9:$K$208,'ميزان المراجعة'!$I$9:$I$208,"جاري الشركاء")</f>
        <v>-40000</v>
      </c>
      <c r="D39" s="85"/>
    </row>
    <row r="40" customFormat="false" ht="15" hidden="false" customHeight="false" outlineLevel="0" collapsed="false">
      <c r="B40" s="95" t="s">
        <v>308</v>
      </c>
      <c r="C40" s="105" t="n">
        <f aca="false">'قائمة الدخل'!$D$24</f>
        <v>507300</v>
      </c>
      <c r="D40" s="85"/>
    </row>
    <row r="41" customFormat="false" ht="15" hidden="false" customHeight="false" outlineLevel="0" collapsed="false">
      <c r="B41" s="97" t="s">
        <v>309</v>
      </c>
      <c r="C41" s="98"/>
      <c r="D41" s="99" t="n">
        <f aca="false">SUM(C36:C40)</f>
        <v>3467300</v>
      </c>
    </row>
    <row r="42" customFormat="false" ht="15" hidden="false" customHeight="false" outlineLevel="0" collapsed="false">
      <c r="B42" s="101" t="s">
        <v>310</v>
      </c>
      <c r="C42" s="102"/>
      <c r="D42" s="93" t="n">
        <f aca="false">D34+D41</f>
        <v>5332300</v>
      </c>
    </row>
    <row r="44" customFormat="false" ht="30" hidden="false" customHeight="true" outlineLevel="0" collapsed="false">
      <c r="B44" s="106" t="str">
        <f aca="false">IF(ROUND(D20-D42,2)=0,"✔ المركز المالي متوازن: الأصول = الخصوم + حقوق الملكية","✖ المركز المالي غير متوازن — الفرق: "&amp;TEXT(D20-D42,"#,##0.00"))</f>
        <v>✔ المركز المالي متوازن: الأصول = الخصوم + حقوق الملكية</v>
      </c>
      <c r="C44" s="106"/>
      <c r="D44" s="106"/>
    </row>
    <row r="45" customFormat="false" ht="27.75" hidden="false" customHeight="true" outlineLevel="0" collapsed="false">
      <c r="B45" s="69" t="s">
        <v>311</v>
      </c>
      <c r="C45" s="69"/>
      <c r="D45" s="69"/>
    </row>
  </sheetData>
  <mergeCells count="11">
    <mergeCell ref="B1:D1"/>
    <mergeCell ref="B2:D2"/>
    <mergeCell ref="B6:D6"/>
    <mergeCell ref="B7:D7"/>
    <mergeCell ref="B16:D16"/>
    <mergeCell ref="B22:D22"/>
    <mergeCell ref="B23:D23"/>
    <mergeCell ref="B30:D30"/>
    <mergeCell ref="B35:D35"/>
    <mergeCell ref="B44:D44"/>
    <mergeCell ref="B45:D45"/>
  </mergeCells>
  <conditionalFormatting sqref="B44:D44">
    <cfRule type="expression" priority="2" aboveAverage="0" equalAverage="0" bottom="0" percent="0" rank="0" text="" dxfId="0">
      <formula>ISNUMBER(SEARCH("✔",$B44))</formula>
    </cfRule>
    <cfRule type="expression" priority="3" aboveAverage="0" equalAverage="0" bottom="0" percent="0" rank="0" text="" dxfId="1">
      <formula>ISNUMBER(SEARCH("✖",$B44))</formula>
    </cfRule>
    <cfRule type="expression" priority="4" aboveAverage="0" equalAverage="0" bottom="0" percent="0" rank="0" text="" dxfId="2">
      <formula>ISNUMBER(SEARCH("⚠",$B44))</formula>
    </cfRule>
  </conditionalFormatting>
  <hyperlinks>
    <hyperlink ref="B3" location="'الرئيسية'!A1" display="🏠 الرئيسية"/>
    <hyperlink ref="C3" location="'شجرة الحسابات'!A1" display="🌳 الشجرة"/>
    <hyperlink ref="D3" location="'قيود اليومية'!A1" display="✍ القيود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I35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5" min="4" style="0" width="14"/>
    <col collapsed="false" customWidth="true" hidden="false" outlineLevel="0" max="6" min="6" style="0" width="3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312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313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26" t="s">
        <v>42</v>
      </c>
    </row>
    <row r="4" customFormat="false" ht="7.5" hidden="false" customHeight="true" outlineLevel="0" collapsed="false"/>
    <row r="5" customFormat="false" ht="33.75" hidden="false" customHeight="true" outlineLevel="0" collapsed="false">
      <c r="A5" s="31" t="s">
        <v>314</v>
      </c>
      <c r="B5" s="31" t="s">
        <v>63</v>
      </c>
      <c r="C5" s="31" t="s">
        <v>60</v>
      </c>
      <c r="D5" s="31" t="s">
        <v>315</v>
      </c>
      <c r="E5" s="31" t="s">
        <v>316</v>
      </c>
      <c r="G5" s="31" t="s">
        <v>317</v>
      </c>
      <c r="H5" s="31" t="s">
        <v>318</v>
      </c>
      <c r="I5" s="31" t="s">
        <v>319</v>
      </c>
    </row>
    <row r="6" customFormat="false" ht="15" hidden="false" customHeight="false" outlineLevel="0" collapsed="false">
      <c r="A6" s="33" t="s">
        <v>69</v>
      </c>
      <c r="B6" s="33" t="s">
        <v>71</v>
      </c>
      <c r="C6" s="33" t="s">
        <v>70</v>
      </c>
      <c r="D6" s="33" t="s">
        <v>129</v>
      </c>
      <c r="E6" s="33" t="s">
        <v>249</v>
      </c>
      <c r="G6" s="33" t="s">
        <v>14</v>
      </c>
      <c r="H6" s="33" t="s">
        <v>320</v>
      </c>
      <c r="I6" s="33" t="s">
        <v>321</v>
      </c>
    </row>
    <row r="7" customFormat="false" ht="15" hidden="false" customHeight="false" outlineLevel="0" collapsed="false">
      <c r="A7" s="33" t="s">
        <v>96</v>
      </c>
      <c r="B7" s="33" t="s">
        <v>94</v>
      </c>
      <c r="C7" s="33" t="s">
        <v>73</v>
      </c>
      <c r="D7" s="33" t="s">
        <v>131</v>
      </c>
      <c r="E7" s="33" t="s">
        <v>254</v>
      </c>
      <c r="G7" s="33" t="s">
        <v>77</v>
      </c>
      <c r="H7" s="33" t="s">
        <v>320</v>
      </c>
      <c r="I7" s="33" t="s">
        <v>321</v>
      </c>
    </row>
    <row r="8" customFormat="false" ht="15" hidden="false" customHeight="false" outlineLevel="0" collapsed="false">
      <c r="A8" s="33" t="s">
        <v>109</v>
      </c>
      <c r="B8" s="33"/>
      <c r="C8" s="33" t="s">
        <v>75</v>
      </c>
      <c r="D8" s="33" t="s">
        <v>133</v>
      </c>
      <c r="E8" s="33" t="s">
        <v>322</v>
      </c>
      <c r="G8" s="33" t="s">
        <v>78</v>
      </c>
      <c r="H8" s="33" t="s">
        <v>320</v>
      </c>
      <c r="I8" s="33" t="s">
        <v>321</v>
      </c>
    </row>
    <row r="9" customFormat="false" ht="15" hidden="false" customHeight="false" outlineLevel="0" collapsed="false">
      <c r="A9" s="33" t="s">
        <v>118</v>
      </c>
      <c r="B9" s="33"/>
      <c r="C9" s="33"/>
      <c r="D9" s="33" t="s">
        <v>135</v>
      </c>
      <c r="E9" s="33" t="s">
        <v>323</v>
      </c>
      <c r="G9" s="33" t="s">
        <v>80</v>
      </c>
      <c r="H9" s="33" t="s">
        <v>320</v>
      </c>
      <c r="I9" s="33" t="s">
        <v>321</v>
      </c>
    </row>
    <row r="10" customFormat="false" ht="15" hidden="false" customHeight="false" outlineLevel="0" collapsed="false">
      <c r="A10" s="33" t="s">
        <v>125</v>
      </c>
      <c r="B10" s="33"/>
      <c r="C10" s="33"/>
      <c r="D10" s="33" t="s">
        <v>137</v>
      </c>
      <c r="E10" s="33"/>
      <c r="G10" s="33" t="s">
        <v>85</v>
      </c>
      <c r="H10" s="33" t="s">
        <v>320</v>
      </c>
      <c r="I10" s="33" t="s">
        <v>321</v>
      </c>
    </row>
    <row r="11" customFormat="false" ht="15" hidden="false" customHeight="false" outlineLevel="0" collapsed="false">
      <c r="A11" s="33"/>
      <c r="B11" s="33"/>
      <c r="C11" s="33"/>
      <c r="D11" s="33"/>
      <c r="E11" s="33"/>
      <c r="G11" s="33" t="s">
        <v>84</v>
      </c>
      <c r="H11" s="33" t="s">
        <v>320</v>
      </c>
      <c r="I11" s="33" t="s">
        <v>321</v>
      </c>
    </row>
    <row r="12" customFormat="false" ht="15" hidden="false" customHeight="false" outlineLevel="0" collapsed="false">
      <c r="A12" s="33"/>
      <c r="B12" s="33"/>
      <c r="C12" s="33"/>
      <c r="D12" s="33"/>
      <c r="E12" s="33"/>
      <c r="G12" s="33" t="s">
        <v>82</v>
      </c>
      <c r="H12" s="33" t="s">
        <v>320</v>
      </c>
      <c r="I12" s="33" t="s">
        <v>321</v>
      </c>
    </row>
    <row r="13" customFormat="false" ht="15" hidden="false" customHeight="false" outlineLevel="0" collapsed="false">
      <c r="A13" s="33"/>
      <c r="B13" s="33"/>
      <c r="C13" s="33"/>
      <c r="D13" s="33"/>
      <c r="E13" s="33"/>
      <c r="G13" s="33" t="s">
        <v>90</v>
      </c>
      <c r="H13" s="33" t="s">
        <v>320</v>
      </c>
      <c r="I13" s="33" t="s">
        <v>324</v>
      </c>
    </row>
    <row r="14" customFormat="false" ht="15" hidden="false" customHeight="false" outlineLevel="0" collapsed="false">
      <c r="A14" s="33"/>
      <c r="B14" s="33"/>
      <c r="C14" s="33"/>
      <c r="D14" s="33"/>
      <c r="E14" s="33"/>
      <c r="G14" s="33" t="s">
        <v>95</v>
      </c>
      <c r="H14" s="33" t="s">
        <v>320</v>
      </c>
      <c r="I14" s="33" t="s">
        <v>324</v>
      </c>
    </row>
    <row r="15" customFormat="false" ht="15" hidden="false" customHeight="false" outlineLevel="0" collapsed="false">
      <c r="A15" s="33"/>
      <c r="B15" s="33"/>
      <c r="C15" s="33"/>
      <c r="D15" s="33"/>
      <c r="E15" s="33"/>
      <c r="G15" s="33" t="s">
        <v>98</v>
      </c>
      <c r="H15" s="33" t="s">
        <v>320</v>
      </c>
      <c r="I15" s="33" t="s">
        <v>325</v>
      </c>
    </row>
    <row r="16" customFormat="false" ht="15" hidden="false" customHeight="false" outlineLevel="0" collapsed="false">
      <c r="A16" s="107"/>
      <c r="B16" s="107"/>
      <c r="C16" s="107"/>
      <c r="D16" s="107"/>
      <c r="E16" s="107"/>
      <c r="G16" s="33" t="s">
        <v>99</v>
      </c>
      <c r="H16" s="33" t="s">
        <v>320</v>
      </c>
      <c r="I16" s="33" t="s">
        <v>325</v>
      </c>
    </row>
    <row r="17" customFormat="false" ht="15" hidden="false" customHeight="false" outlineLevel="0" collapsed="false">
      <c r="A17" s="107"/>
      <c r="B17" s="107"/>
      <c r="C17" s="107"/>
      <c r="D17" s="107"/>
      <c r="E17" s="107"/>
      <c r="G17" s="33" t="s">
        <v>100</v>
      </c>
      <c r="H17" s="33" t="s">
        <v>320</v>
      </c>
      <c r="I17" s="33" t="s">
        <v>325</v>
      </c>
    </row>
    <row r="18" customFormat="false" ht="15" hidden="false" customHeight="false" outlineLevel="0" collapsed="false">
      <c r="A18" s="107"/>
      <c r="B18" s="107"/>
      <c r="C18" s="107"/>
      <c r="D18" s="107"/>
      <c r="E18" s="107"/>
      <c r="G18" s="33" t="s">
        <v>101</v>
      </c>
      <c r="H18" s="33" t="s">
        <v>320</v>
      </c>
      <c r="I18" s="33" t="s">
        <v>325</v>
      </c>
    </row>
    <row r="19" customFormat="false" ht="15" hidden="false" customHeight="false" outlineLevel="0" collapsed="false">
      <c r="A19" s="107"/>
      <c r="B19" s="107"/>
      <c r="C19" s="107"/>
      <c r="D19" s="107"/>
      <c r="E19" s="107"/>
      <c r="G19" s="33" t="s">
        <v>103</v>
      </c>
      <c r="H19" s="33" t="s">
        <v>320</v>
      </c>
      <c r="I19" s="33" t="s">
        <v>325</v>
      </c>
    </row>
    <row r="20" customFormat="false" ht="15" hidden="false" customHeight="false" outlineLevel="0" collapsed="false">
      <c r="A20" s="107"/>
      <c r="B20" s="107"/>
      <c r="C20" s="107"/>
      <c r="D20" s="107"/>
      <c r="E20" s="107"/>
      <c r="G20" s="33" t="s">
        <v>107</v>
      </c>
      <c r="H20" s="33" t="s">
        <v>320</v>
      </c>
      <c r="I20" s="33" t="s">
        <v>326</v>
      </c>
    </row>
    <row r="21" customFormat="false" ht="15" hidden="false" customHeight="false" outlineLevel="0" collapsed="false">
      <c r="A21" s="107"/>
      <c r="B21" s="107"/>
      <c r="C21" s="107"/>
      <c r="D21" s="107"/>
      <c r="E21" s="107"/>
      <c r="G21" s="33" t="s">
        <v>108</v>
      </c>
      <c r="H21" s="33" t="s">
        <v>320</v>
      </c>
      <c r="I21" s="33" t="s">
        <v>326</v>
      </c>
    </row>
    <row r="22" customFormat="false" ht="15" hidden="false" customHeight="false" outlineLevel="0" collapsed="false">
      <c r="A22" s="107"/>
      <c r="B22" s="107"/>
      <c r="C22" s="107"/>
      <c r="D22" s="107"/>
      <c r="E22" s="107"/>
      <c r="G22" s="33" t="s">
        <v>112</v>
      </c>
      <c r="H22" s="33" t="s">
        <v>320</v>
      </c>
      <c r="I22" s="33" t="s">
        <v>109</v>
      </c>
    </row>
    <row r="23" customFormat="false" ht="15" hidden="false" customHeight="false" outlineLevel="0" collapsed="false">
      <c r="A23" s="107"/>
      <c r="B23" s="107"/>
      <c r="C23" s="107"/>
      <c r="D23" s="107"/>
      <c r="E23" s="107"/>
      <c r="G23" s="33" t="s">
        <v>114</v>
      </c>
      <c r="H23" s="33" t="s">
        <v>320</v>
      </c>
      <c r="I23" s="33" t="s">
        <v>109</v>
      </c>
    </row>
    <row r="24" customFormat="false" ht="15" hidden="false" customHeight="false" outlineLevel="0" collapsed="false">
      <c r="A24" s="107"/>
      <c r="B24" s="107"/>
      <c r="C24" s="107"/>
      <c r="D24" s="107"/>
      <c r="E24" s="107"/>
      <c r="G24" s="33" t="s">
        <v>115</v>
      </c>
      <c r="H24" s="33" t="s">
        <v>320</v>
      </c>
      <c r="I24" s="33" t="s">
        <v>109</v>
      </c>
    </row>
    <row r="25" customFormat="false" ht="15" hidden="false" customHeight="false" outlineLevel="0" collapsed="false">
      <c r="A25" s="107"/>
      <c r="B25" s="107"/>
      <c r="C25" s="107"/>
      <c r="D25" s="107"/>
      <c r="E25" s="107"/>
      <c r="G25" s="33" t="s">
        <v>117</v>
      </c>
      <c r="H25" s="33" t="s">
        <v>320</v>
      </c>
      <c r="I25" s="33" t="s">
        <v>109</v>
      </c>
    </row>
    <row r="26" customFormat="false" ht="15" hidden="false" customHeight="false" outlineLevel="0" collapsed="false">
      <c r="A26" s="107"/>
      <c r="B26" s="107"/>
      <c r="C26" s="107"/>
      <c r="D26" s="107"/>
      <c r="E26" s="107"/>
      <c r="G26" s="33" t="s">
        <v>119</v>
      </c>
      <c r="H26" s="33" t="s">
        <v>286</v>
      </c>
      <c r="I26" s="33" t="s">
        <v>118</v>
      </c>
    </row>
    <row r="27" customFormat="false" ht="15" hidden="false" customHeight="false" outlineLevel="0" collapsed="false">
      <c r="A27" s="107"/>
      <c r="B27" s="107"/>
      <c r="C27" s="107"/>
      <c r="D27" s="107"/>
      <c r="E27" s="107"/>
      <c r="G27" s="33" t="s">
        <v>128</v>
      </c>
      <c r="H27" s="33" t="s">
        <v>286</v>
      </c>
      <c r="I27" s="33" t="s">
        <v>128</v>
      </c>
    </row>
    <row r="28" customFormat="false" ht="15" hidden="false" customHeight="false" outlineLevel="0" collapsed="false">
      <c r="A28" s="107"/>
      <c r="B28" s="107"/>
      <c r="C28" s="107"/>
      <c r="D28" s="107"/>
      <c r="E28" s="107"/>
      <c r="G28" s="33" t="s">
        <v>122</v>
      </c>
      <c r="H28" s="33" t="s">
        <v>286</v>
      </c>
      <c r="I28" s="33" t="s">
        <v>122</v>
      </c>
    </row>
    <row r="29" customFormat="false" ht="15" hidden="false" customHeight="false" outlineLevel="0" collapsed="false">
      <c r="A29" s="107"/>
      <c r="B29" s="107"/>
      <c r="C29" s="107"/>
      <c r="D29" s="107"/>
      <c r="E29" s="107"/>
      <c r="G29" s="33" t="s">
        <v>142</v>
      </c>
      <c r="H29" s="33" t="s">
        <v>286</v>
      </c>
      <c r="I29" s="33" t="s">
        <v>327</v>
      </c>
    </row>
    <row r="30" customFormat="false" ht="15" hidden="false" customHeight="false" outlineLevel="0" collapsed="false">
      <c r="A30" s="107"/>
      <c r="B30" s="107"/>
      <c r="C30" s="107"/>
      <c r="D30" s="107"/>
      <c r="E30" s="107"/>
      <c r="G30" s="33" t="s">
        <v>147</v>
      </c>
      <c r="H30" s="33" t="s">
        <v>286</v>
      </c>
      <c r="I30" s="33" t="s">
        <v>327</v>
      </c>
    </row>
    <row r="31" customFormat="false" ht="15" hidden="false" customHeight="false" outlineLevel="0" collapsed="false">
      <c r="A31" s="107"/>
      <c r="B31" s="107"/>
      <c r="C31" s="107"/>
      <c r="D31" s="107"/>
      <c r="E31" s="107"/>
      <c r="G31" s="33"/>
      <c r="H31" s="33"/>
      <c r="I31" s="33"/>
    </row>
    <row r="32" customFormat="false" ht="15" hidden="false" customHeight="false" outlineLevel="0" collapsed="false">
      <c r="A32" s="107"/>
      <c r="B32" s="107"/>
      <c r="C32" s="107"/>
      <c r="D32" s="107"/>
      <c r="E32" s="107"/>
      <c r="G32" s="33"/>
      <c r="H32" s="33"/>
      <c r="I32" s="33"/>
    </row>
    <row r="33" customFormat="false" ht="15" hidden="false" customHeight="false" outlineLevel="0" collapsed="false">
      <c r="A33" s="107"/>
      <c r="B33" s="107"/>
      <c r="C33" s="107"/>
      <c r="D33" s="107"/>
      <c r="E33" s="107"/>
      <c r="G33" s="33"/>
      <c r="H33" s="33"/>
      <c r="I33" s="33"/>
    </row>
    <row r="34" customFormat="false" ht="15" hidden="false" customHeight="false" outlineLevel="0" collapsed="false">
      <c r="A34" s="107"/>
      <c r="B34" s="107"/>
      <c r="C34" s="107"/>
      <c r="D34" s="107"/>
      <c r="E34" s="107"/>
      <c r="G34" s="33"/>
      <c r="H34" s="33"/>
      <c r="I34" s="33"/>
    </row>
    <row r="35" customFormat="false" ht="15" hidden="false" customHeight="false" outlineLevel="0" collapsed="false">
      <c r="A35" s="107"/>
      <c r="B35" s="107"/>
      <c r="C35" s="107"/>
      <c r="D35" s="107"/>
      <c r="E35" s="107"/>
      <c r="G35" s="33"/>
      <c r="H35" s="33"/>
      <c r="I35" s="33"/>
    </row>
  </sheetData>
  <mergeCells count="2">
    <mergeCell ref="A1:I1"/>
    <mergeCell ref="A2:I2"/>
  </mergeCells>
  <hyperlinks>
    <hyperlink ref="A3" location="'الرئيسية'!A1" display="🏠 الرئيسية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2026-09-25T11:59:44Z</dcterms:created>
  <dc:creator>openpyxl</dc:creator>
  <dc:description/>
  <dc:language>en-US</dc:language>
  <cp:lastModifiedBy/>
  <dcterms:modified xsi:type="dcterms:W3CDTF">2026-09-25T11:59:54Z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